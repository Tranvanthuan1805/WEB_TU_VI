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Sô_la_mviê_cNa_y" defaultThemeVersion="124226"/>
  <mc:AlternateContent xmlns:mc="http://schemas.openxmlformats.org/markup-compatibility/2006">
    <mc:Choice Requires="x15">
      <x15ac:absPath xmlns:x15ac="http://schemas.microsoft.com/office/spreadsheetml/2010/11/ac" url="C:\Users\trucn\Downloads\Compressed\BattuHL-Tubinh-Tuvi-Quedich-LTT\"/>
    </mc:Choice>
  </mc:AlternateContent>
  <xr:revisionPtr revIDLastSave="0" documentId="13_ncr:1_{01508E2C-C1C4-451C-A858-C9543384F32F}" xr6:coauthVersionLast="47" xr6:coauthVersionMax="47" xr10:uidLastSave="{00000000-0000-0000-0000-000000000000}"/>
  <bookViews>
    <workbookView xWindow="-120" yWindow="-120" windowWidth="29040" windowHeight="15720" tabRatio="845" firstSheet="1" activeTab="11" xr2:uid="{214F4A0C-9698-43D4-94DE-7413EE04D1E6}"/>
  </bookViews>
  <sheets>
    <sheet name="Giới thiệu" sheetId="25" r:id="rId1"/>
    <sheet name="Nhập liệu" sheetId="34" r:id="rId2"/>
    <sheet name="Thể cách" sheetId="8" r:id="rId3"/>
    <sheet name="Đại Vận" sheetId="12" r:id="rId4"/>
    <sheet name="Vận Năm" sheetId="1" r:id="rId5"/>
    <sheet name="384Hào" sheetId="26" state="hidden" r:id="rId6"/>
    <sheet name="64Quẻ" sheetId="23" state="hidden" r:id="rId7"/>
    <sheet name="TiếtKhí" sheetId="22" state="hidden" r:id="rId8"/>
    <sheet name="Setup" sheetId="24" state="hidden" r:id="rId9"/>
    <sheet name="tubinh" sheetId="36" r:id="rId10"/>
    <sheet name="qdich" sheetId="35" r:id="rId11"/>
    <sheet name="tuvi" sheetId="37" r:id="rId12"/>
    <sheet name="tv2" sheetId="38" r:id="rId13"/>
  </sheets>
  <definedNames>
    <definedName name="Càn" localSheetId="6">'64Quẻ'!$B$6:$B$11</definedName>
    <definedName name="Đ.Nhân" localSheetId="6">'64Quẻ'!$F$6:$F$11</definedName>
    <definedName name="Lý" localSheetId="6">'64Quẻ'!$D$6:$D$11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34" l="1"/>
  <c r="R61" i="38"/>
  <c r="R62" i="38" s="1"/>
  <c r="B1" i="35"/>
  <c r="F13" i="37" s="1"/>
  <c r="M238" i="37"/>
  <c r="M237" i="37"/>
  <c r="M236" i="37"/>
  <c r="M235" i="37"/>
  <c r="M234" i="37"/>
  <c r="M233" i="37"/>
  <c r="M232" i="37"/>
  <c r="M231" i="37"/>
  <c r="M230" i="37"/>
  <c r="M229" i="37"/>
  <c r="M228" i="37"/>
  <c r="M227" i="37"/>
  <c r="M226" i="37"/>
  <c r="M225" i="37"/>
  <c r="BF195" i="37"/>
  <c r="BF194" i="37"/>
  <c r="BC194" i="37"/>
  <c r="BE194" i="37" s="1"/>
  <c r="AZ194" i="37"/>
  <c r="AW194" i="37"/>
  <c r="AY194" i="37" s="1"/>
  <c r="AT194" i="37"/>
  <c r="AV194" i="37" s="1"/>
  <c r="AQ194" i="37"/>
  <c r="AS194" i="37"/>
  <c r="AN194" i="37"/>
  <c r="AK194" i="37"/>
  <c r="AM194" i="37"/>
  <c r="AH194" i="37"/>
  <c r="AJ194" i="37" s="1"/>
  <c r="AE194" i="37"/>
  <c r="AG194" i="37"/>
  <c r="AB194" i="37"/>
  <c r="AD194" i="37" s="1"/>
  <c r="Y194" i="37"/>
  <c r="AA194" i="37"/>
  <c r="V194" i="37"/>
  <c r="X194" i="37"/>
  <c r="BF193" i="37"/>
  <c r="BC193" i="37"/>
  <c r="BE193" i="37"/>
  <c r="AZ193" i="37"/>
  <c r="BB193" i="37" s="1"/>
  <c r="AW193" i="37"/>
  <c r="AY193" i="37"/>
  <c r="AT193" i="37"/>
  <c r="AV193" i="37"/>
  <c r="AQ193" i="37"/>
  <c r="AS193" i="37" s="1"/>
  <c r="AN193" i="37"/>
  <c r="AP193" i="37"/>
  <c r="AK193" i="37"/>
  <c r="AM193" i="37" s="1"/>
  <c r="AH193" i="37"/>
  <c r="AE193" i="37"/>
  <c r="AG193" i="37" s="1"/>
  <c r="AB193" i="37"/>
  <c r="AD193" i="37" s="1"/>
  <c r="Y193" i="37"/>
  <c r="AA193" i="37"/>
  <c r="V193" i="37"/>
  <c r="X193" i="37" s="1"/>
  <c r="BF192" i="37"/>
  <c r="BF191" i="37"/>
  <c r="BF190" i="37"/>
  <c r="BF189" i="37"/>
  <c r="BF188" i="37"/>
  <c r="BF187" i="37"/>
  <c r="BF186" i="37"/>
  <c r="BF185" i="37"/>
  <c r="BF184" i="37"/>
  <c r="BF183" i="37"/>
  <c r="BF182" i="37"/>
  <c r="BF181" i="37"/>
  <c r="BF180" i="37"/>
  <c r="BF179" i="37"/>
  <c r="BF178" i="37"/>
  <c r="BF177" i="37"/>
  <c r="BF176" i="37"/>
  <c r="BF175" i="37"/>
  <c r="BF174" i="37"/>
  <c r="BF173" i="37"/>
  <c r="BF172" i="37"/>
  <c r="BF171" i="37"/>
  <c r="BF170" i="37"/>
  <c r="BC170" i="37"/>
  <c r="BE170" i="37" s="1"/>
  <c r="AZ170" i="37"/>
  <c r="BB170" i="37"/>
  <c r="AW170" i="37"/>
  <c r="AY170" i="37"/>
  <c r="AT170" i="37"/>
  <c r="AV170" i="37" s="1"/>
  <c r="AQ170" i="37"/>
  <c r="AS170" i="37"/>
  <c r="AN170" i="37"/>
  <c r="AP170" i="37"/>
  <c r="AK170" i="37"/>
  <c r="AH170" i="37"/>
  <c r="AJ170" i="37" s="1"/>
  <c r="AE170" i="37"/>
  <c r="AG170" i="37" s="1"/>
  <c r="AB170" i="37"/>
  <c r="AD170" i="37"/>
  <c r="Y170" i="37"/>
  <c r="AA170" i="37" s="1"/>
  <c r="V170" i="37"/>
  <c r="X170" i="37" s="1"/>
  <c r="BF169" i="37"/>
  <c r="BF168" i="37"/>
  <c r="BF167" i="37"/>
  <c r="BF166" i="37"/>
  <c r="BF165" i="37"/>
  <c r="BF164" i="37"/>
  <c r="BF163" i="37"/>
  <c r="BF162" i="37"/>
  <c r="BF161" i="37"/>
  <c r="BF160" i="37"/>
  <c r="BF159" i="37"/>
  <c r="BF158" i="37"/>
  <c r="BF157" i="37"/>
  <c r="BF156" i="37"/>
  <c r="BF155" i="37"/>
  <c r="BF154" i="37"/>
  <c r="BF153" i="37"/>
  <c r="BC139" i="37"/>
  <c r="BE139" i="37"/>
  <c r="AZ139" i="37"/>
  <c r="BB139" i="37"/>
  <c r="AW139" i="37"/>
  <c r="AY139" i="37"/>
  <c r="AT139" i="37"/>
  <c r="AV139" i="37"/>
  <c r="AQ139" i="37"/>
  <c r="AS139" i="37" s="1"/>
  <c r="AN139" i="37"/>
  <c r="AP139" i="37"/>
  <c r="AK139" i="37"/>
  <c r="AH139" i="37"/>
  <c r="AJ139" i="37" s="1"/>
  <c r="AE139" i="37"/>
  <c r="AG139" i="37"/>
  <c r="AB139" i="37"/>
  <c r="AD139" i="37"/>
  <c r="Y139" i="37"/>
  <c r="AA139" i="37"/>
  <c r="V139" i="37"/>
  <c r="X139" i="37"/>
  <c r="BF115" i="37"/>
  <c r="BF114" i="37"/>
  <c r="BF113" i="37"/>
  <c r="BF111" i="37"/>
  <c r="BF110" i="37"/>
  <c r="BF109" i="37"/>
  <c r="BF108" i="37"/>
  <c r="BF107" i="37"/>
  <c r="BF106" i="37"/>
  <c r="BF105" i="37"/>
  <c r="BF104" i="37"/>
  <c r="BF103" i="37"/>
  <c r="BF102" i="37"/>
  <c r="BF101" i="37"/>
  <c r="BF100" i="37"/>
  <c r="BF99" i="37"/>
  <c r="BF98" i="37"/>
  <c r="BF97" i="37"/>
  <c r="BF96" i="37"/>
  <c r="BF95" i="37"/>
  <c r="BF94" i="37"/>
  <c r="BF93" i="37"/>
  <c r="BF92" i="37"/>
  <c r="BF91" i="37"/>
  <c r="BF90" i="37"/>
  <c r="BF89" i="37"/>
  <c r="BF88" i="37"/>
  <c r="BF87" i="37"/>
  <c r="BF86" i="37"/>
  <c r="BF85" i="37"/>
  <c r="BF84" i="37"/>
  <c r="BF83" i="37"/>
  <c r="BF82" i="37"/>
  <c r="BF81" i="37"/>
  <c r="BF80" i="37"/>
  <c r="BF79" i="37"/>
  <c r="BF78" i="37"/>
  <c r="BF77" i="37"/>
  <c r="BF76" i="37"/>
  <c r="BF75" i="37"/>
  <c r="BF74" i="37"/>
  <c r="BF73" i="37"/>
  <c r="BF72" i="37"/>
  <c r="BF71" i="37"/>
  <c r="BF70" i="37"/>
  <c r="BF69" i="37"/>
  <c r="BF68" i="37"/>
  <c r="BF67" i="37"/>
  <c r="BF66" i="37"/>
  <c r="BF65" i="37"/>
  <c r="BF64" i="37"/>
  <c r="R61" i="37"/>
  <c r="F13" i="38"/>
  <c r="BF110" i="38"/>
  <c r="BF97" i="38"/>
  <c r="BF84" i="38"/>
  <c r="BF71" i="38"/>
  <c r="BF87" i="38"/>
  <c r="BF85" i="38"/>
  <c r="BF82" i="38"/>
  <c r="BF114" i="38"/>
  <c r="BF96" i="38"/>
  <c r="BF92" i="38"/>
  <c r="BF91" i="38"/>
  <c r="BF76" i="38"/>
  <c r="BF99" i="38"/>
  <c r="BF95" i="38"/>
  <c r="BF94" i="38"/>
  <c r="BF88" i="38"/>
  <c r="BF79" i="38"/>
  <c r="BF66" i="38"/>
  <c r="BF100" i="38"/>
  <c r="BF115" i="38"/>
  <c r="BF104" i="38"/>
  <c r="BF101" i="38"/>
  <c r="BF86" i="38"/>
  <c r="BF80" i="38"/>
  <c r="BF77" i="38"/>
  <c r="BF69" i="38"/>
  <c r="M225" i="38"/>
  <c r="M226" i="38"/>
  <c r="M227" i="38"/>
  <c r="M228" i="38"/>
  <c r="M229" i="38"/>
  <c r="M230" i="38"/>
  <c r="M231" i="38"/>
  <c r="M232" i="38"/>
  <c r="M233" i="38"/>
  <c r="M234" i="38"/>
  <c r="M235" i="38"/>
  <c r="M236" i="38"/>
  <c r="M237" i="38"/>
  <c r="M238" i="38"/>
  <c r="BF105" i="38"/>
  <c r="BF102" i="38"/>
  <c r="BF75" i="38"/>
  <c r="BC170" i="38"/>
  <c r="BE170" i="38" s="1"/>
  <c r="BC193" i="38"/>
  <c r="BE193" i="38"/>
  <c r="BC194" i="38"/>
  <c r="BE194" i="38"/>
  <c r="BF106" i="38"/>
  <c r="BF103" i="38"/>
  <c r="BF64" i="38"/>
  <c r="BF186" i="38"/>
  <c r="BF182" i="38"/>
  <c r="AZ170" i="38"/>
  <c r="BB170" i="38" s="1"/>
  <c r="AZ193" i="38"/>
  <c r="BB193" i="38" s="1"/>
  <c r="AZ194" i="38"/>
  <c r="BF194" i="38"/>
  <c r="BF183" i="38"/>
  <c r="BF174" i="38"/>
  <c r="BF172" i="38"/>
  <c r="AW170" i="38"/>
  <c r="AY170" i="38"/>
  <c r="AW193" i="38"/>
  <c r="AY193" i="38" s="1"/>
  <c r="AW194" i="38"/>
  <c r="AY194" i="38"/>
  <c r="BF89" i="38"/>
  <c r="BF74" i="38"/>
  <c r="BF72" i="38"/>
  <c r="BF113" i="38"/>
  <c r="BF93" i="38"/>
  <c r="BF175" i="38"/>
  <c r="BF90" i="38"/>
  <c r="BF167" i="38"/>
  <c r="BF83" i="38"/>
  <c r="AT170" i="38"/>
  <c r="AV170" i="38"/>
  <c r="AT193" i="38"/>
  <c r="AV193" i="38" s="1"/>
  <c r="AT194" i="38"/>
  <c r="AV194" i="38" s="1"/>
  <c r="BF81" i="38"/>
  <c r="BF78" i="38"/>
  <c r="BF70" i="38"/>
  <c r="BF192" i="38"/>
  <c r="BF67" i="38"/>
  <c r="BF177" i="38"/>
  <c r="BF107" i="38"/>
  <c r="BF165" i="38"/>
  <c r="BF111" i="38"/>
  <c r="BF164" i="38"/>
  <c r="AQ170" i="38"/>
  <c r="AS170" i="38" s="1"/>
  <c r="AQ193" i="38"/>
  <c r="AS193" i="38" s="1"/>
  <c r="AQ194" i="38"/>
  <c r="AS194" i="38" s="1"/>
  <c r="BF189" i="38"/>
  <c r="AN170" i="38"/>
  <c r="AP170" i="38"/>
  <c r="AN193" i="38"/>
  <c r="AP193" i="38"/>
  <c r="AN194" i="38"/>
  <c r="AP194" i="38"/>
  <c r="AK170" i="38"/>
  <c r="AM170" i="38" s="1"/>
  <c r="AK193" i="38"/>
  <c r="AM193" i="38"/>
  <c r="AK194" i="38"/>
  <c r="AM194" i="38" s="1"/>
  <c r="AH170" i="38"/>
  <c r="AJ170" i="38" s="1"/>
  <c r="AH193" i="38"/>
  <c r="AH194" i="38"/>
  <c r="AJ194" i="38"/>
  <c r="AE170" i="38"/>
  <c r="AG170" i="38" s="1"/>
  <c r="AE193" i="38"/>
  <c r="AG193" i="38" s="1"/>
  <c r="AE194" i="38"/>
  <c r="AG194" i="38" s="1"/>
  <c r="AB170" i="38"/>
  <c r="AD170" i="38"/>
  <c r="AB193" i="38"/>
  <c r="AD193" i="38"/>
  <c r="AB194" i="38"/>
  <c r="AD194" i="38" s="1"/>
  <c r="Y170" i="38"/>
  <c r="AA170" i="38"/>
  <c r="Y193" i="38"/>
  <c r="AA193" i="38" s="1"/>
  <c r="Y194" i="38"/>
  <c r="AA194" i="38" s="1"/>
  <c r="V170" i="38"/>
  <c r="X170" i="38" s="1"/>
  <c r="V193" i="38"/>
  <c r="X193" i="38" s="1"/>
  <c r="V194" i="38"/>
  <c r="X194" i="38"/>
  <c r="BF185" i="38"/>
  <c r="BF168" i="38"/>
  <c r="BF157" i="38"/>
  <c r="BF155" i="38"/>
  <c r="BF195" i="38"/>
  <c r="BF153" i="38"/>
  <c r="BF108" i="38"/>
  <c r="BF191" i="38"/>
  <c r="BF178" i="38"/>
  <c r="BF179" i="38"/>
  <c r="BF98" i="38"/>
  <c r="BF184" i="38"/>
  <c r="BF176" i="38"/>
  <c r="BF171" i="38"/>
  <c r="BF190" i="38"/>
  <c r="BF187" i="38"/>
  <c r="BF162" i="38"/>
  <c r="BF188" i="38"/>
  <c r="BF193" i="38"/>
  <c r="BF166" i="38"/>
  <c r="BF161" i="38"/>
  <c r="BF180" i="38"/>
  <c r="BF181" i="38"/>
  <c r="BF158" i="38"/>
  <c r="BF156" i="38"/>
  <c r="BF160" i="38"/>
  <c r="BF154" i="38"/>
  <c r="BF159" i="38"/>
  <c r="BF173" i="38"/>
  <c r="BF163" i="38"/>
  <c r="BF109" i="38"/>
  <c r="BF73" i="38"/>
  <c r="BF68" i="38"/>
  <c r="BF65" i="38"/>
  <c r="BF170" i="38"/>
  <c r="BF169" i="38"/>
  <c r="BC139" i="38"/>
  <c r="BE139" i="38" s="1"/>
  <c r="AZ139" i="38"/>
  <c r="AW139" i="38"/>
  <c r="AY139" i="38" s="1"/>
  <c r="AT139" i="38"/>
  <c r="AV139" i="38" s="1"/>
  <c r="AQ139" i="38"/>
  <c r="AS139" i="38" s="1"/>
  <c r="AN139" i="38"/>
  <c r="AP139" i="38"/>
  <c r="AK139" i="38"/>
  <c r="AM139" i="38"/>
  <c r="AH139" i="38"/>
  <c r="AJ139" i="38" s="1"/>
  <c r="AE139" i="38"/>
  <c r="AG139" i="38"/>
  <c r="AB139" i="38"/>
  <c r="AD139" i="38" s="1"/>
  <c r="Y139" i="38"/>
  <c r="AA139" i="38" s="1"/>
  <c r="V139" i="38"/>
  <c r="X139" i="38" s="1"/>
  <c r="A171" i="35"/>
  <c r="A172" i="35" s="1"/>
  <c r="W26" i="35"/>
  <c r="W10" i="35"/>
  <c r="W1" i="35"/>
  <c r="W9" i="35"/>
  <c r="A162" i="35"/>
  <c r="A163" i="35" s="1"/>
  <c r="A164" i="35"/>
  <c r="L103" i="35"/>
  <c r="M103" i="35"/>
  <c r="L94" i="35"/>
  <c r="A89" i="35"/>
  <c r="C89" i="35" s="1"/>
  <c r="D89" i="35"/>
  <c r="E89" i="35" s="1"/>
  <c r="F89" i="35" s="1"/>
  <c r="B58" i="35" s="1"/>
  <c r="A88" i="35"/>
  <c r="C88" i="35" s="1"/>
  <c r="D88" i="35" s="1"/>
  <c r="E88" i="35" s="1"/>
  <c r="F88" i="35" s="1"/>
  <c r="B57" i="35" s="1"/>
  <c r="A87" i="35"/>
  <c r="C87" i="35"/>
  <c r="D87" i="35" s="1"/>
  <c r="E87" i="35" s="1"/>
  <c r="F87" i="35" s="1"/>
  <c r="B56" i="35" s="1"/>
  <c r="J77" i="35"/>
  <c r="J76" i="35" s="1"/>
  <c r="J75" i="35" s="1"/>
  <c r="K75" i="35" s="1"/>
  <c r="K76" i="35" s="1"/>
  <c r="K77" i="35" s="1"/>
  <c r="K78" i="35"/>
  <c r="K79" i="35" s="1"/>
  <c r="K80" i="35" s="1"/>
  <c r="K81" i="35" s="1"/>
  <c r="K82" i="35" s="1"/>
  <c r="K83" i="35" s="1"/>
  <c r="K84" i="35" s="1"/>
  <c r="K85" i="35" s="1"/>
  <c r="K86" i="35" s="1"/>
  <c r="A86" i="35"/>
  <c r="C86" i="35"/>
  <c r="D86" i="35" s="1"/>
  <c r="E86" i="35" s="1"/>
  <c r="F86" i="35" s="1"/>
  <c r="B55" i="35" s="1"/>
  <c r="A85" i="35"/>
  <c r="C85" i="35"/>
  <c r="D85" i="35" s="1"/>
  <c r="E85" i="35" s="1"/>
  <c r="F85" i="35" s="1"/>
  <c r="B54" i="35"/>
  <c r="A84" i="35"/>
  <c r="C84" i="35"/>
  <c r="D84" i="35" s="1"/>
  <c r="E84" i="35" s="1"/>
  <c r="F84" i="35" s="1"/>
  <c r="B53" i="35" s="1"/>
  <c r="W60" i="35"/>
  <c r="W59" i="35"/>
  <c r="W58" i="35"/>
  <c r="W57" i="35"/>
  <c r="W56" i="35"/>
  <c r="W55" i="35"/>
  <c r="W54" i="35"/>
  <c r="W53" i="35"/>
  <c r="W52" i="35"/>
  <c r="B52" i="35"/>
  <c r="W51" i="35"/>
  <c r="W50" i="35"/>
  <c r="D50" i="35"/>
  <c r="B50" i="35"/>
  <c r="W49" i="35"/>
  <c r="G49" i="35"/>
  <c r="D49" i="35"/>
  <c r="B49" i="35"/>
  <c r="W48" i="35"/>
  <c r="G48" i="35"/>
  <c r="D48" i="35"/>
  <c r="B48" i="35"/>
  <c r="W47" i="35"/>
  <c r="G47" i="35"/>
  <c r="D47" i="35"/>
  <c r="B47" i="35"/>
  <c r="W46" i="35"/>
  <c r="D46" i="35"/>
  <c r="B46" i="35"/>
  <c r="W45" i="35"/>
  <c r="G45" i="35"/>
  <c r="D45" i="35"/>
  <c r="B45" i="35"/>
  <c r="W44" i="35"/>
  <c r="B44" i="35"/>
  <c r="W43" i="35"/>
  <c r="W42" i="35"/>
  <c r="W41" i="35"/>
  <c r="W40" i="35"/>
  <c r="W39" i="35"/>
  <c r="W38" i="35"/>
  <c r="W37" i="35"/>
  <c r="AE36" i="35"/>
  <c r="W36" i="35"/>
  <c r="W35" i="35"/>
  <c r="W34" i="35"/>
  <c r="W33" i="35"/>
  <c r="W32" i="35"/>
  <c r="W31" i="35"/>
  <c r="W30" i="35"/>
  <c r="W29" i="35"/>
  <c r="W28" i="35"/>
  <c r="W27" i="35"/>
  <c r="W25" i="35"/>
  <c r="W24" i="35"/>
  <c r="W23" i="35"/>
  <c r="W22" i="35"/>
  <c r="C22" i="35"/>
  <c r="W21" i="35"/>
  <c r="W20" i="35"/>
  <c r="W19" i="35"/>
  <c r="W18" i="35"/>
  <c r="W17" i="35"/>
  <c r="W16" i="35"/>
  <c r="W15" i="35"/>
  <c r="W14" i="35"/>
  <c r="W13" i="35"/>
  <c r="W12" i="35"/>
  <c r="W11" i="35"/>
  <c r="W8" i="35"/>
  <c r="W7" i="35"/>
  <c r="W6" i="35"/>
  <c r="G6" i="35"/>
  <c r="W5" i="35"/>
  <c r="W4" i="35"/>
  <c r="W3" i="35"/>
  <c r="W2" i="35"/>
  <c r="N1" i="36"/>
  <c r="N12" i="36"/>
  <c r="T7" i="36" s="1"/>
  <c r="E110" i="36"/>
  <c r="E109" i="36"/>
  <c r="E108" i="36"/>
  <c r="E107" i="36"/>
  <c r="E106" i="36"/>
  <c r="E105" i="36"/>
  <c r="E104" i="36"/>
  <c r="E103" i="36"/>
  <c r="E102" i="36"/>
  <c r="E101" i="36"/>
  <c r="E100" i="36"/>
  <c r="E99" i="36"/>
  <c r="AZ48" i="36"/>
  <c r="BC48" i="36" s="1"/>
  <c r="Y44" i="36"/>
  <c r="Y43" i="36"/>
  <c r="K9" i="34"/>
  <c r="K6" i="34"/>
  <c r="K7" i="34"/>
  <c r="K8" i="34"/>
  <c r="K10" i="34"/>
  <c r="K11" i="34"/>
  <c r="K12" i="34"/>
  <c r="K13" i="34"/>
  <c r="K14" i="34"/>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43" i="34"/>
  <c r="K44" i="34"/>
  <c r="K45" i="34"/>
  <c r="K46" i="34"/>
  <c r="K47" i="34"/>
  <c r="K48" i="34"/>
  <c r="K49" i="34"/>
  <c r="K50" i="34"/>
  <c r="K51" i="34"/>
  <c r="K52" i="34"/>
  <c r="K53" i="34"/>
  <c r="K54" i="34"/>
  <c r="K55" i="34"/>
  <c r="K56" i="34"/>
  <c r="K57" i="34"/>
  <c r="K58" i="34"/>
  <c r="K59" i="34"/>
  <c r="K60" i="34"/>
  <c r="K61" i="34"/>
  <c r="K62" i="34"/>
  <c r="K63" i="34"/>
  <c r="K64" i="34"/>
  <c r="K65" i="34"/>
  <c r="K66" i="34"/>
  <c r="K67" i="34"/>
  <c r="K68" i="34"/>
  <c r="K69" i="34"/>
  <c r="K70" i="34"/>
  <c r="K71" i="34"/>
  <c r="K72" i="34"/>
  <c r="K73" i="34"/>
  <c r="K74" i="34"/>
  <c r="K75" i="34"/>
  <c r="K76" i="34"/>
  <c r="K77" i="34"/>
  <c r="K78" i="34"/>
  <c r="K79" i="34"/>
  <c r="K80" i="34"/>
  <c r="K81" i="34"/>
  <c r="K82" i="34"/>
  <c r="K83" i="34"/>
  <c r="K84" i="34"/>
  <c r="K85" i="34"/>
  <c r="K86" i="34"/>
  <c r="K87" i="34"/>
  <c r="K88" i="34"/>
  <c r="K89" i="34"/>
  <c r="K90" i="34"/>
  <c r="K91" i="34"/>
  <c r="K92" i="34"/>
  <c r="K93" i="34"/>
  <c r="K94" i="34"/>
  <c r="K95" i="34"/>
  <c r="K96" i="34"/>
  <c r="K97" i="34"/>
  <c r="K98" i="34"/>
  <c r="K99" i="34"/>
  <c r="K100" i="34"/>
  <c r="K101" i="34"/>
  <c r="K102" i="34"/>
  <c r="K103" i="34"/>
  <c r="K104" i="34"/>
  <c r="K105" i="34"/>
  <c r="K5" i="34"/>
  <c r="L48" i="34"/>
  <c r="L25" i="34"/>
  <c r="L20" i="34"/>
  <c r="L44" i="34"/>
  <c r="L45" i="34"/>
  <c r="CF4" i="24"/>
  <c r="BY5" i="24"/>
  <c r="BY15" i="24"/>
  <c r="CZ5" i="24"/>
  <c r="DH6" i="24" s="1"/>
  <c r="DA5" i="24"/>
  <c r="DB5" i="24"/>
  <c r="DC5" i="24"/>
  <c r="DB29" i="24"/>
  <c r="DD5" i="24"/>
  <c r="DE6" i="24" s="1"/>
  <c r="DE5" i="24"/>
  <c r="DF5" i="24"/>
  <c r="DG5" i="24"/>
  <c r="DH5" i="24"/>
  <c r="DI5" i="24"/>
  <c r="DH29" i="24" s="1"/>
  <c r="DH30" i="24" s="1"/>
  <c r="DJ5" i="24"/>
  <c r="DI29" i="24"/>
  <c r="DI30" i="24" s="1"/>
  <c r="DK5" i="24"/>
  <c r="DJ29" i="24" s="1"/>
  <c r="DL5" i="24"/>
  <c r="DK29" i="24" s="1"/>
  <c r="DM5" i="24"/>
  <c r="DN5" i="24"/>
  <c r="DM29" i="24" s="1"/>
  <c r="DO5" i="24"/>
  <c r="DP5" i="24"/>
  <c r="DO29" i="24" s="1"/>
  <c r="DQ5" i="24"/>
  <c r="DP29" i="24" s="1"/>
  <c r="DR5" i="24"/>
  <c r="DS5" i="24"/>
  <c r="DR29" i="24" s="1"/>
  <c r="DR30" i="24" s="1"/>
  <c r="DT5" i="24"/>
  <c r="DS29" i="24"/>
  <c r="DU5" i="24"/>
  <c r="DT29" i="24" s="1"/>
  <c r="DT30" i="24" s="1"/>
  <c r="DV5" i="24"/>
  <c r="DU29" i="24" s="1"/>
  <c r="DW5" i="24"/>
  <c r="DX5" i="24"/>
  <c r="DW29" i="24" s="1"/>
  <c r="DY5" i="24"/>
  <c r="DZ5" i="24"/>
  <c r="DY29" i="24" s="1"/>
  <c r="EA5" i="24"/>
  <c r="DZ29" i="24"/>
  <c r="EB5" i="24"/>
  <c r="EA29" i="24"/>
  <c r="EC5" i="24"/>
  <c r="ED5" i="24"/>
  <c r="EE5" i="24"/>
  <c r="EF5" i="24"/>
  <c r="EE29" i="24"/>
  <c r="EG5" i="24"/>
  <c r="EF29" i="24" s="1"/>
  <c r="EF30" i="24" s="1"/>
  <c r="EH5" i="24"/>
  <c r="EG29" i="24" s="1"/>
  <c r="EG30" i="24" s="1"/>
  <c r="EI5" i="24"/>
  <c r="EH29" i="24" s="1"/>
  <c r="EH30" i="24" s="1"/>
  <c r="EJ5" i="24"/>
  <c r="EI29" i="24"/>
  <c r="EK5" i="24"/>
  <c r="EJ29" i="24" s="1"/>
  <c r="EL5" i="24"/>
  <c r="EK29" i="24" s="1"/>
  <c r="EM5" i="24"/>
  <c r="EN5" i="24"/>
  <c r="EM29" i="24"/>
  <c r="EO5" i="24"/>
  <c r="EP5" i="24"/>
  <c r="EO29" i="24" s="1"/>
  <c r="EQ5" i="24"/>
  <c r="EP29" i="24" s="1"/>
  <c r="ER5" i="24"/>
  <c r="EQ29" i="24"/>
  <c r="EQ30" i="24" s="1"/>
  <c r="ES5" i="24"/>
  <c r="ER29" i="24" s="1"/>
  <c r="ER30" i="24" s="1"/>
  <c r="ET5" i="24"/>
  <c r="ES29" i="24" s="1"/>
  <c r="ES30" i="24" s="1"/>
  <c r="EU5" i="24"/>
  <c r="EV5" i="24"/>
  <c r="EU29" i="24"/>
  <c r="EW5" i="24"/>
  <c r="EV29" i="24" s="1"/>
  <c r="EV30" i="24" s="1"/>
  <c r="EX5" i="24"/>
  <c r="EY5" i="24"/>
  <c r="EZ5" i="24"/>
  <c r="EY29" i="24"/>
  <c r="FA5" i="24"/>
  <c r="FB5" i="24"/>
  <c r="FC5" i="24"/>
  <c r="FD5" i="24"/>
  <c r="FC29" i="24"/>
  <c r="FE5" i="24"/>
  <c r="FD29" i="24" s="1"/>
  <c r="FF5" i="24"/>
  <c r="FE29" i="24" s="1"/>
  <c r="FE30" i="24" s="1"/>
  <c r="FG5" i="24"/>
  <c r="FF29" i="24" s="1"/>
  <c r="FF30" i="24" s="1"/>
  <c r="FH5" i="24"/>
  <c r="FG29" i="24" s="1"/>
  <c r="FI5" i="24"/>
  <c r="FJ5" i="24"/>
  <c r="FI29" i="24" s="1"/>
  <c r="FI30" i="24" s="1"/>
  <c r="FK5" i="24"/>
  <c r="FL5" i="24"/>
  <c r="FK29" i="24" s="1"/>
  <c r="FM5" i="24"/>
  <c r="FN5" i="24"/>
  <c r="FO5" i="24"/>
  <c r="FN29" i="24" s="1"/>
  <c r="FP5" i="24"/>
  <c r="FO29" i="24" s="1"/>
  <c r="FQ5" i="24"/>
  <c r="FR5" i="24"/>
  <c r="FQ29" i="24" s="1"/>
  <c r="FS5" i="24"/>
  <c r="FR29" i="24" s="1"/>
  <c r="FT5" i="24"/>
  <c r="FS29" i="24" s="1"/>
  <c r="FU5" i="24"/>
  <c r="FV5" i="24"/>
  <c r="FW5" i="24"/>
  <c r="FV29" i="24" s="1"/>
  <c r="FV30" i="24" s="1"/>
  <c r="FX5" i="24"/>
  <c r="FW29" i="24" s="1"/>
  <c r="FY5" i="24"/>
  <c r="FZ5" i="24"/>
  <c r="GA5" i="24"/>
  <c r="FZ29" i="24" s="1"/>
  <c r="GB5" i="24"/>
  <c r="GA29" i="24" s="1"/>
  <c r="GC5" i="24"/>
  <c r="GD5" i="24"/>
  <c r="GC29" i="24"/>
  <c r="GE5" i="24"/>
  <c r="GF5" i="24"/>
  <c r="GE29" i="24" s="1"/>
  <c r="GG5" i="24"/>
  <c r="GH5" i="24"/>
  <c r="GG29" i="24"/>
  <c r="GI5" i="24"/>
  <c r="GH29" i="24" s="1"/>
  <c r="GJ5" i="24"/>
  <c r="GI29" i="24" s="1"/>
  <c r="GK5" i="24"/>
  <c r="GJ29" i="24" s="1"/>
  <c r="GL5" i="24"/>
  <c r="GK29" i="24"/>
  <c r="GK30" i="24" s="1"/>
  <c r="GM5" i="24"/>
  <c r="GN5" i="24"/>
  <c r="GM29" i="24"/>
  <c r="GO5" i="24"/>
  <c r="GP5" i="24"/>
  <c r="GO29" i="24"/>
  <c r="GO30" i="24" s="1"/>
  <c r="GQ5" i="24"/>
  <c r="GR5" i="24"/>
  <c r="GQ29" i="24"/>
  <c r="GS5" i="24"/>
  <c r="GR29" i="24" s="1"/>
  <c r="GR30" i="24" s="1"/>
  <c r="GT5" i="24"/>
  <c r="GS29" i="24" s="1"/>
  <c r="GS30" i="24" s="1"/>
  <c r="GU5" i="24"/>
  <c r="GV5" i="24"/>
  <c r="GU29" i="24" s="1"/>
  <c r="GW5" i="24"/>
  <c r="GV29" i="24" s="1"/>
  <c r="GX5" i="24"/>
  <c r="GW29" i="24" s="1"/>
  <c r="GW30" i="24" s="1"/>
  <c r="GY5" i="24"/>
  <c r="GZ5" i="24"/>
  <c r="GY29" i="24" s="1"/>
  <c r="GY30" i="24" s="1"/>
  <c r="HA5" i="24"/>
  <c r="HB5" i="24"/>
  <c r="HA29" i="24" s="1"/>
  <c r="HC5" i="24"/>
  <c r="HD5" i="24"/>
  <c r="HC29" i="24"/>
  <c r="HC30" i="24" s="1"/>
  <c r="HE5" i="24"/>
  <c r="HD29" i="24" s="1"/>
  <c r="HF5" i="24"/>
  <c r="HE29" i="24"/>
  <c r="HG5" i="24"/>
  <c r="HF29" i="24" s="1"/>
  <c r="HF30" i="24" s="1"/>
  <c r="HH5" i="24"/>
  <c r="HG29" i="24" s="1"/>
  <c r="HI5" i="24"/>
  <c r="HJ5" i="24"/>
  <c r="HI29" i="24"/>
  <c r="HI30" i="24" s="1"/>
  <c r="HK5" i="24"/>
  <c r="HL5" i="24"/>
  <c r="HK29" i="24" s="1"/>
  <c r="HK30" i="24" s="1"/>
  <c r="HM5" i="24"/>
  <c r="HN5" i="24"/>
  <c r="HM29" i="24"/>
  <c r="HO5" i="24"/>
  <c r="HN29" i="24" s="1"/>
  <c r="HN30" i="24" s="1"/>
  <c r="HP5" i="24"/>
  <c r="HO29" i="24" s="1"/>
  <c r="HQ5" i="24"/>
  <c r="HP29" i="24" s="1"/>
  <c r="HR5" i="24"/>
  <c r="HQ29" i="24"/>
  <c r="HQ30" i="24" s="1"/>
  <c r="HS5" i="24"/>
  <c r="HR29" i="24" s="1"/>
  <c r="HR30" i="24" s="1"/>
  <c r="HT5" i="24"/>
  <c r="HS29" i="24"/>
  <c r="HU5" i="24"/>
  <c r="HT29" i="24" s="1"/>
  <c r="HV5" i="24"/>
  <c r="HU29" i="24" s="1"/>
  <c r="HW5" i="24"/>
  <c r="HX5" i="24"/>
  <c r="HW29" i="24"/>
  <c r="HY5" i="24"/>
  <c r="HZ5" i="24"/>
  <c r="HY29" i="24"/>
  <c r="HY30" i="24" s="1"/>
  <c r="IA5" i="24"/>
  <c r="IB5" i="24"/>
  <c r="IA29" i="24" s="1"/>
  <c r="IC5" i="24"/>
  <c r="IB29" i="24" s="1"/>
  <c r="ID5" i="24"/>
  <c r="IC29" i="24" s="1"/>
  <c r="IE5" i="24"/>
  <c r="IF5" i="24"/>
  <c r="IE29" i="24" s="1"/>
  <c r="IE30" i="24" s="1"/>
  <c r="IG5" i="24"/>
  <c r="IF29" i="24" s="1"/>
  <c r="IF30" i="24" s="1"/>
  <c r="IH5" i="24"/>
  <c r="IG29" i="24" s="1"/>
  <c r="II5" i="24"/>
  <c r="IJ5" i="24"/>
  <c r="II29" i="24"/>
  <c r="II30" i="24" s="1"/>
  <c r="IK5" i="24"/>
  <c r="B19" i="24"/>
  <c r="B20" i="24" s="1"/>
  <c r="CF23" i="24"/>
  <c r="CS23" i="24"/>
  <c r="CZ28" i="24"/>
  <c r="CZ30" i="24" s="1"/>
  <c r="DA28" i="24"/>
  <c r="DB28" i="24"/>
  <c r="DB30" i="24" s="1"/>
  <c r="DC28" i="24"/>
  <c r="DD28" i="24"/>
  <c r="DE28" i="24"/>
  <c r="DF28" i="24"/>
  <c r="DG28" i="24"/>
  <c r="DH28" i="24"/>
  <c r="DI28" i="24"/>
  <c r="DJ28" i="24"/>
  <c r="DK28" i="24"/>
  <c r="DK30" i="24" s="1"/>
  <c r="DL28" i="24"/>
  <c r="DL30" i="24" s="1"/>
  <c r="DM28" i="24"/>
  <c r="DN28" i="24"/>
  <c r="DN30" i="24" s="1"/>
  <c r="DO28" i="24"/>
  <c r="DO30" i="24" s="1"/>
  <c r="DP28" i="24"/>
  <c r="DP30" i="24" s="1"/>
  <c r="DQ28" i="24"/>
  <c r="DR28" i="24"/>
  <c r="DS28" i="24"/>
  <c r="DT28" i="24"/>
  <c r="DU28" i="24"/>
  <c r="DV28" i="24"/>
  <c r="DW28" i="24"/>
  <c r="DW30" i="24" s="1"/>
  <c r="DX28" i="24"/>
  <c r="DX30" i="24" s="1"/>
  <c r="DY28" i="24"/>
  <c r="DY30" i="24" s="1"/>
  <c r="DZ28" i="24"/>
  <c r="DZ30" i="24" s="1"/>
  <c r="EA28" i="24"/>
  <c r="EA30" i="24" s="1"/>
  <c r="EB28" i="24"/>
  <c r="EB30" i="24"/>
  <c r="EC28" i="24"/>
  <c r="EC30" i="24" s="1"/>
  <c r="ED28" i="24"/>
  <c r="EE28" i="24"/>
  <c r="EE30" i="24"/>
  <c r="EF28" i="24"/>
  <c r="EG28" i="24"/>
  <c r="EH28" i="24"/>
  <c r="EI28" i="24"/>
  <c r="EJ28" i="24"/>
  <c r="EK28" i="24"/>
  <c r="EK30" i="24" s="1"/>
  <c r="EL28" i="24"/>
  <c r="EM28" i="24"/>
  <c r="EM30" i="24"/>
  <c r="EN28" i="24"/>
  <c r="EN30" i="24" s="1"/>
  <c r="EO28" i="24"/>
  <c r="EO30" i="24" s="1"/>
  <c r="EP28" i="24"/>
  <c r="EP30" i="24" s="1"/>
  <c r="EQ28" i="24"/>
  <c r="ER28" i="24"/>
  <c r="ES28" i="24"/>
  <c r="ET28" i="24"/>
  <c r="ET30" i="24" s="1"/>
  <c r="EU28" i="24"/>
  <c r="EV28" i="24"/>
  <c r="EW28" i="24"/>
  <c r="EX28" i="24"/>
  <c r="EY28" i="24"/>
  <c r="EY30" i="24" s="1"/>
  <c r="EZ28" i="24"/>
  <c r="EZ30" i="24" s="1"/>
  <c r="FA28" i="24"/>
  <c r="FA30" i="24" s="1"/>
  <c r="FB28" i="24"/>
  <c r="FB30" i="24" s="1"/>
  <c r="FC28" i="24"/>
  <c r="FC30" i="24" s="1"/>
  <c r="FD28" i="24"/>
  <c r="FE28" i="24"/>
  <c r="FF28" i="24"/>
  <c r="FG28" i="24"/>
  <c r="FH28" i="24"/>
  <c r="FI28" i="24"/>
  <c r="FJ28" i="24"/>
  <c r="FJ30" i="24" s="1"/>
  <c r="FK28" i="24"/>
  <c r="FL28" i="24"/>
  <c r="FM28" i="24"/>
  <c r="FM30" i="24" s="1"/>
  <c r="FN28" i="24"/>
  <c r="FO28" i="24"/>
  <c r="FP28" i="24"/>
  <c r="FP30" i="24" s="1"/>
  <c r="FQ28" i="24"/>
  <c r="FR28" i="24"/>
  <c r="FS28" i="24"/>
  <c r="FS30" i="24" s="1"/>
  <c r="FT28" i="24"/>
  <c r="FT30" i="24" s="1"/>
  <c r="FU28" i="24"/>
  <c r="FV28" i="24"/>
  <c r="FW28" i="24"/>
  <c r="FW30" i="24" s="1"/>
  <c r="FX28" i="24"/>
  <c r="FY28" i="24"/>
  <c r="FZ28" i="24"/>
  <c r="GA28" i="24"/>
  <c r="GB28" i="24"/>
  <c r="GB30" i="24" s="1"/>
  <c r="GC28" i="24"/>
  <c r="GC30" i="24" s="1"/>
  <c r="GD28" i="24"/>
  <c r="GE28" i="24"/>
  <c r="GE30" i="24"/>
  <c r="GF28" i="24"/>
  <c r="GG28" i="24"/>
  <c r="GH28" i="24"/>
  <c r="GH30" i="24" s="1"/>
  <c r="GI28" i="24"/>
  <c r="GI30" i="24" s="1"/>
  <c r="GJ28" i="24"/>
  <c r="GJ30" i="24" s="1"/>
  <c r="GK28" i="24"/>
  <c r="GL28" i="24"/>
  <c r="GM28" i="24"/>
  <c r="GM30" i="24"/>
  <c r="GN28" i="24"/>
  <c r="GN30" i="24" s="1"/>
  <c r="GO28" i="24"/>
  <c r="GP28" i="24"/>
  <c r="GQ28" i="24"/>
  <c r="GQ30" i="24" s="1"/>
  <c r="GR28" i="24"/>
  <c r="GS28" i="24"/>
  <c r="GT28" i="24"/>
  <c r="GU28" i="24"/>
  <c r="GU30" i="24" s="1"/>
  <c r="GV28" i="24"/>
  <c r="GW28" i="24"/>
  <c r="GX28" i="24"/>
  <c r="GY28" i="24"/>
  <c r="GZ28" i="24"/>
  <c r="GZ30" i="24" s="1"/>
  <c r="HA28" i="24"/>
  <c r="HA30" i="24"/>
  <c r="HB28" i="24"/>
  <c r="HC28" i="24"/>
  <c r="HD28" i="24"/>
  <c r="HD30" i="24" s="1"/>
  <c r="HE28" i="24"/>
  <c r="HE30" i="24" s="1"/>
  <c r="HF28" i="24"/>
  <c r="HG28" i="24"/>
  <c r="HH28" i="24"/>
  <c r="HI28" i="24"/>
  <c r="HJ28" i="24"/>
  <c r="HK28" i="24"/>
  <c r="HL28" i="24"/>
  <c r="HL30" i="24" s="1"/>
  <c r="HM28" i="24"/>
  <c r="HN28" i="24"/>
  <c r="HO28" i="24"/>
  <c r="HO30" i="24"/>
  <c r="HP28" i="24"/>
  <c r="HP30" i="24" s="1"/>
  <c r="HQ28" i="24"/>
  <c r="HR28" i="24"/>
  <c r="HS28" i="24"/>
  <c r="HS30" i="24"/>
  <c r="HT28" i="24"/>
  <c r="HU28" i="24"/>
  <c r="HV28" i="24"/>
  <c r="HW28" i="24"/>
  <c r="HW30" i="24" s="1"/>
  <c r="HX28" i="24"/>
  <c r="HY28" i="24"/>
  <c r="HZ28" i="24"/>
  <c r="HZ30" i="24" s="1"/>
  <c r="IA28" i="24"/>
  <c r="IA30" i="24" s="1"/>
  <c r="IB28" i="24"/>
  <c r="IC28" i="24"/>
  <c r="IC30" i="24"/>
  <c r="ID28" i="24"/>
  <c r="IE28" i="24"/>
  <c r="IF28" i="24"/>
  <c r="IG28" i="24"/>
  <c r="IH28" i="24"/>
  <c r="II28" i="24"/>
  <c r="IJ28" i="24"/>
  <c r="CZ29" i="24"/>
  <c r="DA29" i="24"/>
  <c r="DA30" i="24"/>
  <c r="DD29" i="24"/>
  <c r="DE29" i="24"/>
  <c r="DE30" i="24" s="1"/>
  <c r="DF29" i="24"/>
  <c r="DF30" i="24"/>
  <c r="DG29" i="24"/>
  <c r="DG30" i="24" s="1"/>
  <c r="DL29" i="24"/>
  <c r="DN29" i="24"/>
  <c r="DQ29" i="24"/>
  <c r="DS30" i="24"/>
  <c r="DX29" i="24"/>
  <c r="EB29" i="24"/>
  <c r="EC29" i="24"/>
  <c r="ED29" i="24"/>
  <c r="ED30" i="24" s="1"/>
  <c r="EI30" i="24"/>
  <c r="EL29" i="24"/>
  <c r="EN29" i="24"/>
  <c r="ET29" i="24"/>
  <c r="EU30" i="24"/>
  <c r="EW29" i="24"/>
  <c r="EW30" i="24"/>
  <c r="EX29" i="24"/>
  <c r="EZ29" i="24"/>
  <c r="FA29" i="24"/>
  <c r="FB29" i="24"/>
  <c r="FD30" i="24"/>
  <c r="FG30" i="24"/>
  <c r="FH29" i="24"/>
  <c r="FJ29" i="24"/>
  <c r="FK30" i="24"/>
  <c r="FL29" i="24"/>
  <c r="FM29" i="24"/>
  <c r="FP29" i="24"/>
  <c r="FT29" i="24"/>
  <c r="FU29" i="24"/>
  <c r="FU30" i="24"/>
  <c r="FX29" i="24"/>
  <c r="FX30" i="24" s="1"/>
  <c r="FY29" i="24"/>
  <c r="FY30" i="24" s="1"/>
  <c r="GB29" i="24"/>
  <c r="GD29" i="24"/>
  <c r="GF29" i="24"/>
  <c r="GL29" i="24"/>
  <c r="GL30" i="24" s="1"/>
  <c r="GN29" i="24"/>
  <c r="GP29" i="24"/>
  <c r="GP30" i="24" s="1"/>
  <c r="GT29" i="24"/>
  <c r="GX29" i="24"/>
  <c r="GZ29" i="24"/>
  <c r="HB29" i="24"/>
  <c r="HB30" i="24" s="1"/>
  <c r="HH29" i="24"/>
  <c r="HH30" i="24"/>
  <c r="HJ29" i="24"/>
  <c r="HL29" i="24"/>
  <c r="HT30" i="24"/>
  <c r="HV29" i="24"/>
  <c r="HX29" i="24"/>
  <c r="HX30" i="24" s="1"/>
  <c r="HZ29" i="24"/>
  <c r="ID29" i="24"/>
  <c r="IH29" i="24"/>
  <c r="IH30" i="24" s="1"/>
  <c r="IJ29" i="24"/>
  <c r="IJ30" i="24"/>
  <c r="FN30" i="24"/>
  <c r="FR30" i="24"/>
  <c r="FZ30" i="24"/>
  <c r="GT30" i="24"/>
  <c r="GX30" i="24"/>
  <c r="HV30" i="24"/>
  <c r="CF43" i="24"/>
  <c r="BW44" i="24"/>
  <c r="BY44" i="24"/>
  <c r="BY45" i="24"/>
  <c r="CO47" i="24" s="1"/>
  <c r="CF67" i="24"/>
  <c r="BY46" i="24"/>
  <c r="CL47" i="24" s="1"/>
  <c r="BY47" i="24"/>
  <c r="CK47" i="24"/>
  <c r="BY48" i="24"/>
  <c r="CL48" i="24"/>
  <c r="BY54" i="24"/>
  <c r="CF62" i="24"/>
  <c r="CS62" i="24"/>
  <c r="CF82" i="24"/>
  <c r="BY83" i="24"/>
  <c r="BY84" i="24"/>
  <c r="BY85" i="24"/>
  <c r="CN87" i="24" s="1"/>
  <c r="CN86" i="24" s="1"/>
  <c r="BY86" i="24"/>
  <c r="BY89" i="24"/>
  <c r="BY94" i="24"/>
  <c r="CA94" i="24" s="1"/>
  <c r="CF101" i="24"/>
  <c r="CS101" i="24"/>
  <c r="CF107" i="24"/>
  <c r="CG107" i="24" s="1"/>
  <c r="A1" i="1"/>
  <c r="S1" i="12"/>
  <c r="AP2" i="8"/>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L5" i="34"/>
  <c r="L6" i="34"/>
  <c r="E5" i="8" s="1"/>
  <c r="B5" i="24" s="1"/>
  <c r="L7" i="34"/>
  <c r="L8" i="34"/>
  <c r="L9" i="34"/>
  <c r="L11" i="34"/>
  <c r="L12" i="34"/>
  <c r="L13" i="34"/>
  <c r="L14" i="34"/>
  <c r="L15" i="34"/>
  <c r="L16" i="34"/>
  <c r="L17" i="34"/>
  <c r="L18" i="34"/>
  <c r="L19" i="34"/>
  <c r="L21" i="34"/>
  <c r="L22" i="34"/>
  <c r="L23" i="34"/>
  <c r="L24" i="34"/>
  <c r="L26" i="34"/>
  <c r="L27" i="34"/>
  <c r="L28" i="34"/>
  <c r="L29" i="34"/>
  <c r="L30" i="34"/>
  <c r="L31" i="34"/>
  <c r="L32" i="34"/>
  <c r="L33" i="34"/>
  <c r="L34" i="34"/>
  <c r="L35" i="34"/>
  <c r="L36" i="34"/>
  <c r="L37" i="34"/>
  <c r="L38" i="34"/>
  <c r="L39" i="34"/>
  <c r="L40" i="34"/>
  <c r="L41" i="34"/>
  <c r="L42" i="34"/>
  <c r="L43" i="34"/>
  <c r="L46" i="34"/>
  <c r="L47" i="34"/>
  <c r="L49" i="34"/>
  <c r="L50" i="34"/>
  <c r="L51" i="34"/>
  <c r="L52" i="34"/>
  <c r="L53" i="34"/>
  <c r="L54" i="34"/>
  <c r="L55" i="34"/>
  <c r="L56" i="34"/>
  <c r="L57" i="34"/>
  <c r="L58" i="34"/>
  <c r="L59" i="34"/>
  <c r="L60" i="34"/>
  <c r="L61" i="34"/>
  <c r="L62" i="34"/>
  <c r="L63" i="34"/>
  <c r="L64" i="34"/>
  <c r="L65" i="34"/>
  <c r="L66" i="34"/>
  <c r="L67" i="34"/>
  <c r="L68" i="34"/>
  <c r="L69" i="34"/>
  <c r="L70" i="34"/>
  <c r="L71" i="34"/>
  <c r="L72" i="34"/>
  <c r="L73" i="34"/>
  <c r="L74" i="34"/>
  <c r="L75" i="34"/>
  <c r="L76" i="34"/>
  <c r="L77" i="34"/>
  <c r="L78" i="34"/>
  <c r="L79" i="34"/>
  <c r="L80" i="34"/>
  <c r="L81" i="34"/>
  <c r="L82" i="34"/>
  <c r="L83" i="34"/>
  <c r="L84" i="34"/>
  <c r="L85" i="34"/>
  <c r="L86" i="34"/>
  <c r="L87" i="34"/>
  <c r="L88" i="34"/>
  <c r="L89" i="34"/>
  <c r="L90" i="34"/>
  <c r="L91" i="34"/>
  <c r="L92" i="34"/>
  <c r="L93" i="34"/>
  <c r="L94" i="34"/>
  <c r="L95" i="34"/>
  <c r="L96" i="34"/>
  <c r="L97" i="34"/>
  <c r="L98" i="34"/>
  <c r="L99" i="34"/>
  <c r="L100" i="34"/>
  <c r="L101" i="34"/>
  <c r="L102" i="34"/>
  <c r="L103" i="34"/>
  <c r="L104" i="34"/>
  <c r="L105" i="34"/>
  <c r="L1001" i="34"/>
  <c r="L1002" i="34"/>
  <c r="L1003" i="34"/>
  <c r="L1004" i="34"/>
  <c r="CK46" i="24"/>
  <c r="CH70" i="24"/>
  <c r="DI6" i="24"/>
  <c r="DB6" i="24"/>
  <c r="DL6" i="24"/>
  <c r="DN6" i="24"/>
  <c r="DP6" i="24"/>
  <c r="DR6" i="24"/>
  <c r="HW6" i="24"/>
  <c r="HC6" i="24"/>
  <c r="GA6" i="24"/>
  <c r="CK86" i="24"/>
  <c r="R103" i="35"/>
  <c r="CI70" i="24"/>
  <c r="CH69" i="24"/>
  <c r="AP194" i="37"/>
  <c r="M104" i="35"/>
  <c r="N103" i="35"/>
  <c r="O103" i="35" s="1"/>
  <c r="FH30" i="24"/>
  <c r="DK6" i="24"/>
  <c r="AU48" i="36"/>
  <c r="Q63" i="38"/>
  <c r="Q62" i="38"/>
  <c r="G15" i="24" l="1"/>
  <c r="G18" i="24" s="1"/>
  <c r="BY10" i="24" s="1"/>
  <c r="BY20" i="24" s="1"/>
  <c r="CA20" i="24" s="1"/>
  <c r="BZ9" i="24"/>
  <c r="B38" i="24"/>
  <c r="BY7" i="24"/>
  <c r="CN9" i="24" s="1"/>
  <c r="CN8" i="24" s="1"/>
  <c r="BY6" i="24"/>
  <c r="O16" i="35"/>
  <c r="B22" i="24"/>
  <c r="B21" i="24"/>
  <c r="B23" i="24" s="1"/>
  <c r="B24" i="24" s="1"/>
  <c r="E97" i="35"/>
  <c r="AM139" i="37"/>
  <c r="B34" i="35"/>
  <c r="A173" i="35"/>
  <c r="A174" i="35" s="1"/>
  <c r="AM170" i="37"/>
  <c r="R70" i="38"/>
  <c r="R71" i="38"/>
  <c r="R68" i="38"/>
  <c r="R72" i="38"/>
  <c r="R64" i="38"/>
  <c r="R69" i="38"/>
  <c r="BB139" i="38"/>
  <c r="CG67" i="24"/>
  <c r="CF65" i="24" s="1"/>
  <c r="BY56" i="24" s="1"/>
  <c r="DV29" i="24"/>
  <c r="DV30" i="24" s="1"/>
  <c r="GT6" i="24"/>
  <c r="ED6" i="24"/>
  <c r="EU6" i="24"/>
  <c r="FP6" i="24"/>
  <c r="FJ6" i="24"/>
  <c r="FR6" i="24"/>
  <c r="IE6" i="24"/>
  <c r="IA6" i="24"/>
  <c r="HG6" i="24"/>
  <c r="DW6" i="24"/>
  <c r="R65" i="38"/>
  <c r="R67" i="38"/>
  <c r="R66" i="38"/>
  <c r="BY55" i="24"/>
  <c r="CA55" i="24" s="1"/>
  <c r="R62" i="37"/>
  <c r="Q63" i="37" s="1"/>
  <c r="Q62" i="37"/>
  <c r="IB30" i="24"/>
  <c r="P103" i="35"/>
  <c r="Q103" i="35" s="1"/>
  <c r="GV6" i="24"/>
  <c r="CM48" i="24"/>
  <c r="CL49" i="24"/>
  <c r="AX48" i="36"/>
  <c r="IJ6" i="24"/>
  <c r="EO6" i="24"/>
  <c r="HD6" i="24"/>
  <c r="DU30" i="24"/>
  <c r="FE6" i="24"/>
  <c r="DC29" i="24"/>
  <c r="DC30" i="24" s="1"/>
  <c r="EL6" i="24"/>
  <c r="GB6" i="24"/>
  <c r="HV6" i="24"/>
  <c r="GQ6" i="24"/>
  <c r="IC6" i="24"/>
  <c r="HZ6" i="24"/>
  <c r="GE6" i="24"/>
  <c r="EV6" i="24"/>
  <c r="GP6" i="24"/>
  <c r="ID6" i="24"/>
  <c r="FW6" i="24"/>
  <c r="DD6" i="24"/>
  <c r="HY6" i="24"/>
  <c r="DJ6" i="24"/>
  <c r="EX6" i="24"/>
  <c r="GR6" i="24"/>
  <c r="IH6" i="24"/>
  <c r="FS6" i="24"/>
  <c r="DM6" i="24"/>
  <c r="HA6" i="24"/>
  <c r="EH6" i="24"/>
  <c r="FX6" i="24"/>
  <c r="HL6" i="24"/>
  <c r="GY6" i="24"/>
  <c r="DS6" i="24"/>
  <c r="HM6" i="24"/>
  <c r="EJ6" i="24"/>
  <c r="FZ6" i="24"/>
  <c r="HN6" i="24"/>
  <c r="GU6" i="24"/>
  <c r="DO6" i="24"/>
  <c r="HU6" i="24"/>
  <c r="EF6" i="24"/>
  <c r="HF6" i="24"/>
  <c r="EQ6" i="24"/>
  <c r="FY6" i="24"/>
  <c r="ET6" i="24"/>
  <c r="HH6" i="24"/>
  <c r="EM6" i="24"/>
  <c r="GG6" i="24"/>
  <c r="GS6" i="24"/>
  <c r="EZ6" i="24"/>
  <c r="HJ6" i="24"/>
  <c r="EI6" i="24"/>
  <c r="GO6" i="24"/>
  <c r="FB6" i="24"/>
  <c r="IB6" i="24"/>
  <c r="EE6" i="24"/>
  <c r="GW6" i="24"/>
  <c r="FL6" i="24"/>
  <c r="GK6" i="24"/>
  <c r="FN6" i="24"/>
  <c r="II6" i="24"/>
  <c r="FU6" i="24"/>
  <c r="DT6" i="24"/>
  <c r="GX6" i="24"/>
  <c r="FO6" i="24"/>
  <c r="EC6" i="24"/>
  <c r="DV6" i="24"/>
  <c r="HB6" i="24"/>
  <c r="FK6" i="24"/>
  <c r="EK6" i="24"/>
  <c r="FQ6" i="24"/>
  <c r="GH6" i="24"/>
  <c r="DU6" i="24"/>
  <c r="FV6" i="24"/>
  <c r="ID30" i="24"/>
  <c r="DM30" i="24"/>
  <c r="CF87" i="24"/>
  <c r="CG87" i="24" s="1"/>
  <c r="CF89" i="24" s="1"/>
  <c r="CH109" i="24"/>
  <c r="CK85" i="24"/>
  <c r="CL87" i="24"/>
  <c r="CN47" i="24"/>
  <c r="CF48" i="24" s="1"/>
  <c r="CG48" i="24" s="1"/>
  <c r="CF50" i="24" s="1"/>
  <c r="CN48" i="24"/>
  <c r="CF68" i="24"/>
  <c r="CG68" i="24" s="1"/>
  <c r="GV30" i="24"/>
  <c r="R104" i="35"/>
  <c r="N104" i="35"/>
  <c r="O104" i="35" s="1"/>
  <c r="M105" i="35"/>
  <c r="HU30" i="24"/>
  <c r="GG30" i="24"/>
  <c r="CL86" i="24"/>
  <c r="BY96" i="24"/>
  <c r="HG30" i="24"/>
  <c r="GF30" i="24"/>
  <c r="FQ30" i="24"/>
  <c r="EL30" i="24"/>
  <c r="CO86" i="24"/>
  <c r="CF106" i="24"/>
  <c r="IG30" i="24"/>
  <c r="DQ30" i="24"/>
  <c r="DD30" i="24"/>
  <c r="BY8" i="24"/>
  <c r="BY9" i="24"/>
  <c r="GD30" i="24"/>
  <c r="FO30" i="24"/>
  <c r="DJ30" i="24"/>
  <c r="HM30" i="24"/>
  <c r="EX30" i="24"/>
  <c r="EJ30" i="24"/>
  <c r="HI6" i="24"/>
  <c r="GF6" i="24"/>
  <c r="ER6" i="24"/>
  <c r="FL30" i="24"/>
  <c r="EG6" i="24"/>
  <c r="DA6" i="24"/>
  <c r="GI6" i="24"/>
  <c r="HX6" i="24"/>
  <c r="GD6" i="24"/>
  <c r="EP6" i="24"/>
  <c r="GA30" i="24"/>
  <c r="HJ30" i="24"/>
  <c r="DF6" i="24"/>
  <c r="EN6" i="24"/>
  <c r="FT6" i="24"/>
  <c r="GZ6" i="24"/>
  <c r="IF6" i="24"/>
  <c r="GM6" i="24"/>
  <c r="EA6" i="24"/>
  <c r="HE6" i="24"/>
  <c r="DY6" i="24"/>
  <c r="CZ6" i="24"/>
  <c r="DG6" i="24"/>
  <c r="DQ6" i="24"/>
  <c r="EW6" i="24"/>
  <c r="DX6" i="24"/>
  <c r="FD6" i="24"/>
  <c r="GJ6" i="24"/>
  <c r="HP6" i="24"/>
  <c r="HS6" i="24"/>
  <c r="FG6" i="24"/>
  <c r="ES6" i="24"/>
  <c r="FM6" i="24"/>
  <c r="DC6" i="24"/>
  <c r="DZ6" i="24"/>
  <c r="FF6" i="24"/>
  <c r="GL6" i="24"/>
  <c r="HR6" i="24"/>
  <c r="HO6" i="24"/>
  <c r="FC6" i="24"/>
  <c r="FA6" i="24"/>
  <c r="IG6" i="24"/>
  <c r="GC6" i="24"/>
  <c r="EB6" i="24"/>
  <c r="FH6" i="24"/>
  <c r="GN6" i="24"/>
  <c r="HT6" i="24"/>
  <c r="HK6" i="24"/>
  <c r="EY6" i="24"/>
  <c r="FI6" i="24"/>
  <c r="HQ6" i="24"/>
  <c r="U7" i="36"/>
  <c r="W7" i="36" s="1"/>
  <c r="U3" i="36" s="1"/>
  <c r="V7" i="36"/>
  <c r="T3" i="36" s="1"/>
  <c r="CF29" i="24" l="1"/>
  <c r="A23" i="24"/>
  <c r="O17" i="35"/>
  <c r="O18" i="35"/>
  <c r="O19" i="35" s="1"/>
  <c r="M16" i="35"/>
  <c r="CO8" i="24"/>
  <c r="CF28" i="24"/>
  <c r="B25" i="24"/>
  <c r="B26" i="24" s="1"/>
  <c r="CG53" i="24"/>
  <c r="CF56" i="24"/>
  <c r="CF53" i="24"/>
  <c r="CI53" i="24"/>
  <c r="CF57" i="24"/>
  <c r="CG56" i="24"/>
  <c r="CH50" i="24"/>
  <c r="CI50" i="24" s="1"/>
  <c r="CJ50" i="24" s="1"/>
  <c r="CK50" i="24" s="1"/>
  <c r="CG52" i="24" s="1"/>
  <c r="R71" i="37"/>
  <c r="R69" i="37"/>
  <c r="R70" i="37"/>
  <c r="R72" i="37"/>
  <c r="R64" i="37"/>
  <c r="R68" i="37"/>
  <c r="V133" i="38"/>
  <c r="AW133" i="38"/>
  <c r="AN133" i="38"/>
  <c r="AQ133" i="38"/>
  <c r="AE133" i="38"/>
  <c r="Y133" i="38"/>
  <c r="AB133" i="38"/>
  <c r="AH133" i="38"/>
  <c r="AT133" i="38"/>
  <c r="BC133" i="38"/>
  <c r="AZ133" i="38"/>
  <c r="AK133" i="38"/>
  <c r="V135" i="38"/>
  <c r="AK135" i="38"/>
  <c r="AT135" i="38"/>
  <c r="BC135" i="38"/>
  <c r="AN135" i="38"/>
  <c r="Y135" i="38"/>
  <c r="AH135" i="38"/>
  <c r="AE135" i="38"/>
  <c r="AB135" i="38"/>
  <c r="AZ135" i="38"/>
  <c r="AQ135" i="38"/>
  <c r="AW135" i="38"/>
  <c r="AW138" i="38"/>
  <c r="V138" i="38"/>
  <c r="AK138" i="38"/>
  <c r="AT138" i="38"/>
  <c r="BC138" i="38"/>
  <c r="AN138" i="38"/>
  <c r="AQ138" i="38"/>
  <c r="Y138" i="38"/>
  <c r="AH138" i="38"/>
  <c r="AE138" i="38"/>
  <c r="AZ138" i="38"/>
  <c r="AB138" i="38"/>
  <c r="AW137" i="38"/>
  <c r="Y137" i="38"/>
  <c r="V137" i="38"/>
  <c r="AH137" i="38"/>
  <c r="AZ137" i="38"/>
  <c r="AQ137" i="38"/>
  <c r="AE137" i="38"/>
  <c r="AB137" i="38"/>
  <c r="AN137" i="38"/>
  <c r="AK137" i="38"/>
  <c r="BC137" i="38"/>
  <c r="AT137" i="38"/>
  <c r="N105" i="35"/>
  <c r="O105" i="35" s="1"/>
  <c r="R105" i="35"/>
  <c r="M106" i="35"/>
  <c r="B12" i="24"/>
  <c r="B3" i="24"/>
  <c r="B6" i="24" s="1"/>
  <c r="S8" i="24" s="1"/>
  <c r="CK8" i="24"/>
  <c r="CK7" i="24"/>
  <c r="CL9" i="24"/>
  <c r="W6" i="24"/>
  <c r="X6" i="24" s="1"/>
  <c r="CH31" i="24"/>
  <c r="AH4" i="24"/>
  <c r="AB4" i="24" s="1"/>
  <c r="W5" i="24"/>
  <c r="X5" i="24" s="1"/>
  <c r="W7" i="24"/>
  <c r="X7" i="24" s="1"/>
  <c r="AH5" i="24"/>
  <c r="AB5" i="24" s="1"/>
  <c r="W4" i="24"/>
  <c r="X4" i="24" s="1"/>
  <c r="P104" i="35"/>
  <c r="Q104" i="35" s="1"/>
  <c r="E100" i="35"/>
  <c r="AZ130" i="38"/>
  <c r="AW130" i="38"/>
  <c r="AN130" i="38"/>
  <c r="AT130" i="38"/>
  <c r="BC130" i="38"/>
  <c r="AQ130" i="38"/>
  <c r="AH130" i="38"/>
  <c r="AK130" i="38"/>
  <c r="AE130" i="38"/>
  <c r="AB130" i="38"/>
  <c r="Y130" i="38"/>
  <c r="V130" i="38"/>
  <c r="R67" i="37"/>
  <c r="R65" i="37"/>
  <c r="R66" i="37"/>
  <c r="B4" i="24"/>
  <c r="T9" i="24"/>
  <c r="BY16" i="24"/>
  <c r="CA16" i="24" s="1"/>
  <c r="E91" i="36"/>
  <c r="N13" i="36"/>
  <c r="H87" i="36"/>
  <c r="I119" i="36"/>
  <c r="I123" i="36" s="1"/>
  <c r="H119" i="36"/>
  <c r="H123" i="36" s="1"/>
  <c r="J119" i="36"/>
  <c r="J123" i="36" s="1"/>
  <c r="AK131" i="38"/>
  <c r="Y131" i="38"/>
  <c r="V131" i="38"/>
  <c r="AW131" i="38"/>
  <c r="AN131" i="38"/>
  <c r="AT131" i="38"/>
  <c r="AE131" i="38"/>
  <c r="AH131" i="38"/>
  <c r="AB131" i="38"/>
  <c r="BC131" i="38"/>
  <c r="AQ131" i="38"/>
  <c r="AZ131" i="38"/>
  <c r="AQ134" i="38"/>
  <c r="AT134" i="38"/>
  <c r="Y134" i="38"/>
  <c r="V134" i="38"/>
  <c r="AB134" i="38"/>
  <c r="AW134" i="38"/>
  <c r="AN134" i="38"/>
  <c r="AK134" i="38"/>
  <c r="AZ134" i="38"/>
  <c r="AH134" i="38"/>
  <c r="BC134" i="38"/>
  <c r="AE134" i="38"/>
  <c r="AZ136" i="38"/>
  <c r="AQ136" i="38"/>
  <c r="AN136" i="38"/>
  <c r="AK136" i="38"/>
  <c r="BC136" i="38"/>
  <c r="AE136" i="38"/>
  <c r="AT136" i="38"/>
  <c r="Y136" i="38"/>
  <c r="V136" i="38"/>
  <c r="AH136" i="38"/>
  <c r="AB136" i="38"/>
  <c r="AW136" i="38"/>
  <c r="CG106" i="24"/>
  <c r="CF104" i="24"/>
  <c r="BY95" i="24" s="1"/>
  <c r="B7" i="24"/>
  <c r="B8" i="24" s="1"/>
  <c r="CH108" i="24"/>
  <c r="CI109" i="24"/>
  <c r="CH89" i="24"/>
  <c r="CI89" i="24" s="1"/>
  <c r="CF95" i="24"/>
  <c r="CG95" i="24" s="1"/>
  <c r="CF92" i="24"/>
  <c r="CF96" i="24"/>
  <c r="CJ89" i="24"/>
  <c r="CK89" i="24" s="1"/>
  <c r="CG91" i="24" s="1"/>
  <c r="CI92" i="24"/>
  <c r="CG92" i="24"/>
  <c r="BZ96" i="24"/>
  <c r="CA96" i="24"/>
  <c r="CM87" i="24"/>
  <c r="CL88" i="24"/>
  <c r="AQ132" i="38"/>
  <c r="AH132" i="38"/>
  <c r="AE132" i="38"/>
  <c r="AZ132" i="38"/>
  <c r="AB132" i="38"/>
  <c r="Y132" i="38"/>
  <c r="AW132" i="38"/>
  <c r="AN132" i="38"/>
  <c r="AK132" i="38"/>
  <c r="BC132" i="38"/>
  <c r="V132" i="38"/>
  <c r="AT132" i="38"/>
  <c r="O20" i="35" l="1"/>
  <c r="S9" i="24"/>
  <c r="F13" i="24" s="1"/>
  <c r="T8" i="24"/>
  <c r="H10" i="24" s="1"/>
  <c r="CI52" i="24"/>
  <c r="CA56" i="24" s="1"/>
  <c r="CH52" i="24"/>
  <c r="F10" i="24"/>
  <c r="AS138" i="38"/>
  <c r="AV135" i="38"/>
  <c r="Y130" i="37"/>
  <c r="BC130" i="37"/>
  <c r="AZ130" i="37"/>
  <c r="AQ130" i="37"/>
  <c r="AH130" i="37"/>
  <c r="AE130" i="37"/>
  <c r="V130" i="37"/>
  <c r="AB130" i="37"/>
  <c r="AN130" i="37"/>
  <c r="AK130" i="37"/>
  <c r="AW130" i="37"/>
  <c r="AT130" i="37"/>
  <c r="AV136" i="38"/>
  <c r="AA134" i="38"/>
  <c r="AJ130" i="38"/>
  <c r="AI130" i="38"/>
  <c r="AI131" i="38" s="1"/>
  <c r="AI132" i="38" s="1"/>
  <c r="AI133" i="38" s="1"/>
  <c r="AI134" i="38" s="1"/>
  <c r="AI135" i="38" s="1"/>
  <c r="AI136" i="38" s="1"/>
  <c r="AI137" i="38" s="1"/>
  <c r="AI138" i="38" s="1"/>
  <c r="AI139" i="38" s="1"/>
  <c r="AN138" i="37"/>
  <c r="AK138" i="37"/>
  <c r="AH138" i="37"/>
  <c r="AZ138" i="37"/>
  <c r="AE138" i="37"/>
  <c r="AB138" i="37"/>
  <c r="AW138" i="37"/>
  <c r="BC138" i="37"/>
  <c r="V138" i="37"/>
  <c r="AQ138" i="37"/>
  <c r="AT138" i="37"/>
  <c r="Y138" i="37"/>
  <c r="AG136" i="38"/>
  <c r="H13" i="24"/>
  <c r="G13" i="24"/>
  <c r="CI31" i="24"/>
  <c r="CH30" i="24" s="1"/>
  <c r="CG29" i="24" s="1"/>
  <c r="CG28" i="24" s="1"/>
  <c r="V136" i="37"/>
  <c r="AQ136" i="37"/>
  <c r="AT136" i="37"/>
  <c r="AH136" i="37"/>
  <c r="AZ136" i="37"/>
  <c r="AW136" i="37"/>
  <c r="BC136" i="37"/>
  <c r="Y136" i="37"/>
  <c r="AN136" i="37"/>
  <c r="AE136" i="37"/>
  <c r="AB136" i="37"/>
  <c r="AK136" i="37"/>
  <c r="BE136" i="38"/>
  <c r="AS137" i="38"/>
  <c r="AM132" i="38"/>
  <c r="CF102" i="24"/>
  <c r="CF103" i="24" s="1"/>
  <c r="CG102" i="24"/>
  <c r="BD131" i="38"/>
  <c r="BE131" i="38"/>
  <c r="AU133" i="38"/>
  <c r="AV133" i="38"/>
  <c r="CF98" i="24"/>
  <c r="CK92" i="24"/>
  <c r="CL92" i="24" s="1"/>
  <c r="CM92" i="24" s="1"/>
  <c r="BY97" i="24"/>
  <c r="BB136" i="38"/>
  <c r="AD131" i="38"/>
  <c r="BB130" i="38"/>
  <c r="BA130" i="38"/>
  <c r="AJ137" i="38"/>
  <c r="AJ133" i="38"/>
  <c r="AY132" i="38"/>
  <c r="AJ131" i="38"/>
  <c r="B11" i="24"/>
  <c r="B14" i="24" s="1"/>
  <c r="X137" i="38"/>
  <c r="AS135" i="38"/>
  <c r="AD133" i="38"/>
  <c r="AR132" i="38"/>
  <c r="AR133" i="38" s="1"/>
  <c r="AR134" i="38" s="1"/>
  <c r="AR135" i="38" s="1"/>
  <c r="AR136" i="38" s="1"/>
  <c r="AR137" i="38" s="1"/>
  <c r="AR138" i="38" s="1"/>
  <c r="AR139" i="38" s="1"/>
  <c r="AS132" i="38"/>
  <c r="AJ136" i="38"/>
  <c r="AY134" i="38"/>
  <c r="AA131" i="38"/>
  <c r="AD130" i="38"/>
  <c r="AC130" i="38"/>
  <c r="AC131" i="38" s="1"/>
  <c r="AC132" i="38" s="1"/>
  <c r="AC133" i="38" s="1"/>
  <c r="AC134" i="38" s="1"/>
  <c r="AC135" i="38" s="1"/>
  <c r="AC136" i="38" s="1"/>
  <c r="AC137" i="38" s="1"/>
  <c r="AC138" i="38" s="1"/>
  <c r="AC139" i="38" s="1"/>
  <c r="AD137" i="38"/>
  <c r="AV138" i="38"/>
  <c r="AM133" i="38"/>
  <c r="X132" i="38"/>
  <c r="AU130" i="38"/>
  <c r="AV130" i="38"/>
  <c r="CM9" i="24"/>
  <c r="CL10" i="24" s="1"/>
  <c r="CL8" i="24" s="1"/>
  <c r="CF9" i="24" s="1"/>
  <c r="CG9" i="24" s="1"/>
  <c r="CF11" i="24" s="1"/>
  <c r="AM138" i="38"/>
  <c r="BB133" i="38"/>
  <c r="CI91" i="24"/>
  <c r="CA95" i="24" s="1"/>
  <c r="CH91" i="24"/>
  <c r="AS131" i="38"/>
  <c r="AR131" i="38"/>
  <c r="BE133" i="38"/>
  <c r="AX130" i="38"/>
  <c r="AX131" i="38" s="1"/>
  <c r="AY130" i="38"/>
  <c r="BB137" i="38"/>
  <c r="AP132" i="38"/>
  <c r="AA132" i="38"/>
  <c r="BB135" i="38"/>
  <c r="BC131" i="37"/>
  <c r="AK131" i="37"/>
  <c r="AB131" i="37"/>
  <c r="AH131" i="37"/>
  <c r="Y131" i="37"/>
  <c r="AT131" i="37"/>
  <c r="AW131" i="37"/>
  <c r="AE131" i="37"/>
  <c r="AQ131" i="37"/>
  <c r="AN131" i="37"/>
  <c r="AZ131" i="37"/>
  <c r="V131" i="37"/>
  <c r="AY137" i="38"/>
  <c r="AD135" i="38"/>
  <c r="AG133" i="38"/>
  <c r="CH59" i="24"/>
  <c r="CG62" i="24" s="1"/>
  <c r="CI59" i="24"/>
  <c r="CH62" i="24" s="1"/>
  <c r="P105" i="35"/>
  <c r="Q105" i="35"/>
  <c r="AJ138" i="38"/>
  <c r="AP135" i="38"/>
  <c r="X133" i="38"/>
  <c r="X136" i="38"/>
  <c r="AD134" i="38"/>
  <c r="AM131" i="38"/>
  <c r="AF130" i="38"/>
  <c r="AG130" i="38" s="1"/>
  <c r="AV137" i="38"/>
  <c r="AA138" i="38"/>
  <c r="AW134" i="37"/>
  <c r="AZ134" i="37"/>
  <c r="AH134" i="37"/>
  <c r="BC134" i="37"/>
  <c r="AK134" i="37"/>
  <c r="AE134" i="37"/>
  <c r="Y134" i="37"/>
  <c r="AN134" i="37"/>
  <c r="AT134" i="37"/>
  <c r="V134" i="37"/>
  <c r="AB134" i="37"/>
  <c r="AQ134" i="37"/>
  <c r="AA136" i="38"/>
  <c r="X134" i="38"/>
  <c r="AM130" i="38"/>
  <c r="AL130" i="38"/>
  <c r="AL131" i="38" s="1"/>
  <c r="AL132" i="38" s="1"/>
  <c r="AL133" i="38" s="1"/>
  <c r="AL134" i="38" s="1"/>
  <c r="AL135" i="38" s="1"/>
  <c r="AL136" i="38" s="1"/>
  <c r="AP138" i="38"/>
  <c r="AU134" i="38"/>
  <c r="AU135" i="38" s="1"/>
  <c r="AU136" i="38" s="1"/>
  <c r="AU137" i="38" s="1"/>
  <c r="AU138" i="38" s="1"/>
  <c r="AU139" i="38" s="1"/>
  <c r="AV134" i="38"/>
  <c r="BD130" i="38"/>
  <c r="BE130" i="38"/>
  <c r="AZ135" i="37"/>
  <c r="AE135" i="37"/>
  <c r="AT135" i="37"/>
  <c r="Y135" i="37"/>
  <c r="AB135" i="37"/>
  <c r="AQ135" i="37"/>
  <c r="BC135" i="37"/>
  <c r="V135" i="37"/>
  <c r="AW135" i="37"/>
  <c r="AN135" i="37"/>
  <c r="AK135" i="37"/>
  <c r="AH135" i="37"/>
  <c r="CI98" i="24"/>
  <c r="CH101" i="24" s="1"/>
  <c r="CH98" i="24"/>
  <c r="CG101" i="24" s="1"/>
  <c r="BB131" i="38"/>
  <c r="BA131" i="38"/>
  <c r="BA132" i="38" s="1"/>
  <c r="AG137" i="38"/>
  <c r="AN137" i="37"/>
  <c r="AK137" i="37"/>
  <c r="AH137" i="37"/>
  <c r="AE137" i="37"/>
  <c r="V137" i="37"/>
  <c r="AW137" i="37"/>
  <c r="Y137" i="37"/>
  <c r="AB137" i="37"/>
  <c r="AQ137" i="37"/>
  <c r="BC137" i="37"/>
  <c r="AT137" i="37"/>
  <c r="AZ137" i="37"/>
  <c r="BE132" i="38"/>
  <c r="BD132" i="38"/>
  <c r="BD133" i="38" s="1"/>
  <c r="BD134" i="38" s="1"/>
  <c r="BD135" i="38" s="1"/>
  <c r="BD136" i="38" s="1"/>
  <c r="BD137" i="38" s="1"/>
  <c r="BD138" i="38" s="1"/>
  <c r="AP136" i="38"/>
  <c r="AP130" i="38"/>
  <c r="AO130" i="38"/>
  <c r="X138" i="38"/>
  <c r="AS136" i="38"/>
  <c r="AY138" i="38"/>
  <c r="BE134" i="38"/>
  <c r="AG131" i="38"/>
  <c r="AF131" i="38"/>
  <c r="AF132" i="38" s="1"/>
  <c r="AF133" i="38" s="1"/>
  <c r="AF134" i="38" s="1"/>
  <c r="BC132" i="37"/>
  <c r="AK132" i="37"/>
  <c r="Y132" i="37"/>
  <c r="AW132" i="37"/>
  <c r="AH132" i="37"/>
  <c r="AT132" i="37"/>
  <c r="V132" i="37"/>
  <c r="AE132" i="37"/>
  <c r="AN132" i="37"/>
  <c r="AB132" i="37"/>
  <c r="AQ132" i="37"/>
  <c r="AZ132" i="37"/>
  <c r="AA137" i="38"/>
  <c r="CF63" i="24"/>
  <c r="CG63" i="24"/>
  <c r="CF64" i="24"/>
  <c r="BY57" i="24" s="1"/>
  <c r="AJ134" i="38"/>
  <c r="AV131" i="38"/>
  <c r="AU131" i="38"/>
  <c r="BB134" i="38"/>
  <c r="AP131" i="38"/>
  <c r="AO131" i="38"/>
  <c r="AO132" i="38" s="1"/>
  <c r="AO133" i="38" s="1"/>
  <c r="AO134" i="38" s="1"/>
  <c r="AO135" i="38" s="1"/>
  <c r="AO136" i="38" s="1"/>
  <c r="AO137" i="38" s="1"/>
  <c r="AO138" i="38" s="1"/>
  <c r="AO139" i="38" s="1"/>
  <c r="AZ133" i="37"/>
  <c r="AE133" i="37"/>
  <c r="AQ133" i="37"/>
  <c r="V133" i="37"/>
  <c r="AN133" i="37"/>
  <c r="AK133" i="37"/>
  <c r="BC133" i="37"/>
  <c r="AW133" i="37"/>
  <c r="AB133" i="37"/>
  <c r="AH133" i="37"/>
  <c r="AT133" i="37"/>
  <c r="Y133" i="37"/>
  <c r="AD138" i="38"/>
  <c r="AG135" i="38"/>
  <c r="AS133" i="38"/>
  <c r="CK53" i="24"/>
  <c r="CL53" i="24" s="1"/>
  <c r="CF59" i="24"/>
  <c r="CM53" i="24"/>
  <c r="BY58" i="24"/>
  <c r="AM135" i="38"/>
  <c r="AR130" i="38"/>
  <c r="AS130" i="38"/>
  <c r="AP137" i="38"/>
  <c r="X135" i="38"/>
  <c r="AU132" i="38"/>
  <c r="AV132" i="38"/>
  <c r="AS134" i="38"/>
  <c r="AA133" i="38"/>
  <c r="AD132" i="38"/>
  <c r="AG132" i="38"/>
  <c r="AY136" i="38"/>
  <c r="AM134" i="38"/>
  <c r="W130" i="38"/>
  <c r="X130" i="38"/>
  <c r="R106" i="35"/>
  <c r="M107" i="35"/>
  <c r="N106" i="35"/>
  <c r="O106" i="35" s="1"/>
  <c r="BB138" i="38"/>
  <c r="AJ135" i="38"/>
  <c r="AP133" i="38"/>
  <c r="BE135" i="38"/>
  <c r="BE137" i="38"/>
  <c r="AJ132" i="38"/>
  <c r="AD136" i="38"/>
  <c r="AP134" i="38"/>
  <c r="W131" i="38"/>
  <c r="W132" i="38" s="1"/>
  <c r="W133" i="38" s="1"/>
  <c r="W134" i="38" s="1"/>
  <c r="W135" i="38" s="1"/>
  <c r="W136" i="38" s="1"/>
  <c r="W137" i="38" s="1"/>
  <c r="W138" i="38" s="1"/>
  <c r="W139" i="38" s="1"/>
  <c r="X131" i="38"/>
  <c r="Z130" i="38"/>
  <c r="Z131" i="38" s="1"/>
  <c r="Z132" i="38" s="1"/>
  <c r="Z133" i="38" s="1"/>
  <c r="Z134" i="38" s="1"/>
  <c r="Z135" i="38" s="1"/>
  <c r="Z136" i="38" s="1"/>
  <c r="Z137" i="38" s="1"/>
  <c r="Z138" i="38" s="1"/>
  <c r="Z139" i="38" s="1"/>
  <c r="AA130" i="38"/>
  <c r="V8" i="24"/>
  <c r="AG138" i="38"/>
  <c r="AA135" i="38"/>
  <c r="AY133" i="38"/>
  <c r="F10" i="8" l="1"/>
  <c r="E131" i="36" s="1"/>
  <c r="F9" i="8"/>
  <c r="E130" i="36" s="1"/>
  <c r="G10" i="24"/>
  <c r="CI93" i="24"/>
  <c r="CA97" i="24" s="1"/>
  <c r="CH93" i="24"/>
  <c r="T7" i="24"/>
  <c r="B13" i="24"/>
  <c r="F6" i="8"/>
  <c r="E134" i="36" s="1"/>
  <c r="AL137" i="38"/>
  <c r="AM136" i="38"/>
  <c r="AJ142" i="38"/>
  <c r="AK142" i="38" s="1"/>
  <c r="AL142" i="38" s="1"/>
  <c r="AM142" i="38" s="1"/>
  <c r="B27" i="38" s="1"/>
  <c r="C252" i="38" s="1"/>
  <c r="BB132" i="38"/>
  <c r="BL143" i="38" s="1"/>
  <c r="BM143" i="38" s="1"/>
  <c r="BN143" i="38" s="1"/>
  <c r="BO143" i="38" s="1"/>
  <c r="K28" i="38" s="1"/>
  <c r="C274" i="38" s="1"/>
  <c r="BA133" i="38"/>
  <c r="BA134" i="38" s="1"/>
  <c r="BA135" i="38" s="1"/>
  <c r="BA136" i="38" s="1"/>
  <c r="BA137" i="38" s="1"/>
  <c r="BA138" i="38" s="1"/>
  <c r="BA139" i="38" s="1"/>
  <c r="AG134" i="38"/>
  <c r="AJ144" i="38" s="1"/>
  <c r="AK144" i="38" s="1"/>
  <c r="AL144" i="38" s="1"/>
  <c r="AM144" i="38" s="1"/>
  <c r="B29" i="38" s="1"/>
  <c r="C254" i="38" s="1"/>
  <c r="AF135" i="38"/>
  <c r="AF136" i="38" s="1"/>
  <c r="AF137" i="38" s="1"/>
  <c r="AF138" i="38" s="1"/>
  <c r="AF139" i="38" s="1"/>
  <c r="BD139" i="38"/>
  <c r="BE138" i="38"/>
  <c r="AY131" i="38"/>
  <c r="BH142" i="38" s="1"/>
  <c r="BI142" i="38" s="1"/>
  <c r="BJ142" i="38" s="1"/>
  <c r="BK142" i="38" s="1"/>
  <c r="K17" i="38" s="1"/>
  <c r="C270" i="38" s="1"/>
  <c r="AX132" i="38"/>
  <c r="AX133" i="38" s="1"/>
  <c r="AX134" i="38" s="1"/>
  <c r="AX135" i="38" s="1"/>
  <c r="I22" i="24"/>
  <c r="J22" i="24"/>
  <c r="AM132" i="37"/>
  <c r="CN60" i="24"/>
  <c r="CQ60" i="24"/>
  <c r="CG60" i="24"/>
  <c r="CJ60" i="24"/>
  <c r="CP60" i="24"/>
  <c r="CM60" i="24"/>
  <c r="CI60" i="24"/>
  <c r="CL60" i="24"/>
  <c r="CO60" i="24"/>
  <c r="CR60" i="24"/>
  <c r="CK60" i="24"/>
  <c r="CH60" i="24"/>
  <c r="CS60" i="24"/>
  <c r="CK59" i="24"/>
  <c r="AA130" i="37"/>
  <c r="Z130" i="37"/>
  <c r="AP133" i="37"/>
  <c r="AA136" i="37"/>
  <c r="AV137" i="37"/>
  <c r="AS133" i="37"/>
  <c r="BE137" i="37"/>
  <c r="X135" i="37"/>
  <c r="CG14" i="24"/>
  <c r="CH11" i="24"/>
  <c r="CI11" i="24" s="1"/>
  <c r="CJ11" i="24" s="1"/>
  <c r="CK11" i="24" s="1"/>
  <c r="CG13" i="24" s="1"/>
  <c r="CF17" i="24"/>
  <c r="CG17" i="24" s="1"/>
  <c r="CI14" i="24"/>
  <c r="AS138" i="37"/>
  <c r="AF133" i="37"/>
  <c r="AG133" i="37"/>
  <c r="CH111" i="24"/>
  <c r="CE117" i="24" s="1"/>
  <c r="CF117" i="24" s="1"/>
  <c r="CG117" i="24" s="1"/>
  <c r="CH117" i="24" s="1"/>
  <c r="CI117" i="24" s="1"/>
  <c r="CJ117" i="24" s="1"/>
  <c r="CK117" i="24" s="1"/>
  <c r="BZ95" i="24"/>
  <c r="X138" i="37"/>
  <c r="AS135" i="37"/>
  <c r="BE131" i="37"/>
  <c r="BL145" i="38"/>
  <c r="BM145" i="38" s="1"/>
  <c r="BN145" i="38" s="1"/>
  <c r="BO145" i="38" s="1"/>
  <c r="BL150" i="38"/>
  <c r="BM150" i="38" s="1"/>
  <c r="BN150" i="38" s="1"/>
  <c r="BO150" i="38" s="1"/>
  <c r="BL149" i="38"/>
  <c r="BM149" i="38" s="1"/>
  <c r="BN149" i="38" s="1"/>
  <c r="BO149" i="38" s="1"/>
  <c r="BL142" i="38"/>
  <c r="BM142" i="38" s="1"/>
  <c r="BN142" i="38" s="1"/>
  <c r="BO142" i="38" s="1"/>
  <c r="K27" i="38" s="1"/>
  <c r="C273" i="38" s="1"/>
  <c r="BL144" i="38"/>
  <c r="BM144" i="38" s="1"/>
  <c r="BN144" i="38" s="1"/>
  <c r="BO144" i="38" s="1"/>
  <c r="K29" i="38" s="1"/>
  <c r="C275" i="38" s="1"/>
  <c r="AV130" i="37"/>
  <c r="AU130" i="37"/>
  <c r="AS132" i="37"/>
  <c r="AV136" i="37"/>
  <c r="AJ133" i="37"/>
  <c r="AI132" i="37"/>
  <c r="AI133" i="37" s="1"/>
  <c r="AI134" i="37" s="1"/>
  <c r="AI135" i="37" s="1"/>
  <c r="AI136" i="37" s="1"/>
  <c r="AI137" i="37" s="1"/>
  <c r="AI138" i="37" s="1"/>
  <c r="AI139" i="37" s="1"/>
  <c r="AJ132" i="37"/>
  <c r="AV148" i="38"/>
  <c r="AW148" i="38" s="1"/>
  <c r="AX148" i="38" s="1"/>
  <c r="AY148" i="38" s="1"/>
  <c r="AV142" i="38"/>
  <c r="AW142" i="38" s="1"/>
  <c r="AX142" i="38" s="1"/>
  <c r="AY142" i="38" s="1"/>
  <c r="E8" i="38" s="1"/>
  <c r="C261" i="38" s="1"/>
  <c r="AV145" i="38"/>
  <c r="AW145" i="38" s="1"/>
  <c r="AX145" i="38" s="1"/>
  <c r="AY145" i="38" s="1"/>
  <c r="AV147" i="38"/>
  <c r="AW147" i="38" s="1"/>
  <c r="AX147" i="38" s="1"/>
  <c r="AY147" i="38" s="1"/>
  <c r="AV146" i="38"/>
  <c r="AW146" i="38" s="1"/>
  <c r="AX146" i="38" s="1"/>
  <c r="AY146" i="38" s="1"/>
  <c r="AV143" i="38"/>
  <c r="AW143" i="38" s="1"/>
  <c r="AX143" i="38" s="1"/>
  <c r="AY143" i="38" s="1"/>
  <c r="E9" i="38" s="1"/>
  <c r="C262" i="38" s="1"/>
  <c r="AV144" i="38"/>
  <c r="AW144" i="38" s="1"/>
  <c r="AX144" i="38" s="1"/>
  <c r="AY144" i="38" s="1"/>
  <c r="E10" i="38" s="1"/>
  <c r="C263" i="38" s="1"/>
  <c r="AV150" i="38"/>
  <c r="AW150" i="38" s="1"/>
  <c r="AX150" i="38" s="1"/>
  <c r="AY150" i="38" s="1"/>
  <c r="AV149" i="38"/>
  <c r="AW149" i="38" s="1"/>
  <c r="AX149" i="38" s="1"/>
  <c r="AY149" i="38" s="1"/>
  <c r="AP137" i="37"/>
  <c r="AP134" i="37"/>
  <c r="AP131" i="37"/>
  <c r="AO131" i="37"/>
  <c r="AO132" i="37" s="1"/>
  <c r="AO133" i="37" s="1"/>
  <c r="AO134" i="37" s="1"/>
  <c r="AO135" i="37" s="1"/>
  <c r="AO136" i="37" s="1"/>
  <c r="AO137" i="37" s="1"/>
  <c r="AO138" i="37" s="1"/>
  <c r="AO139" i="37" s="1"/>
  <c r="BD143" i="38"/>
  <c r="BE143" i="38" s="1"/>
  <c r="BF143" i="38" s="1"/>
  <c r="BG143" i="38" s="1"/>
  <c r="K8" i="38" s="1"/>
  <c r="C268" i="38" s="1"/>
  <c r="BD150" i="38"/>
  <c r="BE150" i="38" s="1"/>
  <c r="BF150" i="38" s="1"/>
  <c r="BG150" i="38" s="1"/>
  <c r="BD146" i="38"/>
  <c r="BE146" i="38" s="1"/>
  <c r="BF146" i="38" s="1"/>
  <c r="BG146" i="38" s="1"/>
  <c r="BD149" i="38"/>
  <c r="BE149" i="38" s="1"/>
  <c r="BF149" i="38" s="1"/>
  <c r="BG149" i="38" s="1"/>
  <c r="BD144" i="38"/>
  <c r="BE144" i="38" s="1"/>
  <c r="BF144" i="38" s="1"/>
  <c r="BG144" i="38" s="1"/>
  <c r="K9" i="38" s="1"/>
  <c r="C269" i="38" s="1"/>
  <c r="BD145" i="38"/>
  <c r="BE145" i="38" s="1"/>
  <c r="BF145" i="38" s="1"/>
  <c r="BG145" i="38" s="1"/>
  <c r="BD148" i="38"/>
  <c r="BE148" i="38" s="1"/>
  <c r="BF148" i="38" s="1"/>
  <c r="BG148" i="38" s="1"/>
  <c r="BD147" i="38"/>
  <c r="BE147" i="38" s="1"/>
  <c r="BF147" i="38" s="1"/>
  <c r="BG147" i="38" s="1"/>
  <c r="BD142" i="38"/>
  <c r="BE142" i="38" s="1"/>
  <c r="BF142" i="38" s="1"/>
  <c r="BG142" i="38" s="1"/>
  <c r="K7" i="38" s="1"/>
  <c r="C267" i="38" s="1"/>
  <c r="AP138" i="37"/>
  <c r="AJ130" i="37"/>
  <c r="AI130" i="37"/>
  <c r="AY133" i="37"/>
  <c r="AA132" i="37"/>
  <c r="Z132" i="37"/>
  <c r="Z133" i="37" s="1"/>
  <c r="Z134" i="37" s="1"/>
  <c r="Z135" i="37" s="1"/>
  <c r="Z136" i="37" s="1"/>
  <c r="Z137" i="37" s="1"/>
  <c r="Z138" i="37" s="1"/>
  <c r="Z139" i="37" s="1"/>
  <c r="AF134" i="37"/>
  <c r="AF135" i="37" s="1"/>
  <c r="AF136" i="37" s="1"/>
  <c r="AF137" i="37" s="1"/>
  <c r="AF138" i="37" s="1"/>
  <c r="AF139" i="37" s="1"/>
  <c r="AD136" i="37"/>
  <c r="N107" i="35"/>
  <c r="O107" i="35" s="1"/>
  <c r="R107" i="35"/>
  <c r="M108" i="35"/>
  <c r="BE132" i="37"/>
  <c r="AJ134" i="37"/>
  <c r="AA138" i="37"/>
  <c r="X133" i="37"/>
  <c r="AV138" i="37"/>
  <c r="AD131" i="37"/>
  <c r="AY136" i="37"/>
  <c r="AM131" i="37"/>
  <c r="BB133" i="37"/>
  <c r="AJ136" i="37"/>
  <c r="F130" i="36"/>
  <c r="G130" i="36" s="1"/>
  <c r="AD133" i="37"/>
  <c r="AY132" i="37"/>
  <c r="CJ98" i="24"/>
  <c r="AA134" i="37"/>
  <c r="AR131" i="37"/>
  <c r="AR132" i="37" s="1"/>
  <c r="AR133" i="37" s="1"/>
  <c r="AR134" i="37" s="1"/>
  <c r="AR135" i="37" s="1"/>
  <c r="AR136" i="37" s="1"/>
  <c r="AR137" i="37" s="1"/>
  <c r="AR138" i="37" s="1"/>
  <c r="AR139" i="37" s="1"/>
  <c r="AS131" i="37"/>
  <c r="CM99" i="24"/>
  <c r="CO99" i="24"/>
  <c r="CG99" i="24"/>
  <c r="CP99" i="24"/>
  <c r="CI99" i="24"/>
  <c r="CH99" i="24"/>
  <c r="CK99" i="24"/>
  <c r="CQ99" i="24"/>
  <c r="CL99" i="24"/>
  <c r="CR99" i="24"/>
  <c r="CN99" i="24"/>
  <c r="CS99" i="24"/>
  <c r="CJ99" i="24"/>
  <c r="J18" i="24"/>
  <c r="I18" i="24"/>
  <c r="AR130" i="37"/>
  <c r="AS130" i="37"/>
  <c r="BB130" i="37"/>
  <c r="BA130" i="37"/>
  <c r="CI54" i="24"/>
  <c r="CA58" i="24" s="1"/>
  <c r="CH54" i="24"/>
  <c r="J15" i="24"/>
  <c r="I15" i="24"/>
  <c r="AM133" i="37"/>
  <c r="AM135" i="37"/>
  <c r="AV131" i="37"/>
  <c r="AU131" i="37"/>
  <c r="AN146" i="38"/>
  <c r="AO146" i="38" s="1"/>
  <c r="AP146" i="38" s="1"/>
  <c r="AQ146" i="38" s="1"/>
  <c r="AN150" i="38"/>
  <c r="AO150" i="38" s="1"/>
  <c r="AP150" i="38" s="1"/>
  <c r="AQ150" i="38" s="1"/>
  <c r="AN148" i="38"/>
  <c r="AO148" i="38" s="1"/>
  <c r="AP148" i="38" s="1"/>
  <c r="AQ148" i="38" s="1"/>
  <c r="AN147" i="38"/>
  <c r="AO147" i="38" s="1"/>
  <c r="AP147" i="38" s="1"/>
  <c r="AQ147" i="38" s="1"/>
  <c r="AN144" i="38"/>
  <c r="AO144" i="38" s="1"/>
  <c r="AP144" i="38" s="1"/>
  <c r="AQ144" i="38" s="1"/>
  <c r="B19" i="38" s="1"/>
  <c r="C257" i="38" s="1"/>
  <c r="AN149" i="38"/>
  <c r="AO149" i="38" s="1"/>
  <c r="AP149" i="38" s="1"/>
  <c r="AQ149" i="38" s="1"/>
  <c r="AN145" i="38"/>
  <c r="AO145" i="38" s="1"/>
  <c r="AP145" i="38" s="1"/>
  <c r="AQ145" i="38" s="1"/>
  <c r="AN143" i="38"/>
  <c r="AO143" i="38" s="1"/>
  <c r="AP143" i="38" s="1"/>
  <c r="AQ143" i="38" s="1"/>
  <c r="B18" i="38" s="1"/>
  <c r="C256" i="38" s="1"/>
  <c r="AN142" i="38"/>
  <c r="AO142" i="38" s="1"/>
  <c r="AP142" i="38" s="1"/>
  <c r="AQ142" i="38" s="1"/>
  <c r="B17" i="38" s="1"/>
  <c r="C255" i="38" s="1"/>
  <c r="AA131" i="37"/>
  <c r="Z131" i="37"/>
  <c r="V149" i="38"/>
  <c r="W149" i="38" s="1"/>
  <c r="X149" i="38" s="1"/>
  <c r="Y149" i="38" s="1"/>
  <c r="V148" i="38"/>
  <c r="W148" i="38" s="1"/>
  <c r="X148" i="38" s="1"/>
  <c r="Y148" i="38" s="1"/>
  <c r="V147" i="38"/>
  <c r="W147" i="38" s="1"/>
  <c r="X147" i="38" s="1"/>
  <c r="Y147" i="38" s="1"/>
  <c r="V150" i="38"/>
  <c r="W150" i="38" s="1"/>
  <c r="X150" i="38" s="1"/>
  <c r="Y150" i="38" s="1"/>
  <c r="V143" i="38"/>
  <c r="W143" i="38" s="1"/>
  <c r="X143" i="38" s="1"/>
  <c r="Y143" i="38" s="1"/>
  <c r="H38" i="38" s="1"/>
  <c r="C244" i="38" s="1"/>
  <c r="V146" i="38"/>
  <c r="W146" i="38" s="1"/>
  <c r="X146" i="38" s="1"/>
  <c r="Y146" i="38" s="1"/>
  <c r="V144" i="38"/>
  <c r="W144" i="38" s="1"/>
  <c r="X144" i="38" s="1"/>
  <c r="Y144" i="38" s="1"/>
  <c r="H39" i="38" s="1"/>
  <c r="C245" i="38" s="1"/>
  <c r="V145" i="38"/>
  <c r="W145" i="38" s="1"/>
  <c r="X145" i="38" s="1"/>
  <c r="Y145" i="38" s="1"/>
  <c r="V142" i="38"/>
  <c r="W142" i="38" s="1"/>
  <c r="X142" i="38" s="1"/>
  <c r="Y142" i="38" s="1"/>
  <c r="H37" i="38" s="1"/>
  <c r="C243" i="38" s="1"/>
  <c r="AS137" i="37"/>
  <c r="BE135" i="37"/>
  <c r="BB136" i="37"/>
  <c r="AD137" i="37"/>
  <c r="I11" i="24"/>
  <c r="J11" i="24"/>
  <c r="AA137" i="37"/>
  <c r="AD135" i="37"/>
  <c r="AX130" i="37"/>
  <c r="AX131" i="37" s="1"/>
  <c r="AY130" i="37"/>
  <c r="AF142" i="38"/>
  <c r="AG142" i="38" s="1"/>
  <c r="AH142" i="38" s="1"/>
  <c r="AI142" i="38" s="1"/>
  <c r="B37" i="38" s="1"/>
  <c r="C249" i="38" s="1"/>
  <c r="AF149" i="38"/>
  <c r="AG149" i="38" s="1"/>
  <c r="AH149" i="38" s="1"/>
  <c r="AI149" i="38" s="1"/>
  <c r="AF148" i="38"/>
  <c r="AG148" i="38" s="1"/>
  <c r="AH148" i="38" s="1"/>
  <c r="AI148" i="38" s="1"/>
  <c r="AF145" i="38"/>
  <c r="AG145" i="38" s="1"/>
  <c r="AH145" i="38" s="1"/>
  <c r="AI145" i="38" s="1"/>
  <c r="AF150" i="38"/>
  <c r="AG150" i="38" s="1"/>
  <c r="AH150" i="38" s="1"/>
  <c r="AI150" i="38" s="1"/>
  <c r="AF144" i="38"/>
  <c r="AG144" i="38" s="1"/>
  <c r="AH144" i="38" s="1"/>
  <c r="AI144" i="38" s="1"/>
  <c r="B39" i="38" s="1"/>
  <c r="C251" i="38" s="1"/>
  <c r="AF147" i="38"/>
  <c r="AG147" i="38" s="1"/>
  <c r="AH147" i="38" s="1"/>
  <c r="AI147" i="38" s="1"/>
  <c r="AF143" i="38"/>
  <c r="AG143" i="38" s="1"/>
  <c r="AH143" i="38" s="1"/>
  <c r="AI143" i="38" s="1"/>
  <c r="B38" i="38" s="1"/>
  <c r="C250" i="38" s="1"/>
  <c r="AF146" i="38"/>
  <c r="AG146" i="38" s="1"/>
  <c r="AH146" i="38" s="1"/>
  <c r="AI146" i="38" s="1"/>
  <c r="AM130" i="37"/>
  <c r="AL130" i="37"/>
  <c r="AL131" i="37" s="1"/>
  <c r="AL132" i="37" s="1"/>
  <c r="AL133" i="37" s="1"/>
  <c r="AL134" i="37" s="1"/>
  <c r="AL135" i="37" s="1"/>
  <c r="AL136" i="37" s="1"/>
  <c r="AP132" i="37"/>
  <c r="AV135" i="37"/>
  <c r="X136" i="37"/>
  <c r="AO130" i="37"/>
  <c r="AP130" i="37"/>
  <c r="F131" i="36"/>
  <c r="G131" i="36" s="1"/>
  <c r="BB138" i="37"/>
  <c r="AC130" i="37"/>
  <c r="AC131" i="37" s="1"/>
  <c r="AC132" i="37" s="1"/>
  <c r="AC133" i="37" s="1"/>
  <c r="AC134" i="37" s="1"/>
  <c r="AC135" i="37" s="1"/>
  <c r="AC136" i="37" s="1"/>
  <c r="AC137" i="37" s="1"/>
  <c r="AC138" i="37" s="1"/>
  <c r="AC139" i="37" s="1"/>
  <c r="AD130" i="37"/>
  <c r="CH72" i="24"/>
  <c r="CE78" i="24" s="1"/>
  <c r="BZ56" i="24"/>
  <c r="AF131" i="37"/>
  <c r="AG131" i="37"/>
  <c r="AJ135" i="37"/>
  <c r="BE130" i="37"/>
  <c r="BD130" i="37"/>
  <c r="BD131" i="37" s="1"/>
  <c r="BD132" i="37" s="1"/>
  <c r="BD133" i="37" s="1"/>
  <c r="BD134" i="37" s="1"/>
  <c r="BD135" i="37" s="1"/>
  <c r="BD136" i="37" s="1"/>
  <c r="BD137" i="37" s="1"/>
  <c r="BD138" i="37" s="1"/>
  <c r="AP135" i="37"/>
  <c r="AD134" i="37"/>
  <c r="CJ59" i="24"/>
  <c r="AJ137" i="37"/>
  <c r="CK98" i="24"/>
  <c r="BB135" i="37"/>
  <c r="X134" i="37"/>
  <c r="W131" i="37"/>
  <c r="W132" i="37" s="1"/>
  <c r="W133" i="37" s="1"/>
  <c r="W134" i="37" s="1"/>
  <c r="W135" i="37" s="1"/>
  <c r="W136" i="37" s="1"/>
  <c r="W137" i="37" s="1"/>
  <c r="W138" i="37" s="1"/>
  <c r="W139" i="37" s="1"/>
  <c r="X131" i="37"/>
  <c r="I14" i="24"/>
  <c r="J14" i="24"/>
  <c r="AJ138" i="37"/>
  <c r="X130" i="37"/>
  <c r="W130" i="37"/>
  <c r="P106" i="35"/>
  <c r="Q106" i="35"/>
  <c r="BE133" i="37"/>
  <c r="AM134" i="37"/>
  <c r="AG136" i="37"/>
  <c r="CA57" i="24"/>
  <c r="BZ57" i="24"/>
  <c r="BE134" i="37"/>
  <c r="AP136" i="37"/>
  <c r="J19" i="24"/>
  <c r="I19" i="24"/>
  <c r="BB137" i="37"/>
  <c r="BB134" i="37"/>
  <c r="AJ131" i="37"/>
  <c r="AI131" i="37"/>
  <c r="BE136" i="37"/>
  <c r="AY134" i="37"/>
  <c r="AY138" i="37"/>
  <c r="AD132" i="37"/>
  <c r="AY137" i="37"/>
  <c r="AA135" i="37"/>
  <c r="AS136" i="37"/>
  <c r="AD138" i="37"/>
  <c r="B15" i="24"/>
  <c r="AQ4" i="24" s="1"/>
  <c r="X137" i="37"/>
  <c r="AS134" i="37"/>
  <c r="AG138" i="37"/>
  <c r="AF132" i="37"/>
  <c r="AG132" i="37"/>
  <c r="AG137" i="37"/>
  <c r="AG135" i="37"/>
  <c r="W8" i="24"/>
  <c r="F17" i="8"/>
  <c r="AZ149" i="38"/>
  <c r="BA149" i="38" s="1"/>
  <c r="BB149" i="38" s="1"/>
  <c r="BC149" i="38" s="1"/>
  <c r="AZ145" i="38"/>
  <c r="BA145" i="38" s="1"/>
  <c r="BB145" i="38" s="1"/>
  <c r="BC145" i="38" s="1"/>
  <c r="AZ150" i="38"/>
  <c r="BA150" i="38" s="1"/>
  <c r="BB150" i="38" s="1"/>
  <c r="BC150" i="38" s="1"/>
  <c r="AZ142" i="38"/>
  <c r="BA142" i="38" s="1"/>
  <c r="BB142" i="38" s="1"/>
  <c r="BC142" i="38" s="1"/>
  <c r="H8" i="38" s="1"/>
  <c r="C264" i="38" s="1"/>
  <c r="AZ143" i="38"/>
  <c r="BA143" i="38" s="1"/>
  <c r="BB143" i="38" s="1"/>
  <c r="BC143" i="38" s="1"/>
  <c r="H9" i="38" s="1"/>
  <c r="C265" i="38" s="1"/>
  <c r="AZ144" i="38"/>
  <c r="BA144" i="38" s="1"/>
  <c r="BB144" i="38" s="1"/>
  <c r="BC144" i="38" s="1"/>
  <c r="H10" i="38" s="1"/>
  <c r="C266" i="38" s="1"/>
  <c r="AZ148" i="38"/>
  <c r="BA148" i="38" s="1"/>
  <c r="BB148" i="38" s="1"/>
  <c r="BC148" i="38" s="1"/>
  <c r="AZ146" i="38"/>
  <c r="BA146" i="38" s="1"/>
  <c r="BB146" i="38" s="1"/>
  <c r="BC146" i="38" s="1"/>
  <c r="AZ147" i="38"/>
  <c r="BA147" i="38" s="1"/>
  <c r="BB147" i="38" s="1"/>
  <c r="BC147" i="38" s="1"/>
  <c r="AA133" i="37"/>
  <c r="X132" i="37"/>
  <c r="AA146" i="38"/>
  <c r="AB146" i="38" s="1"/>
  <c r="AC146" i="38" s="1"/>
  <c r="AD146" i="38" s="1"/>
  <c r="AA144" i="38"/>
  <c r="AB144" i="38" s="1"/>
  <c r="AC144" i="38" s="1"/>
  <c r="AD144" i="38" s="1"/>
  <c r="E39" i="38" s="1"/>
  <c r="C248" i="38" s="1"/>
  <c r="AA149" i="38"/>
  <c r="AB149" i="38" s="1"/>
  <c r="AC149" i="38" s="1"/>
  <c r="AD149" i="38" s="1"/>
  <c r="AA148" i="38"/>
  <c r="AB148" i="38" s="1"/>
  <c r="AC148" i="38" s="1"/>
  <c r="AD148" i="38" s="1"/>
  <c r="AA147" i="38"/>
  <c r="AB147" i="38" s="1"/>
  <c r="AC147" i="38" s="1"/>
  <c r="AD147" i="38" s="1"/>
  <c r="AA142" i="38"/>
  <c r="AB142" i="38" s="1"/>
  <c r="AC142" i="38" s="1"/>
  <c r="AD142" i="38" s="1"/>
  <c r="E37" i="38" s="1"/>
  <c r="C246" i="38" s="1"/>
  <c r="AA150" i="38"/>
  <c r="AB150" i="38" s="1"/>
  <c r="AC150" i="38" s="1"/>
  <c r="AD150" i="38" s="1"/>
  <c r="AA143" i="38"/>
  <c r="AB143" i="38" s="1"/>
  <c r="AC143" i="38" s="1"/>
  <c r="AD143" i="38" s="1"/>
  <c r="E38" i="38" s="1"/>
  <c r="C247" i="38" s="1"/>
  <c r="AA145" i="38"/>
  <c r="AB145" i="38" s="1"/>
  <c r="AC145" i="38" s="1"/>
  <c r="AD145" i="38" s="1"/>
  <c r="AU133" i="37"/>
  <c r="AU134" i="37" s="1"/>
  <c r="AU135" i="37" s="1"/>
  <c r="AU136" i="37" s="1"/>
  <c r="AU137" i="37" s="1"/>
  <c r="AU138" i="37" s="1"/>
  <c r="AU139" i="37" s="1"/>
  <c r="AU132" i="37"/>
  <c r="AV132" i="37"/>
  <c r="BP142" i="38"/>
  <c r="BQ142" i="38" s="1"/>
  <c r="BR142" i="38" s="1"/>
  <c r="BS142" i="38" s="1"/>
  <c r="K37" i="38" s="1"/>
  <c r="C276" i="38" s="1"/>
  <c r="BP146" i="38"/>
  <c r="BQ146" i="38" s="1"/>
  <c r="BR146" i="38" s="1"/>
  <c r="BS146" i="38" s="1"/>
  <c r="BP150" i="38"/>
  <c r="BQ150" i="38" s="1"/>
  <c r="BR150" i="38" s="1"/>
  <c r="BS150" i="38" s="1"/>
  <c r="BP145" i="38"/>
  <c r="BQ145" i="38" s="1"/>
  <c r="BR145" i="38" s="1"/>
  <c r="BS145" i="38" s="1"/>
  <c r="BP148" i="38"/>
  <c r="BQ148" i="38" s="1"/>
  <c r="BR148" i="38" s="1"/>
  <c r="BS148" i="38" s="1"/>
  <c r="BP147" i="38"/>
  <c r="BQ147" i="38" s="1"/>
  <c r="BR147" i="38" s="1"/>
  <c r="BS147" i="38" s="1"/>
  <c r="BP144" i="38"/>
  <c r="BQ144" i="38" s="1"/>
  <c r="BR144" i="38" s="1"/>
  <c r="BS144" i="38" s="1"/>
  <c r="K39" i="38" s="1"/>
  <c r="C278" i="38" s="1"/>
  <c r="BP149" i="38"/>
  <c r="BQ149" i="38" s="1"/>
  <c r="BR149" i="38" s="1"/>
  <c r="BS149" i="38" s="1"/>
  <c r="BP143" i="38"/>
  <c r="BQ143" i="38" s="1"/>
  <c r="BR143" i="38" s="1"/>
  <c r="BS143" i="38" s="1"/>
  <c r="K38" i="38" s="1"/>
  <c r="C277" i="38" s="1"/>
  <c r="AV134" i="37"/>
  <c r="BB131" i="37"/>
  <c r="BA131" i="37"/>
  <c r="BA132" i="37" s="1"/>
  <c r="AM138" i="37"/>
  <c r="AF130" i="37"/>
  <c r="AG130" i="37" s="1"/>
  <c r="B16" i="24" l="1"/>
  <c r="B9" i="24" s="1"/>
  <c r="B5" i="8" s="1"/>
  <c r="N16" i="35" s="1"/>
  <c r="N18" i="35" s="1"/>
  <c r="R5" i="24"/>
  <c r="B17" i="24"/>
  <c r="H131" i="36"/>
  <c r="AJ142" i="37"/>
  <c r="AK142" i="37" s="1"/>
  <c r="AL142" i="37" s="1"/>
  <c r="AM142" i="37" s="1"/>
  <c r="B27" i="37" s="1"/>
  <c r="C252" i="37" s="1"/>
  <c r="AJ150" i="37"/>
  <c r="AK150" i="37" s="1"/>
  <c r="AL150" i="37" s="1"/>
  <c r="AM150" i="37" s="1"/>
  <c r="AJ147" i="37"/>
  <c r="AK147" i="37" s="1"/>
  <c r="AL147" i="37" s="1"/>
  <c r="AM147" i="37" s="1"/>
  <c r="AY131" i="37"/>
  <c r="AX132" i="37"/>
  <c r="AX133" i="37" s="1"/>
  <c r="AX134" i="37" s="1"/>
  <c r="AX135" i="37" s="1"/>
  <c r="BB132" i="37"/>
  <c r="BL148" i="37" s="1"/>
  <c r="BM148" i="37" s="1"/>
  <c r="BN148" i="37" s="1"/>
  <c r="BO148" i="37" s="1"/>
  <c r="BA133" i="37"/>
  <c r="BA134" i="37" s="1"/>
  <c r="BA135" i="37" s="1"/>
  <c r="BA136" i="37" s="1"/>
  <c r="BA137" i="37" s="1"/>
  <c r="BA138" i="37" s="1"/>
  <c r="BA139" i="37" s="1"/>
  <c r="AM136" i="37"/>
  <c r="AL137" i="37"/>
  <c r="BD139" i="37"/>
  <c r="BE138" i="37"/>
  <c r="BP150" i="37" s="1"/>
  <c r="BQ150" i="37" s="1"/>
  <c r="BR150" i="37" s="1"/>
  <c r="BS150" i="37" s="1"/>
  <c r="J3" i="36"/>
  <c r="M15" i="35"/>
  <c r="G3" i="36"/>
  <c r="M14" i="35"/>
  <c r="BL147" i="38"/>
  <c r="BM147" i="38" s="1"/>
  <c r="BN147" i="38" s="1"/>
  <c r="BO147" i="38" s="1"/>
  <c r="AV133" i="37"/>
  <c r="BL146" i="38"/>
  <c r="BM146" i="38" s="1"/>
  <c r="BN146" i="38" s="1"/>
  <c r="BO146" i="38" s="1"/>
  <c r="AL138" i="38"/>
  <c r="AL139" i="38" s="1"/>
  <c r="AM137" i="38"/>
  <c r="AR149" i="38" s="1"/>
  <c r="AS149" i="38" s="1"/>
  <c r="AT149" i="38" s="1"/>
  <c r="AU149" i="38" s="1"/>
  <c r="C6" i="8"/>
  <c r="N15" i="35"/>
  <c r="K128" i="36"/>
  <c r="M17" i="35" s="1"/>
  <c r="K3" i="36"/>
  <c r="CI13" i="24"/>
  <c r="CA17" i="24" s="1"/>
  <c r="CH13" i="24"/>
  <c r="AR150" i="38"/>
  <c r="AS150" i="38" s="1"/>
  <c r="AT150" i="38" s="1"/>
  <c r="AU150" i="38" s="1"/>
  <c r="AJ143" i="38"/>
  <c r="AK143" i="38" s="1"/>
  <c r="AL143" i="38" s="1"/>
  <c r="AM143" i="38" s="1"/>
  <c r="B28" i="38" s="1"/>
  <c r="C253" i="38" s="1"/>
  <c r="S7" i="24"/>
  <c r="AU5" i="24"/>
  <c r="CJ101" i="24"/>
  <c r="CM98" i="24"/>
  <c r="AV144" i="37"/>
  <c r="AW144" i="37" s="1"/>
  <c r="AX144" i="37" s="1"/>
  <c r="AY144" i="37" s="1"/>
  <c r="E10" i="37" s="1"/>
  <c r="C263" i="37" s="1"/>
  <c r="AV147" i="37"/>
  <c r="AW147" i="37" s="1"/>
  <c r="AX147" i="37" s="1"/>
  <c r="AY147" i="37" s="1"/>
  <c r="AV145" i="37"/>
  <c r="AW145" i="37" s="1"/>
  <c r="AX145" i="37" s="1"/>
  <c r="AY145" i="37" s="1"/>
  <c r="AV150" i="37"/>
  <c r="AW150" i="37" s="1"/>
  <c r="AX150" i="37" s="1"/>
  <c r="AY150" i="37" s="1"/>
  <c r="AV146" i="37"/>
  <c r="AW146" i="37" s="1"/>
  <c r="AX146" i="37" s="1"/>
  <c r="AY146" i="37" s="1"/>
  <c r="AV143" i="37"/>
  <c r="AW143" i="37" s="1"/>
  <c r="AX143" i="37" s="1"/>
  <c r="AY143" i="37" s="1"/>
  <c r="E9" i="37" s="1"/>
  <c r="C262" i="37" s="1"/>
  <c r="AV148" i="37"/>
  <c r="AW148" i="37" s="1"/>
  <c r="AX148" i="37" s="1"/>
  <c r="AY148" i="37" s="1"/>
  <c r="AV142" i="37"/>
  <c r="AW142" i="37" s="1"/>
  <c r="AX142" i="37" s="1"/>
  <c r="AY142" i="37" s="1"/>
  <c r="E8" i="37" s="1"/>
  <c r="C261" i="37" s="1"/>
  <c r="AV149" i="37"/>
  <c r="AW149" i="37" s="1"/>
  <c r="AX149" i="37" s="1"/>
  <c r="AY149" i="37" s="1"/>
  <c r="CF18" i="24"/>
  <c r="AJ147" i="38"/>
  <c r="AK147" i="38" s="1"/>
  <c r="AL147" i="38" s="1"/>
  <c r="AM147" i="38" s="1"/>
  <c r="T6" i="24"/>
  <c r="BP148" i="37"/>
  <c r="BQ148" i="37" s="1"/>
  <c r="BR148" i="37" s="1"/>
  <c r="BS148" i="37" s="1"/>
  <c r="BP145" i="37"/>
  <c r="BQ145" i="37" s="1"/>
  <c r="BR145" i="37" s="1"/>
  <c r="BS145" i="37" s="1"/>
  <c r="BP143" i="37"/>
  <c r="BQ143" i="37" s="1"/>
  <c r="BR143" i="37" s="1"/>
  <c r="BS143" i="37" s="1"/>
  <c r="K38" i="37" s="1"/>
  <c r="C277" i="37" s="1"/>
  <c r="BP149" i="37"/>
  <c r="BQ149" i="37" s="1"/>
  <c r="BR149" i="37" s="1"/>
  <c r="BS149" i="37" s="1"/>
  <c r="BP147" i="37"/>
  <c r="BQ147" i="37" s="1"/>
  <c r="BR147" i="37" s="1"/>
  <c r="BS147" i="37" s="1"/>
  <c r="BP144" i="37"/>
  <c r="BQ144" i="37" s="1"/>
  <c r="BR144" i="37" s="1"/>
  <c r="BS144" i="37" s="1"/>
  <c r="K39" i="37" s="1"/>
  <c r="C278" i="37" s="1"/>
  <c r="BP142" i="37"/>
  <c r="BQ142" i="37" s="1"/>
  <c r="BR142" i="37" s="1"/>
  <c r="BS142" i="37" s="1"/>
  <c r="K37" i="37" s="1"/>
  <c r="C276" i="37" s="1"/>
  <c r="BP146" i="37"/>
  <c r="BQ146" i="37" s="1"/>
  <c r="BR146" i="37" s="1"/>
  <c r="BS146" i="37" s="1"/>
  <c r="H5" i="8"/>
  <c r="P16" i="35" s="1"/>
  <c r="I6" i="8"/>
  <c r="C92" i="24"/>
  <c r="H130" i="36"/>
  <c r="CF14" i="24"/>
  <c r="AA147" i="37"/>
  <c r="AB147" i="37" s="1"/>
  <c r="AC147" i="37" s="1"/>
  <c r="AD147" i="37" s="1"/>
  <c r="AA142" i="37"/>
  <c r="AB142" i="37" s="1"/>
  <c r="AC142" i="37" s="1"/>
  <c r="AD142" i="37" s="1"/>
  <c r="E37" i="37" s="1"/>
  <c r="C246" i="37" s="1"/>
  <c r="AA143" i="37"/>
  <c r="AB143" i="37" s="1"/>
  <c r="AC143" i="37" s="1"/>
  <c r="AD143" i="37" s="1"/>
  <c r="E38" i="37" s="1"/>
  <c r="C247" i="37" s="1"/>
  <c r="AA149" i="37"/>
  <c r="AB149" i="37" s="1"/>
  <c r="AC149" i="37" s="1"/>
  <c r="AD149" i="37" s="1"/>
  <c r="AA144" i="37"/>
  <c r="AB144" i="37" s="1"/>
  <c r="AC144" i="37" s="1"/>
  <c r="AD144" i="37" s="1"/>
  <c r="E39" i="37" s="1"/>
  <c r="C248" i="37" s="1"/>
  <c r="AA145" i="37"/>
  <c r="AB145" i="37" s="1"/>
  <c r="AC145" i="37" s="1"/>
  <c r="AD145" i="37" s="1"/>
  <c r="AA150" i="37"/>
  <c r="AB150" i="37" s="1"/>
  <c r="AC150" i="37" s="1"/>
  <c r="AD150" i="37" s="1"/>
  <c r="AA148" i="37"/>
  <c r="AB148" i="37" s="1"/>
  <c r="AC148" i="37" s="1"/>
  <c r="AD148" i="37" s="1"/>
  <c r="AA146" i="37"/>
  <c r="AB146" i="37" s="1"/>
  <c r="AC146" i="37" s="1"/>
  <c r="AD146" i="37" s="1"/>
  <c r="AJ150" i="38"/>
  <c r="AK150" i="38" s="1"/>
  <c r="AL150" i="38" s="1"/>
  <c r="AM150" i="38" s="1"/>
  <c r="H11" i="24"/>
  <c r="G11" i="24"/>
  <c r="CF78" i="24"/>
  <c r="CG78" i="24" s="1"/>
  <c r="CH78" i="24" s="1"/>
  <c r="CI78" i="24" s="1"/>
  <c r="CJ78" i="24" s="1"/>
  <c r="CK78" i="24" s="1"/>
  <c r="CL78" i="24" s="1"/>
  <c r="CM78" i="24" s="1"/>
  <c r="CN78" i="24" s="1"/>
  <c r="CO78" i="24" s="1"/>
  <c r="CP78" i="24" s="1"/>
  <c r="BZ55" i="24"/>
  <c r="AF146" i="37"/>
  <c r="AG146" i="37" s="1"/>
  <c r="AH146" i="37" s="1"/>
  <c r="AI146" i="37" s="1"/>
  <c r="AF144" i="37"/>
  <c r="AG144" i="37" s="1"/>
  <c r="AH144" i="37" s="1"/>
  <c r="AI144" i="37" s="1"/>
  <c r="B39" i="37" s="1"/>
  <c r="C251" i="37" s="1"/>
  <c r="AF149" i="37"/>
  <c r="AG149" i="37" s="1"/>
  <c r="AH149" i="37" s="1"/>
  <c r="AI149" i="37" s="1"/>
  <c r="AF145" i="37"/>
  <c r="AG145" i="37" s="1"/>
  <c r="AH145" i="37" s="1"/>
  <c r="AI145" i="37" s="1"/>
  <c r="AF142" i="37"/>
  <c r="AG142" i="37" s="1"/>
  <c r="AH142" i="37" s="1"/>
  <c r="AI142" i="37" s="1"/>
  <c r="B37" i="37" s="1"/>
  <c r="C249" i="37" s="1"/>
  <c r="AF147" i="37"/>
  <c r="AG147" i="37" s="1"/>
  <c r="AH147" i="37" s="1"/>
  <c r="AI147" i="37" s="1"/>
  <c r="AF143" i="37"/>
  <c r="AG143" i="37" s="1"/>
  <c r="AH143" i="37" s="1"/>
  <c r="AI143" i="37" s="1"/>
  <c r="B38" i="37" s="1"/>
  <c r="C250" i="37" s="1"/>
  <c r="AF150" i="37"/>
  <c r="AG150" i="37" s="1"/>
  <c r="AH150" i="37" s="1"/>
  <c r="AI150" i="37" s="1"/>
  <c r="AF148" i="37"/>
  <c r="AG148" i="37" s="1"/>
  <c r="AH148" i="37" s="1"/>
  <c r="AI148" i="37" s="1"/>
  <c r="B35" i="24"/>
  <c r="B37" i="24"/>
  <c r="B36" i="24"/>
  <c r="B34" i="24"/>
  <c r="BL148" i="38"/>
  <c r="BM148" i="38" s="1"/>
  <c r="BN148" i="38" s="1"/>
  <c r="BO148" i="38" s="1"/>
  <c r="AJ145" i="38"/>
  <c r="AK145" i="38" s="1"/>
  <c r="AL145" i="38" s="1"/>
  <c r="AM145" i="38" s="1"/>
  <c r="AJ148" i="38"/>
  <c r="AK148" i="38" s="1"/>
  <c r="AL148" i="38" s="1"/>
  <c r="AM148" i="38" s="1"/>
  <c r="CF72" i="24"/>
  <c r="CE75" i="24" s="1"/>
  <c r="CF75" i="24" s="1"/>
  <c r="CG75" i="24" s="1"/>
  <c r="CH75" i="24" s="1"/>
  <c r="CI75" i="24" s="1"/>
  <c r="CJ75" i="24" s="1"/>
  <c r="CK75" i="24" s="1"/>
  <c r="CL75" i="24" s="1"/>
  <c r="CM75" i="24" s="1"/>
  <c r="CN75" i="24" s="1"/>
  <c r="CO75" i="24" s="1"/>
  <c r="CP75" i="24" s="1"/>
  <c r="BZ58" i="24"/>
  <c r="AJ149" i="38"/>
  <c r="AK149" i="38" s="1"/>
  <c r="AL149" i="38" s="1"/>
  <c r="AM149" i="38" s="1"/>
  <c r="CI62" i="24"/>
  <c r="CL59" i="24"/>
  <c r="BH142" i="37"/>
  <c r="BI142" i="37" s="1"/>
  <c r="BJ142" i="37" s="1"/>
  <c r="BK142" i="37" s="1"/>
  <c r="K17" i="37" s="1"/>
  <c r="C270" i="37" s="1"/>
  <c r="AR142" i="38"/>
  <c r="AS142" i="38" s="1"/>
  <c r="AT142" i="38" s="1"/>
  <c r="AU142" i="38" s="1"/>
  <c r="B7" i="38" s="1"/>
  <c r="C258" i="38" s="1"/>
  <c r="R108" i="35"/>
  <c r="N108" i="35"/>
  <c r="O108" i="35" s="1"/>
  <c r="BD149" i="37"/>
  <c r="BE149" i="37" s="1"/>
  <c r="BF149" i="37" s="1"/>
  <c r="BG149" i="37" s="1"/>
  <c r="BD143" i="37"/>
  <c r="BE143" i="37" s="1"/>
  <c r="BF143" i="37" s="1"/>
  <c r="BG143" i="37" s="1"/>
  <c r="K8" i="37" s="1"/>
  <c r="C268" i="37" s="1"/>
  <c r="BD144" i="37"/>
  <c r="BE144" i="37" s="1"/>
  <c r="BF144" i="37" s="1"/>
  <c r="BG144" i="37" s="1"/>
  <c r="K9" i="37" s="1"/>
  <c r="C269" i="37" s="1"/>
  <c r="BD146" i="37"/>
  <c r="BE146" i="37" s="1"/>
  <c r="BF146" i="37" s="1"/>
  <c r="BG146" i="37" s="1"/>
  <c r="BD150" i="37"/>
  <c r="BE150" i="37" s="1"/>
  <c r="BF150" i="37" s="1"/>
  <c r="BG150" i="37" s="1"/>
  <c r="BD142" i="37"/>
  <c r="BE142" i="37" s="1"/>
  <c r="BF142" i="37" s="1"/>
  <c r="BG142" i="37" s="1"/>
  <c r="K7" i="37" s="1"/>
  <c r="C267" i="37" s="1"/>
  <c r="BD145" i="37"/>
  <c r="BE145" i="37" s="1"/>
  <c r="BF145" i="37" s="1"/>
  <c r="BG145" i="37" s="1"/>
  <c r="BD148" i="37"/>
  <c r="BE148" i="37" s="1"/>
  <c r="BF148" i="37" s="1"/>
  <c r="BG148" i="37" s="1"/>
  <c r="BD147" i="37"/>
  <c r="BE147" i="37" s="1"/>
  <c r="BF147" i="37" s="1"/>
  <c r="BG147" i="37" s="1"/>
  <c r="CJ62" i="24"/>
  <c r="CM59" i="24"/>
  <c r="CL117" i="24"/>
  <c r="CM117" i="24" s="1"/>
  <c r="CN117" i="24" s="1"/>
  <c r="CO117" i="24" s="1"/>
  <c r="CP117" i="24" s="1"/>
  <c r="BZ94" i="24"/>
  <c r="CI101" i="24"/>
  <c r="CL98" i="24"/>
  <c r="CH20" i="24"/>
  <c r="CG23" i="24" s="1"/>
  <c r="S6" i="24"/>
  <c r="AJ146" i="38"/>
  <c r="AK146" i="38" s="1"/>
  <c r="AL146" i="38" s="1"/>
  <c r="AM146" i="38" s="1"/>
  <c r="BZ97" i="24"/>
  <c r="CF111" i="24"/>
  <c r="CE114" i="24" s="1"/>
  <c r="CF114" i="24" s="1"/>
  <c r="CG114" i="24" s="1"/>
  <c r="CH114" i="24" s="1"/>
  <c r="CI114" i="24" s="1"/>
  <c r="CJ114" i="24" s="1"/>
  <c r="CK114" i="24" s="1"/>
  <c r="CL114" i="24" s="1"/>
  <c r="CM114" i="24" s="1"/>
  <c r="CN114" i="24" s="1"/>
  <c r="CO114" i="24" s="1"/>
  <c r="CP114" i="24" s="1"/>
  <c r="AG134" i="37"/>
  <c r="AJ149" i="37" s="1"/>
  <c r="AK149" i="37" s="1"/>
  <c r="AL149" i="37" s="1"/>
  <c r="AM149" i="37" s="1"/>
  <c r="E136" i="36"/>
  <c r="E137" i="36" s="1"/>
  <c r="F137" i="36" s="1"/>
  <c r="Q17" i="35" s="1"/>
  <c r="Q15" i="35" s="1"/>
  <c r="S24" i="36" s="1"/>
  <c r="T24" i="36" s="1"/>
  <c r="CO61" i="24"/>
  <c r="CN61" i="24"/>
  <c r="CQ61" i="24"/>
  <c r="CM61" i="24"/>
  <c r="CS61" i="24"/>
  <c r="CI61" i="24"/>
  <c r="CH61" i="24"/>
  <c r="CL61" i="24"/>
  <c r="CJ61" i="24"/>
  <c r="CP61" i="24"/>
  <c r="CG61" i="24"/>
  <c r="CR61" i="24"/>
  <c r="CK61" i="24"/>
  <c r="AN142" i="37"/>
  <c r="AO142" i="37" s="1"/>
  <c r="AP142" i="37" s="1"/>
  <c r="AQ142" i="37" s="1"/>
  <c r="B17" i="37" s="1"/>
  <c r="C255" i="37" s="1"/>
  <c r="AN146" i="37"/>
  <c r="AO146" i="37" s="1"/>
  <c r="AP146" i="37" s="1"/>
  <c r="AQ146" i="37" s="1"/>
  <c r="AN144" i="37"/>
  <c r="AO144" i="37" s="1"/>
  <c r="AP144" i="37" s="1"/>
  <c r="AQ144" i="37" s="1"/>
  <c r="B19" i="37" s="1"/>
  <c r="C257" i="37" s="1"/>
  <c r="AN150" i="37"/>
  <c r="AO150" i="37" s="1"/>
  <c r="AP150" i="37" s="1"/>
  <c r="AQ150" i="37" s="1"/>
  <c r="AN148" i="37"/>
  <c r="AO148" i="37" s="1"/>
  <c r="AP148" i="37" s="1"/>
  <c r="AQ148" i="37" s="1"/>
  <c r="AN145" i="37"/>
  <c r="AO145" i="37" s="1"/>
  <c r="AP145" i="37" s="1"/>
  <c r="AQ145" i="37" s="1"/>
  <c r="AN147" i="37"/>
  <c r="AO147" i="37" s="1"/>
  <c r="AP147" i="37" s="1"/>
  <c r="AQ147" i="37" s="1"/>
  <c r="AN149" i="37"/>
  <c r="AO149" i="37" s="1"/>
  <c r="AP149" i="37" s="1"/>
  <c r="AQ149" i="37" s="1"/>
  <c r="AN143" i="37"/>
  <c r="AO143" i="37" s="1"/>
  <c r="AP143" i="37" s="1"/>
  <c r="AQ143" i="37" s="1"/>
  <c r="B18" i="37" s="1"/>
  <c r="C256" i="37" s="1"/>
  <c r="BL150" i="37"/>
  <c r="BM150" i="37" s="1"/>
  <c r="BN150" i="37" s="1"/>
  <c r="BO150" i="37" s="1"/>
  <c r="BL143" i="37"/>
  <c r="BM143" i="37" s="1"/>
  <c r="BN143" i="37" s="1"/>
  <c r="BO143" i="37" s="1"/>
  <c r="K28" i="37" s="1"/>
  <c r="C274" i="37" s="1"/>
  <c r="BL145" i="37"/>
  <c r="BM145" i="37" s="1"/>
  <c r="BN145" i="37" s="1"/>
  <c r="BO145" i="37" s="1"/>
  <c r="V145" i="37"/>
  <c r="W145" i="37" s="1"/>
  <c r="X145" i="37" s="1"/>
  <c r="Y145" i="37" s="1"/>
  <c r="V144" i="37"/>
  <c r="W144" i="37" s="1"/>
  <c r="X144" i="37" s="1"/>
  <c r="Y144" i="37" s="1"/>
  <c r="H39" i="37" s="1"/>
  <c r="C245" i="37" s="1"/>
  <c r="V142" i="37"/>
  <c r="W142" i="37" s="1"/>
  <c r="X142" i="37" s="1"/>
  <c r="Y142" i="37" s="1"/>
  <c r="H37" i="37" s="1"/>
  <c r="C243" i="37" s="1"/>
  <c r="V148" i="37"/>
  <c r="W148" i="37" s="1"/>
  <c r="X148" i="37" s="1"/>
  <c r="Y148" i="37" s="1"/>
  <c r="V149" i="37"/>
  <c r="W149" i="37" s="1"/>
  <c r="X149" i="37" s="1"/>
  <c r="Y149" i="37" s="1"/>
  <c r="V147" i="37"/>
  <c r="W147" i="37" s="1"/>
  <c r="X147" i="37" s="1"/>
  <c r="Y147" i="37" s="1"/>
  <c r="V146" i="37"/>
  <c r="W146" i="37" s="1"/>
  <c r="X146" i="37" s="1"/>
  <c r="Y146" i="37" s="1"/>
  <c r="V143" i="37"/>
  <c r="W143" i="37" s="1"/>
  <c r="X143" i="37" s="1"/>
  <c r="Y143" i="37" s="1"/>
  <c r="H38" i="37" s="1"/>
  <c r="C244" i="37" s="1"/>
  <c r="V150" i="37"/>
  <c r="W150" i="37" s="1"/>
  <c r="X150" i="37" s="1"/>
  <c r="Y150" i="37" s="1"/>
  <c r="AZ150" i="37"/>
  <c r="BA150" i="37" s="1"/>
  <c r="BB150" i="37" s="1"/>
  <c r="BC150" i="37" s="1"/>
  <c r="AZ145" i="37"/>
  <c r="BA145" i="37" s="1"/>
  <c r="BB145" i="37" s="1"/>
  <c r="BC145" i="37" s="1"/>
  <c r="AZ142" i="37"/>
  <c r="BA142" i="37" s="1"/>
  <c r="BB142" i="37" s="1"/>
  <c r="BC142" i="37" s="1"/>
  <c r="H8" i="37" s="1"/>
  <c r="C264" i="37" s="1"/>
  <c r="AZ149" i="37"/>
  <c r="BA149" i="37" s="1"/>
  <c r="BB149" i="37" s="1"/>
  <c r="BC149" i="37" s="1"/>
  <c r="AZ146" i="37"/>
  <c r="BA146" i="37" s="1"/>
  <c r="BB146" i="37" s="1"/>
  <c r="BC146" i="37" s="1"/>
  <c r="AZ144" i="37"/>
  <c r="BA144" i="37" s="1"/>
  <c r="BB144" i="37" s="1"/>
  <c r="BC144" i="37" s="1"/>
  <c r="H10" i="37" s="1"/>
  <c r="C266" i="37" s="1"/>
  <c r="AZ143" i="37"/>
  <c r="BA143" i="37" s="1"/>
  <c r="BB143" i="37" s="1"/>
  <c r="BC143" i="37" s="1"/>
  <c r="H9" i="37" s="1"/>
  <c r="C265" i="37" s="1"/>
  <c r="AZ147" i="37"/>
  <c r="BA147" i="37" s="1"/>
  <c r="BB147" i="37" s="1"/>
  <c r="BC147" i="37" s="1"/>
  <c r="AZ148" i="37"/>
  <c r="BA148" i="37" s="1"/>
  <c r="BB148" i="37" s="1"/>
  <c r="BC148" i="37" s="1"/>
  <c r="CI100" i="24"/>
  <c r="CG100" i="24"/>
  <c r="CS100" i="24"/>
  <c r="CO100" i="24"/>
  <c r="CK100" i="24"/>
  <c r="CN100" i="24"/>
  <c r="CJ100" i="24"/>
  <c r="CR100" i="24"/>
  <c r="CH100" i="24"/>
  <c r="CL100" i="24"/>
  <c r="CQ100" i="24"/>
  <c r="CM100" i="24"/>
  <c r="CP100" i="24"/>
  <c r="Q107" i="35"/>
  <c r="P107" i="35"/>
  <c r="AX136" i="38"/>
  <c r="AX137" i="38" s="1"/>
  <c r="AX138" i="38" s="1"/>
  <c r="AX139" i="38" s="1"/>
  <c r="AY135" i="38"/>
  <c r="CI20" i="24" l="1"/>
  <c r="CH23" i="24" s="1"/>
  <c r="N17" i="35"/>
  <c r="N20" i="35" s="1"/>
  <c r="M20" i="35" s="1"/>
  <c r="I20" i="24"/>
  <c r="J20" i="24"/>
  <c r="F8" i="8"/>
  <c r="E129" i="36" s="1"/>
  <c r="F11" i="24"/>
  <c r="AR145" i="37"/>
  <c r="AS145" i="37" s="1"/>
  <c r="AT145" i="37" s="1"/>
  <c r="AU145" i="37" s="1"/>
  <c r="AR143" i="38"/>
  <c r="AS143" i="38" s="1"/>
  <c r="AT143" i="38" s="1"/>
  <c r="AU143" i="38" s="1"/>
  <c r="B8" i="38" s="1"/>
  <c r="C259" i="38" s="1"/>
  <c r="AR142" i="37"/>
  <c r="AS142" i="37" s="1"/>
  <c r="AT142" i="37" s="1"/>
  <c r="AU142" i="37" s="1"/>
  <c r="B7" i="37" s="1"/>
  <c r="C258" i="37" s="1"/>
  <c r="AL138" i="37"/>
  <c r="AL139" i="37" s="1"/>
  <c r="AM137" i="37"/>
  <c r="AR150" i="37" s="1"/>
  <c r="AS150" i="37" s="1"/>
  <c r="AT150" i="37" s="1"/>
  <c r="AU150" i="37" s="1"/>
  <c r="P17" i="35"/>
  <c r="P18" i="35"/>
  <c r="BH148" i="38"/>
  <c r="BI148" i="38" s="1"/>
  <c r="BJ148" i="38" s="1"/>
  <c r="BK148" i="38" s="1"/>
  <c r="BH149" i="38"/>
  <c r="BI149" i="38" s="1"/>
  <c r="BJ149" i="38" s="1"/>
  <c r="BK149" i="38" s="1"/>
  <c r="BH145" i="38"/>
  <c r="BI145" i="38" s="1"/>
  <c r="BJ145" i="38" s="1"/>
  <c r="BK145" i="38" s="1"/>
  <c r="J4" i="36"/>
  <c r="H102" i="36"/>
  <c r="H107" i="36" s="1"/>
  <c r="B117" i="36" s="1"/>
  <c r="B118" i="36" s="1"/>
  <c r="B119" i="36" s="1"/>
  <c r="B120" i="36" s="1"/>
  <c r="C131" i="36"/>
  <c r="I102" i="36"/>
  <c r="I107" i="36" s="1"/>
  <c r="C117" i="36" s="1"/>
  <c r="C118" i="36" s="1"/>
  <c r="C119" i="36" s="1"/>
  <c r="C120" i="36" s="1"/>
  <c r="J102" i="36"/>
  <c r="J107" i="36" s="1"/>
  <c r="D117" i="36" s="1"/>
  <c r="D118" i="36" s="1"/>
  <c r="D119" i="36" s="1"/>
  <c r="D120" i="36" s="1"/>
  <c r="F89" i="36"/>
  <c r="AX136" i="37"/>
  <c r="AX137" i="37" s="1"/>
  <c r="AX138" i="37" s="1"/>
  <c r="AX139" i="37" s="1"/>
  <c r="AY135" i="37"/>
  <c r="G18" i="37"/>
  <c r="G18" i="38"/>
  <c r="AJ148" i="37"/>
  <c r="AK148" i="37" s="1"/>
  <c r="AL148" i="37" s="1"/>
  <c r="AM148" i="37" s="1"/>
  <c r="BL146" i="37"/>
  <c r="BM146" i="37" s="1"/>
  <c r="BN146" i="37" s="1"/>
  <c r="BO146" i="37" s="1"/>
  <c r="CK62" i="24"/>
  <c r="CN59" i="24"/>
  <c r="BL149" i="37"/>
  <c r="BM149" i="37" s="1"/>
  <c r="BN149" i="37" s="1"/>
  <c r="BO149" i="37" s="1"/>
  <c r="BH143" i="38"/>
  <c r="BI143" i="38" s="1"/>
  <c r="BJ143" i="38" s="1"/>
  <c r="BK143" i="38" s="1"/>
  <c r="K18" i="38" s="1"/>
  <c r="C271" i="38" s="1"/>
  <c r="P1" i="35"/>
  <c r="CK14" i="24"/>
  <c r="CL14" i="24" s="1"/>
  <c r="CM14" i="24" s="1"/>
  <c r="CF20" i="24"/>
  <c r="BY19" i="24"/>
  <c r="P108" i="35"/>
  <c r="Q108" i="35"/>
  <c r="L105" i="35" s="1"/>
  <c r="L106" i="35" s="1"/>
  <c r="L107" i="35" s="1"/>
  <c r="AR148" i="38"/>
  <c r="AS148" i="38" s="1"/>
  <c r="AT148" i="38" s="1"/>
  <c r="AU148" i="38" s="1"/>
  <c r="CL101" i="24"/>
  <c r="CO98" i="24"/>
  <c r="AR143" i="37"/>
  <c r="AS143" i="37" s="1"/>
  <c r="AT143" i="37" s="1"/>
  <c r="AU143" i="37" s="1"/>
  <c r="B8" i="37" s="1"/>
  <c r="C259" i="37" s="1"/>
  <c r="O15" i="35"/>
  <c r="G4" i="35" s="1"/>
  <c r="R4" i="35" s="1"/>
  <c r="AJ143" i="37"/>
  <c r="AK143" i="37" s="1"/>
  <c r="AL143" i="37" s="1"/>
  <c r="AM143" i="37" s="1"/>
  <c r="B28" i="37" s="1"/>
  <c r="C253" i="37" s="1"/>
  <c r="F7" i="8"/>
  <c r="E128" i="36" s="1"/>
  <c r="G19" i="24"/>
  <c r="V20" i="24"/>
  <c r="C87" i="24"/>
  <c r="F12" i="24"/>
  <c r="CL62" i="24"/>
  <c r="CO59" i="24"/>
  <c r="N19" i="35"/>
  <c r="N21" i="35" s="1"/>
  <c r="N22" i="35" s="1"/>
  <c r="M22" i="35" s="1"/>
  <c r="O22" i="35" s="1"/>
  <c r="AR144" i="38"/>
  <c r="AS144" i="38" s="1"/>
  <c r="AT144" i="38" s="1"/>
  <c r="AU144" i="38" s="1"/>
  <c r="B9" i="38" s="1"/>
  <c r="C260" i="38" s="1"/>
  <c r="AR146" i="38"/>
  <c r="AS146" i="38" s="1"/>
  <c r="AT146" i="38" s="1"/>
  <c r="AU146" i="38" s="1"/>
  <c r="BL142" i="37"/>
  <c r="BM142" i="37" s="1"/>
  <c r="BN142" i="37" s="1"/>
  <c r="BO142" i="37" s="1"/>
  <c r="K27" i="37" s="1"/>
  <c r="C273" i="37" s="1"/>
  <c r="L17" i="36"/>
  <c r="Q24" i="36"/>
  <c r="R54" i="36"/>
  <c r="R55" i="36"/>
  <c r="BH147" i="38"/>
  <c r="BI147" i="38" s="1"/>
  <c r="BJ147" i="38" s="1"/>
  <c r="BK147" i="38" s="1"/>
  <c r="AR146" i="37"/>
  <c r="AS146" i="37" s="1"/>
  <c r="AT146" i="37" s="1"/>
  <c r="AU146" i="37" s="1"/>
  <c r="AR144" i="37"/>
  <c r="AS144" i="37" s="1"/>
  <c r="AT144" i="37" s="1"/>
  <c r="AU144" i="37" s="1"/>
  <c r="B9" i="37" s="1"/>
  <c r="C260" i="37" s="1"/>
  <c r="AJ145" i="37"/>
  <c r="AK145" i="37" s="1"/>
  <c r="AL145" i="37" s="1"/>
  <c r="AM145" i="37" s="1"/>
  <c r="BL147" i="37"/>
  <c r="BM147" i="37" s="1"/>
  <c r="BN147" i="37" s="1"/>
  <c r="BO147" i="37" s="1"/>
  <c r="BH144" i="38"/>
  <c r="BI144" i="38" s="1"/>
  <c r="BJ144" i="38" s="1"/>
  <c r="BK144" i="38" s="1"/>
  <c r="K19" i="38" s="1"/>
  <c r="C272" i="38" s="1"/>
  <c r="O35" i="36"/>
  <c r="O38" i="36"/>
  <c r="O28" i="36"/>
  <c r="O29" i="36"/>
  <c r="O34" i="36"/>
  <c r="M37" i="36"/>
  <c r="AU33" i="36" s="1"/>
  <c r="O43" i="36"/>
  <c r="AU30" i="36" s="1"/>
  <c r="O31" i="36"/>
  <c r="AU31" i="36" s="1"/>
  <c r="M32" i="36"/>
  <c r="I2" i="36"/>
  <c r="N15" i="36"/>
  <c r="C122" i="36"/>
  <c r="C123" i="36" s="1"/>
  <c r="C124" i="36" s="1"/>
  <c r="C125" i="36" s="1"/>
  <c r="N11" i="36"/>
  <c r="B122" i="36"/>
  <c r="B123" i="36" s="1"/>
  <c r="B124" i="36" s="1"/>
  <c r="B125" i="36" s="1"/>
  <c r="D122" i="36"/>
  <c r="D123" i="36" s="1"/>
  <c r="D124" i="36" s="1"/>
  <c r="D125" i="36" s="1"/>
  <c r="BL144" i="37"/>
  <c r="BM144" i="37" s="1"/>
  <c r="BN144" i="37" s="1"/>
  <c r="BO144" i="37" s="1"/>
  <c r="K29" i="37" s="1"/>
  <c r="C275" i="37" s="1"/>
  <c r="CK101" i="24"/>
  <c r="CN98" i="24"/>
  <c r="H3" i="36"/>
  <c r="N25" i="36" s="1"/>
  <c r="N14" i="35"/>
  <c r="O14" i="35" s="1"/>
  <c r="E4" i="35" s="1"/>
  <c r="R3" i="35" s="1"/>
  <c r="AR149" i="37"/>
  <c r="AS149" i="37" s="1"/>
  <c r="AT149" i="37" s="1"/>
  <c r="AU149" i="37" s="1"/>
  <c r="N26" i="36"/>
  <c r="E88" i="36"/>
  <c r="J2" i="36" s="1"/>
  <c r="AJ144" i="37"/>
  <c r="AK144" i="37" s="1"/>
  <c r="AL144" i="37" s="1"/>
  <c r="AM144" i="37" s="1"/>
  <c r="B29" i="37" s="1"/>
  <c r="C254" i="37" s="1"/>
  <c r="F35" i="8"/>
  <c r="BZ17" i="24"/>
  <c r="CH33" i="24"/>
  <c r="CE39" i="24" s="1"/>
  <c r="CF39" i="24" s="1"/>
  <c r="CG39" i="24" s="1"/>
  <c r="CH39" i="24" s="1"/>
  <c r="CI39" i="24" s="1"/>
  <c r="CJ39" i="24" s="1"/>
  <c r="CK39" i="24" s="1"/>
  <c r="CL39" i="24" s="1"/>
  <c r="A38" i="24"/>
  <c r="D38" i="24"/>
  <c r="E38" i="24"/>
  <c r="F38" i="24"/>
  <c r="C38" i="24"/>
  <c r="BH146" i="38"/>
  <c r="BI146" i="38" s="1"/>
  <c r="BJ146" i="38" s="1"/>
  <c r="BK146" i="38" s="1"/>
  <c r="V21" i="24"/>
  <c r="G12" i="24"/>
  <c r="H12" i="24"/>
  <c r="AR147" i="37"/>
  <c r="AS147" i="37" s="1"/>
  <c r="AT147" i="37" s="1"/>
  <c r="AU147" i="37" s="1"/>
  <c r="AR147" i="38"/>
  <c r="AS147" i="38" s="1"/>
  <c r="AT147" i="38" s="1"/>
  <c r="AU147" i="38" s="1"/>
  <c r="AJ146" i="37"/>
  <c r="AK146" i="37" s="1"/>
  <c r="AL146" i="37" s="1"/>
  <c r="AM146" i="37" s="1"/>
  <c r="AR145" i="38"/>
  <c r="AS145" i="38" s="1"/>
  <c r="AT145" i="38" s="1"/>
  <c r="AU145" i="38" s="1"/>
  <c r="I16" i="24"/>
  <c r="J16" i="24"/>
  <c r="BH150" i="38"/>
  <c r="BI150" i="38" s="1"/>
  <c r="BJ150" i="38" s="1"/>
  <c r="BK150" i="38" s="1"/>
  <c r="CJ20" i="24" l="1"/>
  <c r="CK20" i="24" s="1"/>
  <c r="R5" i="35"/>
  <c r="R6" i="35" s="1"/>
  <c r="O1" i="35" s="1"/>
  <c r="AU28" i="36"/>
  <c r="AX28" i="36" s="1"/>
  <c r="AK28" i="36"/>
  <c r="AK33" i="36"/>
  <c r="CI15" i="24"/>
  <c r="CA19" i="24" s="1"/>
  <c r="CH15" i="24"/>
  <c r="O57" i="36"/>
  <c r="O58" i="36"/>
  <c r="AF49" i="36"/>
  <c r="AF50" i="36"/>
  <c r="AF48" i="36"/>
  <c r="AF51" i="36"/>
  <c r="AX31" i="36"/>
  <c r="F16" i="8"/>
  <c r="X9" i="24"/>
  <c r="J13" i="24"/>
  <c r="I13" i="24"/>
  <c r="CR21" i="24"/>
  <c r="CG21" i="24"/>
  <c r="CM21" i="24"/>
  <c r="CS21" i="24"/>
  <c r="CN21" i="24"/>
  <c r="CP21" i="24"/>
  <c r="CO21" i="24"/>
  <c r="CQ21" i="24"/>
  <c r="CK21" i="24"/>
  <c r="CL21" i="24"/>
  <c r="CJ21" i="24"/>
  <c r="CI21" i="24"/>
  <c r="CH21" i="24"/>
  <c r="P19" i="35"/>
  <c r="Q19" i="35" s="1"/>
  <c r="Q21" i="35" s="1"/>
  <c r="P20" i="35"/>
  <c r="Q20" i="35" s="1"/>
  <c r="F19" i="8"/>
  <c r="F32" i="8"/>
  <c r="F36" i="8"/>
  <c r="D87" i="24"/>
  <c r="E87" i="24" s="1"/>
  <c r="V9" i="24"/>
  <c r="F15" i="8"/>
  <c r="O2" i="35"/>
  <c r="O3" i="35"/>
  <c r="F128" i="36"/>
  <c r="G128" i="36" s="1"/>
  <c r="N60" i="36"/>
  <c r="AN33" i="36"/>
  <c r="J12" i="24"/>
  <c r="I12" i="24"/>
  <c r="F129" i="36"/>
  <c r="H129" i="36" s="1"/>
  <c r="CN101" i="24"/>
  <c r="CQ98" i="24"/>
  <c r="B126" i="36"/>
  <c r="N14" i="36" s="1"/>
  <c r="AK31" i="36"/>
  <c r="H84" i="38"/>
  <c r="S82" i="38" s="1"/>
  <c r="H82" i="38"/>
  <c r="H85" i="38"/>
  <c r="Q146" i="38" s="1"/>
  <c r="H86" i="38"/>
  <c r="Q145" i="38" s="1"/>
  <c r="N35" i="38"/>
  <c r="I103" i="38"/>
  <c r="H81" i="38"/>
  <c r="H83" i="38"/>
  <c r="S81" i="38" s="1"/>
  <c r="CM101" i="24"/>
  <c r="CP98" i="24"/>
  <c r="E19" i="8"/>
  <c r="E20" i="8"/>
  <c r="D33" i="8"/>
  <c r="H84" i="37"/>
  <c r="S82" i="37" s="1"/>
  <c r="H85" i="37"/>
  <c r="Q146" i="37" s="1"/>
  <c r="H82" i="37"/>
  <c r="H83" i="37"/>
  <c r="S81" i="37" s="1"/>
  <c r="H86" i="37"/>
  <c r="Q145" i="37" s="1"/>
  <c r="N35" i="37"/>
  <c r="H81" i="37"/>
  <c r="I103" i="37"/>
  <c r="CM62" i="24"/>
  <c r="CP59" i="24"/>
  <c r="AX33" i="36"/>
  <c r="BH148" i="37"/>
  <c r="BI148" i="37" s="1"/>
  <c r="BJ148" i="37" s="1"/>
  <c r="BK148" i="37" s="1"/>
  <c r="BH150" i="37"/>
  <c r="BI150" i="37" s="1"/>
  <c r="BJ150" i="37" s="1"/>
  <c r="BK150" i="37" s="1"/>
  <c r="BH147" i="37"/>
  <c r="BI147" i="37" s="1"/>
  <c r="BJ147" i="37" s="1"/>
  <c r="BK147" i="37" s="1"/>
  <c r="BH144" i="37"/>
  <c r="BI144" i="37" s="1"/>
  <c r="BJ144" i="37" s="1"/>
  <c r="BK144" i="37" s="1"/>
  <c r="K19" i="37" s="1"/>
  <c r="C272" i="37" s="1"/>
  <c r="BH143" i="37"/>
  <c r="BI143" i="37" s="1"/>
  <c r="BJ143" i="37" s="1"/>
  <c r="BK143" i="37" s="1"/>
  <c r="K18" i="37" s="1"/>
  <c r="C271" i="37" s="1"/>
  <c r="BH145" i="37"/>
  <c r="BI145" i="37" s="1"/>
  <c r="BJ145" i="37" s="1"/>
  <c r="BK145" i="37" s="1"/>
  <c r="BH149" i="37"/>
  <c r="BI149" i="37" s="1"/>
  <c r="BJ149" i="37" s="1"/>
  <c r="BK149" i="37" s="1"/>
  <c r="O41" i="36"/>
  <c r="O46" i="36"/>
  <c r="O49" i="36"/>
  <c r="M61" i="36"/>
  <c r="M40" i="36"/>
  <c r="O52" i="36"/>
  <c r="I101" i="36"/>
  <c r="I106" i="36" s="1"/>
  <c r="C112" i="36" s="1"/>
  <c r="C113" i="36" s="1"/>
  <c r="C114" i="36" s="1"/>
  <c r="C115" i="36" s="1"/>
  <c r="M58" i="36"/>
  <c r="C130" i="36"/>
  <c r="G4" i="36"/>
  <c r="AF31" i="36"/>
  <c r="F88" i="36"/>
  <c r="H2" i="36" s="1"/>
  <c r="AF28" i="36"/>
  <c r="AF30" i="36"/>
  <c r="J101" i="36"/>
  <c r="J106" i="36" s="1"/>
  <c r="D112" i="36" s="1"/>
  <c r="D113" i="36" s="1"/>
  <c r="D114" i="36" s="1"/>
  <c r="D115" i="36" s="1"/>
  <c r="H101" i="36"/>
  <c r="H106" i="36" s="1"/>
  <c r="B112" i="36" s="1"/>
  <c r="B113" i="36" s="1"/>
  <c r="B114" i="36" s="1"/>
  <c r="B115" i="36" s="1"/>
  <c r="AF33" i="36"/>
  <c r="CM39" i="24"/>
  <c r="CN39" i="24" s="1"/>
  <c r="CO39" i="24" s="1"/>
  <c r="CP39" i="24" s="1"/>
  <c r="BZ16" i="24" s="1"/>
  <c r="J21" i="24"/>
  <c r="I21" i="24"/>
  <c r="Q25" i="36"/>
  <c r="AK48" i="36"/>
  <c r="AR148" i="37"/>
  <c r="AS148" i="37" s="1"/>
  <c r="AT148" i="37" s="1"/>
  <c r="AU148" i="37" s="1"/>
  <c r="CN62" i="24"/>
  <c r="CQ59" i="24"/>
  <c r="BH146" i="37"/>
  <c r="BI146" i="37" s="1"/>
  <c r="BJ146" i="37" s="1"/>
  <c r="BK146" i="37" s="1"/>
  <c r="I3" i="8"/>
  <c r="P12" i="35" s="1"/>
  <c r="P13" i="35" s="1"/>
  <c r="F33" i="8"/>
  <c r="F20" i="8"/>
  <c r="L108" i="35"/>
  <c r="E44" i="35"/>
  <c r="I17" i="24"/>
  <c r="J17" i="24"/>
  <c r="B121" i="36"/>
  <c r="J5" i="36" s="1"/>
  <c r="AK30" i="36"/>
  <c r="CI23" i="24" l="1"/>
  <c r="AF24" i="36"/>
  <c r="H128" i="36"/>
  <c r="B3" i="36" s="1"/>
  <c r="O4" i="35"/>
  <c r="P5" i="35" s="1"/>
  <c r="O6" i="35" s="1"/>
  <c r="E3" i="36"/>
  <c r="N13" i="35"/>
  <c r="G133" i="36"/>
  <c r="Q12" i="35" s="1"/>
  <c r="A3" i="36"/>
  <c r="M12" i="35"/>
  <c r="AU4" i="24"/>
  <c r="CJ23" i="24"/>
  <c r="M97" i="35"/>
  <c r="M96" i="35"/>
  <c r="M95" i="35"/>
  <c r="M94" i="35"/>
  <c r="M99" i="35"/>
  <c r="G46" i="35"/>
  <c r="G50" i="35"/>
  <c r="M100" i="35"/>
  <c r="M98" i="35"/>
  <c r="G44" i="35"/>
  <c r="H23" i="24"/>
  <c r="CO62" i="24"/>
  <c r="CR59" i="24"/>
  <c r="CQ62" i="24" s="1"/>
  <c r="AI28" i="36"/>
  <c r="AK82" i="37"/>
  <c r="AT82" i="37"/>
  <c r="AW82" i="37"/>
  <c r="BC82" i="37"/>
  <c r="AQ82" i="37"/>
  <c r="AH82" i="37"/>
  <c r="AB82" i="37"/>
  <c r="AE82" i="37"/>
  <c r="AZ82" i="37"/>
  <c r="Y82" i="37"/>
  <c r="V82" i="37"/>
  <c r="AN82" i="37"/>
  <c r="AH154" i="38"/>
  <c r="AN154" i="38"/>
  <c r="Y154" i="38"/>
  <c r="AQ154" i="38"/>
  <c r="AE154" i="38"/>
  <c r="AB154" i="38"/>
  <c r="V154" i="38"/>
  <c r="AK154" i="38"/>
  <c r="AT154" i="38"/>
  <c r="AZ154" i="38"/>
  <c r="AW154" i="38"/>
  <c r="BC154" i="38"/>
  <c r="AI50" i="36"/>
  <c r="AK81" i="37"/>
  <c r="AE81" i="37"/>
  <c r="AN81" i="37"/>
  <c r="AW81" i="37"/>
  <c r="AZ81" i="37"/>
  <c r="AH81" i="37"/>
  <c r="BC81" i="37"/>
  <c r="AB81" i="37"/>
  <c r="AT81" i="37"/>
  <c r="Y81" i="37"/>
  <c r="AQ81" i="37"/>
  <c r="V81" i="37"/>
  <c r="S68" i="37"/>
  <c r="I86" i="37"/>
  <c r="B116" i="36"/>
  <c r="G5" i="36" s="1"/>
  <c r="AI48" i="36"/>
  <c r="AI49" i="36"/>
  <c r="AH24" i="36"/>
  <c r="AI24" i="36"/>
  <c r="CP62" i="24"/>
  <c r="CS59" i="24"/>
  <c r="CR62" i="24" s="1"/>
  <c r="CO101" i="24"/>
  <c r="CR98" i="24"/>
  <c r="CQ101" i="24" s="1"/>
  <c r="CP101" i="24"/>
  <c r="CS98" i="24"/>
  <c r="CR101" i="24" s="1"/>
  <c r="AU24" i="36"/>
  <c r="AK24" i="36"/>
  <c r="AW81" i="38"/>
  <c r="AT81" i="38"/>
  <c r="BC81" i="38"/>
  <c r="V81" i="38"/>
  <c r="AE81" i="38"/>
  <c r="Y81" i="38"/>
  <c r="AZ81" i="38"/>
  <c r="AK81" i="38"/>
  <c r="AN81" i="38"/>
  <c r="AQ81" i="38"/>
  <c r="AH81" i="38"/>
  <c r="AB81" i="38"/>
  <c r="S68" i="38"/>
  <c r="I86" i="38"/>
  <c r="AI30" i="36"/>
  <c r="AU3" i="24"/>
  <c r="CF33" i="24"/>
  <c r="CE36" i="24" s="1"/>
  <c r="CF36" i="24" s="1"/>
  <c r="CG36" i="24" s="1"/>
  <c r="CH36" i="24" s="1"/>
  <c r="CI36" i="24" s="1"/>
  <c r="CJ36" i="24" s="1"/>
  <c r="CK36" i="24" s="1"/>
  <c r="CL36" i="24" s="1"/>
  <c r="CM36" i="24" s="1"/>
  <c r="CN36" i="24" s="1"/>
  <c r="CO36" i="24" s="1"/>
  <c r="CP36" i="24" s="1"/>
  <c r="BZ19" i="24"/>
  <c r="BZ20" i="24" s="1"/>
  <c r="V153" i="37"/>
  <c r="BC153" i="37"/>
  <c r="AK153" i="37"/>
  <c r="AQ153" i="37"/>
  <c r="AE153" i="37"/>
  <c r="Y153" i="37"/>
  <c r="AT153" i="37"/>
  <c r="AZ153" i="37"/>
  <c r="AB153" i="37"/>
  <c r="AW153" i="37"/>
  <c r="AN153" i="37"/>
  <c r="AH153" i="37"/>
  <c r="S67" i="38"/>
  <c r="I81" i="38"/>
  <c r="AI33" i="36"/>
  <c r="N57" i="36"/>
  <c r="N55" i="36" s="1"/>
  <c r="O60" i="36" s="1"/>
  <c r="N61" i="36" s="1"/>
  <c r="N58" i="36"/>
  <c r="N56" i="36" s="1"/>
  <c r="B7" i="36"/>
  <c r="N12" i="35"/>
  <c r="AW82" i="38"/>
  <c r="AE82" i="38"/>
  <c r="AT82" i="38"/>
  <c r="AN82" i="38"/>
  <c r="V82" i="38"/>
  <c r="AK82" i="38"/>
  <c r="AZ82" i="38"/>
  <c r="AB82" i="38"/>
  <c r="AQ82" i="38"/>
  <c r="Y82" i="38"/>
  <c r="BC82" i="38"/>
  <c r="AH82" i="38"/>
  <c r="P14" i="35"/>
  <c r="F14" i="38"/>
  <c r="F14" i="37"/>
  <c r="AN31" i="36"/>
  <c r="I81" i="37"/>
  <c r="S67" i="37"/>
  <c r="G129" i="36"/>
  <c r="I23" i="24"/>
  <c r="AQ154" i="37"/>
  <c r="AH154" i="37"/>
  <c r="AN154" i="37"/>
  <c r="AZ154" i="37"/>
  <c r="AT154" i="37"/>
  <c r="AB154" i="37"/>
  <c r="BC154" i="37"/>
  <c r="AE154" i="37"/>
  <c r="V154" i="37"/>
  <c r="AW154" i="37"/>
  <c r="Y154" i="37"/>
  <c r="AK154" i="37"/>
  <c r="BC153" i="38"/>
  <c r="AW153" i="38"/>
  <c r="AB153" i="38"/>
  <c r="V153" i="38"/>
  <c r="AK153" i="38"/>
  <c r="AZ153" i="38"/>
  <c r="AH153" i="38"/>
  <c r="AQ153" i="38"/>
  <c r="AT153" i="38"/>
  <c r="AE153" i="38"/>
  <c r="AN153" i="38"/>
  <c r="Y153" i="38"/>
  <c r="AI51" i="36"/>
  <c r="CL20" i="24"/>
  <c r="CM20" i="24" s="1"/>
  <c r="AN30" i="36"/>
  <c r="AN48" i="36"/>
  <c r="CG22" i="24"/>
  <c r="CR22" i="24"/>
  <c r="CH22" i="24"/>
  <c r="CK22" i="24"/>
  <c r="CI22" i="24"/>
  <c r="CL22" i="24"/>
  <c r="CM22" i="24"/>
  <c r="CQ22" i="24"/>
  <c r="CJ22" i="24"/>
  <c r="CN22" i="24"/>
  <c r="CS22" i="24"/>
  <c r="CP22" i="24"/>
  <c r="CO22" i="24"/>
  <c r="CL23" i="24" l="1"/>
  <c r="AV82" i="38"/>
  <c r="AV153" i="37"/>
  <c r="AU153" i="37"/>
  <c r="AU154" i="37" s="1"/>
  <c r="AM154" i="38"/>
  <c r="AD81" i="38"/>
  <c r="AY153" i="38"/>
  <c r="AX153" i="38"/>
  <c r="AX154" i="38" s="1"/>
  <c r="X82" i="38"/>
  <c r="AY153" i="37"/>
  <c r="AX153" i="37"/>
  <c r="AX154" i="37" s="1"/>
  <c r="AN24" i="36"/>
  <c r="AM24" i="36"/>
  <c r="AN68" i="37"/>
  <c r="AE68" i="37"/>
  <c r="BC68" i="37"/>
  <c r="AQ68" i="37"/>
  <c r="Y68" i="37"/>
  <c r="AW68" i="37"/>
  <c r="V68" i="37"/>
  <c r="AZ68" i="37"/>
  <c r="AK68" i="37"/>
  <c r="AT68" i="37"/>
  <c r="AB68" i="37"/>
  <c r="AG19" i="37"/>
  <c r="AH68" i="37"/>
  <c r="AY154" i="38"/>
  <c r="AD82" i="37"/>
  <c r="AS82" i="37"/>
  <c r="BE153" i="38"/>
  <c r="BD153" i="38"/>
  <c r="BD154" i="38" s="1"/>
  <c r="M13" i="35"/>
  <c r="O13" i="35" s="1"/>
  <c r="D3" i="36"/>
  <c r="AD153" i="37"/>
  <c r="AC153" i="37"/>
  <c r="AC154" i="37" s="1"/>
  <c r="AW24" i="36"/>
  <c r="AX24" i="36"/>
  <c r="X81" i="37"/>
  <c r="BB154" i="38"/>
  <c r="AJ82" i="37"/>
  <c r="O99" i="35"/>
  <c r="P99" i="35"/>
  <c r="Q99" i="35"/>
  <c r="R99" i="35" s="1"/>
  <c r="S99" i="35" s="1"/>
  <c r="T99" i="35" s="1"/>
  <c r="E49" i="35" s="1"/>
  <c r="AB67" i="37"/>
  <c r="AN67" i="37"/>
  <c r="AW67" i="37"/>
  <c r="AG18" i="37"/>
  <c r="AE67" i="37"/>
  <c r="AH67" i="37"/>
  <c r="AT67" i="37"/>
  <c r="AQ67" i="37"/>
  <c r="AK67" i="37"/>
  <c r="V67" i="37"/>
  <c r="AZ67" i="37"/>
  <c r="Y67" i="37"/>
  <c r="BC67" i="37"/>
  <c r="AS81" i="37"/>
  <c r="AE68" i="38"/>
  <c r="AG19" i="38"/>
  <c r="AQ68" i="38"/>
  <c r="AN68" i="38"/>
  <c r="AT68" i="38"/>
  <c r="AW68" i="38"/>
  <c r="AK68" i="38"/>
  <c r="BC68" i="38"/>
  <c r="Y68" i="38"/>
  <c r="AB68" i="38"/>
  <c r="V68" i="38"/>
  <c r="AH68" i="38"/>
  <c r="AZ68" i="38"/>
  <c r="BE82" i="37"/>
  <c r="AV81" i="37"/>
  <c r="AJ81" i="38"/>
  <c r="AD81" i="37"/>
  <c r="AG154" i="38"/>
  <c r="AM82" i="37"/>
  <c r="AO153" i="38"/>
  <c r="AP153" i="38" s="1"/>
  <c r="BE154" i="37"/>
  <c r="O36" i="38"/>
  <c r="AL153" i="37"/>
  <c r="AL154" i="37" s="1"/>
  <c r="AM153" i="37"/>
  <c r="AP81" i="38"/>
  <c r="AJ81" i="37"/>
  <c r="AM154" i="37"/>
  <c r="O95" i="35"/>
  <c r="P95" i="35" s="1"/>
  <c r="Q95" i="35" s="1"/>
  <c r="R95" i="35" s="1"/>
  <c r="S95" i="35" s="1"/>
  <c r="T95" i="35" s="1"/>
  <c r="E45" i="35" s="1"/>
  <c r="AY154" i="37"/>
  <c r="AA153" i="37"/>
  <c r="Z153" i="37"/>
  <c r="Z154" i="37" s="1"/>
  <c r="O97" i="35"/>
  <c r="P97" i="35"/>
  <c r="Q97" i="35"/>
  <c r="R97" i="35" s="1"/>
  <c r="S97" i="35" s="1"/>
  <c r="T97" i="35" s="1"/>
  <c r="E47" i="35" s="1"/>
  <c r="Z153" i="38"/>
  <c r="Z154" i="38" s="1"/>
  <c r="AA153" i="38"/>
  <c r="O54" i="36"/>
  <c r="O45" i="36"/>
  <c r="M55" i="36"/>
  <c r="AA47" i="36" s="1"/>
  <c r="M57" i="36"/>
  <c r="AA37" i="36" s="1"/>
  <c r="M54" i="36"/>
  <c r="AA46" i="36" s="1"/>
  <c r="M60" i="36"/>
  <c r="AA41" i="36" s="1"/>
  <c r="O48" i="36"/>
  <c r="M39" i="36"/>
  <c r="V35" i="36" s="1"/>
  <c r="M46" i="36"/>
  <c r="AA44" i="36" s="1"/>
  <c r="M48" i="36"/>
  <c r="AA45" i="36" s="1"/>
  <c r="O51" i="36"/>
  <c r="AA40" i="36" s="1"/>
  <c r="O40" i="36"/>
  <c r="AA36" i="36" s="1"/>
  <c r="V33" i="36"/>
  <c r="C128" i="36"/>
  <c r="V28" i="36"/>
  <c r="H99" i="36"/>
  <c r="H104" i="36" s="1"/>
  <c r="V24" i="36"/>
  <c r="J99" i="36"/>
  <c r="J104" i="36" s="1"/>
  <c r="J112" i="36" s="1"/>
  <c r="J113" i="36" s="1"/>
  <c r="J114" i="36" s="1"/>
  <c r="J115" i="36" s="1"/>
  <c r="V41" i="36"/>
  <c r="V42" i="36"/>
  <c r="V30" i="36"/>
  <c r="V37" i="36"/>
  <c r="V40" i="36"/>
  <c r="V31" i="36"/>
  <c r="V39" i="36"/>
  <c r="I99" i="36"/>
  <c r="I104" i="36" s="1"/>
  <c r="I112" i="36" s="1"/>
  <c r="I113" i="36" s="1"/>
  <c r="I114" i="36" s="1"/>
  <c r="I115" i="36" s="1"/>
  <c r="A4" i="36"/>
  <c r="V36" i="36"/>
  <c r="F86" i="36"/>
  <c r="F2" i="36" s="1"/>
  <c r="AA154" i="38"/>
  <c r="AI153" i="38"/>
  <c r="AI154" i="38" s="1"/>
  <c r="AJ154" i="38" s="1"/>
  <c r="AJ153" i="38"/>
  <c r="I8" i="8"/>
  <c r="C39" i="24"/>
  <c r="H24" i="24"/>
  <c r="H25" i="24" s="1"/>
  <c r="H26" i="24" s="1"/>
  <c r="BA153" i="38"/>
  <c r="BA154" i="38" s="1"/>
  <c r="AS82" i="38"/>
  <c r="X81" i="38"/>
  <c r="X82" i="37"/>
  <c r="M35" i="36"/>
  <c r="M34" i="36"/>
  <c r="O37" i="36"/>
  <c r="M28" i="36"/>
  <c r="M29" i="36"/>
  <c r="M31" i="36"/>
  <c r="AA29" i="36" s="1"/>
  <c r="E86" i="36"/>
  <c r="A2" i="36" s="1"/>
  <c r="BA153" i="37"/>
  <c r="BA154" i="37" s="1"/>
  <c r="AD154" i="38"/>
  <c r="AU153" i="38"/>
  <c r="AU154" i="38" s="1"/>
  <c r="AV153" i="38"/>
  <c r="AV154" i="37"/>
  <c r="BB154" i="37"/>
  <c r="AL153" i="38"/>
  <c r="AL154" i="38" s="1"/>
  <c r="AM153" i="38"/>
  <c r="AD82" i="38"/>
  <c r="AT67" i="38"/>
  <c r="AN67" i="38"/>
  <c r="V67" i="38"/>
  <c r="AB67" i="38"/>
  <c r="BC67" i="38"/>
  <c r="AG18" i="38"/>
  <c r="Y67" i="38"/>
  <c r="AE67" i="38"/>
  <c r="AH67" i="38"/>
  <c r="AZ67" i="38"/>
  <c r="AK67" i="38"/>
  <c r="AW67" i="38"/>
  <c r="AQ67" i="38"/>
  <c r="BE81" i="38"/>
  <c r="O98" i="35"/>
  <c r="P98" i="35" s="1"/>
  <c r="Q98" i="35" s="1"/>
  <c r="R98" i="35" s="1"/>
  <c r="S98" i="35" s="1"/>
  <c r="T98" i="35" s="1"/>
  <c r="E48" i="35" s="1"/>
  <c r="CK23" i="24"/>
  <c r="CN20" i="24"/>
  <c r="AA154" i="37"/>
  <c r="AF153" i="37"/>
  <c r="AF154" i="37" s="1"/>
  <c r="AV82" i="37"/>
  <c r="O36" i="37"/>
  <c r="AR153" i="37"/>
  <c r="AR154" i="37" s="1"/>
  <c r="AS154" i="37" s="1"/>
  <c r="AS153" i="37"/>
  <c r="BE81" i="37"/>
  <c r="AF153" i="38"/>
  <c r="AG153" i="38" s="1"/>
  <c r="AG81" i="37"/>
  <c r="O12" i="35"/>
  <c r="X153" i="38"/>
  <c r="W153" i="38"/>
  <c r="W154" i="38" s="1"/>
  <c r="X154" i="38" s="1"/>
  <c r="I9" i="8"/>
  <c r="I24" i="24"/>
  <c r="I25" i="24" s="1"/>
  <c r="I26" i="24" s="1"/>
  <c r="F27" i="24" s="1"/>
  <c r="G27" i="24" s="1"/>
  <c r="E39" i="24"/>
  <c r="BB82" i="38"/>
  <c r="AI153" i="37"/>
  <c r="AI154" i="37" s="1"/>
  <c r="AJ154" i="37" s="1"/>
  <c r="AJ153" i="37"/>
  <c r="AV81" i="38"/>
  <c r="BB82" i="37"/>
  <c r="O100" i="35"/>
  <c r="P100" i="35"/>
  <c r="Q100" i="35"/>
  <c r="R100" i="35" s="1"/>
  <c r="S100" i="35" s="1"/>
  <c r="T100" i="35" s="1"/>
  <c r="E50" i="35" s="1"/>
  <c r="AV154" i="38"/>
  <c r="AG82" i="38"/>
  <c r="O96" i="35"/>
  <c r="P96" i="35"/>
  <c r="Q96" i="35" s="1"/>
  <c r="R96" i="35" s="1"/>
  <c r="S96" i="35" s="1"/>
  <c r="T96" i="35" s="1"/>
  <c r="E46" i="35" s="1"/>
  <c r="AG154" i="37"/>
  <c r="AS81" i="38"/>
  <c r="AD154" i="37"/>
  <c r="Q13" i="35"/>
  <c r="P15" i="35"/>
  <c r="BE153" i="37"/>
  <c r="BD153" i="37"/>
  <c r="BD154" i="37" s="1"/>
  <c r="CF24" i="24"/>
  <c r="AJ82" i="38"/>
  <c r="X153" i="37"/>
  <c r="W153" i="37"/>
  <c r="W154" i="37" s="1"/>
  <c r="X154" i="37" s="1"/>
  <c r="AY81" i="37"/>
  <c r="AP154" i="38"/>
  <c r="AR153" i="38"/>
  <c r="AR154" i="38" s="1"/>
  <c r="AS154" i="38" s="1"/>
  <c r="AS153" i="38"/>
  <c r="BE82" i="38"/>
  <c r="AP81" i="37"/>
  <c r="AP154" i="37"/>
  <c r="AG81" i="38"/>
  <c r="AC153" i="38"/>
  <c r="AC154" i="38" s="1"/>
  <c r="AD153" i="38"/>
  <c r="AM82" i="38"/>
  <c r="AO153" i="37"/>
  <c r="AO154" i="37" s="1"/>
  <c r="AP153" i="37"/>
  <c r="AY81" i="38"/>
  <c r="BE154" i="38"/>
  <c r="AG82" i="37"/>
  <c r="M26" i="36"/>
  <c r="O26" i="36"/>
  <c r="V26" i="36" s="1"/>
  <c r="J100" i="36"/>
  <c r="J105" i="36" s="1"/>
  <c r="G112" i="36" s="1"/>
  <c r="G113" i="36" s="1"/>
  <c r="G114" i="36" s="1"/>
  <c r="G115" i="36" s="1"/>
  <c r="F87" i="36"/>
  <c r="B2" i="36" s="1"/>
  <c r="I100" i="36"/>
  <c r="I105" i="36" s="1"/>
  <c r="F112" i="36" s="1"/>
  <c r="F113" i="36" s="1"/>
  <c r="F114" i="36" s="1"/>
  <c r="F115" i="36" s="1"/>
  <c r="M42" i="36"/>
  <c r="V38" i="36" s="1"/>
  <c r="H100" i="36"/>
  <c r="H105" i="36" s="1"/>
  <c r="E112" i="36" s="1"/>
  <c r="E113" i="36" s="1"/>
  <c r="E114" i="36" s="1"/>
  <c r="E115" i="36" s="1"/>
  <c r="D4" i="36"/>
  <c r="AA31" i="36"/>
  <c r="AA28" i="36"/>
  <c r="AA30" i="36"/>
  <c r="AA33" i="36"/>
  <c r="C129" i="36"/>
  <c r="AA24" i="36"/>
  <c r="AG153" i="37" l="1"/>
  <c r="AF154" i="38"/>
  <c r="F28" i="24"/>
  <c r="G28" i="24" s="1"/>
  <c r="BB153" i="37"/>
  <c r="E6" i="36"/>
  <c r="AA35" i="36"/>
  <c r="V27" i="36"/>
  <c r="Y27" i="36" s="1"/>
  <c r="BB153" i="38"/>
  <c r="AO154" i="38"/>
  <c r="B6" i="36"/>
  <c r="E116" i="36"/>
  <c r="D5" i="36" s="1"/>
  <c r="V32" i="36"/>
  <c r="Y26" i="36"/>
  <c r="AD37" i="36"/>
  <c r="Y38" i="36"/>
  <c r="AY68" i="38"/>
  <c r="R25" i="36"/>
  <c r="P22" i="35"/>
  <c r="N2" i="36" s="1"/>
  <c r="Y41" i="36"/>
  <c r="AD36" i="36"/>
  <c r="AU25" i="36"/>
  <c r="AK25" i="36"/>
  <c r="AF25" i="36"/>
  <c r="AA67" i="38"/>
  <c r="AU29" i="36"/>
  <c r="AK29" i="36"/>
  <c r="AF29" i="36"/>
  <c r="Y37" i="36"/>
  <c r="AU44" i="36"/>
  <c r="AK44" i="36"/>
  <c r="AF44" i="36"/>
  <c r="AA68" i="38"/>
  <c r="AS67" i="37"/>
  <c r="AU35" i="36"/>
  <c r="AK35" i="36"/>
  <c r="AF35" i="36"/>
  <c r="AV67" i="37"/>
  <c r="AJ68" i="37"/>
  <c r="AD44" i="36"/>
  <c r="AU37" i="36"/>
  <c r="AK37" i="36"/>
  <c r="AF37" i="36"/>
  <c r="AP68" i="38"/>
  <c r="AY67" i="37"/>
  <c r="AM68" i="37"/>
  <c r="AA32" i="36"/>
  <c r="AV67" i="38"/>
  <c r="X24" i="36"/>
  <c r="Y24" i="36" s="1"/>
  <c r="AU47" i="36"/>
  <c r="AK47" i="36"/>
  <c r="AF47" i="36"/>
  <c r="AS68" i="38"/>
  <c r="BB68" i="37"/>
  <c r="AM68" i="38"/>
  <c r="AU34" i="36"/>
  <c r="AK34" i="36"/>
  <c r="AF34" i="36"/>
  <c r="AD31" i="36"/>
  <c r="AU38" i="36"/>
  <c r="AK38" i="36"/>
  <c r="AF38" i="36"/>
  <c r="X68" i="37"/>
  <c r="AD47" i="36"/>
  <c r="AD40" i="36"/>
  <c r="AY67" i="38"/>
  <c r="Y39" i="36"/>
  <c r="Y33" i="36"/>
  <c r="Q46" i="38"/>
  <c r="AD67" i="38"/>
  <c r="G19" i="8"/>
  <c r="G32" i="8"/>
  <c r="Y42" i="36"/>
  <c r="X67" i="38"/>
  <c r="AD33" i="36"/>
  <c r="Y35" i="36"/>
  <c r="AA25" i="36"/>
  <c r="N27" i="36"/>
  <c r="Q27" i="36" s="1"/>
  <c r="E2" i="36"/>
  <c r="E87" i="36"/>
  <c r="D2" i="36" s="1"/>
  <c r="AA26" i="36"/>
  <c r="Q46" i="37"/>
  <c r="AM67" i="38"/>
  <c r="V29" i="36"/>
  <c r="BB68" i="38"/>
  <c r="AA67" i="37"/>
  <c r="AC24" i="36"/>
  <c r="AD24" i="36" s="1"/>
  <c r="AJ67" i="37"/>
  <c r="AD46" i="36"/>
  <c r="AD68" i="37"/>
  <c r="AU32" i="36"/>
  <c r="AK32" i="36"/>
  <c r="AF32" i="36"/>
  <c r="H111" i="36"/>
  <c r="H112" i="36"/>
  <c r="H113" i="36" s="1"/>
  <c r="H114" i="36" s="1"/>
  <c r="H115" i="36" s="1"/>
  <c r="H116" i="36" s="1"/>
  <c r="A5" i="36" s="1"/>
  <c r="CM23" i="24"/>
  <c r="Y36" i="36"/>
  <c r="AU43" i="36"/>
  <c r="AK43" i="36"/>
  <c r="AF43" i="36"/>
  <c r="AA38" i="36"/>
  <c r="G2" i="36"/>
  <c r="K2" i="36"/>
  <c r="K6" i="36"/>
  <c r="H6" i="36"/>
  <c r="G33" i="8"/>
  <c r="G20" i="8"/>
  <c r="BB67" i="38"/>
  <c r="V25" i="36"/>
  <c r="Y31" i="36"/>
  <c r="AU36" i="36"/>
  <c r="AK36" i="36"/>
  <c r="AF36" i="36"/>
  <c r="AJ68" i="38"/>
  <c r="BB67" i="37"/>
  <c r="AP68" i="37"/>
  <c r="AU27" i="36"/>
  <c r="AK27" i="36"/>
  <c r="AF27" i="36"/>
  <c r="AU39" i="36"/>
  <c r="AK39" i="36"/>
  <c r="AF39" i="36"/>
  <c r="AU41" i="36"/>
  <c r="AK41" i="36"/>
  <c r="AF41" i="36"/>
  <c r="AD28" i="36"/>
  <c r="AU46" i="36"/>
  <c r="AK46" i="36"/>
  <c r="AF46" i="36"/>
  <c r="AA39" i="36"/>
  <c r="AD67" i="37"/>
  <c r="AA34" i="36"/>
  <c r="AY68" i="37"/>
  <c r="AA68" i="37"/>
  <c r="AS67" i="38"/>
  <c r="AS68" i="37"/>
  <c r="AA43" i="36"/>
  <c r="K22" i="24"/>
  <c r="AJ67" i="38"/>
  <c r="Y40" i="36"/>
  <c r="AU40" i="36"/>
  <c r="AK40" i="36"/>
  <c r="AF40" i="36"/>
  <c r="X68" i="38"/>
  <c r="X67" i="37"/>
  <c r="CO20" i="24"/>
  <c r="AU49" i="36"/>
  <c r="AK49" i="36"/>
  <c r="AF52" i="36"/>
  <c r="AD30" i="36"/>
  <c r="AA27" i="36"/>
  <c r="AU26" i="36"/>
  <c r="AF26" i="36"/>
  <c r="AK26" i="36"/>
  <c r="CG24" i="24"/>
  <c r="CF26" i="24" s="1"/>
  <c r="BY17" i="24" s="1"/>
  <c r="V34" i="36"/>
  <c r="AU45" i="36"/>
  <c r="AK45" i="36"/>
  <c r="AF45" i="36"/>
  <c r="AD68" i="38"/>
  <c r="AM67" i="37"/>
  <c r="CF25" i="24" l="1"/>
  <c r="BY18" i="24" s="1"/>
  <c r="CA18" i="24" s="1"/>
  <c r="M22" i="24"/>
  <c r="I27" i="24"/>
  <c r="AX34" i="36"/>
  <c r="AX45" i="36"/>
  <c r="CN23" i="24"/>
  <c r="AX40" i="36"/>
  <c r="AX41" i="36"/>
  <c r="CP20" i="24"/>
  <c r="CQ20" i="24" s="1"/>
  <c r="AI27" i="36"/>
  <c r="AH25" i="36"/>
  <c r="AH26" i="36" s="1"/>
  <c r="AH27" i="36" s="1"/>
  <c r="AH28" i="36" s="1"/>
  <c r="AH29" i="36" s="1"/>
  <c r="AH30" i="36" s="1"/>
  <c r="AH31" i="36" s="1"/>
  <c r="AI25" i="36"/>
  <c r="AN25" i="36"/>
  <c r="AM25" i="36"/>
  <c r="AM26" i="36" s="1"/>
  <c r="AM27" i="36" s="1"/>
  <c r="AM28" i="36" s="1"/>
  <c r="Y34" i="36"/>
  <c r="AI39" i="36"/>
  <c r="AI47" i="36"/>
  <c r="AX38" i="36"/>
  <c r="AN36" i="36"/>
  <c r="AX36" i="36"/>
  <c r="AX46" i="36"/>
  <c r="AX35" i="36"/>
  <c r="AI38" i="36"/>
  <c r="AW25" i="36"/>
  <c r="AX25" i="36"/>
  <c r="AW26" i="36"/>
  <c r="AW27" i="36" s="1"/>
  <c r="AW28" i="36" s="1"/>
  <c r="AW29" i="36" s="1"/>
  <c r="AW30" i="36" s="1"/>
  <c r="AX26" i="36"/>
  <c r="AI43" i="36"/>
  <c r="AN35" i="36"/>
  <c r="AN44" i="36"/>
  <c r="R49" i="36"/>
  <c r="N3" i="36"/>
  <c r="AN37" i="36"/>
  <c r="AN46" i="36"/>
  <c r="AI52" i="36"/>
  <c r="AD39" i="36"/>
  <c r="Y25" i="36"/>
  <c r="X25" i="36"/>
  <c r="X26" i="36" s="1"/>
  <c r="X27" i="36" s="1"/>
  <c r="X28" i="36" s="1"/>
  <c r="AX44" i="36"/>
  <c r="M44" i="36"/>
  <c r="S45" i="36"/>
  <c r="T45" i="36"/>
  <c r="Q26" i="36"/>
  <c r="O12" i="36" s="1"/>
  <c r="T5" i="36" s="1"/>
  <c r="Q45" i="36"/>
  <c r="U45" i="36"/>
  <c r="R45" i="36"/>
  <c r="V45" i="36"/>
  <c r="W45" i="36"/>
  <c r="P45" i="36"/>
  <c r="AN39" i="36"/>
  <c r="AX29" i="36"/>
  <c r="Y29" i="36"/>
  <c r="BZ18" i="24"/>
  <c r="AD43" i="36"/>
  <c r="AN26" i="36"/>
  <c r="AN43" i="36"/>
  <c r="AX37" i="36"/>
  <c r="AI40" i="36"/>
  <c r="AI41" i="36"/>
  <c r="AC25" i="36"/>
  <c r="AC26" i="36" s="1"/>
  <c r="AC27" i="36" s="1"/>
  <c r="AN47" i="36"/>
  <c r="AN34" i="36"/>
  <c r="AI36" i="36"/>
  <c r="AI37" i="36"/>
  <c r="AI46" i="36"/>
  <c r="F4" i="8" l="1"/>
  <c r="H102" i="35" s="1"/>
  <c r="J103" i="35" s="1"/>
  <c r="G102" i="35" s="1"/>
  <c r="G103" i="35" s="1"/>
  <c r="F15" i="38" s="1"/>
  <c r="AX27" i="36"/>
  <c r="AI26" i="36"/>
  <c r="AD26" i="36"/>
  <c r="AN27" i="36"/>
  <c r="AI29" i="36"/>
  <c r="AH32" i="36"/>
  <c r="AI31" i="36"/>
  <c r="AD25" i="36"/>
  <c r="X29" i="36"/>
  <c r="X30" i="36" s="1"/>
  <c r="Y28" i="36"/>
  <c r="H103" i="35"/>
  <c r="I103" i="35" s="1"/>
  <c r="F16" i="37" s="1"/>
  <c r="AN28" i="36"/>
  <c r="AM29" i="36"/>
  <c r="AI34" i="36"/>
  <c r="AC28" i="36"/>
  <c r="AC29" i="36" s="1"/>
  <c r="AD27" i="36"/>
  <c r="S49" i="36"/>
  <c r="N4" i="36"/>
  <c r="U5" i="36"/>
  <c r="W5" i="36" s="1"/>
  <c r="W3" i="36" s="1"/>
  <c r="M10" i="8"/>
  <c r="F27" i="8"/>
  <c r="D65" i="24"/>
  <c r="C84" i="24"/>
  <c r="AC8" i="24"/>
  <c r="AI8" i="24"/>
  <c r="C77" i="24"/>
  <c r="C65" i="24"/>
  <c r="AF8" i="24"/>
  <c r="Z8" i="24"/>
  <c r="W28" i="24"/>
  <c r="F15" i="37"/>
  <c r="AX30" i="36"/>
  <c r="AW31" i="36"/>
  <c r="AW32" i="36" s="1"/>
  <c r="P46" i="36"/>
  <c r="M2" i="36" s="1"/>
  <c r="R50" i="36"/>
  <c r="W46" i="36"/>
  <c r="M9" i="36" s="1"/>
  <c r="Y50" i="36"/>
  <c r="X50" i="36"/>
  <c r="V46" i="36"/>
  <c r="M8" i="36" s="1"/>
  <c r="T50" i="36"/>
  <c r="R46" i="36"/>
  <c r="M4" i="36" s="1"/>
  <c r="CP23" i="24"/>
  <c r="S46" i="36"/>
  <c r="M5" i="36" s="1"/>
  <c r="U50" i="36"/>
  <c r="W50" i="36"/>
  <c r="U46" i="36"/>
  <c r="M7" i="36" s="1"/>
  <c r="S50" i="36"/>
  <c r="Q46" i="36"/>
  <c r="M3" i="36" s="1"/>
  <c r="V50" i="36"/>
  <c r="T46" i="36"/>
  <c r="M6" i="36" s="1"/>
  <c r="AU42" i="36"/>
  <c r="AK42" i="36"/>
  <c r="AF42" i="36"/>
  <c r="AA42" i="36"/>
  <c r="CO23" i="24"/>
  <c r="CR20" i="24"/>
  <c r="CQ23" i="24" s="1"/>
  <c r="J102" i="35" l="1"/>
  <c r="J101" i="35" s="1"/>
  <c r="J100" i="35" s="1"/>
  <c r="A4" i="35" s="1"/>
  <c r="R1" i="35" s="1"/>
  <c r="X31" i="36"/>
  <c r="X32" i="36" s="1"/>
  <c r="Y30" i="36"/>
  <c r="Z1" i="36"/>
  <c r="AA1" i="36" s="1"/>
  <c r="AB1" i="36" s="1"/>
  <c r="A8" i="36" s="1"/>
  <c r="V5" i="36"/>
  <c r="V3" i="36" s="1"/>
  <c r="E92" i="36" s="1"/>
  <c r="O11" i="36" s="1"/>
  <c r="S54" i="36"/>
  <c r="T6" i="36" s="1"/>
  <c r="AH33" i="36"/>
  <c r="AH34" i="36" s="1"/>
  <c r="AH35" i="36" s="1"/>
  <c r="AH36" i="36" s="1"/>
  <c r="AH37" i="36" s="1"/>
  <c r="AH38" i="36" s="1"/>
  <c r="AH39" i="36" s="1"/>
  <c r="AH40" i="36" s="1"/>
  <c r="AH41" i="36" s="1"/>
  <c r="AH42" i="36" s="1"/>
  <c r="AH43" i="36" s="1"/>
  <c r="AH44" i="36" s="1"/>
  <c r="AI32" i="36"/>
  <c r="J99" i="35"/>
  <c r="K98" i="35" s="1"/>
  <c r="G17" i="37" s="1"/>
  <c r="AC30" i="36"/>
  <c r="AC31" i="36" s="1"/>
  <c r="AC32" i="36" s="1"/>
  <c r="AD29" i="36"/>
  <c r="Q25" i="37"/>
  <c r="Q26" i="37" s="1"/>
  <c r="F19" i="37" s="1"/>
  <c r="Q25" i="38"/>
  <c r="N44" i="38" s="1"/>
  <c r="N105" i="38" s="1"/>
  <c r="AI35" i="36"/>
  <c r="AM30" i="36"/>
  <c r="AM31" i="36" s="1"/>
  <c r="AM32" i="36" s="1"/>
  <c r="AN29" i="36"/>
  <c r="X33" i="36"/>
  <c r="X34" i="36" s="1"/>
  <c r="X35" i="36" s="1"/>
  <c r="X36" i="36" s="1"/>
  <c r="X37" i="36" s="1"/>
  <c r="X38" i="36" s="1"/>
  <c r="X39" i="36" s="1"/>
  <c r="X40" i="36" s="1"/>
  <c r="X41" i="36" s="1"/>
  <c r="X42" i="36" s="1"/>
  <c r="X43" i="36" s="1"/>
  <c r="X44" i="36" s="1"/>
  <c r="Y32" i="36"/>
  <c r="Q16" i="35"/>
  <c r="I10" i="35" s="1"/>
  <c r="O9" i="35" s="1"/>
  <c r="L145" i="35"/>
  <c r="F16" i="38"/>
  <c r="F95" i="38" s="1"/>
  <c r="Q157" i="38" s="1"/>
  <c r="AJ8" i="24"/>
  <c r="AI24" i="24"/>
  <c r="AI30" i="24"/>
  <c r="AI19" i="24"/>
  <c r="AI17" i="24"/>
  <c r="AI37" i="24"/>
  <c r="AI27" i="24"/>
  <c r="AI18" i="24"/>
  <c r="AI38" i="24"/>
  <c r="AI20" i="24"/>
  <c r="AI35" i="24"/>
  <c r="AI7" i="24"/>
  <c r="AI33" i="24"/>
  <c r="AI23" i="24"/>
  <c r="AI26" i="24"/>
  <c r="AI32" i="24"/>
  <c r="AI16" i="24"/>
  <c r="AI25" i="24"/>
  <c r="AI28" i="24"/>
  <c r="AI29" i="24"/>
  <c r="AI34" i="24"/>
  <c r="AI31" i="24"/>
  <c r="AI36" i="24"/>
  <c r="AI21" i="24"/>
  <c r="AI15" i="24"/>
  <c r="AI22" i="24"/>
  <c r="AD42" i="36"/>
  <c r="C37" i="12"/>
  <c r="M7" i="8"/>
  <c r="K26" i="24" s="1"/>
  <c r="C73" i="12"/>
  <c r="M5" i="8"/>
  <c r="K24" i="24" s="1"/>
  <c r="O4" i="8"/>
  <c r="O6" i="8"/>
  <c r="O5" i="8"/>
  <c r="G27" i="8"/>
  <c r="M9" i="8"/>
  <c r="K28" i="24" s="1"/>
  <c r="O7" i="8"/>
  <c r="O8" i="8"/>
  <c r="M6" i="8"/>
  <c r="K25" i="24" s="1"/>
  <c r="C25" i="12"/>
  <c r="C13" i="12"/>
  <c r="M11" i="8"/>
  <c r="C61" i="12"/>
  <c r="M4" i="8"/>
  <c r="K23" i="24" s="1"/>
  <c r="M8" i="8"/>
  <c r="K27" i="24" s="1"/>
  <c r="O9" i="8"/>
  <c r="C49" i="12"/>
  <c r="I87" i="37"/>
  <c r="I88" i="37" s="1"/>
  <c r="H91" i="37" s="1"/>
  <c r="H93" i="37" s="1"/>
  <c r="S64" i="37" s="1"/>
  <c r="H88" i="37"/>
  <c r="H89" i="37" s="1"/>
  <c r="H90" i="37" s="1"/>
  <c r="H92" i="37" s="1"/>
  <c r="S63" i="37" s="1"/>
  <c r="Q3" i="36"/>
  <c r="P3" i="36" s="1"/>
  <c r="H88" i="38"/>
  <c r="H89" i="38" s="1"/>
  <c r="H90" i="38" s="1"/>
  <c r="H92" i="38" s="1"/>
  <c r="S63" i="38" s="1"/>
  <c r="I87" i="38"/>
  <c r="I88" i="38" s="1"/>
  <c r="H91" i="38" s="1"/>
  <c r="H93" i="38" s="1"/>
  <c r="S64" i="38" s="1"/>
  <c r="AC19" i="24"/>
  <c r="AC30" i="24"/>
  <c r="AC15" i="24"/>
  <c r="AC31" i="24"/>
  <c r="AD8" i="24"/>
  <c r="AC37" i="24"/>
  <c r="AC22" i="24"/>
  <c r="AC29" i="24"/>
  <c r="AC28" i="24"/>
  <c r="AC35" i="24"/>
  <c r="AC36" i="24"/>
  <c r="AC34" i="24"/>
  <c r="AC38" i="24"/>
  <c r="AC17" i="24"/>
  <c r="AC26" i="24"/>
  <c r="AC24" i="24"/>
  <c r="AC21" i="24"/>
  <c r="AC32" i="24"/>
  <c r="AC16" i="24"/>
  <c r="AC25" i="24"/>
  <c r="AC33" i="24"/>
  <c r="AC7" i="24"/>
  <c r="AC23" i="24"/>
  <c r="AC27" i="24"/>
  <c r="AC20" i="24"/>
  <c r="AC18" i="24"/>
  <c r="Q8" i="36"/>
  <c r="P8" i="36" s="1"/>
  <c r="AZ49" i="36"/>
  <c r="AZ30" i="36"/>
  <c r="AZ46" i="36"/>
  <c r="AZ42" i="36"/>
  <c r="AZ37" i="36"/>
  <c r="AZ45" i="36"/>
  <c r="AZ33" i="36"/>
  <c r="AZ38" i="36"/>
  <c r="AZ31" i="36"/>
  <c r="AZ28" i="36"/>
  <c r="AZ32" i="36"/>
  <c r="AZ41" i="36"/>
  <c r="O13" i="36"/>
  <c r="H88" i="36"/>
  <c r="O15" i="36" s="1"/>
  <c r="AZ47" i="36"/>
  <c r="AZ34" i="36"/>
  <c r="AZ39" i="36"/>
  <c r="H120" i="36"/>
  <c r="H124" i="36" s="1"/>
  <c r="E122" i="36" s="1"/>
  <c r="E123" i="36" s="1"/>
  <c r="E124" i="36" s="1"/>
  <c r="E125" i="36" s="1"/>
  <c r="AZ40" i="36"/>
  <c r="I120" i="36"/>
  <c r="I124" i="36" s="1"/>
  <c r="F122" i="36" s="1"/>
  <c r="F123" i="36" s="1"/>
  <c r="F124" i="36" s="1"/>
  <c r="F125" i="36" s="1"/>
  <c r="AZ44" i="36"/>
  <c r="AZ24" i="36"/>
  <c r="J120" i="36"/>
  <c r="J124" i="36" s="1"/>
  <c r="G122" i="36" s="1"/>
  <c r="G123" i="36" s="1"/>
  <c r="G124" i="36" s="1"/>
  <c r="G125" i="36" s="1"/>
  <c r="AZ43" i="36"/>
  <c r="AZ29" i="36"/>
  <c r="AZ35" i="36"/>
  <c r="AZ36" i="36"/>
  <c r="AZ27" i="36"/>
  <c r="T49" i="36"/>
  <c r="N5" i="36"/>
  <c r="AN42" i="36"/>
  <c r="Q9" i="36"/>
  <c r="O9" i="36" s="1"/>
  <c r="G93" i="36" s="1"/>
  <c r="L9" i="36" s="1"/>
  <c r="AX42" i="36"/>
  <c r="Z19" i="24"/>
  <c r="Z16" i="24"/>
  <c r="Z25" i="24"/>
  <c r="AA8" i="24"/>
  <c r="Z27" i="24" s="1"/>
  <c r="Z22" i="24"/>
  <c r="Z24" i="24"/>
  <c r="Z20" i="24"/>
  <c r="Z23" i="24"/>
  <c r="Z18" i="24"/>
  <c r="Z21" i="24"/>
  <c r="Z26" i="24"/>
  <c r="Z15" i="24"/>
  <c r="Z17" i="24"/>
  <c r="Q2" i="36"/>
  <c r="O2" i="36" s="1"/>
  <c r="G86" i="36" s="1"/>
  <c r="L2" i="36" s="1"/>
  <c r="Q7" i="36"/>
  <c r="P7" i="36" s="1"/>
  <c r="Q4" i="36"/>
  <c r="O4" i="36" s="1"/>
  <c r="G88" i="36" s="1"/>
  <c r="L4" i="36" s="1"/>
  <c r="AF36" i="24"/>
  <c r="AF31" i="24"/>
  <c r="AF16" i="24"/>
  <c r="AF25" i="24"/>
  <c r="AF15" i="24"/>
  <c r="AF34" i="24"/>
  <c r="AF21" i="24"/>
  <c r="AF32" i="24"/>
  <c r="AF24" i="24"/>
  <c r="AF23" i="24"/>
  <c r="AF7" i="24"/>
  <c r="AF37" i="24"/>
  <c r="AF19" i="24"/>
  <c r="AF29" i="24"/>
  <c r="AF20" i="24"/>
  <c r="AG8" i="24"/>
  <c r="AF26" i="24"/>
  <c r="AF38" i="24"/>
  <c r="AF22" i="24"/>
  <c r="AF17" i="24"/>
  <c r="AF28" i="24"/>
  <c r="AF27" i="24"/>
  <c r="AF18" i="24"/>
  <c r="AF35" i="24"/>
  <c r="AF30" i="24"/>
  <c r="AF33" i="24"/>
  <c r="Q5" i="36"/>
  <c r="P5" i="36" s="1"/>
  <c r="AI42" i="36"/>
  <c r="CS20" i="24"/>
  <c r="CR23" i="24" s="1"/>
  <c r="Q6" i="36"/>
  <c r="P6" i="36" s="1"/>
  <c r="AW33" i="36"/>
  <c r="AW34" i="36" s="1"/>
  <c r="AW35" i="36" s="1"/>
  <c r="AW36" i="36" s="1"/>
  <c r="AW37" i="36" s="1"/>
  <c r="AW38" i="36" s="1"/>
  <c r="AW39" i="36" s="1"/>
  <c r="AX32" i="36"/>
  <c r="C95" i="37"/>
  <c r="G95" i="37"/>
  <c r="S89" i="37" s="1"/>
  <c r="D95" i="37"/>
  <c r="Q152" i="37" s="1"/>
  <c r="F95" i="37"/>
  <c r="Q157" i="37" s="1"/>
  <c r="B95" i="37"/>
  <c r="H95" i="37"/>
  <c r="S90" i="37" s="1"/>
  <c r="E95" i="37"/>
  <c r="Q156" i="37" s="1"/>
  <c r="N36" i="37"/>
  <c r="E65" i="24"/>
  <c r="AZ25" i="36" l="1"/>
  <c r="AZ26" i="36"/>
  <c r="M12" i="36"/>
  <c r="AP48" i="36" s="1"/>
  <c r="Z10" i="36"/>
  <c r="AA10" i="36" s="1"/>
  <c r="AB10" i="36" s="1"/>
  <c r="A17" i="36" s="1"/>
  <c r="P9" i="36"/>
  <c r="G17" i="38"/>
  <c r="N45" i="38"/>
  <c r="Z36" i="24"/>
  <c r="N44" i="37"/>
  <c r="N105" i="37" s="1"/>
  <c r="O107" i="37" s="1"/>
  <c r="Z28" i="24"/>
  <c r="N45" i="37"/>
  <c r="Z32" i="24"/>
  <c r="J98" i="35"/>
  <c r="AC33" i="36"/>
  <c r="AC34" i="36" s="1"/>
  <c r="AD32" i="36"/>
  <c r="AM33" i="36"/>
  <c r="AM34" i="36" s="1"/>
  <c r="AM35" i="36" s="1"/>
  <c r="AM36" i="36" s="1"/>
  <c r="AM37" i="36" s="1"/>
  <c r="AM38" i="36" s="1"/>
  <c r="AN32" i="36"/>
  <c r="O10" i="35"/>
  <c r="P7" i="35" s="1"/>
  <c r="A153" i="35" s="1"/>
  <c r="A154" i="35" s="1"/>
  <c r="O8" i="36"/>
  <c r="G92" i="36" s="1"/>
  <c r="L8" i="36" s="1"/>
  <c r="Z6" i="36"/>
  <c r="AA6" i="36" s="1"/>
  <c r="AB6" i="36" s="1"/>
  <c r="A13" i="36" s="1"/>
  <c r="Z8" i="36"/>
  <c r="AA8" i="36" s="1"/>
  <c r="AB8" i="36" s="1"/>
  <c r="A15" i="36" s="1"/>
  <c r="E126" i="36"/>
  <c r="O14" i="36" s="1"/>
  <c r="D95" i="38"/>
  <c r="Q152" i="38" s="1"/>
  <c r="AN160" i="38" s="1"/>
  <c r="G95" i="38"/>
  <c r="S89" i="38" s="1"/>
  <c r="AQ89" i="38" s="1"/>
  <c r="E95" i="38"/>
  <c r="Q156" i="38" s="1"/>
  <c r="AZ164" i="38" s="1"/>
  <c r="AH45" i="36"/>
  <c r="AI44" i="36"/>
  <c r="O7" i="36"/>
  <c r="G91" i="36" s="1"/>
  <c r="L7" i="36" s="1"/>
  <c r="P4" i="36"/>
  <c r="B95" i="38"/>
  <c r="I96" i="38" s="1"/>
  <c r="I97" i="38" s="1"/>
  <c r="I98" i="38" s="1"/>
  <c r="I99" i="38" s="1"/>
  <c r="I101" i="38" s="1"/>
  <c r="S79" i="38" s="1"/>
  <c r="H95" i="38"/>
  <c r="S90" i="38" s="1"/>
  <c r="AW90" i="38" s="1"/>
  <c r="Z5" i="36"/>
  <c r="AA5" i="36" s="1"/>
  <c r="AB5" i="36" s="1"/>
  <c r="A12" i="36" s="1"/>
  <c r="Z4" i="36"/>
  <c r="AA4" i="36" s="1"/>
  <c r="AB4" i="36" s="1"/>
  <c r="A11" i="36" s="1"/>
  <c r="Z11" i="36"/>
  <c r="AA11" i="36" s="1"/>
  <c r="AB11" i="36" s="1"/>
  <c r="Z9" i="36"/>
  <c r="AA9" i="36" s="1"/>
  <c r="AB9" i="36" s="1"/>
  <c r="A16" i="36" s="1"/>
  <c r="Z3" i="36"/>
  <c r="AA3" i="36" s="1"/>
  <c r="AB3" i="36" s="1"/>
  <c r="A10" i="36" s="1"/>
  <c r="Z7" i="36"/>
  <c r="AA7" i="36" s="1"/>
  <c r="AB7" i="36" s="1"/>
  <c r="A14" i="36" s="1"/>
  <c r="Z2" i="36"/>
  <c r="AA2" i="36" s="1"/>
  <c r="AB2" i="36" s="1"/>
  <c r="A9" i="36" s="1"/>
  <c r="C95" i="38"/>
  <c r="S72" i="38" s="1"/>
  <c r="N36" i="38"/>
  <c r="N37" i="38" s="1"/>
  <c r="N38" i="38" s="1"/>
  <c r="O5" i="36"/>
  <c r="G89" i="36" s="1"/>
  <c r="L5" i="36" s="1"/>
  <c r="P2" i="36"/>
  <c r="Z30" i="24"/>
  <c r="AT19" i="24"/>
  <c r="N16" i="12"/>
  <c r="G15" i="12"/>
  <c r="C23" i="12"/>
  <c r="L16" i="12"/>
  <c r="C24" i="12"/>
  <c r="D21" i="12"/>
  <c r="D24" i="12"/>
  <c r="D22" i="12"/>
  <c r="C19" i="12"/>
  <c r="D20" i="12"/>
  <c r="D23" i="12"/>
  <c r="C21" i="12"/>
  <c r="N17" i="12"/>
  <c r="L17" i="12"/>
  <c r="C22" i="12"/>
  <c r="C20" i="12"/>
  <c r="D19" i="12"/>
  <c r="AH160" i="37"/>
  <c r="AT160" i="37"/>
  <c r="V160" i="37"/>
  <c r="AB160" i="37"/>
  <c r="AW160" i="37"/>
  <c r="AN160" i="37"/>
  <c r="Y160" i="37"/>
  <c r="AZ160" i="37"/>
  <c r="AK160" i="37"/>
  <c r="AQ160" i="37"/>
  <c r="AE160" i="37"/>
  <c r="BC160" i="37"/>
  <c r="Z34" i="24"/>
  <c r="BC44" i="36"/>
  <c r="BC37" i="36"/>
  <c r="AX39" i="36"/>
  <c r="AW40" i="36"/>
  <c r="AW41" i="36" s="1"/>
  <c r="AW42" i="36" s="1"/>
  <c r="AW43" i="36" s="1"/>
  <c r="AQ89" i="37"/>
  <c r="Y89" i="37"/>
  <c r="AT89" i="37"/>
  <c r="V89" i="37"/>
  <c r="AW89" i="37"/>
  <c r="AH89" i="37"/>
  <c r="AE89" i="37"/>
  <c r="AZ89" i="37"/>
  <c r="AK89" i="37"/>
  <c r="AN89" i="37"/>
  <c r="AB89" i="37"/>
  <c r="BC89" i="37"/>
  <c r="BC42" i="36"/>
  <c r="C10" i="12"/>
  <c r="C11" i="12"/>
  <c r="C26" i="12"/>
  <c r="N5" i="12"/>
  <c r="C50" i="12"/>
  <c r="D7" i="12"/>
  <c r="D10" i="12"/>
  <c r="C7" i="12"/>
  <c r="D12" i="12"/>
  <c r="C12" i="12"/>
  <c r="C38" i="12"/>
  <c r="L4" i="12"/>
  <c r="N4" i="12"/>
  <c r="D11" i="12"/>
  <c r="C9" i="12"/>
  <c r="C14" i="12"/>
  <c r="D8" i="12"/>
  <c r="AT18" i="24"/>
  <c r="C8" i="12"/>
  <c r="L5" i="12"/>
  <c r="D9" i="12"/>
  <c r="G3" i="12"/>
  <c r="C62" i="12"/>
  <c r="C74" i="12"/>
  <c r="BC64" i="38"/>
  <c r="AE64" i="38"/>
  <c r="AZ64" i="38"/>
  <c r="Y64" i="38"/>
  <c r="AN64" i="38"/>
  <c r="AB64" i="38"/>
  <c r="AT64" i="38"/>
  <c r="AQ64" i="38"/>
  <c r="AW64" i="38"/>
  <c r="AH64" i="38"/>
  <c r="V64" i="38"/>
  <c r="AK64" i="38"/>
  <c r="N6" i="36"/>
  <c r="U49" i="36"/>
  <c r="O6" i="36"/>
  <c r="G90" i="36" s="1"/>
  <c r="L6" i="36" s="1"/>
  <c r="Z33" i="24"/>
  <c r="BC41" i="36"/>
  <c r="O3" i="36"/>
  <c r="G87" i="36" s="1"/>
  <c r="L3" i="36" s="1"/>
  <c r="Z29" i="24"/>
  <c r="Z38" i="24"/>
  <c r="T27" i="24"/>
  <c r="BC49" i="36"/>
  <c r="U6" i="36"/>
  <c r="W6" i="36" s="1"/>
  <c r="Y3" i="36" s="1"/>
  <c r="C44" i="12"/>
  <c r="D44" i="12"/>
  <c r="D43" i="12"/>
  <c r="D45" i="12"/>
  <c r="D46" i="12"/>
  <c r="C45" i="12"/>
  <c r="N41" i="12"/>
  <c r="N40" i="12"/>
  <c r="C47" i="12"/>
  <c r="C43" i="12"/>
  <c r="C46" i="12"/>
  <c r="L41" i="12"/>
  <c r="C48" i="12"/>
  <c r="D48" i="12"/>
  <c r="AT21" i="24"/>
  <c r="L40" i="12"/>
  <c r="G39" i="12"/>
  <c r="D47" i="12"/>
  <c r="Z37" i="24"/>
  <c r="BC31" i="36"/>
  <c r="AT23" i="24"/>
  <c r="L64" i="12"/>
  <c r="N64" i="12"/>
  <c r="G63" i="12"/>
  <c r="L65" i="12"/>
  <c r="D71" i="12"/>
  <c r="D69" i="12"/>
  <c r="D67" i="12"/>
  <c r="D70" i="12"/>
  <c r="D72" i="12"/>
  <c r="N65" i="12"/>
  <c r="D68" i="12"/>
  <c r="V23" i="24"/>
  <c r="BC39" i="36"/>
  <c r="BC34" i="36"/>
  <c r="Z35" i="24"/>
  <c r="U23" i="24"/>
  <c r="F19" i="38"/>
  <c r="BC43" i="36"/>
  <c r="BC38" i="36"/>
  <c r="AN63" i="37"/>
  <c r="AE63" i="37"/>
  <c r="Y63" i="37"/>
  <c r="AB63" i="37"/>
  <c r="AH63" i="37"/>
  <c r="BC63" i="37"/>
  <c r="AZ63" i="37"/>
  <c r="AK63" i="37"/>
  <c r="AT63" i="37"/>
  <c r="AQ63" i="37"/>
  <c r="V63" i="37"/>
  <c r="AW63" i="37"/>
  <c r="R23" i="24"/>
  <c r="BC40" i="36"/>
  <c r="AS48" i="36"/>
  <c r="AE63" i="38"/>
  <c r="BC63" i="38"/>
  <c r="AZ63" i="38"/>
  <c r="Y63" i="38"/>
  <c r="AH63" i="38"/>
  <c r="AB63" i="38"/>
  <c r="AN63" i="38"/>
  <c r="AK63" i="38"/>
  <c r="AW63" i="38"/>
  <c r="AT63" i="38"/>
  <c r="V63" i="38"/>
  <c r="AQ63" i="38"/>
  <c r="BC165" i="38"/>
  <c r="AW165" i="38"/>
  <c r="V165" i="38"/>
  <c r="AN165" i="38"/>
  <c r="AK165" i="38"/>
  <c r="AQ165" i="38"/>
  <c r="AH165" i="38"/>
  <c r="AE165" i="38"/>
  <c r="AB165" i="38"/>
  <c r="AT165" i="38"/>
  <c r="Y165" i="38"/>
  <c r="AZ165" i="38"/>
  <c r="Z31" i="24"/>
  <c r="AK90" i="37"/>
  <c r="AN90" i="37"/>
  <c r="AH90" i="37"/>
  <c r="AE90" i="37"/>
  <c r="BC90" i="37"/>
  <c r="V90" i="37"/>
  <c r="Y90" i="37"/>
  <c r="AT90" i="37"/>
  <c r="AB90" i="37"/>
  <c r="AQ90" i="37"/>
  <c r="AW90" i="37"/>
  <c r="AZ90" i="37"/>
  <c r="I96" i="37"/>
  <c r="I97" i="37" s="1"/>
  <c r="I98" i="37" s="1"/>
  <c r="I99" i="37" s="1"/>
  <c r="I101" i="37" s="1"/>
  <c r="S79" i="37" s="1"/>
  <c r="S71" i="37"/>
  <c r="BC26" i="36"/>
  <c r="O105" i="37"/>
  <c r="BC33" i="36"/>
  <c r="Q23" i="24"/>
  <c r="C35" i="12"/>
  <c r="L28" i="12"/>
  <c r="D34" i="12"/>
  <c r="C32" i="12"/>
  <c r="D36" i="12"/>
  <c r="N29" i="12"/>
  <c r="D32" i="12"/>
  <c r="G27" i="12"/>
  <c r="C31" i="12"/>
  <c r="L29" i="12"/>
  <c r="C36" i="12"/>
  <c r="AT20" i="24"/>
  <c r="D33" i="12"/>
  <c r="C34" i="12"/>
  <c r="D35" i="12"/>
  <c r="N28" i="12"/>
  <c r="C33" i="12"/>
  <c r="D31" i="12"/>
  <c r="M142" i="38"/>
  <c r="S77" i="38" s="1"/>
  <c r="I142" i="38"/>
  <c r="S78" i="38" s="1"/>
  <c r="B142" i="38"/>
  <c r="S75" i="38" s="1"/>
  <c r="C142" i="38"/>
  <c r="S76" i="38" s="1"/>
  <c r="D202" i="38"/>
  <c r="Q158" i="38" s="1"/>
  <c r="Q142" i="38"/>
  <c r="Q165" i="38" s="1"/>
  <c r="P142" i="38"/>
  <c r="S98" i="38" s="1"/>
  <c r="I202" i="38"/>
  <c r="S88" i="38" s="1"/>
  <c r="N142" i="38"/>
  <c r="S97" i="38" s="1"/>
  <c r="K202" i="38"/>
  <c r="S87" i="38" s="1"/>
  <c r="O76" i="38"/>
  <c r="G142" i="38"/>
  <c r="S85" i="38" s="1"/>
  <c r="O142" i="38"/>
  <c r="Q153" i="38" s="1"/>
  <c r="J142" i="38"/>
  <c r="S95" i="38" s="1"/>
  <c r="B202" i="38"/>
  <c r="Q182" i="38" s="1"/>
  <c r="I102" i="38"/>
  <c r="K219" i="38"/>
  <c r="H142" i="38"/>
  <c r="S86" i="38" s="1"/>
  <c r="C202" i="38"/>
  <c r="S111" i="38" s="1"/>
  <c r="E202" i="38"/>
  <c r="S112" i="38" s="1"/>
  <c r="F142" i="38"/>
  <c r="Q160" i="38" s="1"/>
  <c r="D142" i="38"/>
  <c r="S91" i="38" s="1"/>
  <c r="H202" i="38"/>
  <c r="Q177" i="38" s="1"/>
  <c r="K220" i="38"/>
  <c r="K142" i="38"/>
  <c r="Q163" i="38" s="1"/>
  <c r="L202" i="38"/>
  <c r="Q178" i="38" s="1"/>
  <c r="G202" i="38"/>
  <c r="Q176" i="38" s="1"/>
  <c r="O75" i="38"/>
  <c r="O77" i="38" s="1"/>
  <c r="E142" i="38"/>
  <c r="Q161" i="38" s="1"/>
  <c r="L142" i="38"/>
  <c r="Q164" i="38" s="1"/>
  <c r="M202" i="38"/>
  <c r="Q179" i="38" s="1"/>
  <c r="J202" i="38"/>
  <c r="Q159" i="38" s="1"/>
  <c r="F202" i="38"/>
  <c r="Q180" i="38" s="1"/>
  <c r="R142" i="38"/>
  <c r="Q151" i="38" s="1"/>
  <c r="S72" i="37"/>
  <c r="J96" i="37"/>
  <c r="J97" i="37" s="1"/>
  <c r="J98" i="37" s="1"/>
  <c r="J99" i="37" s="1"/>
  <c r="J101" i="37" s="1"/>
  <c r="S80" i="37" s="1"/>
  <c r="O106" i="38"/>
  <c r="O109" i="38"/>
  <c r="O108" i="38"/>
  <c r="O110" i="38"/>
  <c r="O107" i="38"/>
  <c r="O105" i="38"/>
  <c r="BC47" i="36"/>
  <c r="N37" i="37"/>
  <c r="N38" i="37" s="1"/>
  <c r="BC28" i="36"/>
  <c r="AZ164" i="37"/>
  <c r="AQ164" i="37"/>
  <c r="AK164" i="37"/>
  <c r="BC164" i="37"/>
  <c r="AB164" i="37"/>
  <c r="Y164" i="37"/>
  <c r="AE164" i="37"/>
  <c r="AN164" i="37"/>
  <c r="V164" i="37"/>
  <c r="AW164" i="37"/>
  <c r="AT164" i="37"/>
  <c r="AH164" i="37"/>
  <c r="BC25" i="36"/>
  <c r="BC165" i="37"/>
  <c r="AW165" i="37"/>
  <c r="AB165" i="37"/>
  <c r="AQ165" i="37"/>
  <c r="Y165" i="37"/>
  <c r="V165" i="37"/>
  <c r="AN165" i="37"/>
  <c r="AE165" i="37"/>
  <c r="AT165" i="37"/>
  <c r="AH165" i="37"/>
  <c r="AK165" i="37"/>
  <c r="AZ165" i="37"/>
  <c r="BB24" i="36"/>
  <c r="BB25" i="36" s="1"/>
  <c r="BB26" i="36" s="1"/>
  <c r="BB27" i="36" s="1"/>
  <c r="BC24" i="36"/>
  <c r="BC45" i="36"/>
  <c r="AE64" i="37"/>
  <c r="Y64" i="37"/>
  <c r="AH64" i="37"/>
  <c r="BC64" i="37"/>
  <c r="AZ64" i="37"/>
  <c r="AN64" i="37"/>
  <c r="AT64" i="37"/>
  <c r="V64" i="37"/>
  <c r="AB64" i="37"/>
  <c r="AK64" i="37"/>
  <c r="AW64" i="37"/>
  <c r="AQ64" i="37"/>
  <c r="D59" i="12"/>
  <c r="L53" i="12"/>
  <c r="D57" i="12"/>
  <c r="N52" i="12"/>
  <c r="C72" i="12"/>
  <c r="C55" i="12"/>
  <c r="L52" i="12"/>
  <c r="D56" i="12"/>
  <c r="D60" i="12"/>
  <c r="C69" i="12"/>
  <c r="N53" i="12"/>
  <c r="C57" i="12"/>
  <c r="C67" i="12"/>
  <c r="C60" i="12"/>
  <c r="C68" i="12"/>
  <c r="C70" i="12"/>
  <c r="C58" i="12"/>
  <c r="D58" i="12"/>
  <c r="C59" i="12"/>
  <c r="D55" i="12"/>
  <c r="C71" i="12"/>
  <c r="AT22" i="24"/>
  <c r="G51" i="12"/>
  <c r="C56" i="12"/>
  <c r="B142" i="37"/>
  <c r="S75" i="37" s="1"/>
  <c r="M142" i="37"/>
  <c r="S77" i="37" s="1"/>
  <c r="C142" i="37"/>
  <c r="S76" i="37" s="1"/>
  <c r="O142" i="37"/>
  <c r="Q153" i="37" s="1"/>
  <c r="D142" i="37"/>
  <c r="S91" i="37" s="1"/>
  <c r="F202" i="37"/>
  <c r="Q180" i="37" s="1"/>
  <c r="J202" i="37"/>
  <c r="Q159" i="37" s="1"/>
  <c r="R142" i="37"/>
  <c r="Q151" i="37" s="1"/>
  <c r="F142" i="37"/>
  <c r="Q160" i="37" s="1"/>
  <c r="K220" i="37"/>
  <c r="I102" i="37"/>
  <c r="D202" i="37"/>
  <c r="Q158" i="37" s="1"/>
  <c r="K219" i="37"/>
  <c r="J142" i="37"/>
  <c r="S95" i="37" s="1"/>
  <c r="I142" i="37"/>
  <c r="S78" i="37" s="1"/>
  <c r="E142" i="37"/>
  <c r="Q161" i="37" s="1"/>
  <c r="O76" i="37"/>
  <c r="I202" i="37"/>
  <c r="S88" i="37" s="1"/>
  <c r="K202" i="37"/>
  <c r="S87" i="37" s="1"/>
  <c r="B202" i="37"/>
  <c r="Q182" i="37" s="1"/>
  <c r="H142" i="37"/>
  <c r="S86" i="37" s="1"/>
  <c r="G142" i="37"/>
  <c r="S85" i="37" s="1"/>
  <c r="H202" i="37"/>
  <c r="Q177" i="37" s="1"/>
  <c r="N142" i="37"/>
  <c r="S97" i="37" s="1"/>
  <c r="M202" i="37"/>
  <c r="Q179" i="37" s="1"/>
  <c r="E202" i="37"/>
  <c r="S112" i="37" s="1"/>
  <c r="Q142" i="37"/>
  <c r="Q165" i="37" s="1"/>
  <c r="L142" i="37"/>
  <c r="Q164" i="37" s="1"/>
  <c r="K142" i="37"/>
  <c r="Q163" i="37" s="1"/>
  <c r="C202" i="37"/>
  <c r="S111" i="37" s="1"/>
  <c r="P142" i="37"/>
  <c r="S98" i="37" s="1"/>
  <c r="G202" i="37"/>
  <c r="Q176" i="37" s="1"/>
  <c r="L202" i="37"/>
  <c r="Q178" i="37" s="1"/>
  <c r="O75" i="37"/>
  <c r="O77" i="37" s="1"/>
  <c r="O109" i="37" l="1"/>
  <c r="AZ89" i="38"/>
  <c r="V164" i="38"/>
  <c r="O110" i="37"/>
  <c r="AK89" i="38"/>
  <c r="O108" i="37"/>
  <c r="AW89" i="38"/>
  <c r="Y164" i="38"/>
  <c r="O106" i="37"/>
  <c r="AK164" i="38"/>
  <c r="AE164" i="38"/>
  <c r="Z7" i="24"/>
  <c r="AA40" i="24" s="1"/>
  <c r="L8" i="8" s="1"/>
  <c r="L24" i="24" s="1"/>
  <c r="AN164" i="38"/>
  <c r="AP164" i="38" s="1"/>
  <c r="AQ164" i="38"/>
  <c r="AT164" i="38"/>
  <c r="AW164" i="38"/>
  <c r="BC164" i="38"/>
  <c r="BE164" i="38" s="1"/>
  <c r="AH164" i="38"/>
  <c r="AJ164" i="38" s="1"/>
  <c r="AB164" i="38"/>
  <c r="AD164" i="38" s="1"/>
  <c r="AC35" i="36"/>
  <c r="AC36" i="36" s="1"/>
  <c r="AC37" i="36" s="1"/>
  <c r="AC38" i="36" s="1"/>
  <c r="AD34" i="36"/>
  <c r="AK90" i="38"/>
  <c r="AM90" i="38" s="1"/>
  <c r="AM39" i="36"/>
  <c r="AM40" i="36" s="1"/>
  <c r="AN38" i="36"/>
  <c r="K145" i="35"/>
  <c r="M145" i="35" s="1"/>
  <c r="K100" i="35" s="1"/>
  <c r="C4" i="35" s="1"/>
  <c r="R2" i="35" s="1"/>
  <c r="R7" i="35" s="1"/>
  <c r="F5" i="35" s="1"/>
  <c r="G5" i="35" s="1"/>
  <c r="F17" i="38"/>
  <c r="F17" i="37"/>
  <c r="AH46" i="36"/>
  <c r="AH47" i="36" s="1"/>
  <c r="AH48" i="36" s="1"/>
  <c r="AH49" i="36" s="1"/>
  <c r="AH50" i="36" s="1"/>
  <c r="AH51" i="36" s="1"/>
  <c r="AH52" i="36" s="1"/>
  <c r="AI45" i="36"/>
  <c r="R22" i="36" s="1"/>
  <c r="S22" i="36" s="1"/>
  <c r="T22" i="36" s="1"/>
  <c r="AT89" i="38"/>
  <c r="V89" i="38"/>
  <c r="X89" i="38" s="1"/>
  <c r="AN89" i="38"/>
  <c r="AP89" i="38" s="1"/>
  <c r="AH89" i="38"/>
  <c r="AJ89" i="38" s="1"/>
  <c r="BC89" i="38"/>
  <c r="BE89" i="38" s="1"/>
  <c r="Y89" i="38"/>
  <c r="AA89" i="38" s="1"/>
  <c r="AB89" i="38"/>
  <c r="AE89" i="38"/>
  <c r="AG89" i="38" s="1"/>
  <c r="J96" i="38"/>
  <c r="J97" i="38" s="1"/>
  <c r="J98" i="38" s="1"/>
  <c r="J99" i="38" s="1"/>
  <c r="J101" i="38" s="1"/>
  <c r="S80" i="38" s="1"/>
  <c r="AB80" i="38" s="1"/>
  <c r="S71" i="38"/>
  <c r="AZ71" i="38" s="1"/>
  <c r="BC160" i="38"/>
  <c r="AZ160" i="38"/>
  <c r="AB160" i="38"/>
  <c r="AD160" i="38" s="1"/>
  <c r="P8" i="8"/>
  <c r="AB90" i="38"/>
  <c r="AD90" i="38" s="1"/>
  <c r="AH160" i="38"/>
  <c r="AJ160" i="38" s="1"/>
  <c r="V6" i="36"/>
  <c r="X3" i="36" s="1"/>
  <c r="E90" i="36" s="1"/>
  <c r="M11" i="36" s="1"/>
  <c r="AE90" i="38"/>
  <c r="AG90" i="38" s="1"/>
  <c r="AQ90" i="38"/>
  <c r="AT90" i="38"/>
  <c r="AV90" i="38" s="1"/>
  <c r="AH90" i="38"/>
  <c r="AJ90" i="38" s="1"/>
  <c r="AQ160" i="38"/>
  <c r="AS160" i="38" s="1"/>
  <c r="Y160" i="38"/>
  <c r="AA160" i="38" s="1"/>
  <c r="V90" i="38"/>
  <c r="X90" i="38" s="1"/>
  <c r="AE160" i="38"/>
  <c r="AZ90" i="38"/>
  <c r="BB90" i="38" s="1"/>
  <c r="AT160" i="38"/>
  <c r="AV160" i="38" s="1"/>
  <c r="L7" i="8"/>
  <c r="L23" i="24" s="1"/>
  <c r="AN90" i="38"/>
  <c r="AP90" i="38" s="1"/>
  <c r="AK160" i="38"/>
  <c r="AM160" i="38" s="1"/>
  <c r="BC90" i="38"/>
  <c r="BE90" i="38" s="1"/>
  <c r="AW160" i="38"/>
  <c r="Y90" i="38"/>
  <c r="N39" i="37"/>
  <c r="N40" i="37" s="1"/>
  <c r="T47" i="37" s="1"/>
  <c r="L31" i="37" s="1"/>
  <c r="V160" i="38"/>
  <c r="X160" i="38" s="1"/>
  <c r="BB28" i="36"/>
  <c r="BB29" i="36" s="1"/>
  <c r="BC27" i="36"/>
  <c r="AP24" i="36"/>
  <c r="AP31" i="36"/>
  <c r="AP46" i="36"/>
  <c r="AP49" i="36"/>
  <c r="AP32" i="36"/>
  <c r="J118" i="36"/>
  <c r="J122" i="36" s="1"/>
  <c r="G117" i="36" s="1"/>
  <c r="G118" i="36" s="1"/>
  <c r="G119" i="36" s="1"/>
  <c r="G120" i="36" s="1"/>
  <c r="AP34" i="36"/>
  <c r="H86" i="36"/>
  <c r="M15" i="36" s="1"/>
  <c r="M13" i="36"/>
  <c r="H118" i="36"/>
  <c r="H122" i="36" s="1"/>
  <c r="E117" i="36" s="1"/>
  <c r="E118" i="36" s="1"/>
  <c r="E119" i="36" s="1"/>
  <c r="E120" i="36" s="1"/>
  <c r="AP43" i="36"/>
  <c r="AP42" i="36"/>
  <c r="AP37" i="36"/>
  <c r="AP47" i="36"/>
  <c r="AP33" i="36"/>
  <c r="AP40" i="36"/>
  <c r="I118" i="36"/>
  <c r="I122" i="36" s="1"/>
  <c r="F117" i="36" s="1"/>
  <c r="F118" i="36" s="1"/>
  <c r="F119" i="36" s="1"/>
  <c r="F120" i="36" s="1"/>
  <c r="AP39" i="36"/>
  <c r="AP41" i="36"/>
  <c r="AP28" i="36"/>
  <c r="AP30" i="36"/>
  <c r="AP44" i="36"/>
  <c r="AP29" i="36"/>
  <c r="AP45" i="36"/>
  <c r="AP35" i="36"/>
  <c r="AP27" i="36"/>
  <c r="AP38" i="36"/>
  <c r="AP36" i="36"/>
  <c r="N41" i="37"/>
  <c r="AC30" i="37"/>
  <c r="N41" i="38"/>
  <c r="AC30" i="38"/>
  <c r="AD64" i="37"/>
  <c r="AT168" i="38"/>
  <c r="AN168" i="38"/>
  <c r="AH168" i="38"/>
  <c r="AB168" i="38"/>
  <c r="AW168" i="38"/>
  <c r="Y168" i="38"/>
  <c r="V168" i="38"/>
  <c r="BC168" i="38"/>
  <c r="AQ168" i="38"/>
  <c r="AK168" i="38"/>
  <c r="AZ168" i="38"/>
  <c r="AE168" i="38"/>
  <c r="AL63" i="38"/>
  <c r="AL64" i="38" s="1"/>
  <c r="AM63" i="38"/>
  <c r="AN80" i="37"/>
  <c r="AE80" i="37"/>
  <c r="BC80" i="37"/>
  <c r="AK80" i="37"/>
  <c r="AW80" i="37"/>
  <c r="AH80" i="37"/>
  <c r="AT80" i="37"/>
  <c r="AZ80" i="37"/>
  <c r="V80" i="37"/>
  <c r="AB80" i="37"/>
  <c r="AQ80" i="37"/>
  <c r="Y80" i="37"/>
  <c r="AM89" i="38"/>
  <c r="AY90" i="37"/>
  <c r="AS160" i="37"/>
  <c r="AK86" i="38"/>
  <c r="AE86" i="38"/>
  <c r="AZ86" i="38"/>
  <c r="AB86" i="38"/>
  <c r="AH86" i="38"/>
  <c r="AT86" i="38"/>
  <c r="Y86" i="38"/>
  <c r="V86" i="38"/>
  <c r="BC86" i="38"/>
  <c r="AQ86" i="38"/>
  <c r="AW86" i="38"/>
  <c r="AN86" i="38"/>
  <c r="AD90" i="37"/>
  <c r="AB190" i="37"/>
  <c r="AQ190" i="37"/>
  <c r="AH190" i="37"/>
  <c r="AW190" i="37"/>
  <c r="BC190" i="37"/>
  <c r="AK190" i="37"/>
  <c r="Y190" i="37"/>
  <c r="AN190" i="37"/>
  <c r="AT190" i="37"/>
  <c r="AZ190" i="37"/>
  <c r="AE190" i="37"/>
  <c r="V190" i="37"/>
  <c r="AD165" i="37"/>
  <c r="AK172" i="37"/>
  <c r="BC172" i="37"/>
  <c r="Y172" i="37"/>
  <c r="AW172" i="37"/>
  <c r="V172" i="37"/>
  <c r="AZ172" i="37"/>
  <c r="AT172" i="37"/>
  <c r="AE172" i="37"/>
  <c r="AN172" i="37"/>
  <c r="AH172" i="37"/>
  <c r="AQ172" i="37"/>
  <c r="AB172" i="37"/>
  <c r="AT166" i="37"/>
  <c r="AK166" i="37"/>
  <c r="V166" i="37"/>
  <c r="AN166" i="37"/>
  <c r="Y166" i="37"/>
  <c r="AW166" i="37"/>
  <c r="AH166" i="37"/>
  <c r="BC166" i="37"/>
  <c r="AZ166" i="37"/>
  <c r="AB166" i="37"/>
  <c r="AQ166" i="37"/>
  <c r="AE166" i="37"/>
  <c r="AY64" i="37"/>
  <c r="BB165" i="37"/>
  <c r="AY164" i="37"/>
  <c r="N39" i="38"/>
  <c r="N40" i="38" s="1"/>
  <c r="BB164" i="38"/>
  <c r="L222" i="38"/>
  <c r="L220" i="38"/>
  <c r="AH88" i="38"/>
  <c r="AK88" i="38"/>
  <c r="AB88" i="38"/>
  <c r="V88" i="38"/>
  <c r="BC88" i="38"/>
  <c r="AE88" i="38"/>
  <c r="AW88" i="38"/>
  <c r="AZ88" i="38"/>
  <c r="AT88" i="38"/>
  <c r="AQ88" i="38"/>
  <c r="AN88" i="38"/>
  <c r="Y88" i="38"/>
  <c r="X63" i="38"/>
  <c r="W63" i="38"/>
  <c r="W64" i="38" s="1"/>
  <c r="AY64" i="38"/>
  <c r="X64" i="37"/>
  <c r="AO63" i="38"/>
  <c r="AO64" i="38" s="1"/>
  <c r="AP63" i="38"/>
  <c r="X165" i="37"/>
  <c r="L221" i="38"/>
  <c r="L219" i="38"/>
  <c r="AV63" i="37"/>
  <c r="AU63" i="37"/>
  <c r="AU64" i="37" s="1"/>
  <c r="AA160" i="37"/>
  <c r="BC173" i="37"/>
  <c r="AB173" i="37"/>
  <c r="AT173" i="37"/>
  <c r="V173" i="37"/>
  <c r="Y173" i="37"/>
  <c r="AN173" i="37"/>
  <c r="AK173" i="37"/>
  <c r="AQ173" i="37"/>
  <c r="AZ173" i="37"/>
  <c r="AH173" i="37"/>
  <c r="AE173" i="37"/>
  <c r="AW173" i="37"/>
  <c r="J102" i="37"/>
  <c r="J103" i="37" s="1"/>
  <c r="J104" i="37" s="1"/>
  <c r="J105" i="37" s="1"/>
  <c r="K105" i="37" s="1"/>
  <c r="Q187" i="37" s="1"/>
  <c r="AM64" i="37"/>
  <c r="AM165" i="37"/>
  <c r="X164" i="37"/>
  <c r="AG164" i="38"/>
  <c r="BC185" i="38"/>
  <c r="AZ185" i="38"/>
  <c r="AT185" i="38"/>
  <c r="V185" i="38"/>
  <c r="AE185" i="38"/>
  <c r="AH185" i="38"/>
  <c r="Y185" i="38"/>
  <c r="AK185" i="38"/>
  <c r="AQ185" i="38"/>
  <c r="AW185" i="38"/>
  <c r="AN185" i="38"/>
  <c r="AB185" i="38"/>
  <c r="BC98" i="38"/>
  <c r="AZ98" i="38"/>
  <c r="AB98" i="38"/>
  <c r="AQ98" i="38"/>
  <c r="AK98" i="38"/>
  <c r="AE98" i="38"/>
  <c r="Y98" i="38"/>
  <c r="AT98" i="38"/>
  <c r="AN98" i="38"/>
  <c r="AW98" i="38"/>
  <c r="V98" i="38"/>
  <c r="AH98" i="38"/>
  <c r="AU63" i="38"/>
  <c r="AU64" i="38" s="1"/>
  <c r="AV63" i="38"/>
  <c r="AS64" i="38"/>
  <c r="BC112" i="37"/>
  <c r="AN112" i="37"/>
  <c r="AH112" i="37"/>
  <c r="AQ112" i="37"/>
  <c r="Y112" i="37"/>
  <c r="AT112" i="37"/>
  <c r="AK112" i="37"/>
  <c r="AW112" i="37"/>
  <c r="V112" i="37"/>
  <c r="AZ112" i="37"/>
  <c r="AE112" i="37"/>
  <c r="AB112" i="37"/>
  <c r="AP164" i="37"/>
  <c r="AQ91" i="38"/>
  <c r="AK91" i="38"/>
  <c r="AZ91" i="38"/>
  <c r="AT91" i="38"/>
  <c r="V91" i="38"/>
  <c r="AN91" i="38"/>
  <c r="BC91" i="38"/>
  <c r="AE91" i="38"/>
  <c r="AB91" i="38"/>
  <c r="AW91" i="38"/>
  <c r="AH91" i="38"/>
  <c r="Y91" i="38"/>
  <c r="Y187" i="37"/>
  <c r="V187" i="37"/>
  <c r="BC187" i="37"/>
  <c r="AH187" i="37"/>
  <c r="AW187" i="37"/>
  <c r="AE187" i="37"/>
  <c r="AK187" i="37"/>
  <c r="AN187" i="37"/>
  <c r="AZ187" i="37"/>
  <c r="AB187" i="37"/>
  <c r="AT187" i="37"/>
  <c r="AQ187" i="37"/>
  <c r="Y166" i="38"/>
  <c r="AW166" i="38"/>
  <c r="AE166" i="38"/>
  <c r="AK166" i="38"/>
  <c r="AN166" i="38"/>
  <c r="V166" i="38"/>
  <c r="AT166" i="38"/>
  <c r="BC166" i="38"/>
  <c r="AB166" i="38"/>
  <c r="AQ166" i="38"/>
  <c r="AZ166" i="38"/>
  <c r="AH166" i="38"/>
  <c r="AV64" i="37"/>
  <c r="AP89" i="37"/>
  <c r="AK185" i="37"/>
  <c r="Y185" i="37"/>
  <c r="AZ185" i="37"/>
  <c r="AQ185" i="37"/>
  <c r="V185" i="37"/>
  <c r="BC185" i="37"/>
  <c r="AN185" i="37"/>
  <c r="AB185" i="37"/>
  <c r="AE185" i="37"/>
  <c r="AT185" i="37"/>
  <c r="AH185" i="37"/>
  <c r="AW185" i="37"/>
  <c r="AP64" i="37"/>
  <c r="AD164" i="37"/>
  <c r="AB75" i="38"/>
  <c r="AN75" i="38"/>
  <c r="AZ75" i="38"/>
  <c r="BC75" i="38"/>
  <c r="AE75" i="38"/>
  <c r="V75" i="38"/>
  <c r="AW75" i="38"/>
  <c r="AK75" i="38"/>
  <c r="AT75" i="38"/>
  <c r="AQ75" i="38"/>
  <c r="Y75" i="38"/>
  <c r="AH75" i="38"/>
  <c r="AE72" i="38"/>
  <c r="AN72" i="38"/>
  <c r="AG21" i="38"/>
  <c r="AW72" i="38"/>
  <c r="V72" i="38"/>
  <c r="AQ72" i="38"/>
  <c r="AT72" i="38"/>
  <c r="Y72" i="38"/>
  <c r="AH72" i="38"/>
  <c r="AZ72" i="38"/>
  <c r="AK72" i="38"/>
  <c r="AB72" i="38"/>
  <c r="BC72" i="38"/>
  <c r="AY89" i="38"/>
  <c r="AE85" i="37"/>
  <c r="AK85" i="37"/>
  <c r="V85" i="37"/>
  <c r="AH85" i="37"/>
  <c r="AB85" i="37"/>
  <c r="Y85" i="37"/>
  <c r="BC85" i="37"/>
  <c r="AQ85" i="37"/>
  <c r="AT85" i="37"/>
  <c r="AN85" i="37"/>
  <c r="AW85" i="37"/>
  <c r="AZ85" i="37"/>
  <c r="AN159" i="38"/>
  <c r="AH159" i="38"/>
  <c r="AZ159" i="38"/>
  <c r="AT159" i="38"/>
  <c r="AK159" i="38"/>
  <c r="AW159" i="38"/>
  <c r="AB159" i="38"/>
  <c r="AQ159" i="38"/>
  <c r="V159" i="38"/>
  <c r="BC159" i="38"/>
  <c r="Y159" i="38"/>
  <c r="AE159" i="38"/>
  <c r="AD165" i="38"/>
  <c r="BB64" i="38"/>
  <c r="AQ188" i="38"/>
  <c r="Y188" i="38"/>
  <c r="AZ188" i="38"/>
  <c r="BC188" i="38"/>
  <c r="V188" i="38"/>
  <c r="AK188" i="38"/>
  <c r="AH188" i="38"/>
  <c r="AW188" i="38"/>
  <c r="AT188" i="38"/>
  <c r="AN188" i="38"/>
  <c r="AB188" i="38"/>
  <c r="AE188" i="38"/>
  <c r="BC161" i="37"/>
  <c r="AN161" i="37"/>
  <c r="V161" i="37"/>
  <c r="AB161" i="37"/>
  <c r="AE161" i="37"/>
  <c r="Y161" i="37"/>
  <c r="AH161" i="37"/>
  <c r="AQ161" i="37"/>
  <c r="AW161" i="37"/>
  <c r="AT161" i="37"/>
  <c r="AZ161" i="37"/>
  <c r="AK161" i="37"/>
  <c r="J102" i="38"/>
  <c r="J103" i="38" s="1"/>
  <c r="J104" i="38" s="1"/>
  <c r="J105" i="38" s="1"/>
  <c r="K105" i="38" s="1"/>
  <c r="Q187" i="38" s="1"/>
  <c r="AV90" i="37"/>
  <c r="AL63" i="37"/>
  <c r="AL64" i="37" s="1"/>
  <c r="AM63" i="37"/>
  <c r="AJ89" i="37"/>
  <c r="AA64" i="37"/>
  <c r="AV164" i="38"/>
  <c r="AN190" i="38"/>
  <c r="BC190" i="38"/>
  <c r="AH190" i="38"/>
  <c r="AT190" i="38"/>
  <c r="AQ190" i="38"/>
  <c r="AE190" i="38"/>
  <c r="AW190" i="38"/>
  <c r="AZ190" i="38"/>
  <c r="Y190" i="38"/>
  <c r="AB190" i="38"/>
  <c r="AK190" i="38"/>
  <c r="V190" i="38"/>
  <c r="BA63" i="37"/>
  <c r="BA64" i="37" s="1"/>
  <c r="AB88" i="37"/>
  <c r="AH88" i="37"/>
  <c r="AK88" i="37"/>
  <c r="AW88" i="37"/>
  <c r="AZ88" i="37"/>
  <c r="AQ88" i="37"/>
  <c r="Y88" i="37"/>
  <c r="AN88" i="37"/>
  <c r="AT88" i="37"/>
  <c r="AE88" i="37"/>
  <c r="BC88" i="37"/>
  <c r="V88" i="37"/>
  <c r="AG64" i="37"/>
  <c r="X89" i="37"/>
  <c r="AB186" i="37"/>
  <c r="AK186" i="37"/>
  <c r="V186" i="37"/>
  <c r="AZ186" i="37"/>
  <c r="AQ186" i="37"/>
  <c r="AT186" i="37"/>
  <c r="BC186" i="37"/>
  <c r="Y186" i="37"/>
  <c r="AE186" i="37"/>
  <c r="AN186" i="37"/>
  <c r="AW186" i="37"/>
  <c r="AH186" i="37"/>
  <c r="Q90" i="37"/>
  <c r="Q91" i="37" s="1"/>
  <c r="Q92" i="37" s="1"/>
  <c r="Q93" i="37" s="1"/>
  <c r="Q94" i="37" s="1"/>
  <c r="Q95" i="37" s="1"/>
  <c r="Q96" i="37" s="1"/>
  <c r="Q97" i="37" s="1"/>
  <c r="Q98" i="37" s="1"/>
  <c r="Q99" i="37" s="1"/>
  <c r="Q100" i="37" s="1"/>
  <c r="Q101" i="37" s="1"/>
  <c r="P77" i="37"/>
  <c r="P78" i="37" s="1"/>
  <c r="P79" i="37" s="1"/>
  <c r="P80" i="37" s="1"/>
  <c r="P81" i="37" s="1"/>
  <c r="P82" i="37" s="1"/>
  <c r="P83" i="37" s="1"/>
  <c r="P84" i="37" s="1"/>
  <c r="P85" i="37" s="1"/>
  <c r="P86" i="37" s="1"/>
  <c r="P87" i="37" s="1"/>
  <c r="P88" i="37" s="1"/>
  <c r="BC75" i="37"/>
  <c r="AE75" i="37"/>
  <c r="AT75" i="37"/>
  <c r="AK75" i="37"/>
  <c r="AB75" i="37"/>
  <c r="AH75" i="37"/>
  <c r="AZ75" i="37"/>
  <c r="V75" i="37"/>
  <c r="AW75" i="37"/>
  <c r="AN75" i="37"/>
  <c r="Y75" i="37"/>
  <c r="AQ75" i="37"/>
  <c r="BE165" i="37"/>
  <c r="AY164" i="38"/>
  <c r="AK169" i="38"/>
  <c r="Y169" i="38"/>
  <c r="AB169" i="38"/>
  <c r="V169" i="38"/>
  <c r="AZ169" i="38"/>
  <c r="AH169" i="38"/>
  <c r="AW169" i="38"/>
  <c r="AN169" i="38"/>
  <c r="BC169" i="38"/>
  <c r="AE169" i="38"/>
  <c r="AT169" i="38"/>
  <c r="AQ169" i="38"/>
  <c r="AZ161" i="38"/>
  <c r="AH161" i="38"/>
  <c r="AB161" i="38"/>
  <c r="AE161" i="38"/>
  <c r="AN161" i="38"/>
  <c r="AK161" i="38"/>
  <c r="BC161" i="38"/>
  <c r="AQ161" i="38"/>
  <c r="Y161" i="38"/>
  <c r="V161" i="38"/>
  <c r="AT161" i="38"/>
  <c r="AW161" i="38"/>
  <c r="BE90" i="37"/>
  <c r="AP165" i="38"/>
  <c r="AI63" i="37"/>
  <c r="AI64" i="37" s="1"/>
  <c r="AJ64" i="37" s="1"/>
  <c r="AJ63" i="37"/>
  <c r="AD160" i="37"/>
  <c r="AH173" i="38"/>
  <c r="AT173" i="38"/>
  <c r="V173" i="38"/>
  <c r="AQ173" i="38"/>
  <c r="AE173" i="38"/>
  <c r="AW173" i="38"/>
  <c r="BC173" i="38"/>
  <c r="Y173" i="38"/>
  <c r="AZ173" i="38"/>
  <c r="AN173" i="38"/>
  <c r="AB173" i="38"/>
  <c r="AK173" i="38"/>
  <c r="AY63" i="38"/>
  <c r="AX63" i="38"/>
  <c r="AX64" i="38" s="1"/>
  <c r="BE89" i="37"/>
  <c r="AV165" i="37"/>
  <c r="AE79" i="37"/>
  <c r="AB79" i="37"/>
  <c r="AT79" i="37"/>
  <c r="AK79" i="37"/>
  <c r="Y79" i="37"/>
  <c r="AN79" i="37"/>
  <c r="BC79" i="37"/>
  <c r="AW79" i="37"/>
  <c r="AH79" i="37"/>
  <c r="V79" i="37"/>
  <c r="AQ79" i="37"/>
  <c r="AZ79" i="37"/>
  <c r="BE160" i="37"/>
  <c r="AE97" i="37"/>
  <c r="AB97" i="37"/>
  <c r="AH97" i="37"/>
  <c r="AZ97" i="37"/>
  <c r="AN97" i="37"/>
  <c r="AQ97" i="37"/>
  <c r="AK97" i="37"/>
  <c r="BC97" i="37"/>
  <c r="AW97" i="37"/>
  <c r="V97" i="37"/>
  <c r="AT97" i="37"/>
  <c r="Y97" i="37"/>
  <c r="AG165" i="37"/>
  <c r="AB76" i="38"/>
  <c r="BC76" i="38"/>
  <c r="AN76" i="38"/>
  <c r="AT76" i="38"/>
  <c r="AK76" i="38"/>
  <c r="Y76" i="38"/>
  <c r="AQ76" i="38"/>
  <c r="AE76" i="38"/>
  <c r="AH76" i="38"/>
  <c r="AZ76" i="38"/>
  <c r="AW76" i="38"/>
  <c r="V76" i="38"/>
  <c r="AX63" i="37"/>
  <c r="AX64" i="37" s="1"/>
  <c r="AY63" i="37"/>
  <c r="AY90" i="38"/>
  <c r="AC63" i="38"/>
  <c r="AC64" i="38" s="1"/>
  <c r="AD63" i="38"/>
  <c r="AA64" i="38"/>
  <c r="C88" i="24"/>
  <c r="AR63" i="37"/>
  <c r="AR64" i="37" s="1"/>
  <c r="AS63" i="37"/>
  <c r="AT91" i="37"/>
  <c r="AE91" i="37"/>
  <c r="AB91" i="37"/>
  <c r="AK91" i="37"/>
  <c r="Y91" i="37"/>
  <c r="AN91" i="37"/>
  <c r="AZ91" i="37"/>
  <c r="AW91" i="37"/>
  <c r="V91" i="37"/>
  <c r="AH91" i="37"/>
  <c r="BC91" i="37"/>
  <c r="AQ91" i="37"/>
  <c r="AM164" i="37"/>
  <c r="AG165" i="38"/>
  <c r="BE160" i="38"/>
  <c r="BB160" i="37"/>
  <c r="AJ165" i="38"/>
  <c r="AP160" i="38"/>
  <c r="AN76" i="37"/>
  <c r="BC76" i="37"/>
  <c r="AE76" i="37"/>
  <c r="AB76" i="37"/>
  <c r="AK76" i="37"/>
  <c r="AH76" i="37"/>
  <c r="AT76" i="37"/>
  <c r="AZ76" i="37"/>
  <c r="AW76" i="37"/>
  <c r="Y76" i="37"/>
  <c r="V76" i="37"/>
  <c r="AQ76" i="37"/>
  <c r="BB164" i="37"/>
  <c r="BB160" i="38"/>
  <c r="AN77" i="37"/>
  <c r="BC77" i="37"/>
  <c r="AE77" i="37"/>
  <c r="AB77" i="37"/>
  <c r="AH77" i="37"/>
  <c r="AT77" i="37"/>
  <c r="AK77" i="37"/>
  <c r="AW77" i="37"/>
  <c r="AQ77" i="37"/>
  <c r="AZ77" i="37"/>
  <c r="V77" i="37"/>
  <c r="Y77" i="37"/>
  <c r="X164" i="38"/>
  <c r="X90" i="37"/>
  <c r="AB184" i="37"/>
  <c r="Y184" i="37"/>
  <c r="AH184" i="37"/>
  <c r="BC184" i="37"/>
  <c r="AK184" i="37"/>
  <c r="V184" i="37"/>
  <c r="AE184" i="37"/>
  <c r="AT184" i="37"/>
  <c r="AW184" i="37"/>
  <c r="AN184" i="37"/>
  <c r="AQ184" i="37"/>
  <c r="AZ184" i="37"/>
  <c r="AN169" i="37"/>
  <c r="AH169" i="37"/>
  <c r="AB169" i="37"/>
  <c r="BC169" i="37"/>
  <c r="AW169" i="37"/>
  <c r="V169" i="37"/>
  <c r="AK169" i="37"/>
  <c r="AE169" i="37"/>
  <c r="Y169" i="37"/>
  <c r="AQ169" i="37"/>
  <c r="AZ169" i="37"/>
  <c r="AT169" i="37"/>
  <c r="P90" i="38"/>
  <c r="O78" i="38"/>
  <c r="O79" i="38" s="1"/>
  <c r="O80" i="38" s="1"/>
  <c r="O81" i="38" s="1"/>
  <c r="O82" i="38" s="1"/>
  <c r="O83" i="38" s="1"/>
  <c r="O84" i="38" s="1"/>
  <c r="O85" i="38" s="1"/>
  <c r="O86" i="38" s="1"/>
  <c r="O87" i="38" s="1"/>
  <c r="O88" i="38" s="1"/>
  <c r="AB85" i="38"/>
  <c r="AK85" i="38"/>
  <c r="AH85" i="38"/>
  <c r="AZ85" i="38"/>
  <c r="AT85" i="38"/>
  <c r="BC85" i="38"/>
  <c r="AN85" i="38"/>
  <c r="AW85" i="38"/>
  <c r="V85" i="38"/>
  <c r="Y85" i="38"/>
  <c r="AE85" i="38"/>
  <c r="AQ85" i="38"/>
  <c r="AG90" i="37"/>
  <c r="X165" i="38"/>
  <c r="AC63" i="37"/>
  <c r="AC64" i="37" s="1"/>
  <c r="AD63" i="37"/>
  <c r="N7" i="36"/>
  <c r="V49" i="36"/>
  <c r="AA89" i="37"/>
  <c r="X160" i="37"/>
  <c r="AS89" i="38"/>
  <c r="AM64" i="38"/>
  <c r="AS89" i="37"/>
  <c r="AV160" i="37"/>
  <c r="L220" i="37"/>
  <c r="L222" i="37"/>
  <c r="AB71" i="37"/>
  <c r="AZ71" i="37"/>
  <c r="AW71" i="37"/>
  <c r="AN71" i="37"/>
  <c r="AT71" i="37"/>
  <c r="V71" i="37"/>
  <c r="AQ71" i="37"/>
  <c r="AH71" i="37"/>
  <c r="AE71" i="37"/>
  <c r="BC71" i="37"/>
  <c r="AG20" i="37"/>
  <c r="AK71" i="37"/>
  <c r="Y71" i="37"/>
  <c r="AE168" i="37"/>
  <c r="AZ168" i="37"/>
  <c r="AN168" i="37"/>
  <c r="AB168" i="37"/>
  <c r="AK168" i="37"/>
  <c r="V168" i="37"/>
  <c r="AW168" i="37"/>
  <c r="BC168" i="37"/>
  <c r="AT168" i="37"/>
  <c r="Y168" i="37"/>
  <c r="AH168" i="37"/>
  <c r="AQ168" i="37"/>
  <c r="AD64" i="38"/>
  <c r="BB89" i="38"/>
  <c r="AH159" i="37"/>
  <c r="AZ159" i="37"/>
  <c r="AT159" i="37"/>
  <c r="AB159" i="37"/>
  <c r="AN159" i="37"/>
  <c r="AW159" i="37"/>
  <c r="AE159" i="37"/>
  <c r="AQ159" i="37"/>
  <c r="BC159" i="37"/>
  <c r="Y159" i="37"/>
  <c r="AK159" i="37"/>
  <c r="V159" i="37"/>
  <c r="AP64" i="38"/>
  <c r="AH111" i="38"/>
  <c r="AT111" i="38"/>
  <c r="AK111" i="38"/>
  <c r="AE111" i="38"/>
  <c r="AN111" i="38"/>
  <c r="AB111" i="38"/>
  <c r="BC111" i="38"/>
  <c r="AW111" i="38"/>
  <c r="Y111" i="38"/>
  <c r="AZ111" i="38"/>
  <c r="V111" i="38"/>
  <c r="AQ111" i="38"/>
  <c r="AV165" i="38"/>
  <c r="X63" i="37"/>
  <c r="W63" i="37"/>
  <c r="W64" i="37" s="1"/>
  <c r="AM89" i="37"/>
  <c r="AB188" i="37"/>
  <c r="AZ188" i="37"/>
  <c r="AE188" i="37"/>
  <c r="AK188" i="37"/>
  <c r="V188" i="37"/>
  <c r="AQ188" i="37"/>
  <c r="Y188" i="37"/>
  <c r="AH188" i="37"/>
  <c r="AW188" i="37"/>
  <c r="AN188" i="37"/>
  <c r="AT188" i="37"/>
  <c r="BC188" i="37"/>
  <c r="BB64" i="37"/>
  <c r="AI63" i="38"/>
  <c r="AI64" i="38" s="1"/>
  <c r="AJ64" i="38" s="1"/>
  <c r="AJ63" i="38"/>
  <c r="AM160" i="37"/>
  <c r="AE86" i="37"/>
  <c r="AK86" i="37"/>
  <c r="AW86" i="37"/>
  <c r="AB86" i="37"/>
  <c r="BC86" i="37"/>
  <c r="AN86" i="37"/>
  <c r="V86" i="37"/>
  <c r="AH86" i="37"/>
  <c r="AZ86" i="37"/>
  <c r="AQ86" i="37"/>
  <c r="AT86" i="37"/>
  <c r="Y86" i="37"/>
  <c r="AA63" i="38"/>
  <c r="Z63" i="38"/>
  <c r="Z64" i="38" s="1"/>
  <c r="Y167" i="38"/>
  <c r="V167" i="38"/>
  <c r="AN167" i="38"/>
  <c r="AW167" i="38"/>
  <c r="AQ167" i="38"/>
  <c r="BC167" i="38"/>
  <c r="AB167" i="38"/>
  <c r="AT167" i="38"/>
  <c r="AZ167" i="38"/>
  <c r="AE167" i="38"/>
  <c r="AK167" i="38"/>
  <c r="AH167" i="38"/>
  <c r="BA63" i="38"/>
  <c r="BA64" i="38" s="1"/>
  <c r="AP160" i="37"/>
  <c r="V172" i="38"/>
  <c r="AB172" i="38"/>
  <c r="AW172" i="38"/>
  <c r="AQ172" i="38"/>
  <c r="AK172" i="38"/>
  <c r="AZ172" i="38"/>
  <c r="AN172" i="38"/>
  <c r="BC172" i="38"/>
  <c r="AT172" i="38"/>
  <c r="AE172" i="38"/>
  <c r="AH172" i="38"/>
  <c r="Y172" i="38"/>
  <c r="AM165" i="38"/>
  <c r="BE63" i="37"/>
  <c r="BD63" i="37"/>
  <c r="BD64" i="37" s="1"/>
  <c r="BE64" i="37" s="1"/>
  <c r="BC98" i="37"/>
  <c r="AK98" i="37"/>
  <c r="AB98" i="37"/>
  <c r="AT98" i="37"/>
  <c r="AE98" i="37"/>
  <c r="AH98" i="37"/>
  <c r="AZ98" i="37"/>
  <c r="AW98" i="37"/>
  <c r="V98" i="37"/>
  <c r="AN98" i="37"/>
  <c r="Y98" i="37"/>
  <c r="AQ98" i="37"/>
  <c r="AW184" i="38"/>
  <c r="AN184" i="38"/>
  <c r="AZ184" i="38"/>
  <c r="AE184" i="38"/>
  <c r="AQ184" i="38"/>
  <c r="V184" i="38"/>
  <c r="BC184" i="38"/>
  <c r="Y184" i="38"/>
  <c r="AB184" i="38"/>
  <c r="AT184" i="38"/>
  <c r="AH184" i="38"/>
  <c r="AK184" i="38"/>
  <c r="AJ90" i="37"/>
  <c r="AY165" i="38"/>
  <c r="Z63" i="37"/>
  <c r="Z64" i="37" s="1"/>
  <c r="AA63" i="37"/>
  <c r="AT111" i="37"/>
  <c r="Y111" i="37"/>
  <c r="AK111" i="37"/>
  <c r="AN111" i="37"/>
  <c r="AH111" i="37"/>
  <c r="AW111" i="37"/>
  <c r="AZ111" i="37"/>
  <c r="AB111" i="37"/>
  <c r="V111" i="37"/>
  <c r="AQ111" i="37"/>
  <c r="AE111" i="37"/>
  <c r="BC111" i="37"/>
  <c r="AK95" i="37"/>
  <c r="AE95" i="37"/>
  <c r="AN95" i="37"/>
  <c r="AW95" i="37"/>
  <c r="V95" i="37"/>
  <c r="AB95" i="37"/>
  <c r="AH95" i="37"/>
  <c r="AQ95" i="37"/>
  <c r="Y95" i="37"/>
  <c r="AZ95" i="37"/>
  <c r="BC95" i="37"/>
  <c r="AT95" i="37"/>
  <c r="AJ164" i="37"/>
  <c r="V186" i="38"/>
  <c r="AZ186" i="38"/>
  <c r="Y186" i="38"/>
  <c r="AQ186" i="38"/>
  <c r="AN186" i="38"/>
  <c r="AW186" i="38"/>
  <c r="BC186" i="38"/>
  <c r="AE186" i="38"/>
  <c r="AH186" i="38"/>
  <c r="AB186" i="38"/>
  <c r="AK186" i="38"/>
  <c r="AT186" i="38"/>
  <c r="AK87" i="38"/>
  <c r="AE87" i="38"/>
  <c r="AT87" i="38"/>
  <c r="AB87" i="38"/>
  <c r="V87" i="38"/>
  <c r="AQ87" i="38"/>
  <c r="Y87" i="38"/>
  <c r="AW87" i="38"/>
  <c r="AH87" i="38"/>
  <c r="BC87" i="38"/>
  <c r="AN87" i="38"/>
  <c r="AZ87" i="38"/>
  <c r="AP90" i="37"/>
  <c r="BE165" i="38"/>
  <c r="AF63" i="37"/>
  <c r="AF64" i="37" s="1"/>
  <c r="X64" i="38"/>
  <c r="AW44" i="36"/>
  <c r="AW45" i="36" s="1"/>
  <c r="AW46" i="36" s="1"/>
  <c r="AW47" i="36" s="1"/>
  <c r="AX43" i="36"/>
  <c r="AJ160" i="37"/>
  <c r="AJ165" i="37"/>
  <c r="AV64" i="38"/>
  <c r="AG164" i="37"/>
  <c r="BB165" i="38"/>
  <c r="AK112" i="38"/>
  <c r="V112" i="38"/>
  <c r="AB112" i="38"/>
  <c r="Y112" i="38"/>
  <c r="AW112" i="38"/>
  <c r="AE112" i="38"/>
  <c r="AQ112" i="38"/>
  <c r="BC112" i="38"/>
  <c r="AN112" i="38"/>
  <c r="AZ112" i="38"/>
  <c r="AH112" i="38"/>
  <c r="AT112" i="38"/>
  <c r="BB90" i="37"/>
  <c r="AH167" i="37"/>
  <c r="Y167" i="37"/>
  <c r="AQ167" i="37"/>
  <c r="AK167" i="37"/>
  <c r="BC167" i="37"/>
  <c r="AZ167" i="37"/>
  <c r="AB167" i="37"/>
  <c r="AT167" i="37"/>
  <c r="V167" i="37"/>
  <c r="AN167" i="37"/>
  <c r="AW167" i="37"/>
  <c r="AE167" i="37"/>
  <c r="AP165" i="37"/>
  <c r="AG21" i="37"/>
  <c r="AE72" i="37"/>
  <c r="AZ72" i="37"/>
  <c r="V72" i="37"/>
  <c r="AB72" i="37"/>
  <c r="AQ72" i="37"/>
  <c r="BC72" i="37"/>
  <c r="AK72" i="37"/>
  <c r="AW72" i="37"/>
  <c r="AH72" i="37"/>
  <c r="Y72" i="37"/>
  <c r="AT72" i="37"/>
  <c r="AN72" i="37"/>
  <c r="BE164" i="37"/>
  <c r="BC78" i="38"/>
  <c r="AH78" i="38"/>
  <c r="AE78" i="38"/>
  <c r="AB78" i="38"/>
  <c r="AW78" i="38"/>
  <c r="AK78" i="38"/>
  <c r="AN78" i="38"/>
  <c r="AT78" i="38"/>
  <c r="Y78" i="38"/>
  <c r="AZ78" i="38"/>
  <c r="V78" i="38"/>
  <c r="AQ78" i="38"/>
  <c r="BB89" i="37"/>
  <c r="AB77" i="38"/>
  <c r="AN77" i="38"/>
  <c r="AE77" i="38"/>
  <c r="AH77" i="38"/>
  <c r="AK77" i="38"/>
  <c r="BC77" i="38"/>
  <c r="AZ77" i="38"/>
  <c r="AT77" i="38"/>
  <c r="AQ77" i="38"/>
  <c r="V77" i="38"/>
  <c r="AW77" i="38"/>
  <c r="Y77" i="38"/>
  <c r="AG64" i="38"/>
  <c r="AG89" i="37"/>
  <c r="AB87" i="37"/>
  <c r="AH87" i="37"/>
  <c r="AE87" i="37"/>
  <c r="AT87" i="37"/>
  <c r="BC87" i="37"/>
  <c r="V87" i="37"/>
  <c r="AN87" i="37"/>
  <c r="AQ87" i="37"/>
  <c r="Y87" i="37"/>
  <c r="AK87" i="37"/>
  <c r="AW87" i="37"/>
  <c r="AZ87" i="37"/>
  <c r="AQ187" i="38"/>
  <c r="AK187" i="38"/>
  <c r="AB187" i="38"/>
  <c r="BC187" i="38"/>
  <c r="AZ187" i="38"/>
  <c r="Y187" i="38"/>
  <c r="V187" i="38"/>
  <c r="AE187" i="38"/>
  <c r="AN187" i="38"/>
  <c r="AH187" i="38"/>
  <c r="AT187" i="38"/>
  <c r="AW187" i="38"/>
  <c r="BD63" i="38"/>
  <c r="BD64" i="38" s="1"/>
  <c r="BE64" i="38" s="1"/>
  <c r="BE63" i="38"/>
  <c r="AY89" i="37"/>
  <c r="O78" i="37"/>
  <c r="O79" i="37" s="1"/>
  <c r="O80" i="37" s="1"/>
  <c r="O81" i="37" s="1"/>
  <c r="O82" i="37" s="1"/>
  <c r="O83" i="37" s="1"/>
  <c r="O84" i="37" s="1"/>
  <c r="O85" i="37" s="1"/>
  <c r="O86" i="37" s="1"/>
  <c r="O87" i="37" s="1"/>
  <c r="O88" i="37" s="1"/>
  <c r="P90" i="37"/>
  <c r="AY165" i="37"/>
  <c r="AZ95" i="38"/>
  <c r="AW95" i="38"/>
  <c r="BC95" i="38"/>
  <c r="AT95" i="38"/>
  <c r="AB95" i="38"/>
  <c r="AQ95" i="38"/>
  <c r="V95" i="38"/>
  <c r="AE95" i="38"/>
  <c r="AN95" i="38"/>
  <c r="AK95" i="38"/>
  <c r="Y95" i="38"/>
  <c r="AH95" i="38"/>
  <c r="AF63" i="38"/>
  <c r="AG63" i="38" s="1"/>
  <c r="AN78" i="37"/>
  <c r="AE78" i="37"/>
  <c r="AB78" i="37"/>
  <c r="AT78" i="37"/>
  <c r="BC78" i="37"/>
  <c r="AH78" i="37"/>
  <c r="AZ78" i="37"/>
  <c r="AW78" i="37"/>
  <c r="AK78" i="37"/>
  <c r="AQ78" i="37"/>
  <c r="Y78" i="37"/>
  <c r="V78" i="37"/>
  <c r="P77" i="38"/>
  <c r="P78" i="38" s="1"/>
  <c r="P79" i="38" s="1"/>
  <c r="P80" i="38" s="1"/>
  <c r="P81" i="38" s="1"/>
  <c r="P82" i="38" s="1"/>
  <c r="P83" i="38" s="1"/>
  <c r="P84" i="38" s="1"/>
  <c r="P85" i="38" s="1"/>
  <c r="P86" i="38" s="1"/>
  <c r="P87" i="38" s="1"/>
  <c r="P88" i="38" s="1"/>
  <c r="Q90" i="38"/>
  <c r="Q91" i="38" s="1"/>
  <c r="Q92" i="38" s="1"/>
  <c r="Q93" i="38" s="1"/>
  <c r="Q94" i="38" s="1"/>
  <c r="Q95" i="38" s="1"/>
  <c r="Q96" i="38" s="1"/>
  <c r="Q97" i="38" s="1"/>
  <c r="Q98" i="38" s="1"/>
  <c r="Q99" i="38" s="1"/>
  <c r="Q100" i="38" s="1"/>
  <c r="Q101" i="38" s="1"/>
  <c r="Y171" i="37"/>
  <c r="AK171" i="37"/>
  <c r="AH171" i="37"/>
  <c r="AQ171" i="37"/>
  <c r="BC171" i="37"/>
  <c r="AW171" i="37"/>
  <c r="AT171" i="37"/>
  <c r="AB171" i="37"/>
  <c r="AE171" i="37"/>
  <c r="AZ171" i="37"/>
  <c r="V171" i="37"/>
  <c r="AN171" i="37"/>
  <c r="L219" i="37"/>
  <c r="L221" i="37"/>
  <c r="AS64" i="37"/>
  <c r="AV164" i="37"/>
  <c r="AM164" i="38"/>
  <c r="AB171" i="38"/>
  <c r="AZ171" i="38"/>
  <c r="V171" i="38"/>
  <c r="AN171" i="38"/>
  <c r="AK171" i="38"/>
  <c r="AE171" i="38"/>
  <c r="AQ171" i="38"/>
  <c r="AT171" i="38"/>
  <c r="Y171" i="38"/>
  <c r="AH171" i="38"/>
  <c r="BC171" i="38"/>
  <c r="AW171" i="38"/>
  <c r="AW97" i="38"/>
  <c r="AQ97" i="38"/>
  <c r="AK97" i="38"/>
  <c r="Y97" i="38"/>
  <c r="AH97" i="38"/>
  <c r="AE97" i="38"/>
  <c r="AB97" i="38"/>
  <c r="BC97" i="38"/>
  <c r="AZ97" i="38"/>
  <c r="AN97" i="38"/>
  <c r="V97" i="38"/>
  <c r="AT97" i="38"/>
  <c r="E93" i="35"/>
  <c r="AM90" i="37"/>
  <c r="AS63" i="38"/>
  <c r="AR63" i="38"/>
  <c r="AR64" i="38" s="1"/>
  <c r="AP63" i="37"/>
  <c r="AO63" i="37"/>
  <c r="AO64" i="37" s="1"/>
  <c r="AE79" i="38"/>
  <c r="AB79" i="38"/>
  <c r="AN79" i="38"/>
  <c r="BC79" i="38"/>
  <c r="AT79" i="38"/>
  <c r="AK79" i="38"/>
  <c r="AW79" i="38"/>
  <c r="V79" i="38"/>
  <c r="AZ79" i="38"/>
  <c r="Y79" i="38"/>
  <c r="AH79" i="38"/>
  <c r="AQ79" i="38"/>
  <c r="L6" i="8" l="1"/>
  <c r="L28" i="24" s="1"/>
  <c r="P6" i="8"/>
  <c r="P7" i="8"/>
  <c r="L4" i="8"/>
  <c r="L26" i="24" s="1"/>
  <c r="L9" i="8"/>
  <c r="L25" i="24" s="1"/>
  <c r="X23" i="24" s="1"/>
  <c r="P9" i="8"/>
  <c r="P5" i="8"/>
  <c r="P4" i="8"/>
  <c r="L5" i="8"/>
  <c r="L27" i="24" s="1"/>
  <c r="G28" i="8"/>
  <c r="AD35" i="36"/>
  <c r="C93" i="24"/>
  <c r="G35" i="8" s="1"/>
  <c r="AA41" i="24"/>
  <c r="F28" i="8"/>
  <c r="AB40" i="24"/>
  <c r="AC40" i="24" s="1"/>
  <c r="F31" i="8" s="1"/>
  <c r="BC80" i="38"/>
  <c r="AQ80" i="38"/>
  <c r="AZ80" i="38"/>
  <c r="V80" i="38"/>
  <c r="AN80" i="38"/>
  <c r="AP80" i="38" s="1"/>
  <c r="T37" i="37"/>
  <c r="D32" i="37" s="1"/>
  <c r="T41" i="37"/>
  <c r="A2" i="37" s="1"/>
  <c r="Y80" i="38"/>
  <c r="AA80" i="38" s="1"/>
  <c r="AW80" i="38"/>
  <c r="T36" i="37"/>
  <c r="G32" i="37" s="1"/>
  <c r="AT80" i="38"/>
  <c r="AV80" i="38" s="1"/>
  <c r="T46" i="37"/>
  <c r="J22" i="37" s="1"/>
  <c r="AK80" i="38"/>
  <c r="AE80" i="38"/>
  <c r="AH80" i="38"/>
  <c r="AJ80" i="38" s="1"/>
  <c r="T42" i="37"/>
  <c r="D2" i="37" s="1"/>
  <c r="T39" i="37"/>
  <c r="A22" i="37" s="1"/>
  <c r="T43" i="37"/>
  <c r="G2" i="37" s="1"/>
  <c r="T44" i="37"/>
  <c r="J2" i="37" s="1"/>
  <c r="T40" i="37"/>
  <c r="C11" i="37" s="1"/>
  <c r="T38" i="37"/>
  <c r="C31" i="37" s="1"/>
  <c r="I107" i="37"/>
  <c r="I108" i="37" s="1"/>
  <c r="I109" i="37" s="1"/>
  <c r="I110" i="37" s="1"/>
  <c r="J110" i="37" s="1"/>
  <c r="S115" i="37" s="1"/>
  <c r="AN115" i="37" s="1"/>
  <c r="T45" i="37"/>
  <c r="L11" i="37" s="1"/>
  <c r="R13" i="36"/>
  <c r="S13" i="36" s="1"/>
  <c r="T13" i="36" s="1"/>
  <c r="G9" i="36" s="1"/>
  <c r="R12" i="36"/>
  <c r="S12" i="36" s="1"/>
  <c r="T12" i="36" s="1"/>
  <c r="G8" i="36" s="1"/>
  <c r="BB63" i="38"/>
  <c r="T23" i="24"/>
  <c r="AM41" i="36"/>
  <c r="AM42" i="36" s="1"/>
  <c r="AM43" i="36" s="1"/>
  <c r="AM44" i="36" s="1"/>
  <c r="AM45" i="36" s="1"/>
  <c r="AN40" i="36"/>
  <c r="AC39" i="36"/>
  <c r="AC40" i="36" s="1"/>
  <c r="AC41" i="36" s="1"/>
  <c r="AC42" i="36" s="1"/>
  <c r="AC43" i="36" s="1"/>
  <c r="AC44" i="36" s="1"/>
  <c r="AC45" i="36" s="1"/>
  <c r="AD38" i="36"/>
  <c r="Q83" i="37"/>
  <c r="BB63" i="37"/>
  <c r="R21" i="36"/>
  <c r="S21" i="36" s="1"/>
  <c r="T21" i="36" s="1"/>
  <c r="G17" i="36" s="1"/>
  <c r="R20" i="36"/>
  <c r="S20" i="36" s="1"/>
  <c r="T20" i="36" s="1"/>
  <c r="G16" i="36" s="1"/>
  <c r="R19" i="36"/>
  <c r="S19" i="36" s="1"/>
  <c r="T19" i="36" s="1"/>
  <c r="G15" i="36" s="1"/>
  <c r="R15" i="36"/>
  <c r="S15" i="36" s="1"/>
  <c r="T15" i="36" s="1"/>
  <c r="G11" i="36" s="1"/>
  <c r="R14" i="36"/>
  <c r="S14" i="36" s="1"/>
  <c r="T14" i="36" s="1"/>
  <c r="G10" i="36" s="1"/>
  <c r="H124" i="37"/>
  <c r="S66" i="37" s="1"/>
  <c r="C124" i="37"/>
  <c r="Q147" i="37" s="1"/>
  <c r="N124" i="37"/>
  <c r="P124" i="37"/>
  <c r="O124" i="37"/>
  <c r="J124" i="37"/>
  <c r="S93" i="37" s="1"/>
  <c r="G124" i="37"/>
  <c r="S65" i="37" s="1"/>
  <c r="N62" i="37"/>
  <c r="D124" i="37"/>
  <c r="Q148" i="37" s="1"/>
  <c r="K124" i="37"/>
  <c r="Q154" i="37" s="1"/>
  <c r="L124" i="37"/>
  <c r="S94" i="37" s="1"/>
  <c r="B124" i="37"/>
  <c r="Q124" i="37"/>
  <c r="E124" i="37"/>
  <c r="S83" i="37" s="1"/>
  <c r="M124" i="37"/>
  <c r="S96" i="37" s="1"/>
  <c r="R124" i="37"/>
  <c r="N46" i="37" s="1"/>
  <c r="O46" i="37" s="1"/>
  <c r="O48" i="37" s="1"/>
  <c r="L105" i="37" s="1"/>
  <c r="M107" i="37" s="1"/>
  <c r="P107" i="37" s="1"/>
  <c r="Q107" i="37" s="1"/>
  <c r="B10" i="37" s="1"/>
  <c r="F124" i="37"/>
  <c r="S84" i="37" s="1"/>
  <c r="I124" i="37"/>
  <c r="S92" i="37" s="1"/>
  <c r="R18" i="36"/>
  <c r="S18" i="36" s="1"/>
  <c r="T18" i="36" s="1"/>
  <c r="G14" i="36" s="1"/>
  <c r="N62" i="38"/>
  <c r="L124" i="38"/>
  <c r="S94" i="38" s="1"/>
  <c r="K124" i="38"/>
  <c r="Q154" i="38" s="1"/>
  <c r="M124" i="38"/>
  <c r="S96" i="38" s="1"/>
  <c r="C124" i="38"/>
  <c r="Q147" i="38" s="1"/>
  <c r="I124" i="38"/>
  <c r="S92" i="38" s="1"/>
  <c r="J124" i="38"/>
  <c r="S93" i="38" s="1"/>
  <c r="R124" i="38"/>
  <c r="N46" i="38" s="1"/>
  <c r="O46" i="38" s="1"/>
  <c r="O47" i="38" s="1"/>
  <c r="P124" i="38"/>
  <c r="D124" i="38"/>
  <c r="Q148" i="38" s="1"/>
  <c r="N124" i="38"/>
  <c r="B124" i="38"/>
  <c r="G124" i="38"/>
  <c r="S65" i="38" s="1"/>
  <c r="F124" i="38"/>
  <c r="S84" i="38" s="1"/>
  <c r="O124" i="38"/>
  <c r="H124" i="38"/>
  <c r="S66" i="38" s="1"/>
  <c r="E124" i="38"/>
  <c r="S83" i="38" s="1"/>
  <c r="Q124" i="38"/>
  <c r="R16" i="36"/>
  <c r="S16" i="36" s="1"/>
  <c r="T16" i="36" s="1"/>
  <c r="G12" i="36" s="1"/>
  <c r="R17" i="36"/>
  <c r="S17" i="36" s="1"/>
  <c r="T17" i="36" s="1"/>
  <c r="G13" i="36" s="1"/>
  <c r="AN41" i="36"/>
  <c r="AD41" i="36"/>
  <c r="BB30" i="36"/>
  <c r="BC29" i="36"/>
  <c r="H8" i="35"/>
  <c r="Y71" i="38"/>
  <c r="AA71" i="38" s="1"/>
  <c r="BC71" i="38"/>
  <c r="BE71" i="38" s="1"/>
  <c r="AN71" i="38"/>
  <c r="AP71" i="38" s="1"/>
  <c r="AQ71" i="38"/>
  <c r="AS71" i="38" s="1"/>
  <c r="Q83" i="38"/>
  <c r="AB71" i="38"/>
  <c r="AD71" i="38" s="1"/>
  <c r="AK71" i="38"/>
  <c r="AM71" i="38" s="1"/>
  <c r="AG20" i="38"/>
  <c r="AW71" i="38"/>
  <c r="AY71" i="38" s="1"/>
  <c r="AE71" i="38"/>
  <c r="AG71" i="38" s="1"/>
  <c r="AH71" i="38"/>
  <c r="V71" i="38"/>
  <c r="X71" i="38" s="1"/>
  <c r="AT71" i="38"/>
  <c r="AV71" i="38" s="1"/>
  <c r="Q81" i="37"/>
  <c r="Q87" i="37"/>
  <c r="AP25" i="36"/>
  <c r="AP26" i="36"/>
  <c r="AS26" i="36" s="1"/>
  <c r="F18" i="8"/>
  <c r="Q84" i="37"/>
  <c r="Q78" i="37"/>
  <c r="E121" i="36"/>
  <c r="M14" i="36" s="1"/>
  <c r="Q79" i="37"/>
  <c r="AW48" i="36"/>
  <c r="AW49" i="36" s="1"/>
  <c r="AX49" i="36" s="1"/>
  <c r="AX47" i="36"/>
  <c r="AA12" i="36" s="1"/>
  <c r="AB12" i="36" s="1"/>
  <c r="AC12" i="36" s="1"/>
  <c r="N16" i="36" s="1"/>
  <c r="Q86" i="37"/>
  <c r="Q88" i="38"/>
  <c r="Q85" i="38"/>
  <c r="Q77" i="38"/>
  <c r="Q85" i="37"/>
  <c r="Q82" i="37"/>
  <c r="Q77" i="37"/>
  <c r="AA97" i="38"/>
  <c r="AM171" i="37"/>
  <c r="AY97" i="38"/>
  <c r="AD87" i="38"/>
  <c r="BE111" i="37"/>
  <c r="AG188" i="37"/>
  <c r="AS71" i="37"/>
  <c r="BB91" i="37"/>
  <c r="AA79" i="38"/>
  <c r="AJ167" i="37"/>
  <c r="AV87" i="38"/>
  <c r="AD87" i="37"/>
  <c r="AM77" i="38"/>
  <c r="AP172" i="38"/>
  <c r="AG79" i="37"/>
  <c r="X75" i="37"/>
  <c r="AP188" i="38"/>
  <c r="BB185" i="37"/>
  <c r="AS30" i="36"/>
  <c r="AM79" i="38"/>
  <c r="AV78" i="37"/>
  <c r="AD187" i="38"/>
  <c r="AM186" i="38"/>
  <c r="AM172" i="38"/>
  <c r="AY95" i="38"/>
  <c r="BB112" i="38"/>
  <c r="AP97" i="38"/>
  <c r="AG97" i="38"/>
  <c r="BB171" i="38"/>
  <c r="AY171" i="37"/>
  <c r="Q88" i="37"/>
  <c r="AA87" i="37"/>
  <c r="AF64" i="38"/>
  <c r="AY72" i="37"/>
  <c r="AJ87" i="38"/>
  <c r="AP186" i="38"/>
  <c r="AV111" i="37"/>
  <c r="BB184" i="38"/>
  <c r="AV167" i="38"/>
  <c r="AJ188" i="37"/>
  <c r="AA159" i="37"/>
  <c r="AS168" i="37"/>
  <c r="AM71" i="37"/>
  <c r="N8" i="36"/>
  <c r="W49" i="36"/>
  <c r="Q81" i="38"/>
  <c r="AM169" i="37"/>
  <c r="AJ184" i="37"/>
  <c r="AJ77" i="37"/>
  <c r="AM76" i="37"/>
  <c r="AS91" i="37"/>
  <c r="X79" i="37"/>
  <c r="AP161" i="38"/>
  <c r="AM169" i="38"/>
  <c r="BE75" i="37"/>
  <c r="AY88" i="37"/>
  <c r="BB190" i="38"/>
  <c r="BB161" i="37"/>
  <c r="AV159" i="38"/>
  <c r="AJ75" i="38"/>
  <c r="AY185" i="37"/>
  <c r="BB187" i="37"/>
  <c r="X91" i="38"/>
  <c r="AJ112" i="37"/>
  <c r="AY98" i="38"/>
  <c r="AJ185" i="38"/>
  <c r="AY173" i="37"/>
  <c r="AS88" i="38"/>
  <c r="AM95" i="38"/>
  <c r="AS79" i="38"/>
  <c r="AS97" i="38"/>
  <c r="AP95" i="38"/>
  <c r="AV77" i="38"/>
  <c r="AA167" i="37"/>
  <c r="AV72" i="38"/>
  <c r="AV95" i="38"/>
  <c r="AV184" i="38"/>
  <c r="AD91" i="37"/>
  <c r="X173" i="38"/>
  <c r="BE85" i="37"/>
  <c r="AJ97" i="38"/>
  <c r="AD171" i="38"/>
  <c r="AJ95" i="38"/>
  <c r="AY187" i="38"/>
  <c r="AS87" i="37"/>
  <c r="AA77" i="38"/>
  <c r="AY80" i="38"/>
  <c r="AM78" i="38"/>
  <c r="AM72" i="37"/>
  <c r="BB167" i="37"/>
  <c r="AA112" i="38"/>
  <c r="AY87" i="38"/>
  <c r="AY95" i="37"/>
  <c r="AP184" i="38"/>
  <c r="AY86" i="37"/>
  <c r="AA111" i="38"/>
  <c r="BE159" i="37"/>
  <c r="AJ168" i="37"/>
  <c r="AA85" i="38"/>
  <c r="Q80" i="38"/>
  <c r="AA184" i="37"/>
  <c r="AD77" i="37"/>
  <c r="AD76" i="37"/>
  <c r="BE91" i="37"/>
  <c r="AJ79" i="37"/>
  <c r="AD173" i="38"/>
  <c r="AG161" i="38"/>
  <c r="AM88" i="37"/>
  <c r="AV161" i="37"/>
  <c r="AJ185" i="37"/>
  <c r="AJ166" i="38"/>
  <c r="AP187" i="37"/>
  <c r="AV91" i="38"/>
  <c r="AP112" i="37"/>
  <c r="AP98" i="38"/>
  <c r="AG173" i="37"/>
  <c r="AV88" i="38"/>
  <c r="AD172" i="37"/>
  <c r="X190" i="37"/>
  <c r="R36" i="37"/>
  <c r="I106" i="37"/>
  <c r="J106" i="37" s="1"/>
  <c r="J107" i="37" s="1"/>
  <c r="J108" i="37" s="1"/>
  <c r="J109" i="37" s="1"/>
  <c r="S113" i="37" s="1"/>
  <c r="N42" i="37"/>
  <c r="AS37" i="36"/>
  <c r="AY77" i="38"/>
  <c r="AS80" i="38"/>
  <c r="BE72" i="37"/>
  <c r="BE167" i="37"/>
  <c r="AD112" i="38"/>
  <c r="AA87" i="38"/>
  <c r="AA186" i="38"/>
  <c r="AP95" i="37"/>
  <c r="AY184" i="38"/>
  <c r="BE167" i="38"/>
  <c r="AM86" i="37"/>
  <c r="AS188" i="37"/>
  <c r="AY111" i="38"/>
  <c r="AA168" i="37"/>
  <c r="BE71" i="37"/>
  <c r="X85" i="38"/>
  <c r="AG76" i="37"/>
  <c r="AP173" i="38"/>
  <c r="AG190" i="38"/>
  <c r="AY161" i="37"/>
  <c r="AS188" i="38"/>
  <c r="AJ159" i="38"/>
  <c r="BE72" i="38"/>
  <c r="AS75" i="38"/>
  <c r="AV185" i="37"/>
  <c r="BB166" i="38"/>
  <c r="BB91" i="38"/>
  <c r="BE112" i="37"/>
  <c r="AV98" i="38"/>
  <c r="AJ173" i="37"/>
  <c r="BB88" i="38"/>
  <c r="AG190" i="37"/>
  <c r="AP86" i="38"/>
  <c r="AS36" i="36"/>
  <c r="AS171" i="37"/>
  <c r="X78" i="37"/>
  <c r="AA95" i="38"/>
  <c r="AJ171" i="37"/>
  <c r="AJ187" i="38"/>
  <c r="X87" i="37"/>
  <c r="X77" i="38"/>
  <c r="BB80" i="38"/>
  <c r="AD78" i="38"/>
  <c r="AS72" i="37"/>
  <c r="AS87" i="38"/>
  <c r="BB186" i="38"/>
  <c r="AS98" i="37"/>
  <c r="AA172" i="38"/>
  <c r="AS167" i="38"/>
  <c r="AG86" i="37"/>
  <c r="X188" i="37"/>
  <c r="BE111" i="38"/>
  <c r="AG159" i="37"/>
  <c r="AV168" i="37"/>
  <c r="AG71" i="37"/>
  <c r="AY85" i="38"/>
  <c r="BE169" i="37"/>
  <c r="BE77" i="37"/>
  <c r="BE76" i="37"/>
  <c r="X91" i="37"/>
  <c r="BB173" i="38"/>
  <c r="AJ161" i="38"/>
  <c r="AD88" i="37"/>
  <c r="AS190" i="38"/>
  <c r="AS161" i="37"/>
  <c r="AP159" i="38"/>
  <c r="AD72" i="38"/>
  <c r="AV75" i="38"/>
  <c r="AS166" i="38"/>
  <c r="AG187" i="37"/>
  <c r="AM91" i="38"/>
  <c r="AV185" i="38"/>
  <c r="BB173" i="37"/>
  <c r="AY88" i="38"/>
  <c r="BB190" i="37"/>
  <c r="AY86" i="38"/>
  <c r="BB168" i="38"/>
  <c r="AS38" i="36"/>
  <c r="AS43" i="36"/>
  <c r="AP187" i="38"/>
  <c r="BE87" i="37"/>
  <c r="AS77" i="38"/>
  <c r="X80" i="38"/>
  <c r="AG78" i="38"/>
  <c r="AD72" i="37"/>
  <c r="AS167" i="37"/>
  <c r="AM112" i="38"/>
  <c r="X87" i="38"/>
  <c r="X186" i="38"/>
  <c r="AM95" i="37"/>
  <c r="AY167" i="38"/>
  <c r="AM188" i="37"/>
  <c r="AD111" i="38"/>
  <c r="AY159" i="37"/>
  <c r="BE168" i="37"/>
  <c r="AD169" i="37"/>
  <c r="AP76" i="37"/>
  <c r="AY91" i="37"/>
  <c r="X76" i="38"/>
  <c r="AA97" i="37"/>
  <c r="AP79" i="37"/>
  <c r="AA173" i="38"/>
  <c r="BB161" i="38"/>
  <c r="AY186" i="37"/>
  <c r="AV190" i="38"/>
  <c r="AJ161" i="37"/>
  <c r="BB85" i="37"/>
  <c r="AM72" i="38"/>
  <c r="AM75" i="38"/>
  <c r="AD185" i="37"/>
  <c r="AD166" i="38"/>
  <c r="AY187" i="37"/>
  <c r="AS91" i="38"/>
  <c r="AG98" i="38"/>
  <c r="BB185" i="38"/>
  <c r="AS173" i="37"/>
  <c r="AG88" i="38"/>
  <c r="AP172" i="37"/>
  <c r="AV190" i="37"/>
  <c r="AS86" i="38"/>
  <c r="AA80" i="37"/>
  <c r="AM168" i="38"/>
  <c r="AY85" i="37"/>
  <c r="AY75" i="38"/>
  <c r="AP185" i="37"/>
  <c r="AJ187" i="37"/>
  <c r="AM98" i="38"/>
  <c r="BE185" i="38"/>
  <c r="BE88" i="38"/>
  <c r="AG166" i="37"/>
  <c r="AG172" i="37"/>
  <c r="AS80" i="37"/>
  <c r="AS168" i="38"/>
  <c r="AS35" i="36"/>
  <c r="AM97" i="38"/>
  <c r="AA78" i="37"/>
  <c r="AS78" i="37"/>
  <c r="AM78" i="37"/>
  <c r="AP98" i="37"/>
  <c r="AJ169" i="37"/>
  <c r="AS75" i="37"/>
  <c r="AA161" i="37"/>
  <c r="AV172" i="38"/>
  <c r="AD159" i="37"/>
  <c r="AP169" i="37"/>
  <c r="AP91" i="37"/>
  <c r="BB76" i="38"/>
  <c r="X97" i="37"/>
  <c r="AM79" i="37"/>
  <c r="AY173" i="38"/>
  <c r="AV169" i="38"/>
  <c r="AG186" i="37"/>
  <c r="BE190" i="38"/>
  <c r="AG161" i="37"/>
  <c r="X75" i="38"/>
  <c r="BE185" i="37"/>
  <c r="BE187" i="37"/>
  <c r="AS98" i="38"/>
  <c r="AP173" i="37"/>
  <c r="X88" i="38"/>
  <c r="AS166" i="37"/>
  <c r="AV172" i="37"/>
  <c r="AA190" i="37"/>
  <c r="X86" i="38"/>
  <c r="AD80" i="37"/>
  <c r="BE168" i="38"/>
  <c r="AS45" i="36"/>
  <c r="BB79" i="38"/>
  <c r="BB78" i="37"/>
  <c r="AS95" i="38"/>
  <c r="AA187" i="38"/>
  <c r="AJ87" i="37"/>
  <c r="BE77" i="38"/>
  <c r="AG72" i="37"/>
  <c r="AG63" i="37"/>
  <c r="AM184" i="38"/>
  <c r="AY98" i="37"/>
  <c r="BE172" i="38"/>
  <c r="AA167" i="38"/>
  <c r="AD188" i="37"/>
  <c r="AM111" i="38"/>
  <c r="AV159" i="37"/>
  <c r="AM168" i="37"/>
  <c r="AV71" i="37"/>
  <c r="BB85" i="38"/>
  <c r="P91" i="38"/>
  <c r="P92" i="38" s="1"/>
  <c r="P93" i="38" s="1"/>
  <c r="P94" i="38" s="1"/>
  <c r="P95" i="38" s="1"/>
  <c r="P96" i="38" s="1"/>
  <c r="P97" i="38" s="1"/>
  <c r="P98" i="38" s="1"/>
  <c r="P99" i="38" s="1"/>
  <c r="P100" i="38" s="1"/>
  <c r="P101" i="38" s="1"/>
  <c r="BB184" i="37"/>
  <c r="AY97" i="37"/>
  <c r="AV79" i="37"/>
  <c r="AG173" i="38"/>
  <c r="AG169" i="38"/>
  <c r="AP75" i="37"/>
  <c r="AA186" i="37"/>
  <c r="AG188" i="38"/>
  <c r="AV85" i="37"/>
  <c r="AA72" i="38"/>
  <c r="AG75" i="38"/>
  <c r="X166" i="38"/>
  <c r="X187" i="37"/>
  <c r="AD112" i="37"/>
  <c r="AD98" i="38"/>
  <c r="AA173" i="37"/>
  <c r="AD88" i="38"/>
  <c r="AD166" i="37"/>
  <c r="BB172" i="37"/>
  <c r="AM190" i="37"/>
  <c r="AA86" i="38"/>
  <c r="X80" i="37"/>
  <c r="AS29" i="36"/>
  <c r="AG187" i="38"/>
  <c r="X72" i="37"/>
  <c r="AY168" i="37"/>
  <c r="AY76" i="38"/>
  <c r="AS169" i="38"/>
  <c r="AY171" i="38"/>
  <c r="X187" i="38"/>
  <c r="BB77" i="38"/>
  <c r="BE78" i="38"/>
  <c r="X167" i="38"/>
  <c r="AG111" i="38"/>
  <c r="AJ78" i="37"/>
  <c r="AD95" i="38"/>
  <c r="BB187" i="38"/>
  <c r="AJ184" i="38"/>
  <c r="BE169" i="38"/>
  <c r="AY75" i="37"/>
  <c r="BE186" i="37"/>
  <c r="X88" i="37"/>
  <c r="AS85" i="37"/>
  <c r="AS185" i="37"/>
  <c r="X173" i="37"/>
  <c r="AM88" i="38"/>
  <c r="BB166" i="37"/>
  <c r="X172" i="37"/>
  <c r="BE190" i="37"/>
  <c r="AV86" i="38"/>
  <c r="BB80" i="37"/>
  <c r="AA168" i="38"/>
  <c r="AS44" i="36"/>
  <c r="AJ79" i="38"/>
  <c r="AA171" i="37"/>
  <c r="AV87" i="37"/>
  <c r="AJ78" i="38"/>
  <c r="AP159" i="37"/>
  <c r="BE85" i="38"/>
  <c r="AA79" i="37"/>
  <c r="BE173" i="38"/>
  <c r="AJ190" i="38"/>
  <c r="AG111" i="37"/>
  <c r="X98" i="37"/>
  <c r="X71" i="37"/>
  <c r="AV85" i="38"/>
  <c r="X79" i="38"/>
  <c r="AM87" i="38"/>
  <c r="X111" i="37"/>
  <c r="AD168" i="37"/>
  <c r="Q78" i="38"/>
  <c r="AD79" i="37"/>
  <c r="X161" i="37"/>
  <c r="AD188" i="38"/>
  <c r="AG159" i="38"/>
  <c r="BE75" i="38"/>
  <c r="AA171" i="38"/>
  <c r="BE78" i="37"/>
  <c r="AV112" i="38"/>
  <c r="AV186" i="38"/>
  <c r="AV86" i="37"/>
  <c r="AJ111" i="38"/>
  <c r="AJ159" i="37"/>
  <c r="AP168" i="37"/>
  <c r="AY71" i="37"/>
  <c r="AP169" i="38"/>
  <c r="AV186" i="37"/>
  <c r="AS72" i="38"/>
  <c r="BE98" i="38"/>
  <c r="AY172" i="37"/>
  <c r="AP171" i="37"/>
  <c r="AD85" i="38"/>
  <c r="AY184" i="37"/>
  <c r="X77" i="37"/>
  <c r="X76" i="37"/>
  <c r="AG91" i="37"/>
  <c r="AS97" i="37"/>
  <c r="AV173" i="38"/>
  <c r="AV161" i="38"/>
  <c r="AG88" i="37"/>
  <c r="AV188" i="38"/>
  <c r="BE159" i="38"/>
  <c r="AA85" i="37"/>
  <c r="X72" i="38"/>
  <c r="AP75" i="38"/>
  <c r="AA185" i="37"/>
  <c r="AG166" i="38"/>
  <c r="AD185" i="38"/>
  <c r="AD173" i="37"/>
  <c r="AJ166" i="37"/>
  <c r="AA172" i="37"/>
  <c r="AJ190" i="37"/>
  <c r="AJ80" i="37"/>
  <c r="AD168" i="38"/>
  <c r="AS28" i="36"/>
  <c r="AA159" i="38"/>
  <c r="AD186" i="38"/>
  <c r="BB95" i="37"/>
  <c r="AY111" i="37"/>
  <c r="AA184" i="38"/>
  <c r="AV98" i="37"/>
  <c r="BB86" i="37"/>
  <c r="AD71" i="37"/>
  <c r="Q84" i="38"/>
  <c r="AV169" i="37"/>
  <c r="AV184" i="37"/>
  <c r="BB77" i="37"/>
  <c r="AV91" i="37"/>
  <c r="AM76" i="38"/>
  <c r="AP97" i="37"/>
  <c r="AJ173" i="38"/>
  <c r="X161" i="38"/>
  <c r="AJ169" i="38"/>
  <c r="AJ75" i="37"/>
  <c r="BB186" i="37"/>
  <c r="AV88" i="37"/>
  <c r="AY188" i="38"/>
  <c r="X159" i="38"/>
  <c r="AD85" i="37"/>
  <c r="AY72" i="38"/>
  <c r="AD75" i="38"/>
  <c r="AM185" i="37"/>
  <c r="AY166" i="38"/>
  <c r="AY91" i="38"/>
  <c r="AP185" i="38"/>
  <c r="BE173" i="37"/>
  <c r="AY166" i="37"/>
  <c r="BE172" i="37"/>
  <c r="AS190" i="37"/>
  <c r="BB86" i="38"/>
  <c r="AY80" i="37"/>
  <c r="AJ168" i="38"/>
  <c r="AS41" i="36"/>
  <c r="AS46" i="36"/>
  <c r="AG172" i="38"/>
  <c r="AP167" i="38"/>
  <c r="AP111" i="38"/>
  <c r="AP186" i="37"/>
  <c r="AJ171" i="38"/>
  <c r="AA86" i="37"/>
  <c r="AV111" i="38"/>
  <c r="AP71" i="37"/>
  <c r="AJ85" i="38"/>
  <c r="AS184" i="37"/>
  <c r="AM91" i="37"/>
  <c r="AG76" i="38"/>
  <c r="AS173" i="38"/>
  <c r="AP166" i="38"/>
  <c r="AA187" i="37"/>
  <c r="AG112" i="37"/>
  <c r="P91" i="37"/>
  <c r="P92" i="37" s="1"/>
  <c r="P93" i="37" s="1"/>
  <c r="P94" i="37" s="1"/>
  <c r="P95" i="37" s="1"/>
  <c r="P96" i="37" s="1"/>
  <c r="P97" i="37" s="1"/>
  <c r="P98" i="37" s="1"/>
  <c r="P99" i="37" s="1"/>
  <c r="P100" i="37" s="1"/>
  <c r="P101" i="37" s="1"/>
  <c r="BE187" i="38"/>
  <c r="AJ77" i="38"/>
  <c r="AV95" i="37"/>
  <c r="AD111" i="37"/>
  <c r="AJ98" i="37"/>
  <c r="BB172" i="38"/>
  <c r="AM85" i="38"/>
  <c r="AP184" i="37"/>
  <c r="AS76" i="37"/>
  <c r="AM97" i="37"/>
  <c r="AY161" i="38"/>
  <c r="BB112" i="37"/>
  <c r="AY168" i="38"/>
  <c r="X97" i="38"/>
  <c r="X171" i="37"/>
  <c r="AG78" i="37"/>
  <c r="AS187" i="38"/>
  <c r="AD77" i="38"/>
  <c r="X78" i="38"/>
  <c r="AP72" i="37"/>
  <c r="AY167" i="37"/>
  <c r="AP112" i="38"/>
  <c r="AA95" i="37"/>
  <c r="AJ111" i="37"/>
  <c r="AD98" i="37"/>
  <c r="AY172" i="38"/>
  <c r="AJ167" i="38"/>
  <c r="AJ86" i="37"/>
  <c r="BE188" i="37"/>
  <c r="Q82" i="38"/>
  <c r="BB169" i="37"/>
  <c r="AG184" i="37"/>
  <c r="AS77" i="37"/>
  <c r="AY76" i="37"/>
  <c r="AV76" i="38"/>
  <c r="BB97" i="37"/>
  <c r="AA161" i="38"/>
  <c r="BB169" i="38"/>
  <c r="AD75" i="37"/>
  <c r="X186" i="37"/>
  <c r="AP88" i="37"/>
  <c r="X190" i="38"/>
  <c r="V195" i="38"/>
  <c r="Y195" i="38"/>
  <c r="AK195" i="38"/>
  <c r="AN195" i="38"/>
  <c r="AT195" i="38"/>
  <c r="AZ195" i="38"/>
  <c r="AH195" i="38"/>
  <c r="AW195" i="38"/>
  <c r="AQ195" i="38"/>
  <c r="BC195" i="38"/>
  <c r="AE195" i="38"/>
  <c r="AB195" i="38"/>
  <c r="AJ188" i="38"/>
  <c r="AJ85" i="37"/>
  <c r="AA166" i="38"/>
  <c r="AD91" i="38"/>
  <c r="AM112" i="37"/>
  <c r="AY185" i="38"/>
  <c r="AA166" i="37"/>
  <c r="AM172" i="37"/>
  <c r="AD190" i="37"/>
  <c r="AG86" i="38"/>
  <c r="AP168" i="38"/>
  <c r="AA77" i="37"/>
  <c r="BE88" i="37"/>
  <c r="AM166" i="38"/>
  <c r="AV173" i="37"/>
  <c r="AJ86" i="38"/>
  <c r="AM171" i="38"/>
  <c r="AG171" i="37"/>
  <c r="BB78" i="38"/>
  <c r="AP167" i="37"/>
  <c r="BB87" i="38"/>
  <c r="AG186" i="38"/>
  <c r="AP111" i="37"/>
  <c r="X184" i="38"/>
  <c r="AM98" i="37"/>
  <c r="AD172" i="38"/>
  <c r="X86" i="37"/>
  <c r="AV188" i="37"/>
  <c r="Q79" i="38"/>
  <c r="AS169" i="37"/>
  <c r="X184" i="37"/>
  <c r="AY77" i="37"/>
  <c r="BB76" i="37"/>
  <c r="AP76" i="38"/>
  <c r="AJ97" i="37"/>
  <c r="AS161" i="38"/>
  <c r="AM75" i="37"/>
  <c r="AM186" i="37"/>
  <c r="AM190" i="38"/>
  <c r="AM188" i="38"/>
  <c r="AD159" i="38"/>
  <c r="X85" i="37"/>
  <c r="AP72" i="38"/>
  <c r="AS187" i="37"/>
  <c r="AG91" i="38"/>
  <c r="AV112" i="37"/>
  <c r="AS185" i="38"/>
  <c r="AP166" i="37"/>
  <c r="AM86" i="38"/>
  <c r="BE80" i="37"/>
  <c r="AV168" i="38"/>
  <c r="AR24" i="36"/>
  <c r="AR25" i="36" s="1"/>
  <c r="AR26" i="36" s="1"/>
  <c r="AR27" i="36" s="1"/>
  <c r="AR28" i="36" s="1"/>
  <c r="AR29" i="36" s="1"/>
  <c r="AR30" i="36" s="1"/>
  <c r="AR31" i="36" s="1"/>
  <c r="AS76" i="38"/>
  <c r="BE95" i="38"/>
  <c r="AS86" i="37"/>
  <c r="AV79" i="38"/>
  <c r="AD78" i="37"/>
  <c r="BB87" i="37"/>
  <c r="AV72" i="37"/>
  <c r="BE112" i="38"/>
  <c r="AS95" i="37"/>
  <c r="AD79" i="38"/>
  <c r="AP171" i="38"/>
  <c r="AD171" i="37"/>
  <c r="AY87" i="37"/>
  <c r="AA78" i="38"/>
  <c r="AA72" i="37"/>
  <c r="X167" i="37"/>
  <c r="AS112" i="38"/>
  <c r="BE186" i="38"/>
  <c r="AJ95" i="37"/>
  <c r="AM111" i="37"/>
  <c r="AS184" i="38"/>
  <c r="BE98" i="37"/>
  <c r="X172" i="38"/>
  <c r="AG167" i="38"/>
  <c r="AP86" i="37"/>
  <c r="AP188" i="37"/>
  <c r="X159" i="37"/>
  <c r="Q86" i="38"/>
  <c r="AA169" i="37"/>
  <c r="AM184" i="37"/>
  <c r="AM77" i="37"/>
  <c r="AV76" i="37"/>
  <c r="BE76" i="38"/>
  <c r="AD97" i="37"/>
  <c r="BB79" i="37"/>
  <c r="AD169" i="38"/>
  <c r="AV75" i="37"/>
  <c r="AD186" i="37"/>
  <c r="AS88" i="37"/>
  <c r="AD190" i="38"/>
  <c r="X188" i="38"/>
  <c r="AY159" i="38"/>
  <c r="AM85" i="37"/>
  <c r="AG72" i="38"/>
  <c r="BE91" i="38"/>
  <c r="AA112" i="37"/>
  <c r="AJ98" i="38"/>
  <c r="AM185" i="38"/>
  <c r="T45" i="38"/>
  <c r="L11" i="38" s="1"/>
  <c r="T42" i="38"/>
  <c r="D2" i="38" s="1"/>
  <c r="T43" i="38"/>
  <c r="G2" i="38" s="1"/>
  <c r="T46" i="38"/>
  <c r="J22" i="38" s="1"/>
  <c r="T41" i="38"/>
  <c r="A2" i="38" s="1"/>
  <c r="T36" i="38"/>
  <c r="G32" i="38" s="1"/>
  <c r="T47" i="38"/>
  <c r="L31" i="38" s="1"/>
  <c r="T37" i="38"/>
  <c r="D32" i="38" s="1"/>
  <c r="I107" i="38"/>
  <c r="I108" i="38" s="1"/>
  <c r="I109" i="38" s="1"/>
  <c r="I110" i="38" s="1"/>
  <c r="J110" i="38" s="1"/>
  <c r="S115" i="38" s="1"/>
  <c r="T40" i="38"/>
  <c r="C11" i="38" s="1"/>
  <c r="T44" i="38"/>
  <c r="J2" i="38" s="1"/>
  <c r="T38" i="38"/>
  <c r="C31" i="38" s="1"/>
  <c r="T39" i="38"/>
  <c r="A22" i="38" s="1"/>
  <c r="X166" i="37"/>
  <c r="BC46" i="36"/>
  <c r="AP161" i="37"/>
  <c r="AS25" i="36"/>
  <c r="AV80" i="37"/>
  <c r="AD80" i="38"/>
  <c r="AJ112" i="38"/>
  <c r="BE95" i="37"/>
  <c r="AG98" i="37"/>
  <c r="BB168" i="37"/>
  <c r="AS171" i="38"/>
  <c r="AS78" i="38"/>
  <c r="AG167" i="37"/>
  <c r="AG171" i="38"/>
  <c r="BB171" i="37"/>
  <c r="BB95" i="38"/>
  <c r="AP79" i="38"/>
  <c r="BB97" i="38"/>
  <c r="AG79" i="38"/>
  <c r="AD97" i="38"/>
  <c r="X171" i="38"/>
  <c r="Q80" i="37"/>
  <c r="AM87" i="37"/>
  <c r="BE80" i="38"/>
  <c r="AV78" i="38"/>
  <c r="AV167" i="37"/>
  <c r="AG112" i="38"/>
  <c r="BE87" i="38"/>
  <c r="AY186" i="38"/>
  <c r="AD95" i="37"/>
  <c r="AA111" i="37"/>
  <c r="AG184" i="38"/>
  <c r="BB167" i="38"/>
  <c r="AY188" i="37"/>
  <c r="X111" i="38"/>
  <c r="AM159" i="37"/>
  <c r="AA71" i="37"/>
  <c r="AS85" i="38"/>
  <c r="Q87" i="38"/>
  <c r="AG169" i="37"/>
  <c r="AV77" i="37"/>
  <c r="AD76" i="38"/>
  <c r="AG97" i="37"/>
  <c r="AS79" i="37"/>
  <c r="AM161" i="38"/>
  <c r="AA169" i="38"/>
  <c r="AG75" i="37"/>
  <c r="BB88" i="37"/>
  <c r="AA190" i="38"/>
  <c r="AM161" i="37"/>
  <c r="BE188" i="38"/>
  <c r="AM159" i="38"/>
  <c r="AD187" i="37"/>
  <c r="AP91" i="38"/>
  <c r="AS112" i="37"/>
  <c r="X98" i="38"/>
  <c r="AA185" i="38"/>
  <c r="AN195" i="37"/>
  <c r="AE195" i="37"/>
  <c r="BC195" i="37"/>
  <c r="AT195" i="37"/>
  <c r="AH195" i="37"/>
  <c r="Y195" i="37"/>
  <c r="AK195" i="37"/>
  <c r="AZ195" i="37"/>
  <c r="AB195" i="37"/>
  <c r="AW195" i="37"/>
  <c r="AQ195" i="37"/>
  <c r="V195" i="37"/>
  <c r="AP88" i="38"/>
  <c r="AM166" i="37"/>
  <c r="AP80" i="37"/>
  <c r="R36" i="38"/>
  <c r="I106" i="38"/>
  <c r="J106" i="38" s="1"/>
  <c r="J107" i="38" s="1"/>
  <c r="J108" i="38" s="1"/>
  <c r="J109" i="38" s="1"/>
  <c r="S113" i="38" s="1"/>
  <c r="N42" i="38"/>
  <c r="AS33" i="36"/>
  <c r="L22" i="24" l="1"/>
  <c r="Q10" i="8" s="1"/>
  <c r="S23" i="24"/>
  <c r="C89" i="24" s="1"/>
  <c r="G36" i="8" s="1"/>
  <c r="W23" i="24"/>
  <c r="AE115" i="37"/>
  <c r="BC115" i="37"/>
  <c r="AK115" i="37"/>
  <c r="AT115" i="37"/>
  <c r="AW115" i="37"/>
  <c r="AQ115" i="37"/>
  <c r="AZ115" i="37"/>
  <c r="BB115" i="37" s="1"/>
  <c r="AB115" i="37"/>
  <c r="AD115" i="37" s="1"/>
  <c r="AB41" i="24"/>
  <c r="AC41" i="24" s="1"/>
  <c r="AA42" i="24"/>
  <c r="V115" i="37"/>
  <c r="Y115" i="37"/>
  <c r="AA115" i="37" s="1"/>
  <c r="AH115" i="37"/>
  <c r="AJ115" i="37" s="1"/>
  <c r="O47" i="37"/>
  <c r="R25" i="24"/>
  <c r="G15" i="8" s="1"/>
  <c r="AC46" i="36"/>
  <c r="AC47" i="36" s="1"/>
  <c r="AD45" i="36"/>
  <c r="AC1" i="36" s="1"/>
  <c r="AD1" i="36" s="1"/>
  <c r="AE1" i="36" s="1"/>
  <c r="D8" i="36" s="1"/>
  <c r="O48" i="38"/>
  <c r="L105" i="38" s="1"/>
  <c r="M109" i="38" s="1"/>
  <c r="P109" i="38" s="1"/>
  <c r="Q109" i="38" s="1"/>
  <c r="K10" i="38" s="1"/>
  <c r="R26" i="24"/>
  <c r="G16" i="8" s="1"/>
  <c r="I28" i="24"/>
  <c r="C66" i="24" s="1"/>
  <c r="AS24" i="36"/>
  <c r="M106" i="37"/>
  <c r="P106" i="37" s="1"/>
  <c r="Q105" i="37" s="1"/>
  <c r="B30" i="37" s="1"/>
  <c r="M105" i="37"/>
  <c r="P102" i="37" s="1"/>
  <c r="F30" i="37" s="1"/>
  <c r="M110" i="37"/>
  <c r="P110" i="37" s="1"/>
  <c r="Q110" i="37" s="1"/>
  <c r="K30" i="37" s="1"/>
  <c r="M109" i="37"/>
  <c r="P109" i="37" s="1"/>
  <c r="Q109" i="37" s="1"/>
  <c r="K10" i="37" s="1"/>
  <c r="M108" i="37"/>
  <c r="P108" i="37" s="1"/>
  <c r="F11" i="37" s="1"/>
  <c r="O22" i="24"/>
  <c r="R27" i="24"/>
  <c r="G17" i="8" s="1"/>
  <c r="AA17" i="36"/>
  <c r="AB17" i="36" s="1"/>
  <c r="AC17" i="36" s="1"/>
  <c r="N21" i="36" s="1"/>
  <c r="BB31" i="36"/>
  <c r="BB32" i="36" s="1"/>
  <c r="BB33" i="36" s="1"/>
  <c r="BB34" i="36" s="1"/>
  <c r="BB35" i="36" s="1"/>
  <c r="BC30" i="36"/>
  <c r="AK92" i="38"/>
  <c r="AM92" i="38" s="1"/>
  <c r="AT92" i="38"/>
  <c r="AV92" i="38" s="1"/>
  <c r="AZ92" i="38"/>
  <c r="AQ92" i="38"/>
  <c r="AS92" i="38" s="1"/>
  <c r="BC92" i="38"/>
  <c r="BE92" i="38" s="1"/>
  <c r="AE92" i="38"/>
  <c r="AG92" i="38" s="1"/>
  <c r="AH92" i="38"/>
  <c r="Y92" i="38"/>
  <c r="AA92" i="38" s="1"/>
  <c r="V92" i="38"/>
  <c r="X92" i="38" s="1"/>
  <c r="AN92" i="38"/>
  <c r="AP92" i="38" s="1"/>
  <c r="AW92" i="38"/>
  <c r="AY92" i="38" s="1"/>
  <c r="AB92" i="38"/>
  <c r="AD92" i="38" s="1"/>
  <c r="BC156" i="37"/>
  <c r="BE156" i="37" s="1"/>
  <c r="AH156" i="37"/>
  <c r="AJ156" i="37" s="1"/>
  <c r="AQ156" i="37"/>
  <c r="AS156" i="37" s="1"/>
  <c r="AK156" i="37"/>
  <c r="AM156" i="37" s="1"/>
  <c r="AW156" i="37"/>
  <c r="AY156" i="37" s="1"/>
  <c r="AB156" i="37"/>
  <c r="AT156" i="37"/>
  <c r="AE156" i="37"/>
  <c r="Y156" i="37"/>
  <c r="V156" i="37"/>
  <c r="AZ156" i="37"/>
  <c r="AN156" i="37"/>
  <c r="AQ155" i="38"/>
  <c r="V155" i="38"/>
  <c r="Y155" i="38"/>
  <c r="BC155" i="38"/>
  <c r="AK155" i="38"/>
  <c r="AE155" i="38"/>
  <c r="AW155" i="38"/>
  <c r="AN155" i="38"/>
  <c r="AH155" i="38"/>
  <c r="AI155" i="38" s="1"/>
  <c r="AJ155" i="38" s="1"/>
  <c r="AZ155" i="38"/>
  <c r="AT155" i="38"/>
  <c r="AB155" i="38"/>
  <c r="AB30" i="37"/>
  <c r="AB31" i="37" s="1"/>
  <c r="F21" i="37" s="1"/>
  <c r="N63" i="37"/>
  <c r="AS27" i="36"/>
  <c r="AH96" i="38"/>
  <c r="AJ96" i="38" s="1"/>
  <c r="AB96" i="38"/>
  <c r="AD96" i="38" s="1"/>
  <c r="AN96" i="38"/>
  <c r="V96" i="38"/>
  <c r="X96" i="38" s="1"/>
  <c r="AT96" i="38"/>
  <c r="AV96" i="38" s="1"/>
  <c r="AZ96" i="38"/>
  <c r="BB96" i="38" s="1"/>
  <c r="AK96" i="38"/>
  <c r="AM96" i="38" s="1"/>
  <c r="AW96" i="38"/>
  <c r="Y96" i="38"/>
  <c r="AA96" i="38" s="1"/>
  <c r="AE96" i="38"/>
  <c r="AG96" i="38" s="1"/>
  <c r="AQ96" i="38"/>
  <c r="AS96" i="38" s="1"/>
  <c r="BC96" i="38"/>
  <c r="BE96" i="38" s="1"/>
  <c r="AW65" i="37"/>
  <c r="Y65" i="37"/>
  <c r="V65" i="37"/>
  <c r="W65" i="37" s="1"/>
  <c r="X65" i="37" s="1"/>
  <c r="AQ65" i="37"/>
  <c r="AK65" i="37"/>
  <c r="AE65" i="37"/>
  <c r="AN65" i="37"/>
  <c r="BC65" i="37"/>
  <c r="AH65" i="37"/>
  <c r="AB65" i="37"/>
  <c r="AZ65" i="37"/>
  <c r="AT65" i="37"/>
  <c r="AE93" i="37"/>
  <c r="AG93" i="37" s="1"/>
  <c r="AK93" i="37"/>
  <c r="AM93" i="37" s="1"/>
  <c r="AZ93" i="37"/>
  <c r="BB93" i="37" s="1"/>
  <c r="AH93" i="37"/>
  <c r="AJ93" i="37" s="1"/>
  <c r="V93" i="37"/>
  <c r="X93" i="37" s="1"/>
  <c r="AQ93" i="37"/>
  <c r="AS93" i="37" s="1"/>
  <c r="AN93" i="37"/>
  <c r="AW93" i="37"/>
  <c r="AY93" i="37" s="1"/>
  <c r="AB93" i="37"/>
  <c r="AD93" i="37" s="1"/>
  <c r="BC93" i="37"/>
  <c r="BE93" i="37" s="1"/>
  <c r="Y93" i="37"/>
  <c r="AA93" i="37" s="1"/>
  <c r="AT93" i="37"/>
  <c r="AE83" i="38"/>
  <c r="AG83" i="38" s="1"/>
  <c r="AT83" i="38"/>
  <c r="AV83" i="38" s="1"/>
  <c r="AK83" i="38"/>
  <c r="AM83" i="38" s="1"/>
  <c r="AZ83" i="38"/>
  <c r="BB83" i="38" s="1"/>
  <c r="AH83" i="38"/>
  <c r="AJ83" i="38" s="1"/>
  <c r="AB83" i="38"/>
  <c r="AD83" i="38" s="1"/>
  <c r="AN83" i="38"/>
  <c r="AP83" i="38" s="1"/>
  <c r="Y83" i="38"/>
  <c r="AA83" i="38" s="1"/>
  <c r="AQ83" i="38"/>
  <c r="BC83" i="38"/>
  <c r="V83" i="38"/>
  <c r="X83" i="38" s="1"/>
  <c r="AW83" i="38"/>
  <c r="AY83" i="38" s="1"/>
  <c r="AA21" i="36"/>
  <c r="AB21" i="36" s="1"/>
  <c r="AC21" i="36" s="1"/>
  <c r="AZ66" i="38"/>
  <c r="BB66" i="38" s="1"/>
  <c r="V66" i="38"/>
  <c r="X66" i="38" s="1"/>
  <c r="AW66" i="38"/>
  <c r="AQ66" i="38"/>
  <c r="AE66" i="38"/>
  <c r="AG66" i="38" s="1"/>
  <c r="AH66" i="38"/>
  <c r="AB66" i="38"/>
  <c r="AD66" i="38" s="1"/>
  <c r="AN66" i="38"/>
  <c r="AP66" i="38" s="1"/>
  <c r="BC66" i="38"/>
  <c r="BE66" i="38" s="1"/>
  <c r="AK66" i="38"/>
  <c r="Y66" i="38"/>
  <c r="AA66" i="38" s="1"/>
  <c r="AT66" i="38"/>
  <c r="AB30" i="38"/>
  <c r="AB31" i="38" s="1"/>
  <c r="F21" i="38" s="1"/>
  <c r="N63" i="38"/>
  <c r="AA15" i="36"/>
  <c r="AB15" i="36" s="1"/>
  <c r="AC15" i="36" s="1"/>
  <c r="N19" i="36" s="1"/>
  <c r="C6" i="35"/>
  <c r="B12" i="35"/>
  <c r="K57" i="35"/>
  <c r="B16" i="35"/>
  <c r="A147" i="35"/>
  <c r="I8" i="35"/>
  <c r="B17" i="35"/>
  <c r="B13" i="35"/>
  <c r="I21" i="35"/>
  <c r="B7" i="35"/>
  <c r="B14" i="35"/>
  <c r="B15" i="35"/>
  <c r="B11" i="35"/>
  <c r="AQ92" i="37"/>
  <c r="AS92" i="37" s="1"/>
  <c r="AT92" i="37"/>
  <c r="AV92" i="37" s="1"/>
  <c r="AW92" i="37"/>
  <c r="AY92" i="37" s="1"/>
  <c r="AH92" i="37"/>
  <c r="Y92" i="37"/>
  <c r="AA92" i="37" s="1"/>
  <c r="V92" i="37"/>
  <c r="X92" i="37" s="1"/>
  <c r="AZ92" i="37"/>
  <c r="BC92" i="37"/>
  <c r="BE92" i="37" s="1"/>
  <c r="AB92" i="37"/>
  <c r="AD92" i="37" s="1"/>
  <c r="AE92" i="37"/>
  <c r="AG92" i="37" s="1"/>
  <c r="AN92" i="37"/>
  <c r="AP92" i="37" s="1"/>
  <c r="AK92" i="37"/>
  <c r="AM92" i="37" s="1"/>
  <c r="AZ155" i="37"/>
  <c r="AQ155" i="37"/>
  <c r="AW155" i="37"/>
  <c r="V155" i="37"/>
  <c r="AE155" i="37"/>
  <c r="AK155" i="37"/>
  <c r="AT155" i="37"/>
  <c r="BC155" i="37"/>
  <c r="Y155" i="37"/>
  <c r="AN155" i="37"/>
  <c r="AH155" i="37"/>
  <c r="AI155" i="37" s="1"/>
  <c r="AB155" i="37"/>
  <c r="AA18" i="36"/>
  <c r="AB18" i="36" s="1"/>
  <c r="AC18" i="36" s="1"/>
  <c r="N22" i="36" s="1"/>
  <c r="BC84" i="38"/>
  <c r="BE84" i="38" s="1"/>
  <c r="AE84" i="38"/>
  <c r="AG84" i="38" s="1"/>
  <c r="AW84" i="38"/>
  <c r="AY84" i="38" s="1"/>
  <c r="AT84" i="38"/>
  <c r="AK84" i="38"/>
  <c r="AM84" i="38" s="1"/>
  <c r="AZ84" i="38"/>
  <c r="BB84" i="38" s="1"/>
  <c r="AB84" i="38"/>
  <c r="AD84" i="38" s="1"/>
  <c r="AH84" i="38"/>
  <c r="AN84" i="38"/>
  <c r="AP84" i="38" s="1"/>
  <c r="AQ84" i="38"/>
  <c r="AS84" i="38" s="1"/>
  <c r="V84" i="38"/>
  <c r="X84" i="38" s="1"/>
  <c r="Y84" i="38"/>
  <c r="AA84" i="38" s="1"/>
  <c r="Y84" i="37"/>
  <c r="AA84" i="37" s="1"/>
  <c r="AN84" i="37"/>
  <c r="AP84" i="37" s="1"/>
  <c r="AH84" i="37"/>
  <c r="AB84" i="37"/>
  <c r="AD84" i="37" s="1"/>
  <c r="AK84" i="37"/>
  <c r="AM84" i="37" s="1"/>
  <c r="V84" i="37"/>
  <c r="X84" i="37" s="1"/>
  <c r="AE84" i="37"/>
  <c r="AG84" i="37" s="1"/>
  <c r="AT84" i="37"/>
  <c r="AW84" i="37"/>
  <c r="AY84" i="37" s="1"/>
  <c r="AQ84" i="37"/>
  <c r="AS84" i="37" s="1"/>
  <c r="AZ84" i="37"/>
  <c r="BB84" i="37" s="1"/>
  <c r="BC84" i="37"/>
  <c r="BE84" i="37" s="1"/>
  <c r="BC66" i="37"/>
  <c r="BE66" i="37" s="1"/>
  <c r="AK66" i="37"/>
  <c r="AB66" i="37"/>
  <c r="AD66" i="37" s="1"/>
  <c r="AZ66" i="37"/>
  <c r="BB66" i="37" s="1"/>
  <c r="AT66" i="37"/>
  <c r="AV66" i="37" s="1"/>
  <c r="AE66" i="37"/>
  <c r="AG66" i="37" s="1"/>
  <c r="Y66" i="37"/>
  <c r="AN66" i="37"/>
  <c r="AH66" i="37"/>
  <c r="AJ66" i="37" s="1"/>
  <c r="V66" i="37"/>
  <c r="X66" i="37" s="1"/>
  <c r="AQ66" i="37"/>
  <c r="AW66" i="37"/>
  <c r="AA16" i="36"/>
  <c r="AB16" i="36" s="1"/>
  <c r="AC16" i="36" s="1"/>
  <c r="N20" i="36" s="1"/>
  <c r="AW65" i="38"/>
  <c r="AQ65" i="38"/>
  <c r="AZ65" i="38"/>
  <c r="AK65" i="38"/>
  <c r="AT65" i="38"/>
  <c r="Y65" i="38"/>
  <c r="AB65" i="38"/>
  <c r="AE65" i="38"/>
  <c r="AH65" i="38"/>
  <c r="AN65" i="38"/>
  <c r="BC65" i="38"/>
  <c r="V65" i="38"/>
  <c r="W65" i="38" s="1"/>
  <c r="AA22" i="36"/>
  <c r="AB22" i="36" s="1"/>
  <c r="AC22" i="36" s="1"/>
  <c r="G184" i="38"/>
  <c r="I162" i="38"/>
  <c r="J184" i="38"/>
  <c r="K184" i="38"/>
  <c r="C184" i="38"/>
  <c r="L184" i="38"/>
  <c r="S69" i="38"/>
  <c r="D162" i="38"/>
  <c r="F184" i="38"/>
  <c r="M162" i="38"/>
  <c r="F162" i="38"/>
  <c r="L162" i="38"/>
  <c r="G162" i="38"/>
  <c r="B184" i="38"/>
  <c r="B162" i="38"/>
  <c r="E184" i="38"/>
  <c r="K162" i="38"/>
  <c r="I184" i="38"/>
  <c r="C162" i="38"/>
  <c r="E162" i="38"/>
  <c r="M184" i="38"/>
  <c r="D184" i="38"/>
  <c r="J162" i="38"/>
  <c r="H162" i="38"/>
  <c r="H184" i="38"/>
  <c r="AT96" i="37"/>
  <c r="AV96" i="37" s="1"/>
  <c r="AQ96" i="37"/>
  <c r="AS96" i="37" s="1"/>
  <c r="AK96" i="37"/>
  <c r="AM96" i="37" s="1"/>
  <c r="AE96" i="37"/>
  <c r="AG96" i="37" s="1"/>
  <c r="BC96" i="37"/>
  <c r="BE96" i="37" s="1"/>
  <c r="AH96" i="37"/>
  <c r="AJ96" i="37" s="1"/>
  <c r="V96" i="37"/>
  <c r="X96" i="37" s="1"/>
  <c r="AZ96" i="37"/>
  <c r="BB96" i="37" s="1"/>
  <c r="AB96" i="37"/>
  <c r="AD96" i="37" s="1"/>
  <c r="AN96" i="37"/>
  <c r="AW96" i="37"/>
  <c r="Y96" i="37"/>
  <c r="AA96" i="37" s="1"/>
  <c r="BC32" i="36"/>
  <c r="AB83" i="37"/>
  <c r="AD83" i="37" s="1"/>
  <c r="V83" i="37"/>
  <c r="X83" i="37" s="1"/>
  <c r="AE83" i="37"/>
  <c r="AG83" i="37" s="1"/>
  <c r="BC83" i="37"/>
  <c r="AW83" i="37"/>
  <c r="AY83" i="37" s="1"/>
  <c r="AZ83" i="37"/>
  <c r="BB83" i="37" s="1"/>
  <c r="AQ83" i="37"/>
  <c r="AT83" i="37"/>
  <c r="AV83" i="37" s="1"/>
  <c r="AN83" i="37"/>
  <c r="AP83" i="37" s="1"/>
  <c r="AK83" i="37"/>
  <c r="AM83" i="37" s="1"/>
  <c r="Y83" i="37"/>
  <c r="AA83" i="37" s="1"/>
  <c r="AH83" i="37"/>
  <c r="AJ83" i="37" s="1"/>
  <c r="AT156" i="38"/>
  <c r="AV156" i="38" s="1"/>
  <c r="AE156" i="38"/>
  <c r="AG156" i="38" s="1"/>
  <c r="AH156" i="38"/>
  <c r="AZ156" i="38"/>
  <c r="V156" i="38"/>
  <c r="X156" i="38" s="1"/>
  <c r="AN156" i="38"/>
  <c r="AQ156" i="38"/>
  <c r="AS156" i="38" s="1"/>
  <c r="Y156" i="38"/>
  <c r="BC156" i="38"/>
  <c r="BE156" i="38" s="1"/>
  <c r="AK156" i="38"/>
  <c r="AW156" i="38"/>
  <c r="AB156" i="38"/>
  <c r="AN162" i="38"/>
  <c r="AP162" i="38" s="1"/>
  <c r="AT162" i="38"/>
  <c r="AV162" i="38" s="1"/>
  <c r="AQ162" i="38"/>
  <c r="AS162" i="38" s="1"/>
  <c r="Y162" i="38"/>
  <c r="AA162" i="38" s="1"/>
  <c r="AK162" i="38"/>
  <c r="AM162" i="38" s="1"/>
  <c r="AE162" i="38"/>
  <c r="AG162" i="38" s="1"/>
  <c r="BC162" i="38"/>
  <c r="AZ162" i="38"/>
  <c r="AB162" i="38"/>
  <c r="AD162" i="38" s="1"/>
  <c r="AW162" i="38"/>
  <c r="AY162" i="38" s="1"/>
  <c r="AH162" i="38"/>
  <c r="AJ162" i="38" s="1"/>
  <c r="V162" i="38"/>
  <c r="X162" i="38" s="1"/>
  <c r="AK94" i="38"/>
  <c r="AM94" i="38" s="1"/>
  <c r="AE94" i="38"/>
  <c r="AG94" i="38" s="1"/>
  <c r="AW94" i="38"/>
  <c r="V94" i="38"/>
  <c r="X94" i="38" s="1"/>
  <c r="BC94" i="38"/>
  <c r="BE94" i="38" s="1"/>
  <c r="AQ94" i="38"/>
  <c r="AS94" i="38" s="1"/>
  <c r="AB94" i="38"/>
  <c r="AD94" i="38" s="1"/>
  <c r="AT94" i="38"/>
  <c r="AV94" i="38" s="1"/>
  <c r="AH94" i="38"/>
  <c r="AJ94" i="38" s="1"/>
  <c r="AN94" i="38"/>
  <c r="AZ94" i="38"/>
  <c r="BB94" i="38" s="1"/>
  <c r="Y94" i="38"/>
  <c r="AA94" i="38" s="1"/>
  <c r="F184" i="37"/>
  <c r="C162" i="37"/>
  <c r="J162" i="37"/>
  <c r="H162" i="37"/>
  <c r="I184" i="37"/>
  <c r="G184" i="37"/>
  <c r="S69" i="37"/>
  <c r="L162" i="37"/>
  <c r="J184" i="37"/>
  <c r="B162" i="37"/>
  <c r="E162" i="37"/>
  <c r="E184" i="37"/>
  <c r="I162" i="37"/>
  <c r="M162" i="37"/>
  <c r="B184" i="37"/>
  <c r="H184" i="37"/>
  <c r="M184" i="37"/>
  <c r="L184" i="37"/>
  <c r="K184" i="37"/>
  <c r="C184" i="37"/>
  <c r="F162" i="37"/>
  <c r="K162" i="37"/>
  <c r="D184" i="37"/>
  <c r="G162" i="37"/>
  <c r="D162" i="37"/>
  <c r="AM46" i="36"/>
  <c r="AM47" i="36" s="1"/>
  <c r="AM48" i="36" s="1"/>
  <c r="AM49" i="36" s="1"/>
  <c r="AN49" i="36" s="1"/>
  <c r="AN45" i="36"/>
  <c r="U12" i="36" s="1"/>
  <c r="V12" i="36" s="1"/>
  <c r="W12" i="36" s="1"/>
  <c r="J8" i="36" s="1"/>
  <c r="V94" i="37"/>
  <c r="X94" i="37" s="1"/>
  <c r="AW94" i="37"/>
  <c r="Y94" i="37"/>
  <c r="AA94" i="37" s="1"/>
  <c r="AE94" i="37"/>
  <c r="AG94" i="37" s="1"/>
  <c r="AK94" i="37"/>
  <c r="AM94" i="37" s="1"/>
  <c r="AT94" i="37"/>
  <c r="AV94" i="37" s="1"/>
  <c r="BC94" i="37"/>
  <c r="BE94" i="37" s="1"/>
  <c r="AB94" i="37"/>
  <c r="AD94" i="37" s="1"/>
  <c r="AZ94" i="37"/>
  <c r="BB94" i="37" s="1"/>
  <c r="AQ94" i="37"/>
  <c r="AS94" i="37" s="1"/>
  <c r="AN94" i="37"/>
  <c r="AH94" i="37"/>
  <c r="AJ94" i="37" s="1"/>
  <c r="AE93" i="38"/>
  <c r="AG93" i="38" s="1"/>
  <c r="V93" i="38"/>
  <c r="X93" i="38" s="1"/>
  <c r="BC93" i="38"/>
  <c r="BE93" i="38" s="1"/>
  <c r="AZ93" i="38"/>
  <c r="BB93" i="38" s="1"/>
  <c r="AQ93" i="38"/>
  <c r="AS93" i="38" s="1"/>
  <c r="AH93" i="38"/>
  <c r="AJ93" i="38" s="1"/>
  <c r="AT93" i="38"/>
  <c r="AN93" i="38"/>
  <c r="AB93" i="38"/>
  <c r="AD93" i="38" s="1"/>
  <c r="AW93" i="38"/>
  <c r="AY93" i="38" s="1"/>
  <c r="Y93" i="38"/>
  <c r="AA93" i="38" s="1"/>
  <c r="AK93" i="38"/>
  <c r="AM93" i="38" s="1"/>
  <c r="AT162" i="37"/>
  <c r="AV162" i="37" s="1"/>
  <c r="AZ162" i="37"/>
  <c r="AK162" i="37"/>
  <c r="AM162" i="37" s="1"/>
  <c r="V162" i="37"/>
  <c r="X162" i="37" s="1"/>
  <c r="AW162" i="37"/>
  <c r="AY162" i="37" s="1"/>
  <c r="AN162" i="37"/>
  <c r="AP162" i="37" s="1"/>
  <c r="BC162" i="37"/>
  <c r="AE162" i="37"/>
  <c r="AG162" i="37" s="1"/>
  <c r="AH162" i="37"/>
  <c r="AJ162" i="37" s="1"/>
  <c r="AB162" i="37"/>
  <c r="AD162" i="37" s="1"/>
  <c r="Y162" i="37"/>
  <c r="AA162" i="37" s="1"/>
  <c r="AQ162" i="37"/>
  <c r="AS162" i="37" s="1"/>
  <c r="R91" i="38"/>
  <c r="R78" i="38" s="1"/>
  <c r="Z50" i="38" s="1"/>
  <c r="M108" i="38"/>
  <c r="P108" i="38" s="1"/>
  <c r="Q108" i="38" s="1"/>
  <c r="M110" i="38"/>
  <c r="P110" i="38" s="1"/>
  <c r="Q110" i="38" s="1"/>
  <c r="K30" i="38" s="1"/>
  <c r="M107" i="38"/>
  <c r="P107" i="38" s="1"/>
  <c r="Q107" i="38" s="1"/>
  <c r="B10" i="38" s="1"/>
  <c r="M106" i="38"/>
  <c r="P106" i="38" s="1"/>
  <c r="Q106" i="38" s="1"/>
  <c r="B30" i="38" s="1"/>
  <c r="M105" i="38"/>
  <c r="P105" i="38" s="1"/>
  <c r="Q105" i="38" s="1"/>
  <c r="AA20" i="36"/>
  <c r="AB20" i="36" s="1"/>
  <c r="AC20" i="36" s="1"/>
  <c r="N24" i="36" s="1"/>
  <c r="R97" i="38"/>
  <c r="R84" i="38" s="1"/>
  <c r="Z56" i="38" s="1"/>
  <c r="R99" i="38"/>
  <c r="R86" i="38" s="1"/>
  <c r="Z58" i="38" s="1"/>
  <c r="AA19" i="36"/>
  <c r="AB19" i="36" s="1"/>
  <c r="AC19" i="36" s="1"/>
  <c r="N23" i="36" s="1"/>
  <c r="R97" i="37"/>
  <c r="R84" i="37" s="1"/>
  <c r="Z56" i="37" s="1"/>
  <c r="AA13" i="36"/>
  <c r="AB13" i="36" s="1"/>
  <c r="AC13" i="36" s="1"/>
  <c r="N17" i="36" s="1"/>
  <c r="AA14" i="36"/>
  <c r="AB14" i="36" s="1"/>
  <c r="AC14" i="36" s="1"/>
  <c r="N18" i="36" s="1"/>
  <c r="R94" i="38"/>
  <c r="R81" i="38" s="1"/>
  <c r="Z53" i="38" s="1"/>
  <c r="R101" i="37"/>
  <c r="R88" i="37" s="1"/>
  <c r="Z60" i="37" s="1"/>
  <c r="R96" i="38"/>
  <c r="R83" i="38" s="1"/>
  <c r="Z55" i="38" s="1"/>
  <c r="R99" i="37"/>
  <c r="R86" i="37" s="1"/>
  <c r="Z58" i="37" s="1"/>
  <c r="R96" i="37"/>
  <c r="R83" i="37" s="1"/>
  <c r="Z55" i="37" s="1"/>
  <c r="R90" i="38"/>
  <c r="R77" i="38" s="1"/>
  <c r="Z49" i="38" s="1"/>
  <c r="AG67" i="38"/>
  <c r="AR32" i="36"/>
  <c r="AS31" i="36"/>
  <c r="AV66" i="38"/>
  <c r="AG67" i="37"/>
  <c r="X195" i="37"/>
  <c r="S36" i="38"/>
  <c r="R37" i="38"/>
  <c r="AJ195" i="37"/>
  <c r="AG195" i="37"/>
  <c r="X195" i="38"/>
  <c r="R90" i="37"/>
  <c r="R77" i="37" s="1"/>
  <c r="Z49" i="37" s="1"/>
  <c r="R95" i="38"/>
  <c r="R82" i="38" s="1"/>
  <c r="Z54" i="38" s="1"/>
  <c r="V113" i="37"/>
  <c r="AH113" i="37"/>
  <c r="AW113" i="37"/>
  <c r="AT113" i="37"/>
  <c r="BC113" i="37"/>
  <c r="AZ113" i="37"/>
  <c r="AB113" i="37"/>
  <c r="Y113" i="37"/>
  <c r="AN113" i="37"/>
  <c r="AE113" i="37"/>
  <c r="AK113" i="37"/>
  <c r="AQ113" i="37"/>
  <c r="AV195" i="38"/>
  <c r="Q8" i="8"/>
  <c r="S9" i="8"/>
  <c r="C111" i="12"/>
  <c r="C87" i="12"/>
  <c r="Q11" i="8"/>
  <c r="Q6" i="8"/>
  <c r="Q4" i="8"/>
  <c r="C135" i="12"/>
  <c r="C147" i="12"/>
  <c r="S5" i="8"/>
  <c r="Q7" i="8"/>
  <c r="S7" i="8"/>
  <c r="C99" i="12"/>
  <c r="Q9" i="8"/>
  <c r="Q5" i="8"/>
  <c r="S8" i="8"/>
  <c r="S4" i="8"/>
  <c r="C123" i="12"/>
  <c r="S6" i="8"/>
  <c r="S36" i="37"/>
  <c r="R37" i="37"/>
  <c r="AD195" i="37"/>
  <c r="AP115" i="37"/>
  <c r="AG195" i="38"/>
  <c r="R92" i="37"/>
  <c r="R79" i="37" s="1"/>
  <c r="Z51" i="37" s="1"/>
  <c r="BE115" i="37"/>
  <c r="AM195" i="37"/>
  <c r="BE195" i="38"/>
  <c r="R100" i="37"/>
  <c r="R87" i="37" s="1"/>
  <c r="Z59" i="37" s="1"/>
  <c r="R101" i="38"/>
  <c r="R88" i="38" s="1"/>
  <c r="Z60" i="38" s="1"/>
  <c r="AG115" i="37"/>
  <c r="N9" i="36"/>
  <c r="Y49" i="36" s="1"/>
  <c r="X49" i="36"/>
  <c r="AS195" i="37"/>
  <c r="BC113" i="38"/>
  <c r="AT113" i="38"/>
  <c r="V113" i="38"/>
  <c r="AN113" i="38"/>
  <c r="AH113" i="38"/>
  <c r="AZ113" i="38"/>
  <c r="AW113" i="38"/>
  <c r="AQ113" i="38"/>
  <c r="AK113" i="38"/>
  <c r="Y113" i="38"/>
  <c r="AE113" i="38"/>
  <c r="AB113" i="38"/>
  <c r="AQ115" i="38"/>
  <c r="AK115" i="38"/>
  <c r="AW115" i="38"/>
  <c r="Y115" i="38"/>
  <c r="AH115" i="38"/>
  <c r="AN115" i="38"/>
  <c r="V115" i="38"/>
  <c r="AE115" i="38"/>
  <c r="AB115" i="38"/>
  <c r="AZ115" i="38"/>
  <c r="BC115" i="38"/>
  <c r="AT115" i="38"/>
  <c r="AJ195" i="38"/>
  <c r="AY195" i="38"/>
  <c r="BE195" i="37"/>
  <c r="R95" i="37"/>
  <c r="R82" i="37" s="1"/>
  <c r="Z54" i="37" s="1"/>
  <c r="R98" i="38"/>
  <c r="R85" i="38" s="1"/>
  <c r="Z57" i="38" s="1"/>
  <c r="AA195" i="37"/>
  <c r="AM115" i="37"/>
  <c r="AP195" i="37"/>
  <c r="AP195" i="38"/>
  <c r="R91" i="37"/>
  <c r="R78" i="37" s="1"/>
  <c r="Z50" i="37" s="1"/>
  <c r="R92" i="38"/>
  <c r="R79" i="38" s="1"/>
  <c r="Z51" i="38" s="1"/>
  <c r="AY115" i="37"/>
  <c r="AM195" i="38"/>
  <c r="R93" i="37"/>
  <c r="R80" i="37" s="1"/>
  <c r="Z52" i="37" s="1"/>
  <c r="R100" i="38"/>
  <c r="R87" i="38" s="1"/>
  <c r="Z59" i="38" s="1"/>
  <c r="AV115" i="37"/>
  <c r="H160" i="38"/>
  <c r="E160" i="38"/>
  <c r="I83" i="38"/>
  <c r="L160" i="38"/>
  <c r="J153" i="38"/>
  <c r="K160" i="38"/>
  <c r="J160" i="38"/>
  <c r="G153" i="38"/>
  <c r="G160" i="38"/>
  <c r="F160" i="38"/>
  <c r="C153" i="38"/>
  <c r="B153" i="38"/>
  <c r="Q55" i="38"/>
  <c r="S49" i="38" s="1"/>
  <c r="AB27" i="38"/>
  <c r="K153" i="38"/>
  <c r="D160" i="38"/>
  <c r="I153" i="38"/>
  <c r="B160" i="38"/>
  <c r="M160" i="38"/>
  <c r="C160" i="38"/>
  <c r="S100" i="38" s="1"/>
  <c r="I160" i="38"/>
  <c r="AA27" i="38"/>
  <c r="M153" i="38"/>
  <c r="F153" i="38"/>
  <c r="L153" i="38"/>
  <c r="H153" i="38"/>
  <c r="E153" i="38"/>
  <c r="D153" i="38"/>
  <c r="S26" i="38"/>
  <c r="T26" i="38" s="1"/>
  <c r="F22" i="38" s="1"/>
  <c r="AY195" i="37"/>
  <c r="AD195" i="38"/>
  <c r="AS195" i="38"/>
  <c r="AV195" i="37"/>
  <c r="R98" i="37"/>
  <c r="R85" i="37" s="1"/>
  <c r="Z57" i="37" s="1"/>
  <c r="AA195" i="38"/>
  <c r="R94" i="37"/>
  <c r="R81" i="37" s="1"/>
  <c r="Z53" i="37" s="1"/>
  <c r="R93" i="38"/>
  <c r="R80" i="38" s="1"/>
  <c r="Z52" i="38" s="1"/>
  <c r="AS115" i="37"/>
  <c r="I83" i="37"/>
  <c r="G153" i="37"/>
  <c r="M153" i="37"/>
  <c r="AB27" i="37"/>
  <c r="Q55" i="37"/>
  <c r="S49" i="37" s="1"/>
  <c r="B160" i="37"/>
  <c r="F153" i="37"/>
  <c r="AA27" i="37"/>
  <c r="J153" i="37"/>
  <c r="H153" i="37"/>
  <c r="J160" i="37"/>
  <c r="E160" i="37"/>
  <c r="H160" i="37"/>
  <c r="M160" i="37"/>
  <c r="S114" i="37" s="1"/>
  <c r="S26" i="37"/>
  <c r="T26" i="37" s="1"/>
  <c r="F22" i="37" s="1"/>
  <c r="G160" i="37"/>
  <c r="C153" i="37"/>
  <c r="F160" i="37"/>
  <c r="D153" i="37"/>
  <c r="I160" i="37"/>
  <c r="K160" i="37"/>
  <c r="L160" i="37"/>
  <c r="C160" i="37"/>
  <c r="L153" i="37"/>
  <c r="B153" i="37"/>
  <c r="E153" i="37"/>
  <c r="K153" i="37"/>
  <c r="D160" i="37"/>
  <c r="I153" i="37"/>
  <c r="G31" i="8" l="1"/>
  <c r="G18" i="8"/>
  <c r="C85" i="24"/>
  <c r="X28" i="24"/>
  <c r="C78" i="24"/>
  <c r="AC4" i="36"/>
  <c r="AD4" i="36" s="1"/>
  <c r="AE4" i="36" s="1"/>
  <c r="D11" i="36" s="1"/>
  <c r="Q175" i="37"/>
  <c r="S99" i="37"/>
  <c r="S102" i="38"/>
  <c r="AT102" i="38" s="1"/>
  <c r="Q171" i="38"/>
  <c r="AB179" i="38" s="1"/>
  <c r="U13" i="36"/>
  <c r="V13" i="36" s="1"/>
  <c r="W13" i="36" s="1"/>
  <c r="J9" i="36" s="1"/>
  <c r="AC3" i="36"/>
  <c r="AD3" i="36" s="1"/>
  <c r="AE3" i="36" s="1"/>
  <c r="D10" i="36" s="1"/>
  <c r="AC2" i="36"/>
  <c r="AD2" i="36" s="1"/>
  <c r="AE2" i="36" s="1"/>
  <c r="D9" i="36" s="1"/>
  <c r="D66" i="24"/>
  <c r="E66" i="24" s="1"/>
  <c r="Q172" i="37"/>
  <c r="AK180" i="37" s="1"/>
  <c r="S103" i="38"/>
  <c r="Q170" i="38"/>
  <c r="AE178" i="38" s="1"/>
  <c r="S103" i="37"/>
  <c r="AT103" i="37" s="1"/>
  <c r="F11" i="38"/>
  <c r="Q173" i="38"/>
  <c r="Y181" i="38" s="1"/>
  <c r="Q102" i="37"/>
  <c r="Q174" i="38"/>
  <c r="AC10" i="36"/>
  <c r="AD10" i="36" s="1"/>
  <c r="AE10" i="36" s="1"/>
  <c r="D17" i="36" s="1"/>
  <c r="AC6" i="36"/>
  <c r="AD6" i="36" s="1"/>
  <c r="AE6" i="36" s="1"/>
  <c r="D13" i="36" s="1"/>
  <c r="AC9" i="36"/>
  <c r="AD9" i="36" s="1"/>
  <c r="AE9" i="36" s="1"/>
  <c r="D16" i="36" s="1"/>
  <c r="AC7" i="36"/>
  <c r="AD7" i="36" s="1"/>
  <c r="AE7" i="36" s="1"/>
  <c r="D14" i="36" s="1"/>
  <c r="AC8" i="36"/>
  <c r="AD8" i="36" s="1"/>
  <c r="AE8" i="36" s="1"/>
  <c r="D15" i="36" s="1"/>
  <c r="AC11" i="36"/>
  <c r="AD11" i="36" s="1"/>
  <c r="AE11" i="36" s="1"/>
  <c r="Q108" i="37"/>
  <c r="W66" i="38"/>
  <c r="W67" i="38" s="1"/>
  <c r="W68" i="38" s="1"/>
  <c r="AC5" i="36"/>
  <c r="AD5" i="36" s="1"/>
  <c r="AE5" i="36" s="1"/>
  <c r="D12" i="36" s="1"/>
  <c r="U18" i="36"/>
  <c r="V18" i="36" s="1"/>
  <c r="W18" i="36" s="1"/>
  <c r="J14" i="36" s="1"/>
  <c r="X65" i="38"/>
  <c r="F30" i="38"/>
  <c r="AJ155" i="37"/>
  <c r="U21" i="36"/>
  <c r="V21" i="36" s="1"/>
  <c r="W21" i="36" s="1"/>
  <c r="J17" i="36" s="1"/>
  <c r="W66" i="37"/>
  <c r="W67" i="37" s="1"/>
  <c r="W68" i="37" s="1"/>
  <c r="AI156" i="37"/>
  <c r="U14" i="36"/>
  <c r="V14" i="36" s="1"/>
  <c r="W14" i="36" s="1"/>
  <c r="J10" i="36" s="1"/>
  <c r="U19" i="36"/>
  <c r="V19" i="36" s="1"/>
  <c r="W19" i="36" s="1"/>
  <c r="J15" i="36" s="1"/>
  <c r="AS66" i="37"/>
  <c r="B26" i="35"/>
  <c r="L77" i="35"/>
  <c r="B27" i="35"/>
  <c r="B29" i="35"/>
  <c r="I32" i="35"/>
  <c r="B25" i="35"/>
  <c r="B24" i="35"/>
  <c r="B28" i="35"/>
  <c r="B23" i="35"/>
  <c r="J21" i="35"/>
  <c r="A157" i="35"/>
  <c r="B19" i="35"/>
  <c r="AO155" i="38"/>
  <c r="AO156" i="38" s="1"/>
  <c r="AP155" i="38"/>
  <c r="U16" i="36"/>
  <c r="V16" i="36" s="1"/>
  <c r="W16" i="36" s="1"/>
  <c r="J12" i="36" s="1"/>
  <c r="AU65" i="37"/>
  <c r="AU66" i="37" s="1"/>
  <c r="AU67" i="37" s="1"/>
  <c r="AU68" i="37" s="1"/>
  <c r="AV68" i="37" s="1"/>
  <c r="AV65" i="37"/>
  <c r="AX155" i="38"/>
  <c r="AX156" i="38" s="1"/>
  <c r="AY155" i="38"/>
  <c r="Q170" i="37"/>
  <c r="AQ178" i="37" s="1"/>
  <c r="V69" i="37"/>
  <c r="AB69" i="37"/>
  <c r="AW69" i="37"/>
  <c r="BC69" i="37"/>
  <c r="AN69" i="37"/>
  <c r="AE69" i="37"/>
  <c r="AH69" i="37"/>
  <c r="AZ69" i="37"/>
  <c r="AT69" i="37"/>
  <c r="Y69" i="37"/>
  <c r="AK69" i="37"/>
  <c r="AQ69" i="37"/>
  <c r="AY156" i="38"/>
  <c r="AJ66" i="38"/>
  <c r="BA65" i="37"/>
  <c r="BA66" i="37" s="1"/>
  <c r="BA67" i="37" s="1"/>
  <c r="BA68" i="37" s="1"/>
  <c r="BB65" i="37"/>
  <c r="AG155" i="38"/>
  <c r="AF155" i="38"/>
  <c r="AF156" i="38" s="1"/>
  <c r="BD65" i="38"/>
  <c r="BD66" i="38" s="1"/>
  <c r="BD67" i="38" s="1"/>
  <c r="BE65" i="38"/>
  <c r="AC65" i="37"/>
  <c r="AC66" i="37" s="1"/>
  <c r="AC67" i="37" s="1"/>
  <c r="AC68" i="37" s="1"/>
  <c r="AD65" i="37"/>
  <c r="AO65" i="38"/>
  <c r="AO66" i="38" s="1"/>
  <c r="AO67" i="38" s="1"/>
  <c r="AP65" i="38"/>
  <c r="AA66" i="37"/>
  <c r="AD155" i="37"/>
  <c r="AC155" i="37"/>
  <c r="AC156" i="37" s="1"/>
  <c r="AD156" i="37" s="1"/>
  <c r="AI65" i="37"/>
  <c r="AI66" i="37" s="1"/>
  <c r="AI67" i="37" s="1"/>
  <c r="AI68" i="37" s="1"/>
  <c r="AJ65" i="37"/>
  <c r="BE155" i="38"/>
  <c r="BD155" i="38"/>
  <c r="BD156" i="38" s="1"/>
  <c r="Q171" i="37"/>
  <c r="AT179" i="37" s="1"/>
  <c r="Q172" i="38"/>
  <c r="AK180" i="38" s="1"/>
  <c r="AA156" i="38"/>
  <c r="AI65" i="38"/>
  <c r="AI66" i="38" s="1"/>
  <c r="AI67" i="38" s="1"/>
  <c r="AI68" i="38" s="1"/>
  <c r="AJ65" i="38"/>
  <c r="AY66" i="38"/>
  <c r="BD65" i="37"/>
  <c r="BD66" i="37" s="1"/>
  <c r="BD67" i="37" s="1"/>
  <c r="BE65" i="37"/>
  <c r="Z155" i="38"/>
  <c r="Z156" i="38" s="1"/>
  <c r="AA155" i="38"/>
  <c r="AS66" i="38"/>
  <c r="S101" i="37"/>
  <c r="AH101" i="37" s="1"/>
  <c r="Q175" i="38"/>
  <c r="AE183" i="38" s="1"/>
  <c r="AF65" i="38"/>
  <c r="AF66" i="38" s="1"/>
  <c r="AF67" i="38" s="1"/>
  <c r="AF68" i="38" s="1"/>
  <c r="AG68" i="38" s="1"/>
  <c r="AP155" i="37"/>
  <c r="AO155" i="37"/>
  <c r="AO156" i="37" s="1"/>
  <c r="AO65" i="37"/>
  <c r="AO66" i="37" s="1"/>
  <c r="AO67" i="37" s="1"/>
  <c r="AP65" i="37"/>
  <c r="W155" i="38"/>
  <c r="W156" i="38" s="1"/>
  <c r="AL155" i="38"/>
  <c r="AM155" i="38"/>
  <c r="I9" i="35"/>
  <c r="A149" i="35"/>
  <c r="S102" i="37"/>
  <c r="AW102" i="37" s="1"/>
  <c r="Q173" i="37"/>
  <c r="S114" i="38"/>
  <c r="AZ114" i="38" s="1"/>
  <c r="AP156" i="38"/>
  <c r="AC65" i="38"/>
  <c r="AC66" i="38" s="1"/>
  <c r="AC67" i="38" s="1"/>
  <c r="AC68" i="38" s="1"/>
  <c r="AD65" i="38"/>
  <c r="Z155" i="37"/>
  <c r="Z156" i="37" s="1"/>
  <c r="AA155" i="37"/>
  <c r="AF65" i="37"/>
  <c r="AF66" i="37" s="1"/>
  <c r="AF67" i="37" s="1"/>
  <c r="AF68" i="37" s="1"/>
  <c r="AG68" i="37" s="1"/>
  <c r="AR155" i="38"/>
  <c r="AR156" i="38" s="1"/>
  <c r="AS155" i="38"/>
  <c r="AL156" i="38"/>
  <c r="AM156" i="38"/>
  <c r="S99" i="38"/>
  <c r="AH99" i="38" s="1"/>
  <c r="Z65" i="38"/>
  <c r="Z66" i="38" s="1"/>
  <c r="Z67" i="38" s="1"/>
  <c r="Z68" i="38" s="1"/>
  <c r="AA65" i="38"/>
  <c r="BE155" i="37"/>
  <c r="BD155" i="37"/>
  <c r="BD156" i="37" s="1"/>
  <c r="AL65" i="37"/>
  <c r="AL66" i="37" s="1"/>
  <c r="AL67" i="37" s="1"/>
  <c r="AL68" i="37" s="1"/>
  <c r="AM65" i="37"/>
  <c r="AP156" i="37"/>
  <c r="BB36" i="36"/>
  <c r="BC35" i="36"/>
  <c r="AU65" i="38"/>
  <c r="AU66" i="38" s="1"/>
  <c r="AU67" i="38" s="1"/>
  <c r="AU68" i="38" s="1"/>
  <c r="AV68" i="38" s="1"/>
  <c r="AV65" i="38"/>
  <c r="AV155" i="37"/>
  <c r="AU155" i="37"/>
  <c r="AU156" i="37" s="1"/>
  <c r="AR65" i="37"/>
  <c r="AR66" i="37" s="1"/>
  <c r="AR67" i="37" s="1"/>
  <c r="AR68" i="37" s="1"/>
  <c r="AS65" i="37"/>
  <c r="AP66" i="37"/>
  <c r="S101" i="38"/>
  <c r="AK101" i="38" s="1"/>
  <c r="AI156" i="38"/>
  <c r="AJ156" i="38"/>
  <c r="BC69" i="38"/>
  <c r="AE69" i="38"/>
  <c r="AK69" i="38"/>
  <c r="AN69" i="38"/>
  <c r="AT69" i="38"/>
  <c r="AZ69" i="38"/>
  <c r="AH69" i="38"/>
  <c r="V69" i="38"/>
  <c r="AW69" i="38"/>
  <c r="AB69" i="38"/>
  <c r="AQ69" i="38"/>
  <c r="Y69" i="38"/>
  <c r="AL65" i="38"/>
  <c r="AL66" i="38" s="1"/>
  <c r="AL67" i="38" s="1"/>
  <c r="AL68" i="38" s="1"/>
  <c r="AM65" i="38"/>
  <c r="AL155" i="37"/>
  <c r="AL156" i="37" s="1"/>
  <c r="AM155" i="37"/>
  <c r="M220" i="38"/>
  <c r="Q150" i="38" s="1"/>
  <c r="Q169" i="38"/>
  <c r="S105" i="38"/>
  <c r="S108" i="38"/>
  <c r="M219" i="38"/>
  <c r="Q149" i="38" s="1"/>
  <c r="S110" i="38"/>
  <c r="Q168" i="38"/>
  <c r="Q166" i="38"/>
  <c r="S107" i="38"/>
  <c r="S106" i="38"/>
  <c r="S104" i="38"/>
  <c r="Q167" i="38"/>
  <c r="S109" i="38"/>
  <c r="Q181" i="38"/>
  <c r="Q166" i="37"/>
  <c r="S105" i="37"/>
  <c r="S108" i="37"/>
  <c r="S107" i="37"/>
  <c r="S109" i="37"/>
  <c r="S106" i="37"/>
  <c r="M219" i="37"/>
  <c r="Q149" i="37" s="1"/>
  <c r="M220" i="37"/>
  <c r="Q150" i="37" s="1"/>
  <c r="Q169" i="37"/>
  <c r="Q168" i="37"/>
  <c r="S104" i="37"/>
  <c r="Q167" i="37"/>
  <c r="S110" i="37"/>
  <c r="Q181" i="37"/>
  <c r="X156" i="37"/>
  <c r="S100" i="37"/>
  <c r="AQ100" i="37" s="1"/>
  <c r="BB65" i="38"/>
  <c r="BA65" i="38"/>
  <c r="BA66" i="38" s="1"/>
  <c r="BA67" i="38" s="1"/>
  <c r="BA68" i="38" s="1"/>
  <c r="AF155" i="37"/>
  <c r="AF156" i="37" s="1"/>
  <c r="AG155" i="37"/>
  <c r="Z65" i="37"/>
  <c r="Z66" i="37" s="1"/>
  <c r="Z67" i="37" s="1"/>
  <c r="Z68" i="37" s="1"/>
  <c r="AA65" i="37"/>
  <c r="AA156" i="37"/>
  <c r="AS65" i="38"/>
  <c r="AR65" i="38"/>
  <c r="AR66" i="38" s="1"/>
  <c r="AR67" i="38" s="1"/>
  <c r="AR68" i="38" s="1"/>
  <c r="W155" i="37"/>
  <c r="X155" i="37" s="1"/>
  <c r="AX65" i="37"/>
  <c r="AX66" i="37" s="1"/>
  <c r="AX67" i="37" s="1"/>
  <c r="AX68" i="37" s="1"/>
  <c r="AY65" i="37"/>
  <c r="AC155" i="38"/>
  <c r="AC156" i="38" s="1"/>
  <c r="AD156" i="38" s="1"/>
  <c r="AD155" i="38"/>
  <c r="AG156" i="37"/>
  <c r="Q174" i="37"/>
  <c r="AT182" i="37" s="1"/>
  <c r="AY65" i="38"/>
  <c r="AX65" i="38"/>
  <c r="AX66" i="38" s="1"/>
  <c r="AX67" i="38" s="1"/>
  <c r="AX68" i="38" s="1"/>
  <c r="AX155" i="37"/>
  <c r="AX156" i="37" s="1"/>
  <c r="AY155" i="37"/>
  <c r="AU155" i="38"/>
  <c r="AU156" i="38" s="1"/>
  <c r="AV155" i="38"/>
  <c r="AV156" i="37"/>
  <c r="U15" i="36"/>
  <c r="V15" i="36" s="1"/>
  <c r="W15" i="36" s="1"/>
  <c r="J11" i="36" s="1"/>
  <c r="U17" i="36"/>
  <c r="V17" i="36" s="1"/>
  <c r="W17" i="36" s="1"/>
  <c r="J13" i="36" s="1"/>
  <c r="U20" i="36"/>
  <c r="V20" i="36" s="1"/>
  <c r="W20" i="36" s="1"/>
  <c r="J16" i="36" s="1"/>
  <c r="AR155" i="37"/>
  <c r="AR156" i="37" s="1"/>
  <c r="AS155" i="37"/>
  <c r="BA155" i="38"/>
  <c r="BA156" i="38" s="1"/>
  <c r="BB156" i="38" s="1"/>
  <c r="BB155" i="38"/>
  <c r="U22" i="36"/>
  <c r="V22" i="36" s="1"/>
  <c r="W22" i="36" s="1"/>
  <c r="AY66" i="37"/>
  <c r="BB155" i="37"/>
  <c r="BA155" i="37"/>
  <c r="BA156" i="37" s="1"/>
  <c r="BB156" i="37" s="1"/>
  <c r="AC27" i="37"/>
  <c r="F20" i="37" s="1"/>
  <c r="G31" i="38"/>
  <c r="AG113" i="38"/>
  <c r="G30" i="8"/>
  <c r="F30" i="8" s="1"/>
  <c r="G22" i="8"/>
  <c r="F22" i="8" s="1"/>
  <c r="AG115" i="38"/>
  <c r="AB102" i="37"/>
  <c r="AA113" i="38"/>
  <c r="R38" i="38"/>
  <c r="S37" i="38"/>
  <c r="D31" i="38" s="1"/>
  <c r="D98" i="12"/>
  <c r="C93" i="12"/>
  <c r="G89" i="12"/>
  <c r="AT25" i="24"/>
  <c r="D95" i="12"/>
  <c r="D94" i="12"/>
  <c r="C95" i="12"/>
  <c r="D97" i="12"/>
  <c r="C94" i="12"/>
  <c r="D93" i="12"/>
  <c r="L90" i="12"/>
  <c r="C96" i="12"/>
  <c r="L91" i="12"/>
  <c r="C97" i="12"/>
  <c r="N90" i="12"/>
  <c r="N91" i="12"/>
  <c r="D96" i="12"/>
  <c r="C98" i="12"/>
  <c r="AM113" i="37"/>
  <c r="AD115" i="38"/>
  <c r="AG113" i="37"/>
  <c r="AP113" i="37"/>
  <c r="AM113" i="38"/>
  <c r="V49" i="38"/>
  <c r="S50" i="38"/>
  <c r="AP113" i="38"/>
  <c r="AT29" i="24"/>
  <c r="D142" i="12"/>
  <c r="C143" i="12"/>
  <c r="D146" i="12"/>
  <c r="D145" i="12"/>
  <c r="N138" i="12"/>
  <c r="L139" i="12"/>
  <c r="D143" i="12"/>
  <c r="C142" i="12"/>
  <c r="G137" i="12"/>
  <c r="D144" i="12"/>
  <c r="N139" i="12"/>
  <c r="C145" i="12"/>
  <c r="L138" i="12"/>
  <c r="C141" i="12"/>
  <c r="C146" i="12"/>
  <c r="D141" i="12"/>
  <c r="C144" i="12"/>
  <c r="AA113" i="37"/>
  <c r="AS113" i="38"/>
  <c r="AY113" i="38"/>
  <c r="AB183" i="37"/>
  <c r="AK183" i="37"/>
  <c r="Y183" i="37"/>
  <c r="V183" i="37"/>
  <c r="AH183" i="37"/>
  <c r="AE183" i="37"/>
  <c r="AZ183" i="37"/>
  <c r="BC183" i="37"/>
  <c r="AT183" i="37"/>
  <c r="AW183" i="37"/>
  <c r="AQ183" i="37"/>
  <c r="AN183" i="37"/>
  <c r="S50" i="37"/>
  <c r="V49" i="37"/>
  <c r="C131" i="12"/>
  <c r="N126" i="12"/>
  <c r="D129" i="12"/>
  <c r="N127" i="12"/>
  <c r="D133" i="12"/>
  <c r="G125" i="12"/>
  <c r="C133" i="12"/>
  <c r="D131" i="12"/>
  <c r="C129" i="12"/>
  <c r="D134" i="12"/>
  <c r="D132" i="12"/>
  <c r="L126" i="12"/>
  <c r="C132" i="12"/>
  <c r="D130" i="12"/>
  <c r="C134" i="12"/>
  <c r="L127" i="12"/>
  <c r="AT28" i="24"/>
  <c r="C130" i="12"/>
  <c r="AD113" i="37"/>
  <c r="AS32" i="36"/>
  <c r="AR33" i="36"/>
  <c r="AR34" i="36" s="1"/>
  <c r="AQ181" i="38"/>
  <c r="AK181" i="38"/>
  <c r="AH181" i="38"/>
  <c r="AN181" i="38"/>
  <c r="AW181" i="38"/>
  <c r="AJ115" i="38"/>
  <c r="AV113" i="38"/>
  <c r="AS113" i="37"/>
  <c r="AH103" i="38"/>
  <c r="AW103" i="38"/>
  <c r="AN103" i="38"/>
  <c r="AZ103" i="38"/>
  <c r="AE103" i="38"/>
  <c r="Y103" i="38"/>
  <c r="AT103" i="38"/>
  <c r="AB103" i="38"/>
  <c r="BC103" i="38"/>
  <c r="V103" i="38"/>
  <c r="AK103" i="38"/>
  <c r="AQ103" i="38"/>
  <c r="AH99" i="37"/>
  <c r="BC99" i="37"/>
  <c r="AN99" i="37"/>
  <c r="AZ99" i="37"/>
  <c r="AB99" i="37"/>
  <c r="AQ99" i="37"/>
  <c r="AT99" i="37"/>
  <c r="AK99" i="37"/>
  <c r="AE99" i="37"/>
  <c r="Y99" i="37"/>
  <c r="AW99" i="37"/>
  <c r="V99" i="37"/>
  <c r="AA115" i="38"/>
  <c r="BE113" i="38"/>
  <c r="BE113" i="37"/>
  <c r="AY115" i="38"/>
  <c r="AV113" i="37"/>
  <c r="AE100" i="38"/>
  <c r="AZ100" i="38"/>
  <c r="AB100" i="38"/>
  <c r="AQ100" i="38"/>
  <c r="AT100" i="38"/>
  <c r="AH100" i="38"/>
  <c r="AN100" i="38"/>
  <c r="V100" i="38"/>
  <c r="AW100" i="38"/>
  <c r="BC100" i="38"/>
  <c r="AK100" i="38"/>
  <c r="Y100" i="38"/>
  <c r="AM115" i="38"/>
  <c r="C84" i="12"/>
  <c r="D84" i="12"/>
  <c r="N78" i="12"/>
  <c r="C83" i="12"/>
  <c r="C82" i="12"/>
  <c r="C124" i="12"/>
  <c r="L78" i="12"/>
  <c r="G77" i="12"/>
  <c r="C86" i="12"/>
  <c r="C100" i="12"/>
  <c r="C88" i="12"/>
  <c r="C148" i="12"/>
  <c r="C85" i="12"/>
  <c r="C81" i="12"/>
  <c r="N79" i="12"/>
  <c r="C112" i="12"/>
  <c r="AT24" i="24"/>
  <c r="L79" i="12"/>
  <c r="D82" i="12"/>
  <c r="D83" i="12"/>
  <c r="D81" i="12"/>
  <c r="D86" i="12"/>
  <c r="D85" i="12"/>
  <c r="C136" i="12"/>
  <c r="AY113" i="37"/>
  <c r="AS115" i="38"/>
  <c r="C107" i="12"/>
  <c r="D109" i="12"/>
  <c r="D106" i="12"/>
  <c r="C110" i="12"/>
  <c r="C108" i="12"/>
  <c r="D107" i="12"/>
  <c r="L102" i="12"/>
  <c r="C106" i="12"/>
  <c r="C105" i="12"/>
  <c r="AT26" i="24"/>
  <c r="L103" i="12"/>
  <c r="N103" i="12"/>
  <c r="N102" i="12"/>
  <c r="G101" i="12"/>
  <c r="D108" i="12"/>
  <c r="D110" i="12"/>
  <c r="D105" i="12"/>
  <c r="C109" i="12"/>
  <c r="AV115" i="38"/>
  <c r="BE115" i="38"/>
  <c r="F37" i="8"/>
  <c r="G37" i="8"/>
  <c r="F38" i="8" s="1"/>
  <c r="G38" i="8" s="1"/>
  <c r="X113" i="38"/>
  <c r="AK182" i="38"/>
  <c r="Y182" i="38"/>
  <c r="AB182" i="38"/>
  <c r="AQ182" i="38"/>
  <c r="V182" i="38"/>
  <c r="AN182" i="38"/>
  <c r="BC182" i="38"/>
  <c r="AZ182" i="38"/>
  <c r="AE182" i="38"/>
  <c r="AW182" i="38"/>
  <c r="AT182" i="38"/>
  <c r="AH182" i="38"/>
  <c r="X33" i="37"/>
  <c r="Q33" i="37"/>
  <c r="T33" i="37"/>
  <c r="AG4" i="37"/>
  <c r="P33" i="37"/>
  <c r="U33" i="37"/>
  <c r="R33" i="37"/>
  <c r="N33" i="37"/>
  <c r="Z33" i="37"/>
  <c r="Y33" i="37"/>
  <c r="S33" i="37"/>
  <c r="O33" i="37"/>
  <c r="AE4" i="37"/>
  <c r="AF4" i="37" s="1"/>
  <c r="AM4" i="37" s="1"/>
  <c r="AL17" i="37" s="1"/>
  <c r="W33" i="37"/>
  <c r="V33" i="37"/>
  <c r="U33" i="38"/>
  <c r="AG4" i="38"/>
  <c r="R33" i="38"/>
  <c r="Q33" i="38"/>
  <c r="X33" i="38"/>
  <c r="P33" i="38"/>
  <c r="O33" i="38"/>
  <c r="T33" i="38"/>
  <c r="N33" i="38"/>
  <c r="Y33" i="38"/>
  <c r="AE4" i="38"/>
  <c r="AF4" i="38" s="1"/>
  <c r="AM4" i="38" s="1"/>
  <c r="AL17" i="38" s="1"/>
  <c r="W33" i="38"/>
  <c r="V33" i="38"/>
  <c r="Z33" i="38"/>
  <c r="S33" i="38"/>
  <c r="AB99" i="38"/>
  <c r="AN99" i="38"/>
  <c r="AK99" i="38"/>
  <c r="AZ99" i="38"/>
  <c r="AQ99" i="38"/>
  <c r="Y99" i="38"/>
  <c r="AT99" i="38"/>
  <c r="AE102" i="38"/>
  <c r="BC102" i="38"/>
  <c r="AK102" i="38"/>
  <c r="AB102" i="38"/>
  <c r="Y102" i="38"/>
  <c r="S37" i="37"/>
  <c r="D31" i="37" s="1"/>
  <c r="R38" i="37"/>
  <c r="L114" i="12"/>
  <c r="L115" i="12"/>
  <c r="D118" i="12"/>
  <c r="C120" i="12"/>
  <c r="C119" i="12"/>
  <c r="N115" i="12"/>
  <c r="C117" i="12"/>
  <c r="D117" i="12"/>
  <c r="C122" i="12"/>
  <c r="C118" i="12"/>
  <c r="D122" i="12"/>
  <c r="N114" i="12"/>
  <c r="C121" i="12"/>
  <c r="D121" i="12"/>
  <c r="AT27" i="24"/>
  <c r="G113" i="12"/>
  <c r="D119" i="12"/>
  <c r="D120" i="12"/>
  <c r="X113" i="37"/>
  <c r="AB181" i="37"/>
  <c r="Y181" i="37"/>
  <c r="AQ181" i="37"/>
  <c r="AN181" i="37"/>
  <c r="AT181" i="37"/>
  <c r="BC181" i="37"/>
  <c r="V181" i="37"/>
  <c r="AE181" i="37"/>
  <c r="AZ181" i="37"/>
  <c r="AK181" i="37"/>
  <c r="AW181" i="37"/>
  <c r="AH181" i="37"/>
  <c r="BB115" i="38"/>
  <c r="AB178" i="38"/>
  <c r="V178" i="38"/>
  <c r="AK178" i="38"/>
  <c r="AH178" i="38"/>
  <c r="AQ178" i="38"/>
  <c r="AN178" i="38"/>
  <c r="AW178" i="38"/>
  <c r="AT178" i="38"/>
  <c r="AZ178" i="38"/>
  <c r="AP115" i="38"/>
  <c r="AC27" i="38"/>
  <c r="F20" i="38" s="1"/>
  <c r="AE180" i="38"/>
  <c r="AW180" i="38"/>
  <c r="AB180" i="38"/>
  <c r="AE114" i="38"/>
  <c r="V114" i="38"/>
  <c r="AE114" i="37"/>
  <c r="AQ114" i="37"/>
  <c r="BC114" i="37"/>
  <c r="AZ114" i="37"/>
  <c r="AW114" i="37"/>
  <c r="V114" i="37"/>
  <c r="Y114" i="37"/>
  <c r="AN114" i="37"/>
  <c r="AT114" i="37"/>
  <c r="AK114" i="37"/>
  <c r="AB114" i="37"/>
  <c r="AH114" i="37"/>
  <c r="V179" i="38"/>
  <c r="AZ179" i="38"/>
  <c r="AH179" i="38"/>
  <c r="AN179" i="38"/>
  <c r="AD113" i="38"/>
  <c r="G31" i="37"/>
  <c r="T28" i="24"/>
  <c r="U28" i="24" s="1"/>
  <c r="G21" i="8" s="1"/>
  <c r="F21" i="8" s="1"/>
  <c r="Y102" i="37" l="1"/>
  <c r="AE179" i="38"/>
  <c r="AQ102" i="37"/>
  <c r="AK179" i="38"/>
  <c r="AH102" i="37"/>
  <c r="V179" i="37"/>
  <c r="Y179" i="38"/>
  <c r="V178" i="37"/>
  <c r="AH102" i="38"/>
  <c r="AZ179" i="37"/>
  <c r="BC178" i="37"/>
  <c r="AH178" i="37"/>
  <c r="V102" i="38"/>
  <c r="X102" i="38" s="1"/>
  <c r="BC179" i="38"/>
  <c r="AZ102" i="38"/>
  <c r="AT179" i="38"/>
  <c r="AN102" i="38"/>
  <c r="AN178" i="37"/>
  <c r="AW178" i="37"/>
  <c r="AW179" i="38"/>
  <c r="AW102" i="38"/>
  <c r="AQ179" i="38"/>
  <c r="AQ102" i="38"/>
  <c r="AN102" i="37"/>
  <c r="AQ180" i="38"/>
  <c r="AT180" i="37"/>
  <c r="BC180" i="37"/>
  <c r="AZ103" i="37"/>
  <c r="AW180" i="37"/>
  <c r="AY180" i="37" s="1"/>
  <c r="AK103" i="37"/>
  <c r="AQ180" i="37"/>
  <c r="AH180" i="37"/>
  <c r="AJ180" i="37" s="1"/>
  <c r="AZ180" i="37"/>
  <c r="AE180" i="37"/>
  <c r="AG180" i="37" s="1"/>
  <c r="AB180" i="37"/>
  <c r="AD180" i="37" s="1"/>
  <c r="AN180" i="37"/>
  <c r="V180" i="37"/>
  <c r="Y180" i="37"/>
  <c r="AH103" i="37"/>
  <c r="AT180" i="38"/>
  <c r="AQ103" i="37"/>
  <c r="Y100" i="37"/>
  <c r="AZ180" i="38"/>
  <c r="BC178" i="38"/>
  <c r="AN103" i="37"/>
  <c r="AP103" i="37" s="1"/>
  <c r="V180" i="38"/>
  <c r="AN180" i="38"/>
  <c r="AW103" i="37"/>
  <c r="BC180" i="38"/>
  <c r="BE180" i="38" s="1"/>
  <c r="BC99" i="38"/>
  <c r="BE99" i="38" s="1"/>
  <c r="V103" i="37"/>
  <c r="X103" i="37" s="1"/>
  <c r="AH180" i="38"/>
  <c r="AJ180" i="38" s="1"/>
  <c r="AW99" i="38"/>
  <c r="AY99" i="38" s="1"/>
  <c r="AE103" i="37"/>
  <c r="BC182" i="37"/>
  <c r="BC103" i="37"/>
  <c r="Y180" i="38"/>
  <c r="Y178" i="38"/>
  <c r="V99" i="38"/>
  <c r="AQ182" i="37"/>
  <c r="AE99" i="38"/>
  <c r="Y182" i="37"/>
  <c r="AB182" i="37"/>
  <c r="Y103" i="37"/>
  <c r="AB103" i="37"/>
  <c r="AD103" i="37" s="1"/>
  <c r="AK100" i="37"/>
  <c r="AM100" i="37" s="1"/>
  <c r="AW182" i="37"/>
  <c r="AY182" i="37" s="1"/>
  <c r="AN182" i="37"/>
  <c r="V182" i="37"/>
  <c r="X182" i="37" s="1"/>
  <c r="AE181" i="38"/>
  <c r="AT181" i="38"/>
  <c r="AF69" i="38"/>
  <c r="AG69" i="38" s="1"/>
  <c r="AB114" i="38"/>
  <c r="AD114" i="38" s="1"/>
  <c r="Y114" i="38"/>
  <c r="V181" i="38"/>
  <c r="X181" i="38" s="1"/>
  <c r="AZ181" i="38"/>
  <c r="BB181" i="38" s="1"/>
  <c r="AK114" i="38"/>
  <c r="AM114" i="38" s="1"/>
  <c r="BC114" i="38"/>
  <c r="BE114" i="38" s="1"/>
  <c r="BC181" i="38"/>
  <c r="BE181" i="38" s="1"/>
  <c r="AE101" i="37"/>
  <c r="AH114" i="38"/>
  <c r="AB181" i="38"/>
  <c r="AD181" i="38" s="1"/>
  <c r="AT101" i="37"/>
  <c r="AV101" i="37" s="1"/>
  <c r="AW114" i="38"/>
  <c r="AW101" i="37"/>
  <c r="AY101" i="37" s="1"/>
  <c r="AE182" i="37"/>
  <c r="AK101" i="37"/>
  <c r="AQ114" i="38"/>
  <c r="AT114" i="38"/>
  <c r="AV114" i="38" s="1"/>
  <c r="AH182" i="37"/>
  <c r="AB100" i="37"/>
  <c r="AD100" i="37" s="1"/>
  <c r="BC100" i="37"/>
  <c r="AH101" i="38"/>
  <c r="AJ101" i="38" s="1"/>
  <c r="Y178" i="37"/>
  <c r="AA178" i="37" s="1"/>
  <c r="AN100" i="37"/>
  <c r="BC179" i="37"/>
  <c r="AB178" i="37"/>
  <c r="AD178" i="37" s="1"/>
  <c r="AE100" i="37"/>
  <c r="AG100" i="37" s="1"/>
  <c r="AE179" i="37"/>
  <c r="AG179" i="37" s="1"/>
  <c r="BD68" i="37"/>
  <c r="BE68" i="37" s="1"/>
  <c r="BE67" i="37"/>
  <c r="AT100" i="37"/>
  <c r="AH179" i="37"/>
  <c r="AJ179" i="37" s="1"/>
  <c r="AZ100" i="37"/>
  <c r="AN179" i="37"/>
  <c r="AP179" i="37" s="1"/>
  <c r="AT101" i="38"/>
  <c r="AQ179" i="37"/>
  <c r="AS179" i="37" s="1"/>
  <c r="AH100" i="37"/>
  <c r="AZ101" i="38"/>
  <c r="BB101" i="38" s="1"/>
  <c r="AK179" i="37"/>
  <c r="BD68" i="38"/>
  <c r="BE68" i="38" s="1"/>
  <c r="BE67" i="38"/>
  <c r="AT178" i="37"/>
  <c r="AV178" i="37" s="1"/>
  <c r="AQ101" i="38"/>
  <c r="AW100" i="37"/>
  <c r="AY100" i="37" s="1"/>
  <c r="BC101" i="38"/>
  <c r="BE101" i="38" s="1"/>
  <c r="V101" i="38"/>
  <c r="AZ178" i="37"/>
  <c r="AE101" i="38"/>
  <c r="AW101" i="38"/>
  <c r="AE178" i="37"/>
  <c r="AZ102" i="37"/>
  <c r="AN101" i="38"/>
  <c r="AP101" i="38" s="1"/>
  <c r="AK178" i="37"/>
  <c r="AM178" i="37" s="1"/>
  <c r="V100" i="37"/>
  <c r="X100" i="37" s="1"/>
  <c r="AB101" i="38"/>
  <c r="AD101" i="38" s="1"/>
  <c r="AQ183" i="38"/>
  <c r="AZ183" i="38"/>
  <c r="AT183" i="38"/>
  <c r="AV183" i="38" s="1"/>
  <c r="AM66" i="37"/>
  <c r="AW183" i="38"/>
  <c r="AY183" i="38" s="1"/>
  <c r="AB101" i="37"/>
  <c r="AD101" i="37" s="1"/>
  <c r="Y183" i="38"/>
  <c r="AA183" i="38" s="1"/>
  <c r="BC101" i="37"/>
  <c r="AN183" i="38"/>
  <c r="AP183" i="38" s="1"/>
  <c r="V183" i="38"/>
  <c r="X183" i="38" s="1"/>
  <c r="AQ101" i="37"/>
  <c r="AN114" i="38"/>
  <c r="AB183" i="38"/>
  <c r="AD183" i="38" s="1"/>
  <c r="AN101" i="37"/>
  <c r="AP101" i="37" s="1"/>
  <c r="AH183" i="38"/>
  <c r="BC183" i="38"/>
  <c r="BE183" i="38" s="1"/>
  <c r="Y101" i="38"/>
  <c r="AA101" i="38" s="1"/>
  <c r="AW179" i="37"/>
  <c r="AM66" i="38"/>
  <c r="AK183" i="38"/>
  <c r="AM183" i="38" s="1"/>
  <c r="Y179" i="37"/>
  <c r="AA179" i="37" s="1"/>
  <c r="AF69" i="37"/>
  <c r="AG69" i="37" s="1"/>
  <c r="AG65" i="37"/>
  <c r="BB37" i="36"/>
  <c r="BB38" i="36" s="1"/>
  <c r="BB39" i="36" s="1"/>
  <c r="BB40" i="36" s="1"/>
  <c r="BB41" i="36" s="1"/>
  <c r="BB42" i="36" s="1"/>
  <c r="BB43" i="36" s="1"/>
  <c r="BB44" i="36" s="1"/>
  <c r="BB45" i="36" s="1"/>
  <c r="BB46" i="36" s="1"/>
  <c r="BB47" i="36" s="1"/>
  <c r="BB48" i="36" s="1"/>
  <c r="BB49" i="36" s="1"/>
  <c r="BC36" i="36"/>
  <c r="AD13" i="36" s="1"/>
  <c r="AE13" i="36" s="1"/>
  <c r="AF13" i="36" s="1"/>
  <c r="O17" i="36" s="1"/>
  <c r="AR35" i="36"/>
  <c r="AR36" i="36" s="1"/>
  <c r="AR37" i="36" s="1"/>
  <c r="AR38" i="36" s="1"/>
  <c r="AR39" i="36" s="1"/>
  <c r="AR40" i="36" s="1"/>
  <c r="AR41" i="36" s="1"/>
  <c r="AR42" i="36" s="1"/>
  <c r="AS34" i="36"/>
  <c r="V101" i="37"/>
  <c r="AO68" i="37"/>
  <c r="AO69" i="37" s="1"/>
  <c r="AP67" i="37"/>
  <c r="AB176" i="37"/>
  <c r="Y176" i="37"/>
  <c r="AA176" i="37" s="1"/>
  <c r="AT176" i="37"/>
  <c r="AQ176" i="37"/>
  <c r="AS176" i="37" s="1"/>
  <c r="AW176" i="37"/>
  <c r="AY176" i="37" s="1"/>
  <c r="AZ176" i="37"/>
  <c r="BB176" i="37" s="1"/>
  <c r="BC176" i="37"/>
  <c r="BE176" i="37" s="1"/>
  <c r="AH176" i="37"/>
  <c r="AJ176" i="37" s="1"/>
  <c r="V176" i="37"/>
  <c r="AK176" i="37"/>
  <c r="AM176" i="37" s="1"/>
  <c r="AE176" i="37"/>
  <c r="AG176" i="37" s="1"/>
  <c r="AN176" i="37"/>
  <c r="AP176" i="37" s="1"/>
  <c r="AK107" i="38"/>
  <c r="AM107" i="38" s="1"/>
  <c r="AT107" i="38"/>
  <c r="AV107" i="38" s="1"/>
  <c r="AH107" i="38"/>
  <c r="AJ107" i="38" s="1"/>
  <c r="AE107" i="38"/>
  <c r="BC107" i="38"/>
  <c r="AQ107" i="38"/>
  <c r="Y107" i="38"/>
  <c r="AA107" i="38" s="1"/>
  <c r="AN107" i="38"/>
  <c r="AP107" i="38" s="1"/>
  <c r="AW107" i="38"/>
  <c r="AY107" i="38" s="1"/>
  <c r="V107" i="38"/>
  <c r="X107" i="38" s="1"/>
  <c r="AZ107" i="38"/>
  <c r="BB107" i="38" s="1"/>
  <c r="AB107" i="38"/>
  <c r="AD107" i="38" s="1"/>
  <c r="AX69" i="38"/>
  <c r="AY69" i="38"/>
  <c r="AI69" i="37"/>
  <c r="AJ69" i="37"/>
  <c r="V102" i="37"/>
  <c r="X102" i="37" s="1"/>
  <c r="V177" i="37"/>
  <c r="X177" i="37" s="1"/>
  <c r="AN177" i="37"/>
  <c r="AP177" i="37" s="1"/>
  <c r="BC177" i="37"/>
  <c r="BE177" i="37" s="1"/>
  <c r="Y177" i="37"/>
  <c r="AW177" i="37"/>
  <c r="AE177" i="37"/>
  <c r="AG177" i="37" s="1"/>
  <c r="AQ177" i="37"/>
  <c r="AS177" i="37" s="1"/>
  <c r="AK177" i="37"/>
  <c r="AZ177" i="37"/>
  <c r="BB177" i="37" s="1"/>
  <c r="AH177" i="37"/>
  <c r="AJ177" i="37" s="1"/>
  <c r="AB177" i="37"/>
  <c r="AD177" i="37" s="1"/>
  <c r="AT177" i="37"/>
  <c r="AV177" i="37" s="1"/>
  <c r="AT174" i="38"/>
  <c r="AV174" i="38" s="1"/>
  <c r="AQ174" i="38"/>
  <c r="AN174" i="38"/>
  <c r="AP174" i="38" s="1"/>
  <c r="V174" i="38"/>
  <c r="X174" i="38" s="1"/>
  <c r="BC174" i="38"/>
  <c r="BE174" i="38" s="1"/>
  <c r="AH174" i="38"/>
  <c r="AJ174" i="38" s="1"/>
  <c r="AE174" i="38"/>
  <c r="Y174" i="38"/>
  <c r="AA174" i="38" s="1"/>
  <c r="AW174" i="38"/>
  <c r="AY174" i="38" s="1"/>
  <c r="AB174" i="38"/>
  <c r="AD174" i="38" s="1"/>
  <c r="AZ174" i="38"/>
  <c r="BB174" i="38" s="1"/>
  <c r="AK174" i="38"/>
  <c r="AM174" i="38" s="1"/>
  <c r="W69" i="38"/>
  <c r="X69" i="38"/>
  <c r="AN158" i="37"/>
  <c r="AP158" i="37" s="1"/>
  <c r="AT158" i="37"/>
  <c r="AV158" i="37" s="1"/>
  <c r="AB158" i="37"/>
  <c r="AD158" i="37" s="1"/>
  <c r="Y158" i="37"/>
  <c r="AA158" i="37" s="1"/>
  <c r="AZ158" i="37"/>
  <c r="V158" i="37"/>
  <c r="AQ158" i="37"/>
  <c r="AW158" i="37"/>
  <c r="AY158" i="37" s="1"/>
  <c r="AK158" i="37"/>
  <c r="AM158" i="37" s="1"/>
  <c r="AE158" i="37"/>
  <c r="AG158" i="37" s="1"/>
  <c r="AH158" i="37"/>
  <c r="AJ158" i="37" s="1"/>
  <c r="BC158" i="37"/>
  <c r="AB176" i="38"/>
  <c r="AK176" i="38"/>
  <c r="AM176" i="38" s="1"/>
  <c r="Y176" i="38"/>
  <c r="AA176" i="38" s="1"/>
  <c r="V176" i="38"/>
  <c r="AT176" i="38"/>
  <c r="AQ176" i="38"/>
  <c r="AS176" i="38" s="1"/>
  <c r="AN176" i="38"/>
  <c r="AP176" i="38" s="1"/>
  <c r="BC176" i="38"/>
  <c r="BE176" i="38" s="1"/>
  <c r="AZ176" i="38"/>
  <c r="BB176" i="38" s="1"/>
  <c r="AE176" i="38"/>
  <c r="AG176" i="38" s="1"/>
  <c r="AW176" i="38"/>
  <c r="AY176" i="38" s="1"/>
  <c r="AH176" i="38"/>
  <c r="AJ176" i="38" s="1"/>
  <c r="AJ69" i="38"/>
  <c r="AI69" i="38"/>
  <c r="AP69" i="37"/>
  <c r="A159" i="35"/>
  <c r="J22" i="35"/>
  <c r="AQ157" i="37"/>
  <c r="BC157" i="37"/>
  <c r="AT157" i="37"/>
  <c r="AH157" i="37"/>
  <c r="AK157" i="37"/>
  <c r="AE157" i="37"/>
  <c r="Y157" i="37"/>
  <c r="AW157" i="37"/>
  <c r="AN157" i="37"/>
  <c r="V157" i="37"/>
  <c r="AZ157" i="37"/>
  <c r="AB157" i="37"/>
  <c r="AH110" i="38"/>
  <c r="AK110" i="38"/>
  <c r="AM110" i="38" s="1"/>
  <c r="BC110" i="38"/>
  <c r="BE110" i="38" s="1"/>
  <c r="AN110" i="38"/>
  <c r="AT110" i="38"/>
  <c r="AB110" i="38"/>
  <c r="AD110" i="38" s="1"/>
  <c r="V110" i="38"/>
  <c r="X110" i="38" s="1"/>
  <c r="AE110" i="38"/>
  <c r="AG110" i="38" s="1"/>
  <c r="AW110" i="38"/>
  <c r="AY110" i="38" s="1"/>
  <c r="AZ110" i="38"/>
  <c r="BB110" i="38" s="1"/>
  <c r="AQ110" i="38"/>
  <c r="AS110" i="38" s="1"/>
  <c r="Y110" i="38"/>
  <c r="AA110" i="38" s="1"/>
  <c r="BA69" i="38"/>
  <c r="BB69" i="38"/>
  <c r="B150" i="35"/>
  <c r="F150" i="35" s="1"/>
  <c r="B151" i="35"/>
  <c r="B147" i="35"/>
  <c r="B152" i="35"/>
  <c r="B148" i="35"/>
  <c r="B149" i="35"/>
  <c r="D149" i="35" s="1"/>
  <c r="AH106" i="37"/>
  <c r="AJ106" i="37" s="1"/>
  <c r="AT106" i="37"/>
  <c r="AV106" i="37" s="1"/>
  <c r="AE106" i="37"/>
  <c r="AG106" i="37" s="1"/>
  <c r="AK106" i="37"/>
  <c r="AM106" i="37" s="1"/>
  <c r="AB106" i="37"/>
  <c r="AD106" i="37" s="1"/>
  <c r="AW106" i="37"/>
  <c r="AZ106" i="37"/>
  <c r="BB106" i="37" s="1"/>
  <c r="Y106" i="37"/>
  <c r="AQ106" i="37"/>
  <c r="AS106" i="37" s="1"/>
  <c r="V106" i="37"/>
  <c r="X106" i="37" s="1"/>
  <c r="BC106" i="37"/>
  <c r="BE106" i="37" s="1"/>
  <c r="AN106" i="37"/>
  <c r="AP106" i="37" s="1"/>
  <c r="AW157" i="38"/>
  <c r="AH157" i="38"/>
  <c r="AK157" i="38"/>
  <c r="BC157" i="38"/>
  <c r="AT157" i="38"/>
  <c r="AZ157" i="38"/>
  <c r="V157" i="38"/>
  <c r="AB157" i="38"/>
  <c r="AN157" i="38"/>
  <c r="AQ157" i="38"/>
  <c r="AE157" i="38"/>
  <c r="Y157" i="38"/>
  <c r="AU69" i="38"/>
  <c r="AV69" i="38"/>
  <c r="AX69" i="37"/>
  <c r="AY69" i="37"/>
  <c r="AK109" i="37"/>
  <c r="V109" i="37"/>
  <c r="X109" i="37" s="1"/>
  <c r="AZ109" i="37"/>
  <c r="BB109" i="37" s="1"/>
  <c r="AE109" i="37"/>
  <c r="AG109" i="37" s="1"/>
  <c r="AH109" i="37"/>
  <c r="AJ109" i="37" s="1"/>
  <c r="Y109" i="37"/>
  <c r="AA109" i="37" s="1"/>
  <c r="BC109" i="37"/>
  <c r="BE109" i="37" s="1"/>
  <c r="AW109" i="37"/>
  <c r="AB109" i="37"/>
  <c r="AD109" i="37" s="1"/>
  <c r="AT109" i="37"/>
  <c r="AV109" i="37" s="1"/>
  <c r="AN109" i="37"/>
  <c r="AP109" i="37" s="1"/>
  <c r="AQ109" i="37"/>
  <c r="AS109" i="37" s="1"/>
  <c r="AE108" i="38"/>
  <c r="AG108" i="38" s="1"/>
  <c r="AZ108" i="38"/>
  <c r="AQ108" i="38"/>
  <c r="AS108" i="38" s="1"/>
  <c r="Y108" i="38"/>
  <c r="AA108" i="38" s="1"/>
  <c r="AK108" i="38"/>
  <c r="AM108" i="38" s="1"/>
  <c r="AT108" i="38"/>
  <c r="AV108" i="38" s="1"/>
  <c r="AB108" i="38"/>
  <c r="AD108" i="38" s="1"/>
  <c r="AH108" i="38"/>
  <c r="BC108" i="38"/>
  <c r="BE108" i="38" s="1"/>
  <c r="AW108" i="38"/>
  <c r="AY108" i="38" s="1"/>
  <c r="AN108" i="38"/>
  <c r="V108" i="38"/>
  <c r="X108" i="38" s="1"/>
  <c r="AP69" i="38"/>
  <c r="AD69" i="37"/>
  <c r="AC69" i="37"/>
  <c r="AS39" i="36"/>
  <c r="AQ107" i="37"/>
  <c r="AW107" i="37"/>
  <c r="AY107" i="37" s="1"/>
  <c r="AN107" i="37"/>
  <c r="AP107" i="37" s="1"/>
  <c r="AZ107" i="37"/>
  <c r="BB107" i="37" s="1"/>
  <c r="Y107" i="37"/>
  <c r="AA107" i="37" s="1"/>
  <c r="AE107" i="37"/>
  <c r="AB107" i="37"/>
  <c r="AD107" i="37" s="1"/>
  <c r="AK107" i="37"/>
  <c r="AM107" i="37" s="1"/>
  <c r="BC107" i="37"/>
  <c r="V107" i="37"/>
  <c r="X107" i="37" s="1"/>
  <c r="AT107" i="37"/>
  <c r="AV107" i="37" s="1"/>
  <c r="AH107" i="37"/>
  <c r="AJ107" i="37" s="1"/>
  <c r="V105" i="38"/>
  <c r="AW105" i="38"/>
  <c r="AY105" i="38" s="1"/>
  <c r="Y105" i="38"/>
  <c r="AA105" i="38" s="1"/>
  <c r="AH105" i="38"/>
  <c r="AJ105" i="38" s="1"/>
  <c r="AZ105" i="38"/>
  <c r="AN105" i="38"/>
  <c r="AP105" i="38" s="1"/>
  <c r="AE105" i="38"/>
  <c r="AG105" i="38" s="1"/>
  <c r="AQ105" i="38"/>
  <c r="AS105" i="38" s="1"/>
  <c r="AK105" i="38"/>
  <c r="AM105" i="38" s="1"/>
  <c r="AB105" i="38"/>
  <c r="AT105" i="38"/>
  <c r="AV105" i="38" s="1"/>
  <c r="BC105" i="38"/>
  <c r="BE105" i="38" s="1"/>
  <c r="AL69" i="38"/>
  <c r="AM69" i="38"/>
  <c r="W69" i="37"/>
  <c r="X69" i="37"/>
  <c r="AK108" i="37"/>
  <c r="AM108" i="37" s="1"/>
  <c r="V108" i="37"/>
  <c r="X108" i="37" s="1"/>
  <c r="BC108" i="37"/>
  <c r="BE108" i="37" s="1"/>
  <c r="AH108" i="37"/>
  <c r="AB108" i="37"/>
  <c r="AD108" i="37" s="1"/>
  <c r="AW108" i="37"/>
  <c r="AY108" i="37" s="1"/>
  <c r="AT108" i="37"/>
  <c r="AV108" i="37" s="1"/>
  <c r="Y108" i="37"/>
  <c r="AA108" i="37" s="1"/>
  <c r="AN108" i="37"/>
  <c r="AQ108" i="37"/>
  <c r="AS108" i="37" s="1"/>
  <c r="AZ108" i="37"/>
  <c r="AE108" i="37"/>
  <c r="AG108" i="37" s="1"/>
  <c r="AQ177" i="38"/>
  <c r="AS177" i="38" s="1"/>
  <c r="AH177" i="38"/>
  <c r="AJ177" i="38" s="1"/>
  <c r="V177" i="38"/>
  <c r="X177" i="38" s="1"/>
  <c r="AB177" i="38"/>
  <c r="AD177" i="38" s="1"/>
  <c r="Y177" i="38"/>
  <c r="AK177" i="38"/>
  <c r="BC177" i="38"/>
  <c r="BE177" i="38" s="1"/>
  <c r="AW177" i="38"/>
  <c r="AZ177" i="38"/>
  <c r="BB177" i="38" s="1"/>
  <c r="AN177" i="38"/>
  <c r="AP177" i="38" s="1"/>
  <c r="AE177" i="38"/>
  <c r="AG177" i="38" s="1"/>
  <c r="AT177" i="38"/>
  <c r="AV177" i="38" s="1"/>
  <c r="X155" i="38"/>
  <c r="AH105" i="37"/>
  <c r="AJ105" i="37" s="1"/>
  <c r="AT105" i="37"/>
  <c r="AV105" i="37" s="1"/>
  <c r="AQ105" i="37"/>
  <c r="AS105" i="37" s="1"/>
  <c r="BC105" i="37"/>
  <c r="BE105" i="37" s="1"/>
  <c r="AB105" i="37"/>
  <c r="AN105" i="37"/>
  <c r="AP105" i="37" s="1"/>
  <c r="Y105" i="37"/>
  <c r="AA105" i="37" s="1"/>
  <c r="AZ105" i="37"/>
  <c r="AE105" i="37"/>
  <c r="AG105" i="37" s="1"/>
  <c r="V105" i="37"/>
  <c r="AW105" i="37"/>
  <c r="AY105" i="37" s="1"/>
  <c r="AK105" i="37"/>
  <c r="AM105" i="37" s="1"/>
  <c r="Y158" i="38"/>
  <c r="AZ158" i="38"/>
  <c r="BB158" i="38" s="1"/>
  <c r="AH158" i="38"/>
  <c r="V158" i="38"/>
  <c r="AW158" i="38"/>
  <c r="AY158" i="38" s="1"/>
  <c r="AB158" i="38"/>
  <c r="AD158" i="38" s="1"/>
  <c r="AK158" i="38"/>
  <c r="BC158" i="38"/>
  <c r="AE158" i="38"/>
  <c r="AG158" i="38" s="1"/>
  <c r="AN158" i="38"/>
  <c r="AT158" i="38"/>
  <c r="AQ158" i="38"/>
  <c r="AD18" i="36"/>
  <c r="AE18" i="36" s="1"/>
  <c r="AF18" i="36" s="1"/>
  <c r="O22" i="36" s="1"/>
  <c r="K36" i="35"/>
  <c r="L36" i="35" s="1"/>
  <c r="K39" i="35"/>
  <c r="L39" i="35" s="1"/>
  <c r="A37" i="35"/>
  <c r="J32" i="35"/>
  <c r="K38" i="35"/>
  <c r="L38" i="35" s="1"/>
  <c r="K40" i="35"/>
  <c r="L40" i="35" s="1"/>
  <c r="N40" i="35"/>
  <c r="O40" i="35" s="1"/>
  <c r="A167" i="35"/>
  <c r="N39" i="35"/>
  <c r="O39" i="35" s="1"/>
  <c r="K37" i="35"/>
  <c r="L37" i="35" s="1"/>
  <c r="N37" i="35"/>
  <c r="O37" i="35" s="1"/>
  <c r="N35" i="35"/>
  <c r="O35" i="35" s="1"/>
  <c r="A35" i="35"/>
  <c r="A39" i="35"/>
  <c r="N36" i="35"/>
  <c r="O36" i="35" s="1"/>
  <c r="A40" i="35"/>
  <c r="A36" i="35"/>
  <c r="K35" i="35"/>
  <c r="L35" i="35" s="1"/>
  <c r="A41" i="35"/>
  <c r="L86" i="35"/>
  <c r="A38" i="35"/>
  <c r="A31" i="35"/>
  <c r="N38" i="35"/>
  <c r="O38" i="35" s="1"/>
  <c r="AB174" i="37"/>
  <c r="AD174" i="37" s="1"/>
  <c r="BC174" i="37"/>
  <c r="BE174" i="37" s="1"/>
  <c r="AW174" i="37"/>
  <c r="AY174" i="37" s="1"/>
  <c r="AK174" i="37"/>
  <c r="AM174" i="37" s="1"/>
  <c r="AE174" i="37"/>
  <c r="AH174" i="37"/>
  <c r="AJ174" i="37" s="1"/>
  <c r="Y174" i="37"/>
  <c r="AA174" i="37" s="1"/>
  <c r="AN174" i="37"/>
  <c r="AP174" i="37" s="1"/>
  <c r="AZ174" i="37"/>
  <c r="BB174" i="37" s="1"/>
  <c r="V174" i="37"/>
  <c r="X174" i="37" s="1"/>
  <c r="AT174" i="37"/>
  <c r="AV174" i="37" s="1"/>
  <c r="AQ174" i="37"/>
  <c r="AK182" i="37"/>
  <c r="AK102" i="37"/>
  <c r="AM102" i="37" s="1"/>
  <c r="AZ101" i="37"/>
  <c r="BB101" i="37" s="1"/>
  <c r="AB179" i="37"/>
  <c r="AD179" i="37" s="1"/>
  <c r="W156" i="37"/>
  <c r="BC102" i="37"/>
  <c r="Y101" i="37"/>
  <c r="AA101" i="37" s="1"/>
  <c r="AK189" i="38"/>
  <c r="AM189" i="38" s="1"/>
  <c r="Y189" i="38"/>
  <c r="AA189" i="38" s="1"/>
  <c r="AE189" i="38"/>
  <c r="AG189" i="38" s="1"/>
  <c r="AQ189" i="38"/>
  <c r="AS189" i="38" s="1"/>
  <c r="AT189" i="38"/>
  <c r="AV189" i="38" s="1"/>
  <c r="AN189" i="38"/>
  <c r="AP189" i="38" s="1"/>
  <c r="AH189" i="38"/>
  <c r="BC189" i="38"/>
  <c r="BE189" i="38" s="1"/>
  <c r="AZ189" i="38"/>
  <c r="V189" i="38"/>
  <c r="AB189" i="38"/>
  <c r="AD189" i="38" s="1"/>
  <c r="AW189" i="38"/>
  <c r="AY189" i="38" s="1"/>
  <c r="AR69" i="37"/>
  <c r="AS69" i="37"/>
  <c r="AH189" i="37"/>
  <c r="AZ189" i="37"/>
  <c r="AN189" i="37"/>
  <c r="AP189" i="37" s="1"/>
  <c r="AQ189" i="37"/>
  <c r="AS189" i="37" s="1"/>
  <c r="BC189" i="37"/>
  <c r="BE189" i="37" s="1"/>
  <c r="AK189" i="37"/>
  <c r="AM189" i="37" s="1"/>
  <c r="AT189" i="37"/>
  <c r="AV189" i="37" s="1"/>
  <c r="AW189" i="37"/>
  <c r="AY189" i="37" s="1"/>
  <c r="AB189" i="37"/>
  <c r="AD189" i="37" s="1"/>
  <c r="Y189" i="37"/>
  <c r="AA189" i="37" s="1"/>
  <c r="V189" i="37"/>
  <c r="AE189" i="37"/>
  <c r="AG189" i="37" s="1"/>
  <c r="BC109" i="38"/>
  <c r="BE109" i="38" s="1"/>
  <c r="AT109" i="38"/>
  <c r="AV109" i="38" s="1"/>
  <c r="AB109" i="38"/>
  <c r="AD109" i="38" s="1"/>
  <c r="Y109" i="38"/>
  <c r="AA109" i="38" s="1"/>
  <c r="V109" i="38"/>
  <c r="X109" i="38" s="1"/>
  <c r="AE109" i="38"/>
  <c r="AG109" i="38" s="1"/>
  <c r="AW109" i="38"/>
  <c r="AQ109" i="38"/>
  <c r="AS109" i="38" s="1"/>
  <c r="AZ109" i="38"/>
  <c r="BB109" i="38" s="1"/>
  <c r="AN109" i="38"/>
  <c r="AP109" i="38" s="1"/>
  <c r="AK109" i="38"/>
  <c r="AH109" i="38"/>
  <c r="AJ109" i="38" s="1"/>
  <c r="AO68" i="38"/>
  <c r="AO69" i="38" s="1"/>
  <c r="AP67" i="38"/>
  <c r="AL69" i="37"/>
  <c r="AM69" i="37"/>
  <c r="AE102" i="37"/>
  <c r="AG102" i="37" s="1"/>
  <c r="AT110" i="37"/>
  <c r="AK110" i="37"/>
  <c r="AM110" i="37" s="1"/>
  <c r="AH110" i="37"/>
  <c r="AQ110" i="37"/>
  <c r="AS110" i="37" s="1"/>
  <c r="AN110" i="37"/>
  <c r="AW110" i="37"/>
  <c r="AY110" i="37" s="1"/>
  <c r="AB110" i="37"/>
  <c r="AD110" i="37" s="1"/>
  <c r="BC110" i="37"/>
  <c r="BE110" i="37" s="1"/>
  <c r="AE110" i="37"/>
  <c r="AG110" i="37" s="1"/>
  <c r="AZ110" i="37"/>
  <c r="BB110" i="37" s="1"/>
  <c r="V110" i="37"/>
  <c r="X110" i="37" s="1"/>
  <c r="Y110" i="37"/>
  <c r="AA110" i="37" s="1"/>
  <c r="AN175" i="38"/>
  <c r="AW175" i="38"/>
  <c r="AY175" i="38" s="1"/>
  <c r="AB175" i="38"/>
  <c r="AK175" i="38"/>
  <c r="AM175" i="38" s="1"/>
  <c r="Y175" i="38"/>
  <c r="AA175" i="38" s="1"/>
  <c r="AZ175" i="38"/>
  <c r="BB175" i="38" s="1"/>
  <c r="AQ175" i="38"/>
  <c r="AS175" i="38" s="1"/>
  <c r="BC175" i="38"/>
  <c r="BE175" i="38" s="1"/>
  <c r="AH175" i="38"/>
  <c r="AJ175" i="38" s="1"/>
  <c r="V175" i="38"/>
  <c r="X175" i="38" s="1"/>
  <c r="AT175" i="38"/>
  <c r="AE175" i="38"/>
  <c r="AG175" i="38" s="1"/>
  <c r="Z69" i="38"/>
  <c r="AA69" i="38"/>
  <c r="AA69" i="37"/>
  <c r="Z69" i="37"/>
  <c r="AZ182" i="37"/>
  <c r="BB182" i="37" s="1"/>
  <c r="AT102" i="37"/>
  <c r="AB175" i="37"/>
  <c r="AE175" i="37"/>
  <c r="AG175" i="37" s="1"/>
  <c r="V175" i="37"/>
  <c r="X175" i="37" s="1"/>
  <c r="AN175" i="37"/>
  <c r="AW175" i="37"/>
  <c r="AY175" i="37" s="1"/>
  <c r="AQ175" i="37"/>
  <c r="AS175" i="37" s="1"/>
  <c r="Y175" i="37"/>
  <c r="AA175" i="37" s="1"/>
  <c r="AZ175" i="37"/>
  <c r="BB175" i="37" s="1"/>
  <c r="BC175" i="37"/>
  <c r="BE175" i="37" s="1"/>
  <c r="AH175" i="37"/>
  <c r="AJ175" i="37" s="1"/>
  <c r="AK175" i="37"/>
  <c r="AM175" i="37" s="1"/>
  <c r="AT175" i="37"/>
  <c r="V104" i="38"/>
  <c r="X104" i="38" s="1"/>
  <c r="AH104" i="38"/>
  <c r="AJ104" i="38" s="1"/>
  <c r="AK104" i="38"/>
  <c r="AM104" i="38" s="1"/>
  <c r="AB104" i="38"/>
  <c r="AD104" i="38" s="1"/>
  <c r="AT104" i="38"/>
  <c r="AV104" i="38" s="1"/>
  <c r="AE104" i="38"/>
  <c r="Y104" i="38"/>
  <c r="AA104" i="38" s="1"/>
  <c r="AQ104" i="38"/>
  <c r="AS104" i="38" s="1"/>
  <c r="BC104" i="38"/>
  <c r="AZ104" i="38"/>
  <c r="BB104" i="38" s="1"/>
  <c r="AW104" i="38"/>
  <c r="AY104" i="38" s="1"/>
  <c r="AN104" i="38"/>
  <c r="AP104" i="38" s="1"/>
  <c r="AR69" i="38"/>
  <c r="AS69" i="38"/>
  <c r="AU69" i="37"/>
  <c r="AV69" i="37"/>
  <c r="AB104" i="37"/>
  <c r="AD104" i="37" s="1"/>
  <c r="AQ104" i="37"/>
  <c r="AS104" i="37" s="1"/>
  <c r="Y104" i="37"/>
  <c r="AA104" i="37" s="1"/>
  <c r="AW104" i="37"/>
  <c r="AY104" i="37" s="1"/>
  <c r="AT104" i="37"/>
  <c r="AV104" i="37" s="1"/>
  <c r="AZ104" i="37"/>
  <c r="BB104" i="37" s="1"/>
  <c r="AH104" i="37"/>
  <c r="AJ104" i="37" s="1"/>
  <c r="AN104" i="37"/>
  <c r="AP104" i="37" s="1"/>
  <c r="AE104" i="37"/>
  <c r="AK104" i="37"/>
  <c r="AM104" i="37" s="1"/>
  <c r="BC104" i="37"/>
  <c r="V104" i="37"/>
  <c r="X104" i="37" s="1"/>
  <c r="AB106" i="38"/>
  <c r="AD106" i="38" s="1"/>
  <c r="AQ106" i="38"/>
  <c r="AS106" i="38" s="1"/>
  <c r="AE106" i="38"/>
  <c r="AG106" i="38" s="1"/>
  <c r="AZ106" i="38"/>
  <c r="BB106" i="38" s="1"/>
  <c r="Y106" i="38"/>
  <c r="AW106" i="38"/>
  <c r="V106" i="38"/>
  <c r="X106" i="38" s="1"/>
  <c r="AK106" i="38"/>
  <c r="AM106" i="38" s="1"/>
  <c r="AT106" i="38"/>
  <c r="AV106" i="38" s="1"/>
  <c r="AH106" i="38"/>
  <c r="AJ106" i="38" s="1"/>
  <c r="BC106" i="38"/>
  <c r="BE106" i="38" s="1"/>
  <c r="AN106" i="38"/>
  <c r="AP106" i="38" s="1"/>
  <c r="AC69" i="38"/>
  <c r="AD69" i="38"/>
  <c r="AG65" i="38"/>
  <c r="BA69" i="37"/>
  <c r="BB69" i="37"/>
  <c r="BB159" i="38"/>
  <c r="AG160" i="37"/>
  <c r="AG160" i="38"/>
  <c r="AD161" i="37"/>
  <c r="AS99" i="37"/>
  <c r="AS40" i="36"/>
  <c r="BB99" i="37"/>
  <c r="AA182" i="38"/>
  <c r="AS178" i="37"/>
  <c r="AG179" i="38"/>
  <c r="AM114" i="37"/>
  <c r="X181" i="37"/>
  <c r="AG11" i="38"/>
  <c r="AH11" i="38" s="1"/>
  <c r="AN11" i="38" s="1"/>
  <c r="AI10" i="38" s="1"/>
  <c r="AE11" i="38"/>
  <c r="AF11" i="38" s="1"/>
  <c r="AM11" i="38" s="1"/>
  <c r="AL10" i="38" s="1"/>
  <c r="AH4" i="37"/>
  <c r="P125" i="37"/>
  <c r="S74" i="37" s="1"/>
  <c r="BE103" i="37"/>
  <c r="BE182" i="38"/>
  <c r="BB100" i="38"/>
  <c r="AV183" i="37"/>
  <c r="F24" i="8"/>
  <c r="F25" i="8"/>
  <c r="G24" i="8"/>
  <c r="G25" i="8"/>
  <c r="AJ101" i="37"/>
  <c r="X114" i="38"/>
  <c r="X99" i="38"/>
  <c r="AA179" i="38"/>
  <c r="AE17" i="38"/>
  <c r="AF17" i="38" s="1"/>
  <c r="AM17" i="38" s="1"/>
  <c r="AL4" i="38" s="1"/>
  <c r="AG17" i="38"/>
  <c r="AH17" i="38" s="1"/>
  <c r="AN17" i="38" s="1"/>
  <c r="AI4" i="38" s="1"/>
  <c r="AS103" i="38"/>
  <c r="AG180" i="38"/>
  <c r="AP99" i="38"/>
  <c r="AM103" i="38"/>
  <c r="S38" i="37"/>
  <c r="R39" i="37"/>
  <c r="AV178" i="38"/>
  <c r="AG5" i="37"/>
  <c r="AH5" i="37" s="1"/>
  <c r="AN5" i="37" s="1"/>
  <c r="AI16" i="37" s="1"/>
  <c r="AE5" i="37"/>
  <c r="AF5" i="37" s="1"/>
  <c r="AM5" i="37" s="1"/>
  <c r="AL16" i="37" s="1"/>
  <c r="AY100" i="38"/>
  <c r="BE182" i="37"/>
  <c r="AM179" i="38"/>
  <c r="AV114" i="37"/>
  <c r="BB114" i="38"/>
  <c r="AD178" i="38"/>
  <c r="BE181" i="37"/>
  <c r="BB102" i="38"/>
  <c r="BB99" i="38"/>
  <c r="AG12" i="37"/>
  <c r="AE12" i="37"/>
  <c r="AF12" i="37" s="1"/>
  <c r="AM12" i="37" s="1"/>
  <c r="AL9" i="37" s="1"/>
  <c r="AP182" i="38"/>
  <c r="AG100" i="38"/>
  <c r="AG182" i="37"/>
  <c r="AV99" i="37"/>
  <c r="BE183" i="37"/>
  <c r="BE100" i="37"/>
  <c r="V50" i="38"/>
  <c r="S51" i="38"/>
  <c r="AY102" i="37"/>
  <c r="AV181" i="37"/>
  <c r="X182" i="38"/>
  <c r="AA114" i="37"/>
  <c r="AY102" i="38"/>
  <c r="AE9" i="38"/>
  <c r="AF9" i="38" s="1"/>
  <c r="AM9" i="38" s="1"/>
  <c r="AL12" i="38" s="1"/>
  <c r="AG9" i="38"/>
  <c r="AH9" i="38" s="1"/>
  <c r="AN9" i="38" s="1"/>
  <c r="AI12" i="38" s="1"/>
  <c r="AS182" i="38"/>
  <c r="X114" i="37"/>
  <c r="AS102" i="37"/>
  <c r="X183" i="37"/>
  <c r="AJ102" i="37"/>
  <c r="AA102" i="38"/>
  <c r="AJ99" i="38"/>
  <c r="AG7" i="37"/>
  <c r="AH7" i="37" s="1"/>
  <c r="AN7" i="37" s="1"/>
  <c r="AI14" i="37" s="1"/>
  <c r="AE7" i="37"/>
  <c r="AF7" i="37" s="1"/>
  <c r="AM7" i="37" s="1"/>
  <c r="AL14" i="37" s="1"/>
  <c r="AP182" i="37"/>
  <c r="BE99" i="37"/>
  <c r="X103" i="38"/>
  <c r="AA183" i="37"/>
  <c r="AV100" i="37"/>
  <c r="BE114" i="37"/>
  <c r="AA180" i="37"/>
  <c r="AA178" i="38"/>
  <c r="AG8" i="38"/>
  <c r="AH8" i="38" s="1"/>
  <c r="AN8" i="38" s="1"/>
  <c r="AI13" i="38" s="1"/>
  <c r="AE8" i="38"/>
  <c r="AF8" i="38" s="1"/>
  <c r="AM8" i="38" s="1"/>
  <c r="AL13" i="38" s="1"/>
  <c r="AM100" i="38"/>
  <c r="AJ99" i="37"/>
  <c r="BE103" i="38"/>
  <c r="AG181" i="38"/>
  <c r="AM183" i="37"/>
  <c r="BB100" i="37"/>
  <c r="AG16" i="37"/>
  <c r="AH16" i="37" s="1"/>
  <c r="AN16" i="37" s="1"/>
  <c r="AI5" i="37" s="1"/>
  <c r="AE16" i="37"/>
  <c r="AF16" i="37" s="1"/>
  <c r="AM16" i="37" s="1"/>
  <c r="AL5" i="37" s="1"/>
  <c r="AJ182" i="37"/>
  <c r="AM180" i="37"/>
  <c r="BE100" i="38"/>
  <c r="AD183" i="37"/>
  <c r="AM180" i="38"/>
  <c r="X179" i="37"/>
  <c r="AJ178" i="37"/>
  <c r="AA180" i="38"/>
  <c r="AG178" i="38"/>
  <c r="AG102" i="38"/>
  <c r="AS182" i="37"/>
  <c r="AP178" i="38"/>
  <c r="AJ181" i="37"/>
  <c r="AJ102" i="38"/>
  <c r="AG6" i="38"/>
  <c r="AH6" i="38" s="1"/>
  <c r="AN6" i="38" s="1"/>
  <c r="AI15" i="38" s="1"/>
  <c r="AE6" i="38"/>
  <c r="AF6" i="38" s="1"/>
  <c r="AM6" i="38" s="1"/>
  <c r="AL15" i="38" s="1"/>
  <c r="AG9" i="37"/>
  <c r="AH9" i="37" s="1"/>
  <c r="AN9" i="37" s="1"/>
  <c r="AI12" i="37" s="1"/>
  <c r="AE9" i="37"/>
  <c r="AF9" i="37" s="1"/>
  <c r="AM9" i="37" s="1"/>
  <c r="AL12" i="37" s="1"/>
  <c r="AS103" i="37"/>
  <c r="AJ182" i="38"/>
  <c r="AA182" i="37"/>
  <c r="AG103" i="38"/>
  <c r="AM181" i="38"/>
  <c r="AP102" i="37"/>
  <c r="BE101" i="37"/>
  <c r="AJ179" i="38"/>
  <c r="AG5" i="38"/>
  <c r="AH5" i="38" s="1"/>
  <c r="AN5" i="38" s="1"/>
  <c r="AI16" i="38" s="1"/>
  <c r="AE5" i="38"/>
  <c r="AF5" i="38" s="1"/>
  <c r="AM5" i="38" s="1"/>
  <c r="AL16" i="38" s="1"/>
  <c r="AA102" i="37"/>
  <c r="BB179" i="38"/>
  <c r="AJ103" i="37"/>
  <c r="AS181" i="37"/>
  <c r="AS102" i="38"/>
  <c r="AJ181" i="38"/>
  <c r="AY179" i="38"/>
  <c r="AS178" i="38"/>
  <c r="AV99" i="38"/>
  <c r="AG15" i="38"/>
  <c r="AE15" i="38"/>
  <c r="AF15" i="38" s="1"/>
  <c r="AM15" i="38" s="1"/>
  <c r="AL6" i="38" s="1"/>
  <c r="AG10" i="37"/>
  <c r="AH10" i="37" s="1"/>
  <c r="AN10" i="37" s="1"/>
  <c r="AI11" i="37" s="1"/>
  <c r="AE10" i="37"/>
  <c r="AF10" i="37" s="1"/>
  <c r="AM10" i="37" s="1"/>
  <c r="AL11" i="37" s="1"/>
  <c r="BB183" i="38"/>
  <c r="X99" i="37"/>
  <c r="AV181" i="38"/>
  <c r="BB179" i="37"/>
  <c r="AM179" i="37"/>
  <c r="AD180" i="38"/>
  <c r="AA114" i="38"/>
  <c r="AY114" i="37"/>
  <c r="AE7" i="38"/>
  <c r="AF7" i="38" s="1"/>
  <c r="AM7" i="38" s="1"/>
  <c r="AL14" i="38" s="1"/>
  <c r="AG7" i="38"/>
  <c r="AH7" i="38" s="1"/>
  <c r="AN7" i="38" s="1"/>
  <c r="AI14" i="38" s="1"/>
  <c r="AS100" i="37"/>
  <c r="BB114" i="37"/>
  <c r="AS114" i="37"/>
  <c r="AD103" i="38"/>
  <c r="V50" i="37"/>
  <c r="S51" i="37"/>
  <c r="S38" i="38"/>
  <c r="R39" i="38"/>
  <c r="AY114" i="38"/>
  <c r="AG12" i="38"/>
  <c r="AE12" i="38"/>
  <c r="AF12" i="38" s="1"/>
  <c r="AM12" i="38" s="1"/>
  <c r="AL9" i="38" s="1"/>
  <c r="AS114" i="38"/>
  <c r="AG14" i="38"/>
  <c r="AH14" i="38" s="1"/>
  <c r="AN14" i="38" s="1"/>
  <c r="AI7" i="38" s="1"/>
  <c r="AE14" i="38"/>
  <c r="AF14" i="38" s="1"/>
  <c r="AM14" i="38" s="1"/>
  <c r="AL7" i="38" s="1"/>
  <c r="AV103" i="37"/>
  <c r="AG16" i="38"/>
  <c r="AH16" i="38" s="1"/>
  <c r="AN16" i="38" s="1"/>
  <c r="AI5" i="38" s="1"/>
  <c r="AE16" i="38"/>
  <c r="AF16" i="38" s="1"/>
  <c r="AM16" i="38" s="1"/>
  <c r="AL5" i="38" s="1"/>
  <c r="AG13" i="37"/>
  <c r="AE13" i="37"/>
  <c r="AF13" i="37" s="1"/>
  <c r="AM13" i="37" s="1"/>
  <c r="AL8" i="37" s="1"/>
  <c r="AY182" i="38"/>
  <c r="AV100" i="38"/>
  <c r="AY99" i="37"/>
  <c r="AP103" i="38"/>
  <c r="AP183" i="37"/>
  <c r="AY101" i="38"/>
  <c r="AG99" i="38"/>
  <c r="X179" i="38"/>
  <c r="AD181" i="37"/>
  <c r="AG178" i="37"/>
  <c r="AG14" i="37"/>
  <c r="AH14" i="37" s="1"/>
  <c r="AN14" i="37" s="1"/>
  <c r="AI7" i="37" s="1"/>
  <c r="AE14" i="37"/>
  <c r="AF14" i="37" s="1"/>
  <c r="AM14" i="37" s="1"/>
  <c r="AL7" i="37" s="1"/>
  <c r="AS179" i="38"/>
  <c r="AV180" i="37"/>
  <c r="AA99" i="38"/>
  <c r="AD179" i="38"/>
  <c r="BE178" i="38"/>
  <c r="BB181" i="37"/>
  <c r="AS99" i="38"/>
  <c r="AG13" i="38"/>
  <c r="AE13" i="38"/>
  <c r="AF13" i="38" s="1"/>
  <c r="AM13" i="38" s="1"/>
  <c r="AL8" i="38" s="1"/>
  <c r="AG11" i="37"/>
  <c r="AH11" i="37" s="1"/>
  <c r="AN11" i="37" s="1"/>
  <c r="AI10" i="37" s="1"/>
  <c r="AE11" i="37"/>
  <c r="AF11" i="37" s="1"/>
  <c r="AM11" i="37" s="1"/>
  <c r="AL10" i="37" s="1"/>
  <c r="AG182" i="38"/>
  <c r="AS100" i="38"/>
  <c r="AA99" i="37"/>
  <c r="AS181" i="38"/>
  <c r="BB102" i="37"/>
  <c r="AY179" i="37"/>
  <c r="AP178" i="37"/>
  <c r="AP180" i="38"/>
  <c r="AP102" i="38"/>
  <c r="AG103" i="37"/>
  <c r="AD161" i="38"/>
  <c r="BB183" i="37"/>
  <c r="AP180" i="37"/>
  <c r="AG15" i="37"/>
  <c r="AE15" i="37"/>
  <c r="AF15" i="37" s="1"/>
  <c r="AM15" i="37" s="1"/>
  <c r="AL6" i="37" s="1"/>
  <c r="AY180" i="38"/>
  <c r="BE178" i="37"/>
  <c r="AG17" i="37"/>
  <c r="AH17" i="37" s="1"/>
  <c r="AN17" i="37" s="1"/>
  <c r="AI4" i="37" s="1"/>
  <c r="AE17" i="37"/>
  <c r="AF17" i="37" s="1"/>
  <c r="AM17" i="37" s="1"/>
  <c r="AL4" i="37" s="1"/>
  <c r="AP99" i="37"/>
  <c r="AV101" i="38"/>
  <c r="AM102" i="38"/>
  <c r="AG10" i="38"/>
  <c r="AH10" i="38" s="1"/>
  <c r="AN10" i="38" s="1"/>
  <c r="AI11" i="38" s="1"/>
  <c r="AE10" i="38"/>
  <c r="AF10" i="38" s="1"/>
  <c r="AM10" i="38" s="1"/>
  <c r="AL11" i="38" s="1"/>
  <c r="AV103" i="38"/>
  <c r="AM101" i="38"/>
  <c r="AG8" i="37"/>
  <c r="AH8" i="37" s="1"/>
  <c r="AN8" i="37" s="1"/>
  <c r="AI13" i="37" s="1"/>
  <c r="AE8" i="37"/>
  <c r="AF8" i="37" s="1"/>
  <c r="AM8" i="37" s="1"/>
  <c r="AL13" i="37" s="1"/>
  <c r="BB159" i="37"/>
  <c r="X100" i="38"/>
  <c r="AJ178" i="38"/>
  <c r="AM181" i="37"/>
  <c r="AP179" i="38"/>
  <c r="AD114" i="37"/>
  <c r="AV180" i="38"/>
  <c r="BE180" i="37"/>
  <c r="AM178" i="38"/>
  <c r="AG181" i="37"/>
  <c r="AH4" i="38"/>
  <c r="P125" i="38"/>
  <c r="S74" i="38" s="1"/>
  <c r="AG6" i="37"/>
  <c r="AH6" i="37" s="1"/>
  <c r="AN6" i="37" s="1"/>
  <c r="AI15" i="37" s="1"/>
  <c r="AE6" i="37"/>
  <c r="AF6" i="37" s="1"/>
  <c r="AM6" i="37" s="1"/>
  <c r="AL15" i="37" s="1"/>
  <c r="AM103" i="37"/>
  <c r="BB182" i="38"/>
  <c r="AD100" i="38"/>
  <c r="AG99" i="37"/>
  <c r="AJ103" i="38"/>
  <c r="AY183" i="37"/>
  <c r="AM101" i="37"/>
  <c r="BD69" i="37" l="1"/>
  <c r="BE69" i="37" s="1"/>
  <c r="AD22" i="36"/>
  <c r="AE22" i="36" s="1"/>
  <c r="AF22" i="36" s="1"/>
  <c r="AD21" i="36"/>
  <c r="AE21" i="36" s="1"/>
  <c r="AF21" i="36" s="1"/>
  <c r="AD14" i="36"/>
  <c r="AE14" i="36" s="1"/>
  <c r="AF14" i="36" s="1"/>
  <c r="O18" i="36" s="1"/>
  <c r="AD20" i="36"/>
  <c r="AE20" i="36" s="1"/>
  <c r="AF20" i="36" s="1"/>
  <c r="O24" i="36" s="1"/>
  <c r="BD69" i="38"/>
  <c r="BE69" i="38" s="1"/>
  <c r="AD12" i="36"/>
  <c r="AE12" i="36" s="1"/>
  <c r="AF12" i="36" s="1"/>
  <c r="O16" i="36" s="1"/>
  <c r="AD15" i="36"/>
  <c r="AE15" i="36" s="1"/>
  <c r="AF15" i="36" s="1"/>
  <c r="O19" i="36" s="1"/>
  <c r="AD17" i="36"/>
  <c r="AE17" i="36" s="1"/>
  <c r="AF17" i="36" s="1"/>
  <c r="O21" i="36" s="1"/>
  <c r="AD19" i="36"/>
  <c r="AE19" i="36" s="1"/>
  <c r="AF19" i="36" s="1"/>
  <c r="O23" i="36" s="1"/>
  <c r="AD16" i="36"/>
  <c r="AE16" i="36" s="1"/>
  <c r="AF16" i="36" s="1"/>
  <c r="O20" i="36" s="1"/>
  <c r="AG157" i="38"/>
  <c r="AF157" i="38"/>
  <c r="AF158" i="38" s="1"/>
  <c r="AF159" i="38" s="1"/>
  <c r="AF160" i="38" s="1"/>
  <c r="AF161" i="38" s="1"/>
  <c r="AF162" i="38" s="1"/>
  <c r="AP157" i="37"/>
  <c r="AO157" i="37"/>
  <c r="AO158" i="37" s="1"/>
  <c r="AO159" i="37" s="1"/>
  <c r="AO160" i="37" s="1"/>
  <c r="AO161" i="37" s="1"/>
  <c r="AO162" i="37" s="1"/>
  <c r="AV158" i="38"/>
  <c r="AR157" i="38"/>
  <c r="AR158" i="38" s="1"/>
  <c r="AR159" i="38" s="1"/>
  <c r="AS157" i="38"/>
  <c r="AX157" i="37"/>
  <c r="AX158" i="37" s="1"/>
  <c r="AX159" i="37" s="1"/>
  <c r="AX160" i="37" s="1"/>
  <c r="X158" i="37"/>
  <c r="AP158" i="38"/>
  <c r="AO157" i="38"/>
  <c r="AO158" i="38" s="1"/>
  <c r="AO159" i="38" s="1"/>
  <c r="AO160" i="38" s="1"/>
  <c r="AO161" i="38" s="1"/>
  <c r="AO162" i="38" s="1"/>
  <c r="AP157" i="38"/>
  <c r="Z157" i="37"/>
  <c r="Z158" i="37" s="1"/>
  <c r="Z159" i="37" s="1"/>
  <c r="Z160" i="37" s="1"/>
  <c r="Z161" i="37" s="1"/>
  <c r="Z162" i="37" s="1"/>
  <c r="AA157" i="37"/>
  <c r="BB158" i="37"/>
  <c r="BB157" i="38"/>
  <c r="BA157" i="38"/>
  <c r="BA158" i="38" s="1"/>
  <c r="BA159" i="38" s="1"/>
  <c r="BA160" i="38" s="1"/>
  <c r="BA161" i="38" s="1"/>
  <c r="BA162" i="38" s="1"/>
  <c r="BB162" i="38" s="1"/>
  <c r="AU157" i="38"/>
  <c r="AU158" i="38" s="1"/>
  <c r="AU159" i="38" s="1"/>
  <c r="AU160" i="38" s="1"/>
  <c r="AU161" i="38" s="1"/>
  <c r="AU162" i="38" s="1"/>
  <c r="AV157" i="38"/>
  <c r="AU157" i="37"/>
  <c r="AU158" i="37" s="1"/>
  <c r="AU159" i="37" s="1"/>
  <c r="AU160" i="37" s="1"/>
  <c r="AU161" i="37" s="1"/>
  <c r="AU162" i="37" s="1"/>
  <c r="AV157" i="37"/>
  <c r="AI157" i="37"/>
  <c r="AI158" i="37" s="1"/>
  <c r="AI159" i="37" s="1"/>
  <c r="AI160" i="37" s="1"/>
  <c r="AI161" i="37" s="1"/>
  <c r="AI162" i="37" s="1"/>
  <c r="AJ157" i="37"/>
  <c r="BD157" i="38"/>
  <c r="BD158" i="38" s="1"/>
  <c r="BD159" i="38" s="1"/>
  <c r="BD160" i="38" s="1"/>
  <c r="BD161" i="38" s="1"/>
  <c r="BE157" i="38"/>
  <c r="BE157" i="37"/>
  <c r="BD157" i="37"/>
  <c r="AC157" i="38"/>
  <c r="AC158" i="38" s="1"/>
  <c r="AC159" i="38" s="1"/>
  <c r="AC160" i="38" s="1"/>
  <c r="AC161" i="38" s="1"/>
  <c r="AC162" i="38" s="1"/>
  <c r="AD157" i="38"/>
  <c r="AF157" i="37"/>
  <c r="AF158" i="37" s="1"/>
  <c r="AF159" i="37" s="1"/>
  <c r="AF160" i="37" s="1"/>
  <c r="AF161" i="37" s="1"/>
  <c r="AF162" i="37" s="1"/>
  <c r="AG157" i="37"/>
  <c r="AM158" i="38"/>
  <c r="X158" i="38"/>
  <c r="AL157" i="38"/>
  <c r="AL158" i="38" s="1"/>
  <c r="AL159" i="38" s="1"/>
  <c r="AL160" i="38" s="1"/>
  <c r="AL161" i="38" s="1"/>
  <c r="AL162" i="38" s="1"/>
  <c r="AS157" i="37"/>
  <c r="AR157" i="37"/>
  <c r="AR158" i="37" s="1"/>
  <c r="AR159" i="37" s="1"/>
  <c r="BE158" i="38"/>
  <c r="AL157" i="37"/>
  <c r="AL158" i="37" s="1"/>
  <c r="AL159" i="37" s="1"/>
  <c r="AL160" i="37" s="1"/>
  <c r="AL161" i="37" s="1"/>
  <c r="AL162" i="37" s="1"/>
  <c r="AM157" i="37"/>
  <c r="AJ158" i="38"/>
  <c r="AI157" i="38"/>
  <c r="AI158" i="38" s="1"/>
  <c r="AI159" i="38" s="1"/>
  <c r="AI160" i="38" s="1"/>
  <c r="AI161" i="38" s="1"/>
  <c r="AI162" i="38" s="1"/>
  <c r="AJ157" i="38"/>
  <c r="AX157" i="38"/>
  <c r="AX158" i="38" s="1"/>
  <c r="AX159" i="38" s="1"/>
  <c r="AX160" i="38" s="1"/>
  <c r="F148" i="35"/>
  <c r="B160" i="35"/>
  <c r="D160" i="35" s="1"/>
  <c r="B161" i="35"/>
  <c r="D161" i="35" s="1"/>
  <c r="B158" i="35"/>
  <c r="B157" i="35"/>
  <c r="B162" i="35"/>
  <c r="B159" i="35"/>
  <c r="AA158" i="38"/>
  <c r="C152" i="35"/>
  <c r="D152" i="35" s="1"/>
  <c r="BD158" i="37"/>
  <c r="BD159" i="37" s="1"/>
  <c r="BD160" i="37" s="1"/>
  <c r="BD161" i="37" s="1"/>
  <c r="W157" i="38"/>
  <c r="W158" i="38" s="1"/>
  <c r="W159" i="38" s="1"/>
  <c r="W160" i="38" s="1"/>
  <c r="W161" i="38" s="1"/>
  <c r="W162" i="38" s="1"/>
  <c r="X157" i="38"/>
  <c r="E147" i="35"/>
  <c r="E148" i="35" s="1"/>
  <c r="E149" i="35" s="1"/>
  <c r="E150" i="35" s="1"/>
  <c r="E151" i="35" s="1"/>
  <c r="B154" i="35"/>
  <c r="B153" i="35"/>
  <c r="A169" i="35"/>
  <c r="J33" i="35"/>
  <c r="AC157" i="37"/>
  <c r="AC158" i="37" s="1"/>
  <c r="AC159" i="37" s="1"/>
  <c r="AC160" i="37" s="1"/>
  <c r="AC161" i="37" s="1"/>
  <c r="AC162" i="37" s="1"/>
  <c r="AD157" i="37"/>
  <c r="BA157" i="37"/>
  <c r="BA158" i="37" s="1"/>
  <c r="BA159" i="37" s="1"/>
  <c r="BA160" i="37" s="1"/>
  <c r="BA161" i="37" s="1"/>
  <c r="BA162" i="37" s="1"/>
  <c r="BB162" i="37" s="1"/>
  <c r="BB157" i="37"/>
  <c r="Z157" i="38"/>
  <c r="Z158" i="38" s="1"/>
  <c r="Z159" i="38" s="1"/>
  <c r="Z160" i="38" s="1"/>
  <c r="Z161" i="38" s="1"/>
  <c r="Z162" i="38" s="1"/>
  <c r="AA157" i="38"/>
  <c r="W157" i="37"/>
  <c r="W158" i="37" s="1"/>
  <c r="W159" i="37" s="1"/>
  <c r="W160" i="37" s="1"/>
  <c r="W161" i="37" s="1"/>
  <c r="W162" i="37" s="1"/>
  <c r="X157" i="37"/>
  <c r="R40" i="37"/>
  <c r="S39" i="37"/>
  <c r="BC74" i="38"/>
  <c r="AB74" i="38"/>
  <c r="AN74" i="38"/>
  <c r="AZ74" i="38"/>
  <c r="AT74" i="38"/>
  <c r="AE74" i="38"/>
  <c r="AH74" i="38"/>
  <c r="AW74" i="38"/>
  <c r="AQ74" i="38"/>
  <c r="Y74" i="38"/>
  <c r="AK74" i="38"/>
  <c r="V74" i="38"/>
  <c r="AN4" i="38"/>
  <c r="AI17" i="38" s="1"/>
  <c r="S52" i="38"/>
  <c r="V51" i="38"/>
  <c r="AE74" i="37"/>
  <c r="AN74" i="37"/>
  <c r="AB74" i="37"/>
  <c r="AT74" i="37"/>
  <c r="AW74" i="37"/>
  <c r="AZ74" i="37"/>
  <c r="BC74" i="37"/>
  <c r="AK74" i="37"/>
  <c r="AH74" i="37"/>
  <c r="V74" i="37"/>
  <c r="Y74" i="37"/>
  <c r="AQ74" i="37"/>
  <c r="AN4" i="37"/>
  <c r="AI17" i="37" s="1"/>
  <c r="AH13" i="37"/>
  <c r="AN13" i="37" s="1"/>
  <c r="AI8" i="37" s="1"/>
  <c r="N125" i="37"/>
  <c r="S70" i="37" s="1"/>
  <c r="A31" i="37"/>
  <c r="AH15" i="37"/>
  <c r="AN15" i="37" s="1"/>
  <c r="AI6" i="37" s="1"/>
  <c r="O125" i="37"/>
  <c r="S73" i="37" s="1"/>
  <c r="S39" i="38"/>
  <c r="A21" i="38" s="1"/>
  <c r="R40" i="38"/>
  <c r="AH13" i="38"/>
  <c r="AN13" i="38" s="1"/>
  <c r="AI8" i="38" s="1"/>
  <c r="N125" i="38"/>
  <c r="S70" i="38" s="1"/>
  <c r="AH15" i="38"/>
  <c r="AN15" i="38" s="1"/>
  <c r="AI6" i="38" s="1"/>
  <c r="O125" i="38"/>
  <c r="S73" i="38" s="1"/>
  <c r="A31" i="38"/>
  <c r="AH12" i="38"/>
  <c r="AN12" i="38" s="1"/>
  <c r="AI9" i="38" s="1"/>
  <c r="Q125" i="38"/>
  <c r="Q155" i="38" s="1"/>
  <c r="AH12" i="37"/>
  <c r="AN12" i="37" s="1"/>
  <c r="AI9" i="37" s="1"/>
  <c r="Q125" i="37"/>
  <c r="Q155" i="37" s="1"/>
  <c r="AR43" i="36"/>
  <c r="AR44" i="36" s="1"/>
  <c r="AR45" i="36" s="1"/>
  <c r="AR46" i="36" s="1"/>
  <c r="AR47" i="36" s="1"/>
  <c r="AS42" i="36"/>
  <c r="V51" i="37"/>
  <c r="S52" i="37"/>
  <c r="AY157" i="38" l="1"/>
  <c r="C151" i="35"/>
  <c r="AS158" i="38"/>
  <c r="E152" i="35"/>
  <c r="F152" i="35" s="1"/>
  <c r="F151" i="35"/>
  <c r="AY157" i="37"/>
  <c r="F147" i="35"/>
  <c r="AS158" i="37"/>
  <c r="D154" i="35"/>
  <c r="BD162" i="37"/>
  <c r="BE162" i="37" s="1"/>
  <c r="BE161" i="37"/>
  <c r="AM157" i="38"/>
  <c r="B169" i="35"/>
  <c r="D169" i="35" s="1"/>
  <c r="B172" i="35"/>
  <c r="B170" i="35"/>
  <c r="D170" i="35" s="1"/>
  <c r="B171" i="35"/>
  <c r="B167" i="35"/>
  <c r="B168" i="35"/>
  <c r="D168" i="35" s="1"/>
  <c r="AX161" i="37"/>
  <c r="AX162" i="37" s="1"/>
  <c r="AY160" i="37"/>
  <c r="AR48" i="36"/>
  <c r="AR49" i="36" s="1"/>
  <c r="AS49" i="36" s="1"/>
  <c r="AS47" i="36"/>
  <c r="X12" i="36" s="1"/>
  <c r="Y12" i="36" s="1"/>
  <c r="Z12" i="36" s="1"/>
  <c r="M16" i="36" s="1"/>
  <c r="AR160" i="38"/>
  <c r="AR161" i="38" s="1"/>
  <c r="AR162" i="38" s="1"/>
  <c r="AS159" i="38"/>
  <c r="D151" i="35"/>
  <c r="C150" i="35"/>
  <c r="AX161" i="38"/>
  <c r="AX162" i="38" s="1"/>
  <c r="AY160" i="38"/>
  <c r="F162" i="35"/>
  <c r="C162" i="35"/>
  <c r="C161" i="35" s="1"/>
  <c r="C160" i="35" s="1"/>
  <c r="C159" i="35" s="1"/>
  <c r="C158" i="35" s="1"/>
  <c r="B164" i="35"/>
  <c r="D164" i="35" s="1"/>
  <c r="B163" i="35"/>
  <c r="E157" i="35"/>
  <c r="F157" i="35" s="1"/>
  <c r="F158" i="35"/>
  <c r="BD162" i="38"/>
  <c r="BE162" i="38" s="1"/>
  <c r="BE161" i="38"/>
  <c r="F149" i="35"/>
  <c r="AR160" i="37"/>
  <c r="AR161" i="37" s="1"/>
  <c r="AR162" i="37" s="1"/>
  <c r="AS159" i="37"/>
  <c r="BE158" i="37"/>
  <c r="AC44" i="37"/>
  <c r="AC47" i="38"/>
  <c r="AC43" i="38"/>
  <c r="Y38" i="38"/>
  <c r="AA38" i="38" s="1"/>
  <c r="AB38" i="38" s="1"/>
  <c r="K84" i="38" s="1"/>
  <c r="B32" i="38" s="1"/>
  <c r="J229" i="38" s="1"/>
  <c r="K229" i="38" s="1"/>
  <c r="Y42" i="37"/>
  <c r="AA42" i="37" s="1"/>
  <c r="AB42" i="37" s="1"/>
  <c r="K88" i="37" s="1"/>
  <c r="E1" i="37" s="1"/>
  <c r="J235" i="37" s="1"/>
  <c r="K235" i="37" s="1"/>
  <c r="AC45" i="38"/>
  <c r="Y46" i="38"/>
  <c r="AA46" i="38" s="1"/>
  <c r="AB46" i="38" s="1"/>
  <c r="K92" i="38" s="1"/>
  <c r="K21" i="38" s="1"/>
  <c r="J243" i="38" s="1"/>
  <c r="K243" i="38" s="1"/>
  <c r="Y36" i="38"/>
  <c r="AC43" i="37"/>
  <c r="Y44" i="37"/>
  <c r="AA44" i="37" s="1"/>
  <c r="AB44" i="37" s="1"/>
  <c r="K90" i="37" s="1"/>
  <c r="K1" i="37" s="1"/>
  <c r="J239" i="37" s="1"/>
  <c r="K239" i="37" s="1"/>
  <c r="Y42" i="38"/>
  <c r="AA42" i="38" s="1"/>
  <c r="AB42" i="38" s="1"/>
  <c r="K88" i="38" s="1"/>
  <c r="E1" i="38" s="1"/>
  <c r="J235" i="38" s="1"/>
  <c r="K235" i="38" s="1"/>
  <c r="X13" i="36"/>
  <c r="Y13" i="36" s="1"/>
  <c r="Z13" i="36" s="1"/>
  <c r="M17" i="36" s="1"/>
  <c r="Y44" i="38"/>
  <c r="AA44" i="38" s="1"/>
  <c r="AB44" i="38" s="1"/>
  <c r="K90" i="38" s="1"/>
  <c r="K1" i="38" s="1"/>
  <c r="J239" i="38" s="1"/>
  <c r="K239" i="38" s="1"/>
  <c r="Y40" i="38"/>
  <c r="AA40" i="38" s="1"/>
  <c r="AB40" i="38" s="1"/>
  <c r="K86" i="38" s="1"/>
  <c r="B12" i="38" s="1"/>
  <c r="J247" i="38" s="1"/>
  <c r="K247" i="38" s="1"/>
  <c r="Y36" i="37"/>
  <c r="AA36" i="37" s="1"/>
  <c r="AB36" i="37" s="1"/>
  <c r="K82" i="37" s="1"/>
  <c r="H31" i="37" s="1"/>
  <c r="J225" i="37" s="1"/>
  <c r="K225" i="37" s="1"/>
  <c r="Y38" i="37"/>
  <c r="Y46" i="37"/>
  <c r="AA46" i="37" s="1"/>
  <c r="AB46" i="37" s="1"/>
  <c r="K92" i="37" s="1"/>
  <c r="K21" i="37" s="1"/>
  <c r="J243" i="37" s="1"/>
  <c r="K243" i="37" s="1"/>
  <c r="AC45" i="37"/>
  <c r="Y40" i="37"/>
  <c r="AA40" i="37" s="1"/>
  <c r="AB40" i="37" s="1"/>
  <c r="K86" i="37" s="1"/>
  <c r="B12" i="37" s="1"/>
  <c r="J247" i="37" s="1"/>
  <c r="K247" i="37" s="1"/>
  <c r="A21" i="37"/>
  <c r="AC38" i="38"/>
  <c r="AC41" i="38"/>
  <c r="Y41" i="38"/>
  <c r="AC39" i="38"/>
  <c r="AC36" i="38"/>
  <c r="AC46" i="37"/>
  <c r="AC41" i="37"/>
  <c r="Y41" i="37"/>
  <c r="AA41" i="37" s="1"/>
  <c r="AB41" i="37" s="1"/>
  <c r="K87" i="37" s="1"/>
  <c r="B1" i="37" s="1"/>
  <c r="J233" i="37" s="1"/>
  <c r="K233" i="37" s="1"/>
  <c r="S40" i="38"/>
  <c r="A11" i="38" s="1"/>
  <c r="R41" i="38"/>
  <c r="AC38" i="37"/>
  <c r="AM74" i="37"/>
  <c r="AC37" i="38"/>
  <c r="R41" i="37"/>
  <c r="S40" i="37"/>
  <c r="AM74" i="38"/>
  <c r="AC40" i="37"/>
  <c r="BE74" i="37"/>
  <c r="AC44" i="38"/>
  <c r="Y37" i="37"/>
  <c r="AN73" i="38"/>
  <c r="AE73" i="38"/>
  <c r="AH73" i="38"/>
  <c r="AT73" i="38"/>
  <c r="AB73" i="38"/>
  <c r="AW73" i="38"/>
  <c r="Y73" i="38"/>
  <c r="AK73" i="38"/>
  <c r="V73" i="38"/>
  <c r="BC73" i="38"/>
  <c r="AZ73" i="38"/>
  <c r="AQ73" i="38"/>
  <c r="AC36" i="37"/>
  <c r="BC70" i="38"/>
  <c r="AZ70" i="38"/>
  <c r="AH70" i="38"/>
  <c r="AE70" i="38"/>
  <c r="AB70" i="38"/>
  <c r="AT70" i="38"/>
  <c r="Y70" i="38"/>
  <c r="AK70" i="38"/>
  <c r="V70" i="38"/>
  <c r="AQ70" i="38"/>
  <c r="AW70" i="38"/>
  <c r="AN70" i="38"/>
  <c r="Y47" i="37"/>
  <c r="AG74" i="38"/>
  <c r="AY74" i="37"/>
  <c r="AV74" i="37"/>
  <c r="AS74" i="38"/>
  <c r="AV74" i="38"/>
  <c r="Y43" i="37"/>
  <c r="AP74" i="38"/>
  <c r="AC42" i="38"/>
  <c r="AZ163" i="37"/>
  <c r="AB163" i="37"/>
  <c r="Y163" i="37"/>
  <c r="AT163" i="37"/>
  <c r="AQ163" i="37"/>
  <c r="BC163" i="37"/>
  <c r="AW163" i="37"/>
  <c r="AK163" i="37"/>
  <c r="AN163" i="37"/>
  <c r="V163" i="37"/>
  <c r="AH163" i="37"/>
  <c r="AE163" i="37"/>
  <c r="AC39" i="37"/>
  <c r="Y45" i="37"/>
  <c r="AA74" i="38"/>
  <c r="D159" i="35"/>
  <c r="Y47" i="38"/>
  <c r="AC42" i="37"/>
  <c r="AC46" i="38"/>
  <c r="X74" i="38"/>
  <c r="AT163" i="38"/>
  <c r="AZ163" i="38"/>
  <c r="Y163" i="38"/>
  <c r="AB163" i="38"/>
  <c r="AW163" i="38"/>
  <c r="BC163" i="38"/>
  <c r="AH163" i="38"/>
  <c r="AQ163" i="38"/>
  <c r="AK163" i="38"/>
  <c r="AE163" i="38"/>
  <c r="AN163" i="38"/>
  <c r="V163" i="38"/>
  <c r="AD74" i="37"/>
  <c r="AP74" i="37"/>
  <c r="Y37" i="38"/>
  <c r="AY74" i="38"/>
  <c r="AN73" i="37"/>
  <c r="AE73" i="37"/>
  <c r="AB73" i="37"/>
  <c r="AZ73" i="37"/>
  <c r="AT73" i="37"/>
  <c r="AH73" i="37"/>
  <c r="V73" i="37"/>
  <c r="BC73" i="37"/>
  <c r="AK73" i="37"/>
  <c r="AQ73" i="37"/>
  <c r="Y73" i="37"/>
  <c r="AW73" i="37"/>
  <c r="AC40" i="38"/>
  <c r="AC37" i="37"/>
  <c r="AA74" i="37"/>
  <c r="AC47" i="37"/>
  <c r="X74" i="37"/>
  <c r="Y39" i="38"/>
  <c r="AG74" i="37"/>
  <c r="AS74" i="37"/>
  <c r="AD74" i="38"/>
  <c r="BC70" i="37"/>
  <c r="AN70" i="37"/>
  <c r="AB70" i="37"/>
  <c r="AE70" i="37"/>
  <c r="AZ70" i="37"/>
  <c r="Y70" i="37"/>
  <c r="AT70" i="37"/>
  <c r="AH70" i="37"/>
  <c r="AK70" i="37"/>
  <c r="V70" i="37"/>
  <c r="AQ70" i="37"/>
  <c r="AW70" i="37"/>
  <c r="S53" i="38"/>
  <c r="V52" i="38"/>
  <c r="Y45" i="38"/>
  <c r="BE74" i="38"/>
  <c r="S53" i="37"/>
  <c r="V52" i="37"/>
  <c r="Y39" i="37"/>
  <c r="Y43" i="38"/>
  <c r="AE38" i="38" l="1"/>
  <c r="AF38" i="38" s="1"/>
  <c r="AG38" i="38" s="1"/>
  <c r="M84" i="38" s="1"/>
  <c r="B33" i="38" s="1"/>
  <c r="J230" i="38" s="1"/>
  <c r="K230" i="38" s="1"/>
  <c r="E154" i="35"/>
  <c r="X17" i="36"/>
  <c r="Y17" i="36" s="1"/>
  <c r="Z17" i="36" s="1"/>
  <c r="M21" i="36" s="1"/>
  <c r="AE42" i="37"/>
  <c r="AF42" i="37" s="1"/>
  <c r="AG42" i="37" s="1"/>
  <c r="M88" i="37" s="1"/>
  <c r="E2" i="37" s="1"/>
  <c r="J236" i="37" s="1"/>
  <c r="K236" i="37" s="1"/>
  <c r="AE38" i="37"/>
  <c r="AF38" i="37" s="1"/>
  <c r="AG38" i="37" s="1"/>
  <c r="M84" i="37" s="1"/>
  <c r="B33" i="37" s="1"/>
  <c r="J230" i="37" s="1"/>
  <c r="K230" i="37" s="1"/>
  <c r="X22" i="36"/>
  <c r="Y22" i="36" s="1"/>
  <c r="Z22" i="36" s="1"/>
  <c r="AE41" i="38"/>
  <c r="AF41" i="38" s="1"/>
  <c r="AG41" i="38" s="1"/>
  <c r="M87" i="38" s="1"/>
  <c r="B2" i="38" s="1"/>
  <c r="J234" i="38" s="1"/>
  <c r="K234" i="38" s="1"/>
  <c r="E158" i="35"/>
  <c r="E159" i="35" s="1"/>
  <c r="X15" i="36"/>
  <c r="Y15" i="36" s="1"/>
  <c r="Z15" i="36" s="1"/>
  <c r="M19" i="36" s="1"/>
  <c r="X20" i="36"/>
  <c r="Y20" i="36" s="1"/>
  <c r="Z20" i="36" s="1"/>
  <c r="M24" i="36" s="1"/>
  <c r="E167" i="35"/>
  <c r="E168" i="35" s="1"/>
  <c r="F167" i="35"/>
  <c r="B174" i="35"/>
  <c r="B173" i="35"/>
  <c r="D174" i="35" s="1"/>
  <c r="E174" i="35" s="1"/>
  <c r="C172" i="35"/>
  <c r="D172" i="35" s="1"/>
  <c r="F171" i="35"/>
  <c r="D162" i="35"/>
  <c r="AA38" i="37"/>
  <c r="AB38" i="37" s="1"/>
  <c r="K84" i="37" s="1"/>
  <c r="B32" i="37" s="1"/>
  <c r="J229" i="37" s="1"/>
  <c r="K229" i="37" s="1"/>
  <c r="X16" i="36"/>
  <c r="Y16" i="36" s="1"/>
  <c r="Z16" i="36" s="1"/>
  <c r="M20" i="36" s="1"/>
  <c r="X18" i="36"/>
  <c r="Y18" i="36" s="1"/>
  <c r="Z18" i="36" s="1"/>
  <c r="M22" i="36" s="1"/>
  <c r="X19" i="36"/>
  <c r="Y19" i="36" s="1"/>
  <c r="Z19" i="36" s="1"/>
  <c r="M23" i="36" s="1"/>
  <c r="X21" i="36"/>
  <c r="Y21" i="36" s="1"/>
  <c r="Z21" i="36" s="1"/>
  <c r="X14" i="36"/>
  <c r="Y14" i="36" s="1"/>
  <c r="Z14" i="36" s="1"/>
  <c r="M18" i="36" s="1"/>
  <c r="AE46" i="38"/>
  <c r="AF46" i="38" s="1"/>
  <c r="AG46" i="38" s="1"/>
  <c r="M92" i="38" s="1"/>
  <c r="K22" i="38" s="1"/>
  <c r="J244" i="38" s="1"/>
  <c r="K244" i="38" s="1"/>
  <c r="AE40" i="37"/>
  <c r="AF40" i="37" s="1"/>
  <c r="AG40" i="37" s="1"/>
  <c r="M86" i="37" s="1"/>
  <c r="B13" i="37" s="1"/>
  <c r="J248" i="37" s="1"/>
  <c r="K248" i="37" s="1"/>
  <c r="C149" i="35"/>
  <c r="C148" i="35" s="1"/>
  <c r="D150" i="35"/>
  <c r="AE36" i="38"/>
  <c r="AF36" i="38" s="1"/>
  <c r="AG36" i="38" s="1"/>
  <c r="M82" i="38" s="1"/>
  <c r="H32" i="38" s="1"/>
  <c r="J226" i="38" s="1"/>
  <c r="K226" i="38" s="1"/>
  <c r="AA41" i="38"/>
  <c r="AB41" i="38" s="1"/>
  <c r="K87" i="38" s="1"/>
  <c r="B1" i="38" s="1"/>
  <c r="J233" i="38" s="1"/>
  <c r="K233" i="38" s="1"/>
  <c r="AE44" i="37"/>
  <c r="AF44" i="37" s="1"/>
  <c r="AG44" i="37" s="1"/>
  <c r="M90" i="37" s="1"/>
  <c r="K2" i="37" s="1"/>
  <c r="J240" i="37" s="1"/>
  <c r="K240" i="37" s="1"/>
  <c r="AA36" i="38"/>
  <c r="AB36" i="38" s="1"/>
  <c r="K82" i="38" s="1"/>
  <c r="H31" i="38" s="1"/>
  <c r="J225" i="38" s="1"/>
  <c r="K225" i="38" s="1"/>
  <c r="AE46" i="37"/>
  <c r="AF46" i="37" s="1"/>
  <c r="AG46" i="37" s="1"/>
  <c r="M92" i="37" s="1"/>
  <c r="K22" i="37" s="1"/>
  <c r="J244" i="37" s="1"/>
  <c r="K244" i="37" s="1"/>
  <c r="AE41" i="37"/>
  <c r="AF41" i="37" s="1"/>
  <c r="AG41" i="37" s="1"/>
  <c r="M87" i="37" s="1"/>
  <c r="B2" i="37" s="1"/>
  <c r="J234" i="37" s="1"/>
  <c r="K234" i="37" s="1"/>
  <c r="AE40" i="38"/>
  <c r="AF40" i="38" s="1"/>
  <c r="AG40" i="38" s="1"/>
  <c r="M86" i="38" s="1"/>
  <c r="B13" i="38" s="1"/>
  <c r="J248" i="38" s="1"/>
  <c r="K248" i="38" s="1"/>
  <c r="AE44" i="38"/>
  <c r="AF44" i="38" s="1"/>
  <c r="AG44" i="38" s="1"/>
  <c r="M90" i="38" s="1"/>
  <c r="K2" i="38" s="1"/>
  <c r="J240" i="38" s="1"/>
  <c r="K240" i="38" s="1"/>
  <c r="AE42" i="38"/>
  <c r="AF42" i="38" s="1"/>
  <c r="AG42" i="38" s="1"/>
  <c r="M88" i="38" s="1"/>
  <c r="E2" i="38" s="1"/>
  <c r="J236" i="38" s="1"/>
  <c r="K236" i="38" s="1"/>
  <c r="AE36" i="37"/>
  <c r="AF36" i="37" s="1"/>
  <c r="AG36" i="37" s="1"/>
  <c r="M82" i="37" s="1"/>
  <c r="H32" i="37" s="1"/>
  <c r="J226" i="37" s="1"/>
  <c r="K226" i="37" s="1"/>
  <c r="AX70" i="37"/>
  <c r="AX71" i="37" s="1"/>
  <c r="AX72" i="37" s="1"/>
  <c r="AX73" i="37" s="1"/>
  <c r="AX74" i="37" s="1"/>
  <c r="AX75" i="37" s="1"/>
  <c r="AX76" i="37" s="1"/>
  <c r="AX77" i="37" s="1"/>
  <c r="AX78" i="37" s="1"/>
  <c r="AU163" i="37"/>
  <c r="AU164" i="37" s="1"/>
  <c r="AU165" i="37" s="1"/>
  <c r="AU166" i="37" s="1"/>
  <c r="AV163" i="37"/>
  <c r="AX70" i="38"/>
  <c r="AX71" i="38" s="1"/>
  <c r="AX72" i="38" s="1"/>
  <c r="AY70" i="38"/>
  <c r="AE45" i="38"/>
  <c r="AF45" i="38" s="1"/>
  <c r="AG45" i="38" s="1"/>
  <c r="M91" i="38" s="1"/>
  <c r="K13" i="38" s="1"/>
  <c r="J242" i="38" s="1"/>
  <c r="K242" i="38" s="1"/>
  <c r="AA45" i="38"/>
  <c r="AB45" i="38" s="1"/>
  <c r="K91" i="38" s="1"/>
  <c r="K12" i="38" s="1"/>
  <c r="J241" i="38" s="1"/>
  <c r="K241" i="38" s="1"/>
  <c r="AV73" i="37"/>
  <c r="AM163" i="37"/>
  <c r="AL163" i="37"/>
  <c r="AL164" i="37" s="1"/>
  <c r="AL165" i="37" s="1"/>
  <c r="AL166" i="37" s="1"/>
  <c r="AL167" i="37" s="1"/>
  <c r="BA70" i="38"/>
  <c r="BA71" i="38" s="1"/>
  <c r="BB70" i="38"/>
  <c r="BB73" i="38"/>
  <c r="AL70" i="37"/>
  <c r="AL71" i="37" s="1"/>
  <c r="AL72" i="37" s="1"/>
  <c r="AM70" i="37"/>
  <c r="BA163" i="37"/>
  <c r="BA164" i="37" s="1"/>
  <c r="BA165" i="37" s="1"/>
  <c r="BA166" i="37" s="1"/>
  <c r="BA167" i="37" s="1"/>
  <c r="BA168" i="37" s="1"/>
  <c r="BA169" i="37" s="1"/>
  <c r="BA170" i="37" s="1"/>
  <c r="BA171" i="37" s="1"/>
  <c r="BA172" i="37" s="1"/>
  <c r="BA173" i="37" s="1"/>
  <c r="BA174" i="37" s="1"/>
  <c r="BA175" i="37" s="1"/>
  <c r="BA176" i="37" s="1"/>
  <c r="BA177" i="37" s="1"/>
  <c r="BA178" i="37" s="1"/>
  <c r="BB163" i="37"/>
  <c r="BB73" i="37"/>
  <c r="AX163" i="37"/>
  <c r="AX164" i="37" s="1"/>
  <c r="AX165" i="37" s="1"/>
  <c r="AX166" i="37" s="1"/>
  <c r="AX167" i="37" s="1"/>
  <c r="AX168" i="37" s="1"/>
  <c r="AX169" i="37" s="1"/>
  <c r="AY163" i="37"/>
  <c r="BD70" i="38"/>
  <c r="BD71" i="38" s="1"/>
  <c r="BD72" i="38" s="1"/>
  <c r="BD73" i="38" s="1"/>
  <c r="BD74" i="38" s="1"/>
  <c r="BD75" i="38" s="1"/>
  <c r="BD76" i="38" s="1"/>
  <c r="BD77" i="38" s="1"/>
  <c r="BD78" i="38" s="1"/>
  <c r="BD79" i="38" s="1"/>
  <c r="BE70" i="38"/>
  <c r="AA47" i="37"/>
  <c r="AB47" i="37" s="1"/>
  <c r="K93" i="37" s="1"/>
  <c r="K32" i="37" s="1"/>
  <c r="J245" i="37" s="1"/>
  <c r="K245" i="37" s="1"/>
  <c r="AE47" i="37"/>
  <c r="AF47" i="37" s="1"/>
  <c r="AG47" i="37" s="1"/>
  <c r="M93" i="37" s="1"/>
  <c r="K33" i="37" s="1"/>
  <c r="J246" i="37" s="1"/>
  <c r="K246" i="37" s="1"/>
  <c r="AI70" i="37"/>
  <c r="AI71" i="37" s="1"/>
  <c r="AA39" i="37"/>
  <c r="AB39" i="37" s="1"/>
  <c r="K85" i="37" s="1"/>
  <c r="B21" i="37" s="1"/>
  <c r="J231" i="37" s="1"/>
  <c r="K231" i="37" s="1"/>
  <c r="AE39" i="37"/>
  <c r="AF39" i="37" s="1"/>
  <c r="AG39" i="37" s="1"/>
  <c r="M85" i="37" s="1"/>
  <c r="B22" i="37" s="1"/>
  <c r="J232" i="37" s="1"/>
  <c r="K232" i="37" s="1"/>
  <c r="AA73" i="38"/>
  <c r="S54" i="38"/>
  <c r="V53" i="38"/>
  <c r="AG73" i="37"/>
  <c r="AS73" i="38"/>
  <c r="AR70" i="37"/>
  <c r="AR71" i="37" s="1"/>
  <c r="AR72" i="37" s="1"/>
  <c r="AR73" i="37" s="1"/>
  <c r="AR74" i="37" s="1"/>
  <c r="AR75" i="37" s="1"/>
  <c r="AR76" i="37" s="1"/>
  <c r="AR77" i="37" s="1"/>
  <c r="AR78" i="37" s="1"/>
  <c r="AR79" i="37" s="1"/>
  <c r="AR80" i="37" s="1"/>
  <c r="AR81" i="37" s="1"/>
  <c r="AR82" i="37" s="1"/>
  <c r="AR83" i="37" s="1"/>
  <c r="AS70" i="37"/>
  <c r="AP73" i="37"/>
  <c r="AY73" i="37"/>
  <c r="AX163" i="38"/>
  <c r="AX164" i="38" s="1"/>
  <c r="AX165" i="38" s="1"/>
  <c r="AX166" i="38" s="1"/>
  <c r="AX167" i="38" s="1"/>
  <c r="AX168" i="38" s="1"/>
  <c r="AX169" i="38" s="1"/>
  <c r="AY163" i="38"/>
  <c r="AX73" i="38"/>
  <c r="AX74" i="38" s="1"/>
  <c r="AX75" i="38" s="1"/>
  <c r="AX76" i="38" s="1"/>
  <c r="AX77" i="38" s="1"/>
  <c r="AX78" i="38" s="1"/>
  <c r="AY73" i="38"/>
  <c r="AD163" i="38"/>
  <c r="AC163" i="38"/>
  <c r="AC164" i="38" s="1"/>
  <c r="AC165" i="38" s="1"/>
  <c r="AC166" i="38" s="1"/>
  <c r="AC167" i="38" s="1"/>
  <c r="AD73" i="38"/>
  <c r="AF70" i="37"/>
  <c r="AF71" i="37" s="1"/>
  <c r="AF72" i="37" s="1"/>
  <c r="AF73" i="37" s="1"/>
  <c r="AF74" i="37" s="1"/>
  <c r="AF75" i="37" s="1"/>
  <c r="AF76" i="37" s="1"/>
  <c r="AF77" i="37" s="1"/>
  <c r="AG70" i="37"/>
  <c r="AA39" i="38"/>
  <c r="AB39" i="38" s="1"/>
  <c r="K85" i="38" s="1"/>
  <c r="B21" i="38" s="1"/>
  <c r="J231" i="38" s="1"/>
  <c r="K231" i="38" s="1"/>
  <c r="AE39" i="38"/>
  <c r="AF39" i="38" s="1"/>
  <c r="AG39" i="38" s="1"/>
  <c r="M85" i="38" s="1"/>
  <c r="B22" i="38" s="1"/>
  <c r="J232" i="38" s="1"/>
  <c r="K232" i="38" s="1"/>
  <c r="AS73" i="37"/>
  <c r="AE37" i="38"/>
  <c r="AF37" i="38" s="1"/>
  <c r="AG37" i="38" s="1"/>
  <c r="M83" i="38" s="1"/>
  <c r="E32" i="38" s="1"/>
  <c r="J228" i="38" s="1"/>
  <c r="K228" i="38" s="1"/>
  <c r="AA37" i="38"/>
  <c r="AB37" i="38" s="1"/>
  <c r="K83" i="38" s="1"/>
  <c r="E31" i="38" s="1"/>
  <c r="J227" i="38" s="1"/>
  <c r="K227" i="38" s="1"/>
  <c r="Z163" i="38"/>
  <c r="Z164" i="38" s="1"/>
  <c r="Z70" i="38"/>
  <c r="Z71" i="38" s="1"/>
  <c r="Z72" i="38" s="1"/>
  <c r="Z73" i="38" s="1"/>
  <c r="Z74" i="38" s="1"/>
  <c r="Z75" i="38" s="1"/>
  <c r="AA70" i="38"/>
  <c r="AV73" i="38"/>
  <c r="W70" i="37"/>
  <c r="W71" i="37" s="1"/>
  <c r="W72" i="37" s="1"/>
  <c r="W73" i="37" s="1"/>
  <c r="W74" i="37" s="1"/>
  <c r="W75" i="37" s="1"/>
  <c r="W76" i="37" s="1"/>
  <c r="W77" i="37" s="1"/>
  <c r="W78" i="37" s="1"/>
  <c r="W79" i="37" s="1"/>
  <c r="W80" i="37" s="1"/>
  <c r="W81" i="37" s="1"/>
  <c r="W82" i="37" s="1"/>
  <c r="W83" i="37" s="1"/>
  <c r="W84" i="37" s="1"/>
  <c r="W85" i="37" s="1"/>
  <c r="W86" i="37" s="1"/>
  <c r="W87" i="37" s="1"/>
  <c r="W88" i="37" s="1"/>
  <c r="W89" i="37" s="1"/>
  <c r="W90" i="37" s="1"/>
  <c r="W91" i="37" s="1"/>
  <c r="W92" i="37" s="1"/>
  <c r="W93" i="37" s="1"/>
  <c r="W94" i="37" s="1"/>
  <c r="W95" i="37" s="1"/>
  <c r="X70" i="37"/>
  <c r="AL163" i="38"/>
  <c r="AL164" i="38" s="1"/>
  <c r="AL165" i="38" s="1"/>
  <c r="AL166" i="38" s="1"/>
  <c r="AL167" i="38" s="1"/>
  <c r="AM163" i="38"/>
  <c r="Z163" i="37"/>
  <c r="Z164" i="37" s="1"/>
  <c r="X73" i="38"/>
  <c r="AI163" i="38"/>
  <c r="AI164" i="38" s="1"/>
  <c r="AI165" i="38" s="1"/>
  <c r="AI166" i="38" s="1"/>
  <c r="AI167" i="38" s="1"/>
  <c r="AI168" i="38" s="1"/>
  <c r="AI169" i="38" s="1"/>
  <c r="AI170" i="38" s="1"/>
  <c r="AI171" i="38" s="1"/>
  <c r="AI172" i="38" s="1"/>
  <c r="AJ163" i="38"/>
  <c r="BD163" i="38"/>
  <c r="BD164" i="38" s="1"/>
  <c r="BD165" i="38" s="1"/>
  <c r="BD166" i="38" s="1"/>
  <c r="BE163" i="38"/>
  <c r="AR70" i="38"/>
  <c r="AR71" i="38" s="1"/>
  <c r="AR72" i="38" s="1"/>
  <c r="AR73" i="38" s="1"/>
  <c r="AR74" i="38" s="1"/>
  <c r="AR75" i="38" s="1"/>
  <c r="AR76" i="38" s="1"/>
  <c r="AR77" i="38" s="1"/>
  <c r="AR78" i="38" s="1"/>
  <c r="AR79" i="38" s="1"/>
  <c r="AR80" i="38" s="1"/>
  <c r="AR81" i="38" s="1"/>
  <c r="AR82" i="38" s="1"/>
  <c r="AR83" i="38" s="1"/>
  <c r="AS70" i="38"/>
  <c r="W70" i="38"/>
  <c r="W71" i="38" s="1"/>
  <c r="W72" i="38" s="1"/>
  <c r="W73" i="38" s="1"/>
  <c r="W74" i="38" s="1"/>
  <c r="W75" i="38" s="1"/>
  <c r="W76" i="38" s="1"/>
  <c r="W77" i="38" s="1"/>
  <c r="W78" i="38" s="1"/>
  <c r="W79" i="38" s="1"/>
  <c r="W80" i="38" s="1"/>
  <c r="W81" i="38" s="1"/>
  <c r="W82" i="38" s="1"/>
  <c r="W83" i="38" s="1"/>
  <c r="W84" i="38" s="1"/>
  <c r="W85" i="38" s="1"/>
  <c r="W86" i="38" s="1"/>
  <c r="W87" i="38" s="1"/>
  <c r="W88" i="38" s="1"/>
  <c r="W89" i="38" s="1"/>
  <c r="W90" i="38" s="1"/>
  <c r="W91" i="38" s="1"/>
  <c r="W92" i="38" s="1"/>
  <c r="W93" i="38" s="1"/>
  <c r="W94" i="38" s="1"/>
  <c r="W95" i="38" s="1"/>
  <c r="X70" i="38"/>
  <c r="BA70" i="37"/>
  <c r="BA71" i="37" s="1"/>
  <c r="BB70" i="37"/>
  <c r="AA73" i="37"/>
  <c r="C157" i="35"/>
  <c r="D157" i="35" s="1"/>
  <c r="D158" i="35"/>
  <c r="AL70" i="38"/>
  <c r="AL71" i="38" s="1"/>
  <c r="AL72" i="38" s="1"/>
  <c r="AL73" i="38" s="1"/>
  <c r="AL74" i="38" s="1"/>
  <c r="AL75" i="38" s="1"/>
  <c r="AL76" i="38" s="1"/>
  <c r="AL77" i="38" s="1"/>
  <c r="AL78" i="38" s="1"/>
  <c r="AL79" i="38" s="1"/>
  <c r="AL80" i="38" s="1"/>
  <c r="AM70" i="38"/>
  <c r="AC70" i="37"/>
  <c r="AC71" i="37" s="1"/>
  <c r="AC72" i="37" s="1"/>
  <c r="AC73" i="37" s="1"/>
  <c r="AC74" i="37" s="1"/>
  <c r="AC75" i="37" s="1"/>
  <c r="AC76" i="37" s="1"/>
  <c r="AC77" i="37" s="1"/>
  <c r="AC78" i="37" s="1"/>
  <c r="AC79" i="37" s="1"/>
  <c r="AC80" i="37" s="1"/>
  <c r="AC81" i="37" s="1"/>
  <c r="AC82" i="37" s="1"/>
  <c r="AC83" i="37" s="1"/>
  <c r="AC84" i="37" s="1"/>
  <c r="AC85" i="37" s="1"/>
  <c r="AC86" i="37" s="1"/>
  <c r="AD70" i="37"/>
  <c r="AL73" i="37"/>
  <c r="AL74" i="37" s="1"/>
  <c r="AL75" i="37" s="1"/>
  <c r="AL76" i="37" s="1"/>
  <c r="AL77" i="37" s="1"/>
  <c r="AL78" i="37" s="1"/>
  <c r="AL79" i="37" s="1"/>
  <c r="AL80" i="37" s="1"/>
  <c r="BA163" i="38"/>
  <c r="BA164" i="38" s="1"/>
  <c r="BA165" i="38" s="1"/>
  <c r="BA166" i="38" s="1"/>
  <c r="BA167" i="38" s="1"/>
  <c r="BA168" i="38" s="1"/>
  <c r="BA169" i="38" s="1"/>
  <c r="BA170" i="38" s="1"/>
  <c r="BA171" i="38" s="1"/>
  <c r="BA172" i="38" s="1"/>
  <c r="BA173" i="38" s="1"/>
  <c r="BA174" i="38" s="1"/>
  <c r="BA175" i="38" s="1"/>
  <c r="BA176" i="38" s="1"/>
  <c r="BA177" i="38" s="1"/>
  <c r="BA178" i="38" s="1"/>
  <c r="BB163" i="38"/>
  <c r="AF163" i="37"/>
  <c r="AF164" i="37" s="1"/>
  <c r="AF165" i="37" s="1"/>
  <c r="AF166" i="37" s="1"/>
  <c r="AF167" i="37" s="1"/>
  <c r="AF168" i="37" s="1"/>
  <c r="AG163" i="37"/>
  <c r="AU70" i="38"/>
  <c r="AU71" i="38" s="1"/>
  <c r="AU72" i="38" s="1"/>
  <c r="AU73" i="38" s="1"/>
  <c r="AU74" i="38" s="1"/>
  <c r="AU75" i="38" s="1"/>
  <c r="AU76" i="38" s="1"/>
  <c r="AU77" i="38" s="1"/>
  <c r="AU78" i="38" s="1"/>
  <c r="AU79" i="38" s="1"/>
  <c r="AU80" i="38" s="1"/>
  <c r="AU81" i="38" s="1"/>
  <c r="AU82" i="38" s="1"/>
  <c r="AU83" i="38" s="1"/>
  <c r="AU84" i="38" s="1"/>
  <c r="AV70" i="38"/>
  <c r="AJ73" i="38"/>
  <c r="A11" i="37"/>
  <c r="BE163" i="37"/>
  <c r="BD163" i="37"/>
  <c r="BD164" i="37" s="1"/>
  <c r="BD165" i="37" s="1"/>
  <c r="BD166" i="37" s="1"/>
  <c r="AR163" i="37"/>
  <c r="AR164" i="37" s="1"/>
  <c r="AS163" i="37"/>
  <c r="BE73" i="38"/>
  <c r="AR163" i="38"/>
  <c r="AR164" i="38" s="1"/>
  <c r="AS163" i="38"/>
  <c r="AC163" i="37"/>
  <c r="AC164" i="37" s="1"/>
  <c r="AC165" i="37" s="1"/>
  <c r="AC166" i="37" s="1"/>
  <c r="AC167" i="37" s="1"/>
  <c r="AD163" i="37"/>
  <c r="S41" i="38"/>
  <c r="R42" i="38"/>
  <c r="AE45" i="37"/>
  <c r="AF45" i="37" s="1"/>
  <c r="AG45" i="37" s="1"/>
  <c r="M91" i="37" s="1"/>
  <c r="K13" i="37" s="1"/>
  <c r="J242" i="37" s="1"/>
  <c r="K242" i="37" s="1"/>
  <c r="AA45" i="37"/>
  <c r="AB45" i="37" s="1"/>
  <c r="K91" i="37" s="1"/>
  <c r="K12" i="37" s="1"/>
  <c r="J241" i="37" s="1"/>
  <c r="K241" i="37" s="1"/>
  <c r="S54" i="37"/>
  <c r="V53" i="37"/>
  <c r="AO70" i="37"/>
  <c r="AO71" i="37" s="1"/>
  <c r="AO72" i="37" s="1"/>
  <c r="AO73" i="37" s="1"/>
  <c r="AO74" i="37" s="1"/>
  <c r="AO75" i="37" s="1"/>
  <c r="AO76" i="37" s="1"/>
  <c r="AO77" i="37" s="1"/>
  <c r="AP70" i="37"/>
  <c r="AU163" i="38"/>
  <c r="AU164" i="38" s="1"/>
  <c r="AU165" i="38" s="1"/>
  <c r="AU166" i="38" s="1"/>
  <c r="AV163" i="38"/>
  <c r="AI163" i="37"/>
  <c r="AI164" i="37" s="1"/>
  <c r="AI165" i="37" s="1"/>
  <c r="AI166" i="37" s="1"/>
  <c r="AI167" i="37" s="1"/>
  <c r="AI168" i="37" s="1"/>
  <c r="AI169" i="37" s="1"/>
  <c r="AI170" i="37" s="1"/>
  <c r="AI171" i="37" s="1"/>
  <c r="AI172" i="37" s="1"/>
  <c r="AJ163" i="37"/>
  <c r="AC70" i="38"/>
  <c r="AC71" i="38" s="1"/>
  <c r="AC72" i="38" s="1"/>
  <c r="AC73" i="38" s="1"/>
  <c r="AC74" i="38" s="1"/>
  <c r="AC75" i="38" s="1"/>
  <c r="AC76" i="38" s="1"/>
  <c r="AC77" i="38" s="1"/>
  <c r="AC78" i="38" s="1"/>
  <c r="AC79" i="38" s="1"/>
  <c r="AC80" i="38" s="1"/>
  <c r="AC81" i="38" s="1"/>
  <c r="AC82" i="38" s="1"/>
  <c r="AC83" i="38" s="1"/>
  <c r="AC84" i="38" s="1"/>
  <c r="AC85" i="38" s="1"/>
  <c r="AC86" i="38" s="1"/>
  <c r="AD70" i="38"/>
  <c r="AG73" i="38"/>
  <c r="S41" i="37"/>
  <c r="R42" i="37"/>
  <c r="W163" i="38"/>
  <c r="W164" i="38" s="1"/>
  <c r="W165" i="38" s="1"/>
  <c r="W166" i="38" s="1"/>
  <c r="W167" i="38" s="1"/>
  <c r="W168" i="38" s="1"/>
  <c r="X163" i="38"/>
  <c r="AG163" i="38"/>
  <c r="AF163" i="38"/>
  <c r="AF164" i="38" s="1"/>
  <c r="AF165" i="38" s="1"/>
  <c r="AF166" i="38" s="1"/>
  <c r="AF167" i="38" s="1"/>
  <c r="AF168" i="38" s="1"/>
  <c r="AO70" i="38"/>
  <c r="AO71" i="38" s="1"/>
  <c r="AO72" i="38" s="1"/>
  <c r="AO73" i="38" s="1"/>
  <c r="AO74" i="38" s="1"/>
  <c r="AO75" i="38" s="1"/>
  <c r="AO76" i="38" s="1"/>
  <c r="AO77" i="38" s="1"/>
  <c r="AP70" i="38"/>
  <c r="AU70" i="37"/>
  <c r="AU71" i="37" s="1"/>
  <c r="AU72" i="37" s="1"/>
  <c r="AU73" i="37" s="1"/>
  <c r="AU74" i="37" s="1"/>
  <c r="AU75" i="37" s="1"/>
  <c r="AU76" i="37" s="1"/>
  <c r="AU77" i="37" s="1"/>
  <c r="AU78" i="37" s="1"/>
  <c r="AU79" i="37" s="1"/>
  <c r="AU80" i="37" s="1"/>
  <c r="AU81" i="37" s="1"/>
  <c r="AU82" i="37" s="1"/>
  <c r="AU83" i="37" s="1"/>
  <c r="AU84" i="37" s="1"/>
  <c r="AV70" i="37"/>
  <c r="Z70" i="37"/>
  <c r="Z71" i="37" s="1"/>
  <c r="Z72" i="37" s="1"/>
  <c r="Z73" i="37" s="1"/>
  <c r="Z74" i="37" s="1"/>
  <c r="Z75" i="37" s="1"/>
  <c r="AA70" i="37"/>
  <c r="BD70" i="37"/>
  <c r="BD71" i="37" s="1"/>
  <c r="BD72" i="37" s="1"/>
  <c r="BD73" i="37" s="1"/>
  <c r="BE70" i="37"/>
  <c r="X73" i="37"/>
  <c r="X163" i="37"/>
  <c r="W163" i="37"/>
  <c r="W164" i="37" s="1"/>
  <c r="W165" i="37" s="1"/>
  <c r="W166" i="37" s="1"/>
  <c r="W167" i="37" s="1"/>
  <c r="W168" i="37" s="1"/>
  <c r="AA43" i="37"/>
  <c r="AB43" i="37" s="1"/>
  <c r="K89" i="37" s="1"/>
  <c r="H1" i="37" s="1"/>
  <c r="J237" i="37" s="1"/>
  <c r="K237" i="37" s="1"/>
  <c r="AE43" i="37"/>
  <c r="AF43" i="37" s="1"/>
  <c r="AG43" i="37" s="1"/>
  <c r="M89" i="37" s="1"/>
  <c r="H2" i="37" s="1"/>
  <c r="J238" i="37" s="1"/>
  <c r="K238" i="37" s="1"/>
  <c r="AF70" i="38"/>
  <c r="AF71" i="38" s="1"/>
  <c r="AF72" i="38" s="1"/>
  <c r="AF73" i="38" s="1"/>
  <c r="AF74" i="38" s="1"/>
  <c r="AF75" i="38" s="1"/>
  <c r="AF76" i="38" s="1"/>
  <c r="AF77" i="38" s="1"/>
  <c r="AG70" i="38"/>
  <c r="AP73" i="38"/>
  <c r="AD73" i="37"/>
  <c r="AP163" i="38"/>
  <c r="AO163" i="38"/>
  <c r="AO164" i="38" s="1"/>
  <c r="AO165" i="38" s="1"/>
  <c r="AO166" i="38" s="1"/>
  <c r="AO167" i="38" s="1"/>
  <c r="AO168" i="38" s="1"/>
  <c r="AO169" i="38" s="1"/>
  <c r="AO170" i="38" s="1"/>
  <c r="AO171" i="38" s="1"/>
  <c r="AO172" i="38" s="1"/>
  <c r="AO173" i="38" s="1"/>
  <c r="AO174" i="38" s="1"/>
  <c r="AO175" i="38" s="1"/>
  <c r="AE43" i="38"/>
  <c r="AF43" i="38" s="1"/>
  <c r="AG43" i="38" s="1"/>
  <c r="M89" i="38" s="1"/>
  <c r="H2" i="38" s="1"/>
  <c r="J238" i="38" s="1"/>
  <c r="K238" i="38" s="1"/>
  <c r="AA43" i="38"/>
  <c r="AB43" i="38" s="1"/>
  <c r="K89" i="38" s="1"/>
  <c r="H1" i="38" s="1"/>
  <c r="J237" i="38" s="1"/>
  <c r="K237" i="38" s="1"/>
  <c r="AE47" i="38"/>
  <c r="AF47" i="38" s="1"/>
  <c r="AG47" i="38" s="1"/>
  <c r="M93" i="38" s="1"/>
  <c r="K33" i="38" s="1"/>
  <c r="J246" i="38" s="1"/>
  <c r="K246" i="38" s="1"/>
  <c r="AA47" i="38"/>
  <c r="AB47" i="38" s="1"/>
  <c r="K93" i="38" s="1"/>
  <c r="K32" i="38" s="1"/>
  <c r="J245" i="38" s="1"/>
  <c r="K245" i="38" s="1"/>
  <c r="AJ73" i="37"/>
  <c r="AO163" i="37"/>
  <c r="AO164" i="37" s="1"/>
  <c r="AO165" i="37" s="1"/>
  <c r="AO166" i="37" s="1"/>
  <c r="AO167" i="37" s="1"/>
  <c r="AO168" i="37" s="1"/>
  <c r="AO169" i="37" s="1"/>
  <c r="AO170" i="37" s="1"/>
  <c r="AO171" i="37" s="1"/>
  <c r="AO172" i="37" s="1"/>
  <c r="AO173" i="37" s="1"/>
  <c r="AO174" i="37" s="1"/>
  <c r="AO175" i="37" s="1"/>
  <c r="AP163" i="37"/>
  <c r="AI70" i="38"/>
  <c r="AI71" i="38" s="1"/>
  <c r="AA37" i="37"/>
  <c r="AB37" i="37" s="1"/>
  <c r="K83" i="37" s="1"/>
  <c r="E31" i="37" s="1"/>
  <c r="J227" i="37" s="1"/>
  <c r="K227" i="37" s="1"/>
  <c r="AE37" i="37"/>
  <c r="AF37" i="37" s="1"/>
  <c r="AG37" i="37" s="1"/>
  <c r="M83" i="37" s="1"/>
  <c r="E32" i="37" s="1"/>
  <c r="J228" i="37" s="1"/>
  <c r="K228" i="37" s="1"/>
  <c r="AJ70" i="38" l="1"/>
  <c r="AA163" i="38"/>
  <c r="AX79" i="37"/>
  <c r="AY78" i="37"/>
  <c r="AA163" i="37"/>
  <c r="BA179" i="37"/>
  <c r="BA180" i="37" s="1"/>
  <c r="BB178" i="37"/>
  <c r="C171" i="35"/>
  <c r="AL81" i="38"/>
  <c r="AL82" i="38" s="1"/>
  <c r="AL83" i="38" s="1"/>
  <c r="AL84" i="38" s="1"/>
  <c r="AL85" i="38" s="1"/>
  <c r="AL86" i="38" s="1"/>
  <c r="AL87" i="38" s="1"/>
  <c r="AL88" i="38" s="1"/>
  <c r="AL89" i="38" s="1"/>
  <c r="AL90" i="38" s="1"/>
  <c r="AL91" i="38" s="1"/>
  <c r="AL92" i="38" s="1"/>
  <c r="AL93" i="38" s="1"/>
  <c r="AL94" i="38" s="1"/>
  <c r="AL95" i="38" s="1"/>
  <c r="AL96" i="38" s="1"/>
  <c r="AL97" i="38" s="1"/>
  <c r="AL98" i="38" s="1"/>
  <c r="AL99" i="38" s="1"/>
  <c r="AM80" i="38"/>
  <c r="Z165" i="37"/>
  <c r="AA164" i="37"/>
  <c r="AF78" i="37"/>
  <c r="AF79" i="37" s="1"/>
  <c r="AF80" i="37" s="1"/>
  <c r="AF81" i="37" s="1"/>
  <c r="AF82" i="37" s="1"/>
  <c r="AF83" i="37" s="1"/>
  <c r="AF84" i="37" s="1"/>
  <c r="AF85" i="37" s="1"/>
  <c r="AG77" i="37"/>
  <c r="W169" i="37"/>
  <c r="X168" i="37"/>
  <c r="W169" i="38"/>
  <c r="X168" i="38"/>
  <c r="AF78" i="38"/>
  <c r="AF79" i="38" s="1"/>
  <c r="AF80" i="38" s="1"/>
  <c r="AF81" i="38" s="1"/>
  <c r="AF82" i="38" s="1"/>
  <c r="AF83" i="38" s="1"/>
  <c r="AF84" i="38" s="1"/>
  <c r="AF85" i="38" s="1"/>
  <c r="AG77" i="38"/>
  <c r="AX79" i="38"/>
  <c r="AY78" i="38"/>
  <c r="AJ70" i="37"/>
  <c r="C147" i="35"/>
  <c r="D147" i="35" s="1"/>
  <c r="H9" i="35" s="1"/>
  <c r="D148" i="35"/>
  <c r="AI72" i="37"/>
  <c r="AJ72" i="37" s="1"/>
  <c r="AJ71" i="37"/>
  <c r="AU167" i="37"/>
  <c r="AU168" i="37" s="1"/>
  <c r="AU169" i="37" s="1"/>
  <c r="AU170" i="37" s="1"/>
  <c r="AU171" i="37" s="1"/>
  <c r="AV166" i="37"/>
  <c r="AC168" i="38"/>
  <c r="AC169" i="38" s="1"/>
  <c r="AC170" i="38" s="1"/>
  <c r="AC171" i="38" s="1"/>
  <c r="AC172" i="38" s="1"/>
  <c r="AC173" i="38" s="1"/>
  <c r="AC174" i="38" s="1"/>
  <c r="AC175" i="38" s="1"/>
  <c r="AD167" i="38"/>
  <c r="E169" i="35"/>
  <c r="F168" i="35"/>
  <c r="BA179" i="38"/>
  <c r="BA180" i="38" s="1"/>
  <c r="BB178" i="38"/>
  <c r="AM73" i="37"/>
  <c r="Z165" i="38"/>
  <c r="AA164" i="38"/>
  <c r="AM73" i="38"/>
  <c r="AU167" i="38"/>
  <c r="AU168" i="38" s="1"/>
  <c r="AU169" i="38" s="1"/>
  <c r="AU170" i="38" s="1"/>
  <c r="AU171" i="38" s="1"/>
  <c r="AV166" i="38"/>
  <c r="AL81" i="37"/>
  <c r="AL82" i="37" s="1"/>
  <c r="AL83" i="37" s="1"/>
  <c r="AL84" i="37" s="1"/>
  <c r="AL85" i="37" s="1"/>
  <c r="AL86" i="37" s="1"/>
  <c r="AL87" i="37" s="1"/>
  <c r="AL88" i="37" s="1"/>
  <c r="AL89" i="37" s="1"/>
  <c r="AL90" i="37" s="1"/>
  <c r="AL91" i="37" s="1"/>
  <c r="AL92" i="37" s="1"/>
  <c r="AL93" i="37" s="1"/>
  <c r="AL94" i="37" s="1"/>
  <c r="AL95" i="37" s="1"/>
  <c r="AL96" i="37" s="1"/>
  <c r="AL97" i="37" s="1"/>
  <c r="AL98" i="37" s="1"/>
  <c r="AL99" i="37" s="1"/>
  <c r="AM80" i="37"/>
  <c r="AC168" i="37"/>
  <c r="AC169" i="37" s="1"/>
  <c r="AC170" i="37" s="1"/>
  <c r="AC171" i="37" s="1"/>
  <c r="AC172" i="37" s="1"/>
  <c r="AC173" i="37" s="1"/>
  <c r="AC174" i="37" s="1"/>
  <c r="AC175" i="37" s="1"/>
  <c r="AD167" i="37"/>
  <c r="AR84" i="38"/>
  <c r="AR85" i="38" s="1"/>
  <c r="AR86" i="38" s="1"/>
  <c r="AR87" i="38" s="1"/>
  <c r="AR88" i="38" s="1"/>
  <c r="AR89" i="38" s="1"/>
  <c r="AR90" i="38" s="1"/>
  <c r="AS83" i="38"/>
  <c r="AR84" i="37"/>
  <c r="AR85" i="37" s="1"/>
  <c r="AR86" i="37" s="1"/>
  <c r="AR87" i="37" s="1"/>
  <c r="AR88" i="37" s="1"/>
  <c r="AR89" i="37" s="1"/>
  <c r="AR90" i="37" s="1"/>
  <c r="AS83" i="37"/>
  <c r="E160" i="35"/>
  <c r="F159" i="35"/>
  <c r="AI173" i="37"/>
  <c r="AI174" i="37" s="1"/>
  <c r="AI175" i="37" s="1"/>
  <c r="AI176" i="37" s="1"/>
  <c r="AI177" i="37" s="1"/>
  <c r="AI178" i="37" s="1"/>
  <c r="AI179" i="37" s="1"/>
  <c r="AI180" i="37" s="1"/>
  <c r="AI181" i="37" s="1"/>
  <c r="AI182" i="37" s="1"/>
  <c r="AI183" i="37" s="1"/>
  <c r="AJ172" i="37"/>
  <c r="AI173" i="38"/>
  <c r="AI174" i="38" s="1"/>
  <c r="AI175" i="38" s="1"/>
  <c r="AI176" i="38" s="1"/>
  <c r="AI177" i="38" s="1"/>
  <c r="AI178" i="38" s="1"/>
  <c r="AI179" i="38" s="1"/>
  <c r="AI180" i="38" s="1"/>
  <c r="AI181" i="38" s="1"/>
  <c r="AI182" i="38" s="1"/>
  <c r="AI183" i="38" s="1"/>
  <c r="AI184" i="38" s="1"/>
  <c r="AI185" i="38" s="1"/>
  <c r="AI186" i="38" s="1"/>
  <c r="AJ172" i="38"/>
  <c r="AI72" i="38"/>
  <c r="AJ71" i="38"/>
  <c r="A1" i="38"/>
  <c r="AM81" i="37"/>
  <c r="AM81" i="38"/>
  <c r="BD74" i="37"/>
  <c r="BD75" i="37" s="1"/>
  <c r="BD76" i="37" s="1"/>
  <c r="BD77" i="37" s="1"/>
  <c r="BD78" i="37" s="1"/>
  <c r="BD79" i="37" s="1"/>
  <c r="BE73" i="37"/>
  <c r="Z76" i="37"/>
  <c r="AA75" i="37"/>
  <c r="AG80" i="37"/>
  <c r="AC87" i="37"/>
  <c r="AC88" i="37" s="1"/>
  <c r="AC89" i="37" s="1"/>
  <c r="AD86" i="37"/>
  <c r="AU85" i="38"/>
  <c r="AU86" i="38" s="1"/>
  <c r="AU87" i="38" s="1"/>
  <c r="AU88" i="38" s="1"/>
  <c r="AU89" i="38" s="1"/>
  <c r="AV84" i="38"/>
  <c r="AC87" i="38"/>
  <c r="AC88" i="38" s="1"/>
  <c r="AC89" i="38" s="1"/>
  <c r="AD86" i="38"/>
  <c r="V54" i="38"/>
  <c r="S55" i="38"/>
  <c r="X95" i="37"/>
  <c r="W96" i="37"/>
  <c r="W97" i="37" s="1"/>
  <c r="W98" i="37" s="1"/>
  <c r="W99" i="37" s="1"/>
  <c r="W100" i="37" s="1"/>
  <c r="W101" i="37" s="1"/>
  <c r="A1" i="37"/>
  <c r="AR165" i="37"/>
  <c r="AS164" i="37"/>
  <c r="AY82" i="38"/>
  <c r="BB71" i="38"/>
  <c r="BA72" i="38"/>
  <c r="R43" i="37"/>
  <c r="S42" i="37"/>
  <c r="X95" i="38"/>
  <c r="W96" i="38"/>
  <c r="W97" i="38" s="1"/>
  <c r="W98" i="38" s="1"/>
  <c r="W99" i="38" s="1"/>
  <c r="W100" i="38" s="1"/>
  <c r="W101" i="38" s="1"/>
  <c r="AV84" i="37"/>
  <c r="AU85" i="37"/>
  <c r="AU86" i="37" s="1"/>
  <c r="AU87" i="37" s="1"/>
  <c r="AU88" i="37" s="1"/>
  <c r="AU89" i="37" s="1"/>
  <c r="AV179" i="38"/>
  <c r="AL168" i="38"/>
  <c r="AL169" i="38" s="1"/>
  <c r="AL170" i="38" s="1"/>
  <c r="AL171" i="38" s="1"/>
  <c r="AL172" i="38" s="1"/>
  <c r="AL173" i="38" s="1"/>
  <c r="AM167" i="38"/>
  <c r="S55" i="37"/>
  <c r="V54" i="37"/>
  <c r="AP175" i="38"/>
  <c r="AO176" i="38"/>
  <c r="AO177" i="38" s="1"/>
  <c r="AO178" i="38" s="1"/>
  <c r="AO179" i="38" s="1"/>
  <c r="AO180" i="38" s="1"/>
  <c r="AO181" i="38" s="1"/>
  <c r="BD167" i="37"/>
  <c r="BD168" i="37" s="1"/>
  <c r="BD169" i="37" s="1"/>
  <c r="BD170" i="37" s="1"/>
  <c r="BD171" i="37" s="1"/>
  <c r="BE166" i="37"/>
  <c r="BD167" i="38"/>
  <c r="BD168" i="38" s="1"/>
  <c r="BD169" i="38" s="1"/>
  <c r="BD170" i="38" s="1"/>
  <c r="BD171" i="38" s="1"/>
  <c r="BE166" i="38"/>
  <c r="AL168" i="37"/>
  <c r="AL169" i="37" s="1"/>
  <c r="AL170" i="37" s="1"/>
  <c r="AL171" i="37" s="1"/>
  <c r="AL172" i="37" s="1"/>
  <c r="AL173" i="37" s="1"/>
  <c r="AM167" i="37"/>
  <c r="AJ183" i="38"/>
  <c r="AI184" i="37"/>
  <c r="AI185" i="37" s="1"/>
  <c r="AI186" i="37" s="1"/>
  <c r="AJ183" i="37"/>
  <c r="AP77" i="37"/>
  <c r="AO78" i="37"/>
  <c r="AO78" i="38"/>
  <c r="AP77" i="38"/>
  <c r="AP175" i="37"/>
  <c r="AO176" i="37"/>
  <c r="AO177" i="37" s="1"/>
  <c r="AO178" i="37" s="1"/>
  <c r="AO179" i="37" s="1"/>
  <c r="AO180" i="37" s="1"/>
  <c r="AO181" i="37" s="1"/>
  <c r="AD184" i="37"/>
  <c r="AG168" i="37"/>
  <c r="AF169" i="37"/>
  <c r="AF170" i="37" s="1"/>
  <c r="AF171" i="37" s="1"/>
  <c r="AF172" i="37" s="1"/>
  <c r="AF173" i="37" s="1"/>
  <c r="AF174" i="37" s="1"/>
  <c r="BB71" i="37"/>
  <c r="BA72" i="37"/>
  <c r="Z76" i="38"/>
  <c r="AA75" i="38"/>
  <c r="AG80" i="38"/>
  <c r="AX170" i="38"/>
  <c r="AX171" i="38" s="1"/>
  <c r="AX172" i="38" s="1"/>
  <c r="AX173" i="38" s="1"/>
  <c r="AX174" i="38" s="1"/>
  <c r="AX175" i="38" s="1"/>
  <c r="AX176" i="38" s="1"/>
  <c r="AX177" i="38" s="1"/>
  <c r="AY169" i="38"/>
  <c r="AY82" i="37"/>
  <c r="AF169" i="38"/>
  <c r="AF170" i="38" s="1"/>
  <c r="AF171" i="38" s="1"/>
  <c r="AF172" i="38" s="1"/>
  <c r="AF173" i="38" s="1"/>
  <c r="AF174" i="38" s="1"/>
  <c r="AG168" i="38"/>
  <c r="AV179" i="37"/>
  <c r="AI73" i="37"/>
  <c r="AI74" i="37" s="1"/>
  <c r="AR165" i="38"/>
  <c r="AS164" i="38"/>
  <c r="AX170" i="37"/>
  <c r="AX171" i="37" s="1"/>
  <c r="AX172" i="37" s="1"/>
  <c r="AX173" i="37" s="1"/>
  <c r="AX174" i="37" s="1"/>
  <c r="AX175" i="37" s="1"/>
  <c r="AX176" i="37" s="1"/>
  <c r="AX177" i="37" s="1"/>
  <c r="AY169" i="37"/>
  <c r="AY70" i="37"/>
  <c r="AA188" i="38"/>
  <c r="R43" i="38"/>
  <c r="S42" i="38"/>
  <c r="AJ88" i="38"/>
  <c r="AA188" i="37"/>
  <c r="X176" i="37"/>
  <c r="AD184" i="38"/>
  <c r="X176" i="38"/>
  <c r="BD80" i="38"/>
  <c r="BD81" i="38" s="1"/>
  <c r="BD82" i="38" s="1"/>
  <c r="BD83" i="38" s="1"/>
  <c r="BE79" i="38"/>
  <c r="BA181" i="37" l="1"/>
  <c r="BA182" i="37" s="1"/>
  <c r="BA183" i="37" s="1"/>
  <c r="BA184" i="37" s="1"/>
  <c r="BA185" i="37" s="1"/>
  <c r="BA186" i="37" s="1"/>
  <c r="BA187" i="37" s="1"/>
  <c r="BA188" i="37" s="1"/>
  <c r="BB180" i="37"/>
  <c r="AC176" i="38"/>
  <c r="AD175" i="38"/>
  <c r="AF175" i="38"/>
  <c r="AF176" i="38" s="1"/>
  <c r="AF177" i="38" s="1"/>
  <c r="AF178" i="38" s="1"/>
  <c r="AF179" i="38" s="1"/>
  <c r="AF180" i="38" s="1"/>
  <c r="AF181" i="38" s="1"/>
  <c r="AF182" i="38" s="1"/>
  <c r="AF183" i="38" s="1"/>
  <c r="AF184" i="38" s="1"/>
  <c r="AF185" i="38" s="1"/>
  <c r="AF186" i="38" s="1"/>
  <c r="AF187" i="38" s="1"/>
  <c r="AF188" i="38" s="1"/>
  <c r="AF189" i="38" s="1"/>
  <c r="AF190" i="38" s="1"/>
  <c r="AG174" i="38"/>
  <c r="AC176" i="37"/>
  <c r="AC177" i="37" s="1"/>
  <c r="AC178" i="37" s="1"/>
  <c r="AC179" i="37" s="1"/>
  <c r="AC180" i="37" s="1"/>
  <c r="AC181" i="37" s="1"/>
  <c r="AC182" i="37" s="1"/>
  <c r="AD175" i="37"/>
  <c r="AF175" i="37"/>
  <c r="AF176" i="37" s="1"/>
  <c r="AF177" i="37" s="1"/>
  <c r="AF178" i="37" s="1"/>
  <c r="AF179" i="37" s="1"/>
  <c r="AF180" i="37" s="1"/>
  <c r="AF181" i="37" s="1"/>
  <c r="AF182" i="37" s="1"/>
  <c r="AF183" i="37" s="1"/>
  <c r="AF184" i="37" s="1"/>
  <c r="AF185" i="37" s="1"/>
  <c r="AF186" i="37" s="1"/>
  <c r="AF187" i="37" s="1"/>
  <c r="AF188" i="37" s="1"/>
  <c r="AF189" i="37" s="1"/>
  <c r="AF190" i="37" s="1"/>
  <c r="AG174" i="37"/>
  <c r="BA181" i="38"/>
  <c r="BA182" i="38" s="1"/>
  <c r="BA183" i="38" s="1"/>
  <c r="BA184" i="38" s="1"/>
  <c r="BA185" i="38" s="1"/>
  <c r="BA186" i="38" s="1"/>
  <c r="BA187" i="38" s="1"/>
  <c r="BA188" i="38" s="1"/>
  <c r="BA189" i="38" s="1"/>
  <c r="BB180" i="38"/>
  <c r="AF86" i="37"/>
  <c r="AF87" i="37" s="1"/>
  <c r="AG85" i="37"/>
  <c r="AL100" i="38"/>
  <c r="AL101" i="38" s="1"/>
  <c r="AL102" i="38" s="1"/>
  <c r="AL103" i="38" s="1"/>
  <c r="AL104" i="38" s="1"/>
  <c r="AL105" i="38" s="1"/>
  <c r="AL106" i="38" s="1"/>
  <c r="AL107" i="38" s="1"/>
  <c r="AL108" i="38" s="1"/>
  <c r="AL109" i="38" s="1"/>
  <c r="AM99" i="38"/>
  <c r="F160" i="35"/>
  <c r="E161" i="35"/>
  <c r="AL100" i="37"/>
  <c r="AL101" i="37" s="1"/>
  <c r="AL102" i="37" s="1"/>
  <c r="AL103" i="37" s="1"/>
  <c r="AL104" i="37" s="1"/>
  <c r="AL105" i="37" s="1"/>
  <c r="AL106" i="37" s="1"/>
  <c r="AL107" i="37" s="1"/>
  <c r="AL108" i="37" s="1"/>
  <c r="AL109" i="37" s="1"/>
  <c r="AM99" i="37"/>
  <c r="W170" i="38"/>
  <c r="W171" i="38" s="1"/>
  <c r="W172" i="38" s="1"/>
  <c r="W173" i="38" s="1"/>
  <c r="W174" i="38" s="1"/>
  <c r="W175" i="38" s="1"/>
  <c r="W176" i="38" s="1"/>
  <c r="W177" i="38" s="1"/>
  <c r="W178" i="38" s="1"/>
  <c r="X169" i="38"/>
  <c r="AX178" i="37"/>
  <c r="AX179" i="37" s="1"/>
  <c r="AX180" i="37" s="1"/>
  <c r="AX181" i="37" s="1"/>
  <c r="AY177" i="37"/>
  <c r="AX178" i="38"/>
  <c r="AX179" i="38" s="1"/>
  <c r="AX180" i="38" s="1"/>
  <c r="AX181" i="38" s="1"/>
  <c r="AY177" i="38"/>
  <c r="AI187" i="37"/>
  <c r="AI188" i="37" s="1"/>
  <c r="AI189" i="37" s="1"/>
  <c r="AI190" i="37" s="1"/>
  <c r="AJ186" i="37"/>
  <c r="AR91" i="37"/>
  <c r="AR92" i="37" s="1"/>
  <c r="AR93" i="37" s="1"/>
  <c r="AR94" i="37" s="1"/>
  <c r="AR95" i="37" s="1"/>
  <c r="AR96" i="37" s="1"/>
  <c r="AR97" i="37" s="1"/>
  <c r="AR98" i="37" s="1"/>
  <c r="AR99" i="37" s="1"/>
  <c r="AR100" i="37" s="1"/>
  <c r="AR101" i="37" s="1"/>
  <c r="AS90" i="37"/>
  <c r="E170" i="35"/>
  <c r="F169" i="35"/>
  <c r="AD176" i="37"/>
  <c r="AU172" i="37"/>
  <c r="AU173" i="37" s="1"/>
  <c r="AU174" i="37" s="1"/>
  <c r="AU175" i="37" s="1"/>
  <c r="AV171" i="37"/>
  <c r="Z166" i="37"/>
  <c r="Z167" i="37" s="1"/>
  <c r="Z168" i="37" s="1"/>
  <c r="Z169" i="37" s="1"/>
  <c r="Z170" i="37" s="1"/>
  <c r="Z171" i="37" s="1"/>
  <c r="Z172" i="37" s="1"/>
  <c r="Z173" i="37" s="1"/>
  <c r="Z174" i="37" s="1"/>
  <c r="Z175" i="37" s="1"/>
  <c r="Z176" i="37" s="1"/>
  <c r="Z177" i="37" s="1"/>
  <c r="AA165" i="37"/>
  <c r="AC177" i="38"/>
  <c r="AC178" i="38" s="1"/>
  <c r="AC179" i="38" s="1"/>
  <c r="AC180" i="38" s="1"/>
  <c r="AC181" i="38" s="1"/>
  <c r="AC182" i="38" s="1"/>
  <c r="AD176" i="38"/>
  <c r="AI75" i="37"/>
  <c r="AI76" i="37" s="1"/>
  <c r="AJ74" i="37"/>
  <c r="AI187" i="38"/>
  <c r="AI188" i="38" s="1"/>
  <c r="AI189" i="38" s="1"/>
  <c r="AI190" i="38" s="1"/>
  <c r="AJ186" i="38"/>
  <c r="BA73" i="37"/>
  <c r="BA74" i="37" s="1"/>
  <c r="BA75" i="37" s="1"/>
  <c r="BB72" i="37"/>
  <c r="AU90" i="37"/>
  <c r="AU91" i="37" s="1"/>
  <c r="AU92" i="37" s="1"/>
  <c r="AU93" i="37" s="1"/>
  <c r="AU94" i="37" s="1"/>
  <c r="AU95" i="37" s="1"/>
  <c r="AU96" i="37" s="1"/>
  <c r="AU97" i="37" s="1"/>
  <c r="AV89" i="37"/>
  <c r="AJ72" i="38"/>
  <c r="AI73" i="38"/>
  <c r="AI74" i="38" s="1"/>
  <c r="AG183" i="38"/>
  <c r="AF86" i="38"/>
  <c r="AF87" i="38" s="1"/>
  <c r="AG85" i="38"/>
  <c r="D12" i="35"/>
  <c r="E94" i="35"/>
  <c r="E95" i="35" s="1"/>
  <c r="F94" i="35" s="1"/>
  <c r="F93" i="35" s="1"/>
  <c r="G18" i="35" s="1"/>
  <c r="B8" i="35"/>
  <c r="G17" i="35"/>
  <c r="G12" i="35"/>
  <c r="D13" i="35"/>
  <c r="D14" i="35"/>
  <c r="G15" i="35"/>
  <c r="D15" i="35"/>
  <c r="D16" i="35"/>
  <c r="B9" i="35"/>
  <c r="D17" i="35"/>
  <c r="BA189" i="37"/>
  <c r="BB188" i="37"/>
  <c r="AR91" i="38"/>
  <c r="AR92" i="38" s="1"/>
  <c r="AR93" i="38" s="1"/>
  <c r="AR94" i="38" s="1"/>
  <c r="AR95" i="38" s="1"/>
  <c r="AR96" i="38" s="1"/>
  <c r="AR97" i="38" s="1"/>
  <c r="AR98" i="38" s="1"/>
  <c r="AR99" i="38" s="1"/>
  <c r="AR100" i="38" s="1"/>
  <c r="AR101" i="38" s="1"/>
  <c r="AS90" i="38"/>
  <c r="AG183" i="37"/>
  <c r="AU90" i="38"/>
  <c r="AU91" i="38" s="1"/>
  <c r="AU92" i="38" s="1"/>
  <c r="AU93" i="38" s="1"/>
  <c r="AU94" i="38" s="1"/>
  <c r="AU95" i="38" s="1"/>
  <c r="AU96" i="38" s="1"/>
  <c r="AU97" i="38" s="1"/>
  <c r="AV89" i="38"/>
  <c r="Z166" i="38"/>
  <c r="Z167" i="38" s="1"/>
  <c r="Z168" i="38" s="1"/>
  <c r="Z169" i="38" s="1"/>
  <c r="Z170" i="38" s="1"/>
  <c r="Z171" i="38" s="1"/>
  <c r="Z172" i="38" s="1"/>
  <c r="Z173" i="38" s="1"/>
  <c r="Z174" i="38" s="1"/>
  <c r="Z175" i="38" s="1"/>
  <c r="Z176" i="38" s="1"/>
  <c r="Z177" i="38" s="1"/>
  <c r="AA165" i="38"/>
  <c r="AX80" i="38"/>
  <c r="AX81" i="38" s="1"/>
  <c r="AX82" i="38" s="1"/>
  <c r="AX83" i="38" s="1"/>
  <c r="AX84" i="38" s="1"/>
  <c r="AX85" i="38" s="1"/>
  <c r="AX86" i="38" s="1"/>
  <c r="AX87" i="38" s="1"/>
  <c r="AX88" i="38" s="1"/>
  <c r="AX89" i="38" s="1"/>
  <c r="AX90" i="38" s="1"/>
  <c r="AX91" i="38" s="1"/>
  <c r="AX92" i="38" s="1"/>
  <c r="AX93" i="38" s="1"/>
  <c r="AX94" i="38" s="1"/>
  <c r="AY79" i="38"/>
  <c r="W170" i="37"/>
  <c r="W171" i="37" s="1"/>
  <c r="W172" i="37" s="1"/>
  <c r="W173" i="37" s="1"/>
  <c r="W174" i="37" s="1"/>
  <c r="W175" i="37" s="1"/>
  <c r="W176" i="37" s="1"/>
  <c r="W177" i="37" s="1"/>
  <c r="W178" i="37" s="1"/>
  <c r="X169" i="37"/>
  <c r="AU172" i="38"/>
  <c r="AU173" i="38" s="1"/>
  <c r="AU174" i="38" s="1"/>
  <c r="AU175" i="38" s="1"/>
  <c r="AV171" i="38"/>
  <c r="BA73" i="38"/>
  <c r="BA74" i="38" s="1"/>
  <c r="BA75" i="38" s="1"/>
  <c r="BB72" i="38"/>
  <c r="C170" i="35"/>
  <c r="C169" i="35" s="1"/>
  <c r="C168" i="35" s="1"/>
  <c r="C167" i="35" s="1"/>
  <c r="D167" i="35" s="1"/>
  <c r="D171" i="35"/>
  <c r="AX80" i="37"/>
  <c r="AX81" i="37" s="1"/>
  <c r="AX82" i="37" s="1"/>
  <c r="AX83" i="37" s="1"/>
  <c r="AX84" i="37" s="1"/>
  <c r="AX85" i="37" s="1"/>
  <c r="AX86" i="37" s="1"/>
  <c r="AX87" i="37" s="1"/>
  <c r="AX88" i="37" s="1"/>
  <c r="AX89" i="37" s="1"/>
  <c r="AX90" i="37" s="1"/>
  <c r="AX91" i="37" s="1"/>
  <c r="AX92" i="37" s="1"/>
  <c r="AX93" i="37" s="1"/>
  <c r="AX94" i="37" s="1"/>
  <c r="AY79" i="37"/>
  <c r="AS165" i="37"/>
  <c r="AR166" i="37"/>
  <c r="AR167" i="37" s="1"/>
  <c r="AR168" i="37" s="1"/>
  <c r="AR169" i="37" s="1"/>
  <c r="AR170" i="37" s="1"/>
  <c r="AR171" i="37" s="1"/>
  <c r="AR172" i="37" s="1"/>
  <c r="BB74" i="38"/>
  <c r="AJ189" i="37"/>
  <c r="AY178" i="37"/>
  <c r="AY109" i="37"/>
  <c r="AO79" i="38"/>
  <c r="AO80" i="38" s="1"/>
  <c r="AO81" i="38" s="1"/>
  <c r="AO82" i="38" s="1"/>
  <c r="AP78" i="38"/>
  <c r="S43" i="38"/>
  <c r="G1" i="38" s="1"/>
  <c r="R44" i="38"/>
  <c r="AO182" i="37"/>
  <c r="AO183" i="37" s="1"/>
  <c r="AO184" i="37" s="1"/>
  <c r="AO185" i="37" s="1"/>
  <c r="AO186" i="37" s="1"/>
  <c r="AO187" i="37" s="1"/>
  <c r="AO188" i="37" s="1"/>
  <c r="AO189" i="37" s="1"/>
  <c r="AO190" i="37" s="1"/>
  <c r="AP190" i="37" s="1"/>
  <c r="AP181" i="37"/>
  <c r="BD172" i="38"/>
  <c r="BD173" i="38" s="1"/>
  <c r="BD174" i="38" s="1"/>
  <c r="BD175" i="38" s="1"/>
  <c r="BD176" i="38" s="1"/>
  <c r="BD177" i="38" s="1"/>
  <c r="BD178" i="38" s="1"/>
  <c r="BD179" i="38" s="1"/>
  <c r="BE171" i="38"/>
  <c r="V55" i="37"/>
  <c r="S56" i="37"/>
  <c r="AM173" i="38"/>
  <c r="AL174" i="38"/>
  <c r="AL175" i="38" s="1"/>
  <c r="AL176" i="38" s="1"/>
  <c r="AL177" i="38" s="1"/>
  <c r="AY109" i="38"/>
  <c r="S56" i="38"/>
  <c r="V55" i="38"/>
  <c r="D1" i="38"/>
  <c r="AM173" i="37"/>
  <c r="AL174" i="37"/>
  <c r="AL175" i="37" s="1"/>
  <c r="AL176" i="37" s="1"/>
  <c r="AL177" i="37" s="1"/>
  <c r="BD172" i="37"/>
  <c r="BD173" i="37" s="1"/>
  <c r="BD174" i="37" s="1"/>
  <c r="BD175" i="37" s="1"/>
  <c r="BD176" i="37" s="1"/>
  <c r="BD177" i="37" s="1"/>
  <c r="BD178" i="37" s="1"/>
  <c r="BD179" i="37" s="1"/>
  <c r="BE171" i="37"/>
  <c r="AJ88" i="37"/>
  <c r="AD89" i="38"/>
  <c r="AC90" i="38"/>
  <c r="AC91" i="38" s="1"/>
  <c r="AC92" i="38" s="1"/>
  <c r="AC93" i="38" s="1"/>
  <c r="AC94" i="38" s="1"/>
  <c r="AC95" i="38" s="1"/>
  <c r="AC96" i="38" s="1"/>
  <c r="AC97" i="38" s="1"/>
  <c r="AC98" i="38" s="1"/>
  <c r="AC99" i="38" s="1"/>
  <c r="AV93" i="37"/>
  <c r="AJ189" i="38"/>
  <c r="AV93" i="38"/>
  <c r="W102" i="38"/>
  <c r="W103" i="38" s="1"/>
  <c r="W104" i="38" s="1"/>
  <c r="W105" i="38" s="1"/>
  <c r="X101" i="38"/>
  <c r="AC90" i="37"/>
  <c r="AC91" i="37" s="1"/>
  <c r="AC92" i="37" s="1"/>
  <c r="AC93" i="37" s="1"/>
  <c r="AC94" i="37" s="1"/>
  <c r="AC95" i="37" s="1"/>
  <c r="AC96" i="37" s="1"/>
  <c r="AC97" i="37" s="1"/>
  <c r="AC98" i="37" s="1"/>
  <c r="AC99" i="37" s="1"/>
  <c r="AD89" i="37"/>
  <c r="AG104" i="37"/>
  <c r="AV187" i="38"/>
  <c r="BE83" i="38"/>
  <c r="BD84" i="38"/>
  <c r="BD85" i="38" s="1"/>
  <c r="BD86" i="38" s="1"/>
  <c r="BB74" i="37"/>
  <c r="X101" i="37"/>
  <c r="W102" i="37"/>
  <c r="W103" i="37" s="1"/>
  <c r="W104" i="37" s="1"/>
  <c r="W105" i="37" s="1"/>
  <c r="AV187" i="37"/>
  <c r="AG185" i="38"/>
  <c r="AG104" i="38"/>
  <c r="AJ92" i="38"/>
  <c r="AS165" i="38"/>
  <c r="AR166" i="38"/>
  <c r="AR167" i="38" s="1"/>
  <c r="AR168" i="38" s="1"/>
  <c r="AR169" i="38" s="1"/>
  <c r="AR170" i="38" s="1"/>
  <c r="AR171" i="38" s="1"/>
  <c r="AR172" i="38" s="1"/>
  <c r="AA76" i="38"/>
  <c r="Z77" i="38"/>
  <c r="Z78" i="38" s="1"/>
  <c r="Z79" i="38" s="1"/>
  <c r="Z80" i="38" s="1"/>
  <c r="Z81" i="38" s="1"/>
  <c r="AP78" i="37"/>
  <c r="AO79" i="37"/>
  <c r="AO80" i="37" s="1"/>
  <c r="AO81" i="37" s="1"/>
  <c r="AO82" i="37" s="1"/>
  <c r="Z77" i="37"/>
  <c r="Z78" i="37" s="1"/>
  <c r="Z79" i="37" s="1"/>
  <c r="Z80" i="37" s="1"/>
  <c r="Z81" i="37" s="1"/>
  <c r="AA76" i="37"/>
  <c r="AY178" i="38"/>
  <c r="AG185" i="37"/>
  <c r="AP181" i="38"/>
  <c r="AO182" i="38"/>
  <c r="AO183" i="38" s="1"/>
  <c r="AO184" i="38" s="1"/>
  <c r="AO185" i="38" s="1"/>
  <c r="AO186" i="38" s="1"/>
  <c r="AO187" i="38" s="1"/>
  <c r="AO188" i="38" s="1"/>
  <c r="AO189" i="38" s="1"/>
  <c r="AO190" i="38" s="1"/>
  <c r="AP190" i="38" s="1"/>
  <c r="D1" i="37"/>
  <c r="R44" i="37"/>
  <c r="S43" i="37"/>
  <c r="G1" i="37" s="1"/>
  <c r="BD80" i="37"/>
  <c r="BD81" i="37" s="1"/>
  <c r="BD82" i="37" s="1"/>
  <c r="BD83" i="37" s="1"/>
  <c r="BE79" i="37"/>
  <c r="AX182" i="38" l="1"/>
  <c r="AX183" i="38" s="1"/>
  <c r="AX184" i="38" s="1"/>
  <c r="AX185" i="38" s="1"/>
  <c r="AX186" i="38" s="1"/>
  <c r="AX187" i="38" s="1"/>
  <c r="AX188" i="38" s="1"/>
  <c r="AX189" i="38" s="1"/>
  <c r="AX190" i="38" s="1"/>
  <c r="AY190" i="38" s="1"/>
  <c r="AY181" i="38"/>
  <c r="G16" i="35"/>
  <c r="AX182" i="37"/>
  <c r="AX183" i="37" s="1"/>
  <c r="AX184" i="37" s="1"/>
  <c r="AX185" i="37" s="1"/>
  <c r="AX186" i="37" s="1"/>
  <c r="AX187" i="37" s="1"/>
  <c r="AX188" i="37" s="1"/>
  <c r="AX189" i="37" s="1"/>
  <c r="AX190" i="37" s="1"/>
  <c r="AY190" i="37" s="1"/>
  <c r="AY181" i="37"/>
  <c r="Z178" i="37"/>
  <c r="Z179" i="37" s="1"/>
  <c r="Z180" i="37" s="1"/>
  <c r="Z181" i="37" s="1"/>
  <c r="AA177" i="37"/>
  <c r="W179" i="37"/>
  <c r="W180" i="37" s="1"/>
  <c r="X178" i="37"/>
  <c r="W179" i="38"/>
  <c r="W180" i="38" s="1"/>
  <c r="X178" i="38"/>
  <c r="BB188" i="38"/>
  <c r="Z178" i="38"/>
  <c r="Z179" i="38" s="1"/>
  <c r="Z180" i="38" s="1"/>
  <c r="Z181" i="38" s="1"/>
  <c r="Z182" i="38" s="1"/>
  <c r="Z183" i="38" s="1"/>
  <c r="Z184" i="38" s="1"/>
  <c r="Z185" i="38" s="1"/>
  <c r="Z186" i="38" s="1"/>
  <c r="Z187" i="38" s="1"/>
  <c r="Z188" i="38" s="1"/>
  <c r="Z189" i="38" s="1"/>
  <c r="Z190" i="38" s="1"/>
  <c r="AA177" i="38"/>
  <c r="BA76" i="38"/>
  <c r="BA77" i="38" s="1"/>
  <c r="BA78" i="38" s="1"/>
  <c r="BA79" i="38" s="1"/>
  <c r="BA80" i="38" s="1"/>
  <c r="BA81" i="38" s="1"/>
  <c r="BB75" i="38"/>
  <c r="BA76" i="37"/>
  <c r="BA77" i="37" s="1"/>
  <c r="BA78" i="37" s="1"/>
  <c r="BA79" i="37" s="1"/>
  <c r="BA80" i="37" s="1"/>
  <c r="BA81" i="37" s="1"/>
  <c r="BB75" i="37"/>
  <c r="AO83" i="37"/>
  <c r="AO84" i="37" s="1"/>
  <c r="AO85" i="37" s="1"/>
  <c r="AO86" i="37" s="1"/>
  <c r="AO87" i="37" s="1"/>
  <c r="AP82" i="37"/>
  <c r="AO83" i="38"/>
  <c r="AO84" i="38" s="1"/>
  <c r="AO85" i="38" s="1"/>
  <c r="AO86" i="38" s="1"/>
  <c r="AO87" i="38" s="1"/>
  <c r="AP82" i="38"/>
  <c r="AC183" i="38"/>
  <c r="AC184" i="38" s="1"/>
  <c r="AC185" i="38" s="1"/>
  <c r="AC186" i="38" s="1"/>
  <c r="AC187" i="38" s="1"/>
  <c r="AC188" i="38" s="1"/>
  <c r="AC189" i="38" s="1"/>
  <c r="AC190" i="38" s="1"/>
  <c r="AD182" i="38"/>
  <c r="AR102" i="38"/>
  <c r="AR103" i="38" s="1"/>
  <c r="AR104" i="38" s="1"/>
  <c r="AR105" i="38" s="1"/>
  <c r="AR106" i="38" s="1"/>
  <c r="AR107" i="38" s="1"/>
  <c r="AS101" i="38"/>
  <c r="Z182" i="37"/>
  <c r="Z183" i="37" s="1"/>
  <c r="Z184" i="37" s="1"/>
  <c r="Z185" i="37" s="1"/>
  <c r="Z186" i="37" s="1"/>
  <c r="Z187" i="37" s="1"/>
  <c r="Z188" i="37" s="1"/>
  <c r="Z189" i="37" s="1"/>
  <c r="Z190" i="37" s="1"/>
  <c r="AA181" i="37"/>
  <c r="W181" i="38"/>
  <c r="W182" i="38" s="1"/>
  <c r="W183" i="38" s="1"/>
  <c r="W184" i="38" s="1"/>
  <c r="W185" i="38" s="1"/>
  <c r="X180" i="38"/>
  <c r="W106" i="37"/>
  <c r="W107" i="37" s="1"/>
  <c r="W108" i="37" s="1"/>
  <c r="W109" i="37" s="1"/>
  <c r="W110" i="37" s="1"/>
  <c r="W111" i="37" s="1"/>
  <c r="W112" i="37" s="1"/>
  <c r="W113" i="37" s="1"/>
  <c r="W114" i="37" s="1"/>
  <c r="W115" i="37" s="1"/>
  <c r="X115" i="37" s="1"/>
  <c r="X105" i="37"/>
  <c r="W106" i="38"/>
  <c r="W107" i="38" s="1"/>
  <c r="W108" i="38" s="1"/>
  <c r="W109" i="38" s="1"/>
  <c r="W110" i="38" s="1"/>
  <c r="W111" i="38" s="1"/>
  <c r="W112" i="38" s="1"/>
  <c r="X105" i="38"/>
  <c r="BA190" i="37"/>
  <c r="BB189" i="37"/>
  <c r="AC183" i="37"/>
  <c r="AC184" i="37" s="1"/>
  <c r="AC185" i="37" s="1"/>
  <c r="AC186" i="37" s="1"/>
  <c r="AC187" i="37" s="1"/>
  <c r="AC188" i="37" s="1"/>
  <c r="AC189" i="37" s="1"/>
  <c r="AC190" i="37" s="1"/>
  <c r="AD182" i="37"/>
  <c r="BA190" i="38"/>
  <c r="BB189" i="38"/>
  <c r="BD180" i="37"/>
  <c r="BD181" i="37" s="1"/>
  <c r="BD182" i="37" s="1"/>
  <c r="BD183" i="37" s="1"/>
  <c r="BD184" i="37" s="1"/>
  <c r="BE179" i="37"/>
  <c r="BD180" i="38"/>
  <c r="BD181" i="38" s="1"/>
  <c r="BD182" i="38" s="1"/>
  <c r="BD183" i="38" s="1"/>
  <c r="BD184" i="38" s="1"/>
  <c r="BE179" i="38"/>
  <c r="W181" i="37"/>
  <c r="W182" i="37" s="1"/>
  <c r="W183" i="37" s="1"/>
  <c r="W184" i="37" s="1"/>
  <c r="W185" i="37" s="1"/>
  <c r="X180" i="37"/>
  <c r="E162" i="35"/>
  <c r="F161" i="35"/>
  <c r="E164" i="35" s="1"/>
  <c r="I22" i="35" s="1"/>
  <c r="G13" i="35"/>
  <c r="L57" i="35"/>
  <c r="E11" i="35" s="1"/>
  <c r="K63" i="35"/>
  <c r="M63" i="35" s="1"/>
  <c r="N63" i="35" s="1"/>
  <c r="O63" i="35" s="1"/>
  <c r="P63" i="35" s="1"/>
  <c r="Q63" i="35" s="1"/>
  <c r="P69" i="35" s="1"/>
  <c r="E17" i="35" s="1"/>
  <c r="K59" i="35"/>
  <c r="K62" i="35"/>
  <c r="M62" i="35" s="1"/>
  <c r="N62" i="35" s="1"/>
  <c r="O62" i="35" s="1"/>
  <c r="P62" i="35" s="1"/>
  <c r="Q62" i="35" s="1"/>
  <c r="P68" i="35" s="1"/>
  <c r="E16" i="35" s="1"/>
  <c r="F95" i="35"/>
  <c r="J8" i="35" s="1"/>
  <c r="K58" i="35"/>
  <c r="G11" i="35"/>
  <c r="K60" i="35"/>
  <c r="M60" i="35" s="1"/>
  <c r="N60" i="35" s="1"/>
  <c r="O60" i="35" s="1"/>
  <c r="P60" i="35" s="1"/>
  <c r="Q60" i="35" s="1"/>
  <c r="P66" i="35" s="1"/>
  <c r="E14" i="35" s="1"/>
  <c r="K61" i="35"/>
  <c r="AU98" i="38"/>
  <c r="AU99" i="38" s="1"/>
  <c r="AU100" i="38" s="1"/>
  <c r="AU101" i="38" s="1"/>
  <c r="AU102" i="38" s="1"/>
  <c r="AV97" i="38"/>
  <c r="E171" i="35"/>
  <c r="E172" i="35" s="1"/>
  <c r="F172" i="35" s="1"/>
  <c r="F170" i="35"/>
  <c r="AU176" i="38"/>
  <c r="AV175" i="38"/>
  <c r="AF88" i="38"/>
  <c r="AF89" i="38" s="1"/>
  <c r="AF90" i="38" s="1"/>
  <c r="AF91" i="38" s="1"/>
  <c r="AF92" i="38" s="1"/>
  <c r="AF93" i="38" s="1"/>
  <c r="AF94" i="38" s="1"/>
  <c r="AF95" i="38" s="1"/>
  <c r="AG87" i="38"/>
  <c r="AR102" i="37"/>
  <c r="AR103" i="37" s="1"/>
  <c r="AR104" i="37" s="1"/>
  <c r="AR105" i="37" s="1"/>
  <c r="AR106" i="37" s="1"/>
  <c r="AR107" i="37" s="1"/>
  <c r="AS101" i="37"/>
  <c r="AU176" i="37"/>
  <c r="AV175" i="37"/>
  <c r="G14" i="35"/>
  <c r="AA181" i="38"/>
  <c r="AL110" i="38"/>
  <c r="AL111" i="38" s="1"/>
  <c r="AL112" i="38" s="1"/>
  <c r="AL113" i="38" s="1"/>
  <c r="AL114" i="38" s="1"/>
  <c r="AL115" i="38" s="1"/>
  <c r="AM109" i="38"/>
  <c r="BD87" i="38"/>
  <c r="BD88" i="38" s="1"/>
  <c r="BD89" i="38" s="1"/>
  <c r="BD90" i="38" s="1"/>
  <c r="BD91" i="38" s="1"/>
  <c r="BD92" i="38" s="1"/>
  <c r="BD93" i="38" s="1"/>
  <c r="BD94" i="38" s="1"/>
  <c r="BD95" i="38" s="1"/>
  <c r="BD96" i="38" s="1"/>
  <c r="BD97" i="38" s="1"/>
  <c r="BD98" i="38" s="1"/>
  <c r="BD99" i="38" s="1"/>
  <c r="BD100" i="38" s="1"/>
  <c r="BD101" i="38" s="1"/>
  <c r="BD102" i="38" s="1"/>
  <c r="BE86" i="38"/>
  <c r="AX95" i="37"/>
  <c r="AX96" i="37" s="1"/>
  <c r="AY94" i="37"/>
  <c r="AL110" i="37"/>
  <c r="AL111" i="37" s="1"/>
  <c r="AL112" i="37" s="1"/>
  <c r="AL113" i="37" s="1"/>
  <c r="AL114" i="37" s="1"/>
  <c r="AL115" i="37" s="1"/>
  <c r="AM109" i="37"/>
  <c r="AU98" i="37"/>
  <c r="AU99" i="37" s="1"/>
  <c r="AU100" i="37" s="1"/>
  <c r="AU101" i="37" s="1"/>
  <c r="AU102" i="37" s="1"/>
  <c r="AV97" i="37"/>
  <c r="AF88" i="37"/>
  <c r="AF89" i="37" s="1"/>
  <c r="AF90" i="37" s="1"/>
  <c r="AF91" i="37" s="1"/>
  <c r="AF92" i="37" s="1"/>
  <c r="AF93" i="37" s="1"/>
  <c r="AF94" i="37" s="1"/>
  <c r="AF95" i="37" s="1"/>
  <c r="AG87" i="37"/>
  <c r="AX95" i="38"/>
  <c r="AX96" i="38" s="1"/>
  <c r="AY94" i="38"/>
  <c r="AI75" i="38"/>
  <c r="AI76" i="38" s="1"/>
  <c r="AJ74" i="38"/>
  <c r="AI77" i="37"/>
  <c r="AI78" i="37" s="1"/>
  <c r="AI79" i="37" s="1"/>
  <c r="AI80" i="37" s="1"/>
  <c r="AI81" i="37" s="1"/>
  <c r="AI82" i="37" s="1"/>
  <c r="AI83" i="37" s="1"/>
  <c r="AI84" i="37" s="1"/>
  <c r="AJ76" i="37"/>
  <c r="I33" i="35"/>
  <c r="Z82" i="37"/>
  <c r="AA81" i="37"/>
  <c r="X112" i="37"/>
  <c r="BE97" i="38"/>
  <c r="AC100" i="38"/>
  <c r="AC101" i="38" s="1"/>
  <c r="AC102" i="38" s="1"/>
  <c r="AD99" i="38"/>
  <c r="X112" i="38"/>
  <c r="W113" i="38"/>
  <c r="W114" i="38" s="1"/>
  <c r="W115" i="38" s="1"/>
  <c r="X115" i="38" s="1"/>
  <c r="AG114" i="38"/>
  <c r="AG114" i="37"/>
  <c r="AV110" i="38"/>
  <c r="AR173" i="37"/>
  <c r="AR174" i="37" s="1"/>
  <c r="AS172" i="37"/>
  <c r="V56" i="37"/>
  <c r="S57" i="37"/>
  <c r="AJ92" i="37"/>
  <c r="AM177" i="37"/>
  <c r="AL178" i="37"/>
  <c r="AL179" i="37" s="1"/>
  <c r="AL180" i="37" s="1"/>
  <c r="AL181" i="37" s="1"/>
  <c r="AL182" i="37" s="1"/>
  <c r="BB103" i="38"/>
  <c r="AS172" i="38"/>
  <c r="AR173" i="38"/>
  <c r="AR174" i="38" s="1"/>
  <c r="BD84" i="37"/>
  <c r="BD85" i="37" s="1"/>
  <c r="BD86" i="37" s="1"/>
  <c r="BE83" i="37"/>
  <c r="S57" i="38"/>
  <c r="V56" i="38"/>
  <c r="S44" i="38"/>
  <c r="J1" i="38" s="1"/>
  <c r="R45" i="38"/>
  <c r="AP85" i="38"/>
  <c r="Z82" i="38"/>
  <c r="AA81" i="38"/>
  <c r="AM177" i="38"/>
  <c r="AL178" i="38"/>
  <c r="AL179" i="38" s="1"/>
  <c r="AL180" i="38" s="1"/>
  <c r="AL181" i="38" s="1"/>
  <c r="AL182" i="38" s="1"/>
  <c r="AV110" i="37"/>
  <c r="BB103" i="37"/>
  <c r="AD99" i="37"/>
  <c r="AC100" i="37"/>
  <c r="AC101" i="37" s="1"/>
  <c r="AC102" i="37" s="1"/>
  <c r="S44" i="37"/>
  <c r="J1" i="37" s="1"/>
  <c r="R45" i="37"/>
  <c r="AP85" i="37"/>
  <c r="AR123" i="38" l="1"/>
  <c r="AS123" i="38" s="1"/>
  <c r="AT123" i="38" s="1"/>
  <c r="AU123" i="38" s="1"/>
  <c r="A9" i="38" s="1"/>
  <c r="R250" i="38" s="1"/>
  <c r="AR118" i="38"/>
  <c r="AS118" i="38" s="1"/>
  <c r="AT118" i="38" s="1"/>
  <c r="AU118" i="38" s="1"/>
  <c r="A4" i="38" s="1"/>
  <c r="R245" i="38" s="1"/>
  <c r="AR119" i="38"/>
  <c r="AS119" i="38" s="1"/>
  <c r="AT119" i="38" s="1"/>
  <c r="AU119" i="38" s="1"/>
  <c r="A5" i="38" s="1"/>
  <c r="R246" i="38" s="1"/>
  <c r="AR121" i="38"/>
  <c r="AS121" i="38" s="1"/>
  <c r="AT121" i="38" s="1"/>
  <c r="AU121" i="38" s="1"/>
  <c r="A7" i="38" s="1"/>
  <c r="R248" i="38" s="1"/>
  <c r="AR120" i="38"/>
  <c r="AS120" i="38" s="1"/>
  <c r="AT120" i="38" s="1"/>
  <c r="AU120" i="38" s="1"/>
  <c r="A6" i="38" s="1"/>
  <c r="R247" i="38" s="1"/>
  <c r="AR123" i="37"/>
  <c r="AS123" i="37" s="1"/>
  <c r="AT123" i="37" s="1"/>
  <c r="AU123" i="37" s="1"/>
  <c r="A9" i="37" s="1"/>
  <c r="R250" i="37" s="1"/>
  <c r="AR120" i="37"/>
  <c r="AS120" i="37" s="1"/>
  <c r="AT120" i="37" s="1"/>
  <c r="AU120" i="37" s="1"/>
  <c r="A6" i="37" s="1"/>
  <c r="R247" i="37" s="1"/>
  <c r="AR119" i="37"/>
  <c r="AS119" i="37" s="1"/>
  <c r="AT119" i="37" s="1"/>
  <c r="AU119" i="37" s="1"/>
  <c r="A5" i="37" s="1"/>
  <c r="R246" i="37" s="1"/>
  <c r="AR121" i="37"/>
  <c r="AS121" i="37" s="1"/>
  <c r="AT121" i="37" s="1"/>
  <c r="AU121" i="37" s="1"/>
  <c r="A7" i="37" s="1"/>
  <c r="R248" i="37" s="1"/>
  <c r="AC103" i="38"/>
  <c r="AC104" i="38" s="1"/>
  <c r="AC105" i="38" s="1"/>
  <c r="AC106" i="38" s="1"/>
  <c r="AC107" i="38" s="1"/>
  <c r="AC108" i="38" s="1"/>
  <c r="AC109" i="38" s="1"/>
  <c r="AC110" i="38" s="1"/>
  <c r="AC111" i="38" s="1"/>
  <c r="AC112" i="38" s="1"/>
  <c r="AC113" i="38" s="1"/>
  <c r="AC114" i="38" s="1"/>
  <c r="AC115" i="38" s="1"/>
  <c r="AD102" i="38"/>
  <c r="AR126" i="37"/>
  <c r="AS126" i="37" s="1"/>
  <c r="AT126" i="37" s="1"/>
  <c r="AU126" i="37" s="1"/>
  <c r="B4" i="37" s="1"/>
  <c r="R252" i="37" s="1"/>
  <c r="AR108" i="38"/>
  <c r="AR109" i="38" s="1"/>
  <c r="AR110" i="38" s="1"/>
  <c r="AR111" i="38" s="1"/>
  <c r="AR112" i="38" s="1"/>
  <c r="AR113" i="38" s="1"/>
  <c r="AR114" i="38" s="1"/>
  <c r="AR115" i="38" s="1"/>
  <c r="AS107" i="38"/>
  <c r="AR124" i="38"/>
  <c r="AS124" i="38" s="1"/>
  <c r="AT124" i="38" s="1"/>
  <c r="AU124" i="38" s="1"/>
  <c r="A10" i="38" s="1"/>
  <c r="R251" i="38" s="1"/>
  <c r="AU177" i="37"/>
  <c r="AU178" i="37" s="1"/>
  <c r="AU179" i="37" s="1"/>
  <c r="AU180" i="37" s="1"/>
  <c r="AU181" i="37" s="1"/>
  <c r="AU182" i="37" s="1"/>
  <c r="AV176" i="37"/>
  <c r="AR108" i="37"/>
  <c r="AR109" i="37" s="1"/>
  <c r="AR110" i="37" s="1"/>
  <c r="AR111" i="37" s="1"/>
  <c r="AR112" i="37" s="1"/>
  <c r="AR113" i="37" s="1"/>
  <c r="AR114" i="37" s="1"/>
  <c r="AR115" i="37" s="1"/>
  <c r="AS107" i="37"/>
  <c r="AU177" i="38"/>
  <c r="AU178" i="38" s="1"/>
  <c r="AU179" i="38" s="1"/>
  <c r="AU180" i="38" s="1"/>
  <c r="AU181" i="38" s="1"/>
  <c r="AU182" i="38" s="1"/>
  <c r="AV176" i="38"/>
  <c r="AC103" i="37"/>
  <c r="AC104" i="37" s="1"/>
  <c r="AC105" i="37" s="1"/>
  <c r="AC106" i="37" s="1"/>
  <c r="AC107" i="37" s="1"/>
  <c r="AC108" i="37" s="1"/>
  <c r="AC109" i="37" s="1"/>
  <c r="AC110" i="37" s="1"/>
  <c r="AC111" i="37" s="1"/>
  <c r="AC112" i="37" s="1"/>
  <c r="AC113" i="37" s="1"/>
  <c r="AC114" i="37" s="1"/>
  <c r="AC115" i="37" s="1"/>
  <c r="AD102" i="37"/>
  <c r="V128" i="37"/>
  <c r="W128" i="37" s="1"/>
  <c r="X128" i="37" s="1"/>
  <c r="Y128" i="37" s="1"/>
  <c r="H36" i="37" s="1"/>
  <c r="R199" i="37" s="1"/>
  <c r="AU103" i="37"/>
  <c r="AU104" i="37" s="1"/>
  <c r="AU105" i="37" s="1"/>
  <c r="AU106" i="37" s="1"/>
  <c r="AU107" i="37" s="1"/>
  <c r="AU108" i="37" s="1"/>
  <c r="AU109" i="37" s="1"/>
  <c r="AU110" i="37" s="1"/>
  <c r="AU111" i="37" s="1"/>
  <c r="AU112" i="37" s="1"/>
  <c r="AU113" i="37" s="1"/>
  <c r="AU114" i="37" s="1"/>
  <c r="AU115" i="37" s="1"/>
  <c r="AV102" i="37"/>
  <c r="BD123" i="37" s="1"/>
  <c r="BE123" i="37" s="1"/>
  <c r="BF123" i="37" s="1"/>
  <c r="BG123" i="37" s="1"/>
  <c r="J9" i="37" s="1"/>
  <c r="R283" i="37" s="1"/>
  <c r="AR124" i="37"/>
  <c r="AS124" i="37" s="1"/>
  <c r="AT124" i="37" s="1"/>
  <c r="AU124" i="37" s="1"/>
  <c r="A10" i="37" s="1"/>
  <c r="R251" i="37" s="1"/>
  <c r="W186" i="37"/>
  <c r="W187" i="37" s="1"/>
  <c r="W188" i="37" s="1"/>
  <c r="W189" i="37" s="1"/>
  <c r="X185" i="37"/>
  <c r="BD185" i="38"/>
  <c r="BD186" i="38" s="1"/>
  <c r="BD187" i="38" s="1"/>
  <c r="BD188" i="38" s="1"/>
  <c r="BD189" i="38" s="1"/>
  <c r="BD190" i="38" s="1"/>
  <c r="BE184" i="38"/>
  <c r="W186" i="38"/>
  <c r="W187" i="38" s="1"/>
  <c r="W188" i="38" s="1"/>
  <c r="W189" i="38" s="1"/>
  <c r="X185" i="38"/>
  <c r="AX97" i="37"/>
  <c r="AX98" i="37" s="1"/>
  <c r="AX99" i="37" s="1"/>
  <c r="AX100" i="37" s="1"/>
  <c r="AX101" i="37" s="1"/>
  <c r="AX102" i="37" s="1"/>
  <c r="AX103" i="37" s="1"/>
  <c r="AY96" i="37"/>
  <c r="M58" i="35"/>
  <c r="N58" i="35" s="1"/>
  <c r="O58" i="35" s="1"/>
  <c r="P58" i="35" s="1"/>
  <c r="Q58" i="35" s="1"/>
  <c r="P64" i="35" s="1"/>
  <c r="E12" i="35" s="1"/>
  <c r="V119" i="38"/>
  <c r="W119" i="38" s="1"/>
  <c r="X119" i="38" s="1"/>
  <c r="Y119" i="38" s="1"/>
  <c r="G35" i="38" s="1"/>
  <c r="R191" i="38" s="1"/>
  <c r="AI85" i="37"/>
  <c r="AI86" i="37" s="1"/>
  <c r="AI87" i="37" s="1"/>
  <c r="AI88" i="37" s="1"/>
  <c r="AI89" i="37" s="1"/>
  <c r="AI90" i="37" s="1"/>
  <c r="AI91" i="37" s="1"/>
  <c r="AJ84" i="37"/>
  <c r="BD185" i="37"/>
  <c r="BD186" i="37" s="1"/>
  <c r="BD187" i="37" s="1"/>
  <c r="BD188" i="37" s="1"/>
  <c r="BD189" i="37" s="1"/>
  <c r="BD190" i="37" s="1"/>
  <c r="BE184" i="37"/>
  <c r="C36" i="35"/>
  <c r="E101" i="35"/>
  <c r="E102" i="35" s="1"/>
  <c r="F101" i="35" s="1"/>
  <c r="F100" i="35" s="1"/>
  <c r="C41" i="35"/>
  <c r="F37" i="35"/>
  <c r="F39" i="35"/>
  <c r="C40" i="35"/>
  <c r="C38" i="35"/>
  <c r="A32" i="35"/>
  <c r="C39" i="35"/>
  <c r="F38" i="35"/>
  <c r="F36" i="35"/>
  <c r="A33" i="35"/>
  <c r="C37" i="35"/>
  <c r="AR125" i="37"/>
  <c r="AS125" i="37" s="1"/>
  <c r="AT125" i="37" s="1"/>
  <c r="AU125" i="37" s="1"/>
  <c r="A3" i="37" s="1"/>
  <c r="R244" i="37" s="1"/>
  <c r="AR122" i="38"/>
  <c r="AS122" i="38" s="1"/>
  <c r="AT122" i="38" s="1"/>
  <c r="AU122" i="38" s="1"/>
  <c r="A8" i="38" s="1"/>
  <c r="R249" i="38" s="1"/>
  <c r="AR126" i="38"/>
  <c r="AS126" i="38" s="1"/>
  <c r="AT126" i="38" s="1"/>
  <c r="AU126" i="38" s="1"/>
  <c r="B4" i="38" s="1"/>
  <c r="R252" i="38" s="1"/>
  <c r="AR127" i="38"/>
  <c r="AS127" i="38" s="1"/>
  <c r="AT127" i="38" s="1"/>
  <c r="AU127" i="38" s="1"/>
  <c r="B5" i="38" s="1"/>
  <c r="R253" i="38" s="1"/>
  <c r="AR128" i="38"/>
  <c r="AS128" i="38" s="1"/>
  <c r="AT128" i="38" s="1"/>
  <c r="AU128" i="38" s="1"/>
  <c r="B6" i="38" s="1"/>
  <c r="R254" i="38" s="1"/>
  <c r="AF96" i="38"/>
  <c r="AF97" i="38" s="1"/>
  <c r="AF98" i="38" s="1"/>
  <c r="AF99" i="38" s="1"/>
  <c r="AF100" i="38" s="1"/>
  <c r="AF101" i="38" s="1"/>
  <c r="AG95" i="38"/>
  <c r="AR122" i="37"/>
  <c r="AS122" i="37" s="1"/>
  <c r="AT122" i="37" s="1"/>
  <c r="AU122" i="37" s="1"/>
  <c r="A8" i="37" s="1"/>
  <c r="R249" i="37" s="1"/>
  <c r="BA82" i="37"/>
  <c r="BA83" i="37" s="1"/>
  <c r="BA84" i="37" s="1"/>
  <c r="BA85" i="37" s="1"/>
  <c r="BA86" i="37" s="1"/>
  <c r="BA87" i="37" s="1"/>
  <c r="BA88" i="37" s="1"/>
  <c r="BA89" i="37" s="1"/>
  <c r="BA90" i="37" s="1"/>
  <c r="BA91" i="37" s="1"/>
  <c r="BA92" i="37" s="1"/>
  <c r="BB81" i="37"/>
  <c r="M59" i="35"/>
  <c r="N59" i="35" s="1"/>
  <c r="BD87" i="37"/>
  <c r="BD88" i="37" s="1"/>
  <c r="BD89" i="37" s="1"/>
  <c r="BD90" i="37" s="1"/>
  <c r="BD91" i="37" s="1"/>
  <c r="BD92" i="37" s="1"/>
  <c r="BD93" i="37" s="1"/>
  <c r="BD94" i="37" s="1"/>
  <c r="BD95" i="37" s="1"/>
  <c r="BD96" i="37" s="1"/>
  <c r="BD97" i="37" s="1"/>
  <c r="BD98" i="37" s="1"/>
  <c r="BD99" i="37" s="1"/>
  <c r="BD100" i="37" s="1"/>
  <c r="BD101" i="37" s="1"/>
  <c r="BD102" i="37" s="1"/>
  <c r="BE86" i="37"/>
  <c r="AX97" i="38"/>
  <c r="AX98" i="38" s="1"/>
  <c r="AX99" i="38" s="1"/>
  <c r="AX100" i="38" s="1"/>
  <c r="AX101" i="38" s="1"/>
  <c r="AX102" i="38" s="1"/>
  <c r="AX103" i="38" s="1"/>
  <c r="AY96" i="38"/>
  <c r="AR125" i="38"/>
  <c r="AS125" i="38" s="1"/>
  <c r="AT125" i="38" s="1"/>
  <c r="AU125" i="38" s="1"/>
  <c r="A3" i="38" s="1"/>
  <c r="R244" i="38" s="1"/>
  <c r="AU103" i="38"/>
  <c r="AU104" i="38" s="1"/>
  <c r="AU105" i="38" s="1"/>
  <c r="AU106" i="38" s="1"/>
  <c r="AU107" i="38" s="1"/>
  <c r="AU108" i="38" s="1"/>
  <c r="AU109" i="38" s="1"/>
  <c r="AU110" i="38" s="1"/>
  <c r="AU111" i="38" s="1"/>
  <c r="AU112" i="38" s="1"/>
  <c r="AU113" i="38" s="1"/>
  <c r="AU114" i="38" s="1"/>
  <c r="AU115" i="38" s="1"/>
  <c r="AV102" i="38"/>
  <c r="BD125" i="38" s="1"/>
  <c r="BE125" i="38" s="1"/>
  <c r="BF125" i="38" s="1"/>
  <c r="BG125" i="38" s="1"/>
  <c r="J3" i="38" s="1"/>
  <c r="R277" i="38" s="1"/>
  <c r="M61" i="35"/>
  <c r="N61" i="35" s="1"/>
  <c r="AR127" i="37"/>
  <c r="AS127" i="37" s="1"/>
  <c r="AT127" i="37" s="1"/>
  <c r="AU127" i="37" s="1"/>
  <c r="B5" i="37" s="1"/>
  <c r="R253" i="37" s="1"/>
  <c r="B21" i="35"/>
  <c r="D29" i="35"/>
  <c r="D25" i="35"/>
  <c r="G24" i="35"/>
  <c r="G25" i="35"/>
  <c r="G29" i="35"/>
  <c r="D24" i="35"/>
  <c r="G27" i="35"/>
  <c r="G26" i="35"/>
  <c r="D27" i="35"/>
  <c r="D26" i="35"/>
  <c r="E98" i="35"/>
  <c r="E99" i="35" s="1"/>
  <c r="F98" i="35" s="1"/>
  <c r="F97" i="35" s="1"/>
  <c r="G30" i="35" s="1"/>
  <c r="B20" i="35"/>
  <c r="D28" i="35"/>
  <c r="AR128" i="37"/>
  <c r="AS128" i="37" s="1"/>
  <c r="AT128" i="37" s="1"/>
  <c r="AU128" i="37" s="1"/>
  <c r="B6" i="37" s="1"/>
  <c r="R254" i="37" s="1"/>
  <c r="AI77" i="38"/>
  <c r="AI78" i="38" s="1"/>
  <c r="AI79" i="38" s="1"/>
  <c r="AI80" i="38" s="1"/>
  <c r="AI81" i="38" s="1"/>
  <c r="AI82" i="38" s="1"/>
  <c r="AI83" i="38" s="1"/>
  <c r="AI84" i="38" s="1"/>
  <c r="AJ76" i="38"/>
  <c r="AF96" i="37"/>
  <c r="AF97" i="37" s="1"/>
  <c r="AF98" i="37" s="1"/>
  <c r="AF99" i="37" s="1"/>
  <c r="AF100" i="37" s="1"/>
  <c r="AF101" i="37" s="1"/>
  <c r="AG95" i="37"/>
  <c r="BA82" i="38"/>
  <c r="BA83" i="38" s="1"/>
  <c r="BA84" i="38" s="1"/>
  <c r="BA85" i="38" s="1"/>
  <c r="BA86" i="38" s="1"/>
  <c r="BA87" i="38" s="1"/>
  <c r="BA88" i="38" s="1"/>
  <c r="BA89" i="38" s="1"/>
  <c r="BA90" i="38" s="1"/>
  <c r="BA91" i="38" s="1"/>
  <c r="BA92" i="38" s="1"/>
  <c r="BB81" i="38"/>
  <c r="V119" i="37"/>
  <c r="W119" i="37" s="1"/>
  <c r="X119" i="37" s="1"/>
  <c r="Y119" i="37" s="1"/>
  <c r="G35" i="37" s="1"/>
  <c r="R191" i="37" s="1"/>
  <c r="V124" i="37"/>
  <c r="W124" i="37" s="1"/>
  <c r="X124" i="37" s="1"/>
  <c r="Y124" i="37" s="1"/>
  <c r="G40" i="37" s="1"/>
  <c r="R196" i="37" s="1"/>
  <c r="V125" i="38"/>
  <c r="W125" i="38" s="1"/>
  <c r="X125" i="38" s="1"/>
  <c r="Y125" i="38" s="1"/>
  <c r="G33" i="38" s="1"/>
  <c r="R189" i="38" s="1"/>
  <c r="V125" i="37"/>
  <c r="W125" i="37" s="1"/>
  <c r="X125" i="37" s="1"/>
  <c r="Y125" i="37" s="1"/>
  <c r="G33" i="37" s="1"/>
  <c r="R189" i="37" s="1"/>
  <c r="V121" i="37"/>
  <c r="W121" i="37" s="1"/>
  <c r="X121" i="37" s="1"/>
  <c r="Y121" i="37" s="1"/>
  <c r="G37" i="37" s="1"/>
  <c r="R193" i="37" s="1"/>
  <c r="Z83" i="38"/>
  <c r="Z84" i="38" s="1"/>
  <c r="Z85" i="38" s="1"/>
  <c r="Z86" i="38" s="1"/>
  <c r="Z87" i="38" s="1"/>
  <c r="Z88" i="38" s="1"/>
  <c r="AA82" i="38"/>
  <c r="V122" i="37"/>
  <c r="W122" i="37" s="1"/>
  <c r="X122" i="37" s="1"/>
  <c r="Y122" i="37" s="1"/>
  <c r="G38" i="37" s="1"/>
  <c r="R194" i="37" s="1"/>
  <c r="V127" i="37"/>
  <c r="W127" i="37" s="1"/>
  <c r="X127" i="37" s="1"/>
  <c r="Y127" i="37" s="1"/>
  <c r="H35" i="37" s="1"/>
  <c r="R198" i="37" s="1"/>
  <c r="V120" i="37"/>
  <c r="W120" i="37" s="1"/>
  <c r="X120" i="37" s="1"/>
  <c r="Y120" i="37" s="1"/>
  <c r="G36" i="37" s="1"/>
  <c r="R192" i="37" s="1"/>
  <c r="Z83" i="37"/>
  <c r="Z84" i="37" s="1"/>
  <c r="Z85" i="37" s="1"/>
  <c r="Z86" i="37" s="1"/>
  <c r="Z87" i="37" s="1"/>
  <c r="Z88" i="37" s="1"/>
  <c r="AA82" i="37"/>
  <c r="V123" i="37"/>
  <c r="W123" i="37" s="1"/>
  <c r="X123" i="37" s="1"/>
  <c r="Y123" i="37" s="1"/>
  <c r="G39" i="37" s="1"/>
  <c r="R195" i="37" s="1"/>
  <c r="V127" i="38"/>
  <c r="W127" i="38" s="1"/>
  <c r="X127" i="38" s="1"/>
  <c r="Y127" i="38" s="1"/>
  <c r="H35" i="38" s="1"/>
  <c r="R198" i="38" s="1"/>
  <c r="BE97" i="37"/>
  <c r="AL183" i="37"/>
  <c r="AL184" i="37" s="1"/>
  <c r="AL185" i="37" s="1"/>
  <c r="AL186" i="37" s="1"/>
  <c r="AL187" i="37" s="1"/>
  <c r="AM182" i="37"/>
  <c r="S58" i="37"/>
  <c r="V57" i="37"/>
  <c r="R46" i="38"/>
  <c r="S45" i="38"/>
  <c r="J11" i="38" s="1"/>
  <c r="AR175" i="38"/>
  <c r="AR176" i="38" s="1"/>
  <c r="AR177" i="38" s="1"/>
  <c r="AR178" i="38" s="1"/>
  <c r="AR179" i="38" s="1"/>
  <c r="AR180" i="38" s="1"/>
  <c r="AS174" i="38"/>
  <c r="AS174" i="37"/>
  <c r="AR175" i="37"/>
  <c r="AR176" i="37" s="1"/>
  <c r="AR177" i="37" s="1"/>
  <c r="AR178" i="37" s="1"/>
  <c r="AR179" i="37" s="1"/>
  <c r="AR180" i="37" s="1"/>
  <c r="AD105" i="38"/>
  <c r="AO88" i="38"/>
  <c r="AO89" i="38" s="1"/>
  <c r="AO90" i="38" s="1"/>
  <c r="AO91" i="38" s="1"/>
  <c r="AO92" i="38" s="1"/>
  <c r="AO93" i="38" s="1"/>
  <c r="AP87" i="38"/>
  <c r="AP87" i="37"/>
  <c r="AO88" i="37"/>
  <c r="AO89" i="37" s="1"/>
  <c r="AO90" i="37" s="1"/>
  <c r="AO91" i="37" s="1"/>
  <c r="AO92" i="37" s="1"/>
  <c r="AO93" i="37" s="1"/>
  <c r="V128" i="38"/>
  <c r="W128" i="38" s="1"/>
  <c r="X128" i="38" s="1"/>
  <c r="Y128" i="38" s="1"/>
  <c r="H36" i="38" s="1"/>
  <c r="R199" i="38" s="1"/>
  <c r="AA90" i="38"/>
  <c r="R46" i="37"/>
  <c r="S45" i="37"/>
  <c r="AA90" i="37"/>
  <c r="V57" i="38"/>
  <c r="S58" i="38"/>
  <c r="BB108" i="38"/>
  <c r="BD103" i="38"/>
  <c r="BD104" i="38" s="1"/>
  <c r="BE102" i="38"/>
  <c r="AM182" i="38"/>
  <c r="AL183" i="38"/>
  <c r="AL184" i="38" s="1"/>
  <c r="AL185" i="38" s="1"/>
  <c r="AL186" i="38" s="1"/>
  <c r="AL187" i="38" s="1"/>
  <c r="BB108" i="37"/>
  <c r="AD105" i="37"/>
  <c r="AF119" i="37" s="1"/>
  <c r="AG119" i="37" s="1"/>
  <c r="AH119" i="37" s="1"/>
  <c r="AI119" i="37" s="1"/>
  <c r="A35" i="37" s="1"/>
  <c r="R214" i="37" s="1"/>
  <c r="BD124" i="37" l="1"/>
  <c r="BE124" i="37" s="1"/>
  <c r="BF124" i="37" s="1"/>
  <c r="BG124" i="37" s="1"/>
  <c r="J10" i="37" s="1"/>
  <c r="R284" i="37" s="1"/>
  <c r="AS111" i="38"/>
  <c r="AZ121" i="38" s="1"/>
  <c r="BA121" i="38" s="1"/>
  <c r="BB121" i="38" s="1"/>
  <c r="BC121" i="38" s="1"/>
  <c r="G7" i="38" s="1"/>
  <c r="R270" i="38" s="1"/>
  <c r="BD118" i="38"/>
  <c r="BE118" i="38" s="1"/>
  <c r="BF118" i="38" s="1"/>
  <c r="BG118" i="38" s="1"/>
  <c r="J4" i="38" s="1"/>
  <c r="R278" i="38" s="1"/>
  <c r="BD127" i="38"/>
  <c r="BE127" i="38" s="1"/>
  <c r="BF127" i="38" s="1"/>
  <c r="BG127" i="38" s="1"/>
  <c r="K5" i="38" s="1"/>
  <c r="BD128" i="38"/>
  <c r="BE128" i="38" s="1"/>
  <c r="BF128" i="38" s="1"/>
  <c r="BG128" i="38" s="1"/>
  <c r="K6" i="38" s="1"/>
  <c r="AZ118" i="38"/>
  <c r="BA118" i="38" s="1"/>
  <c r="BB118" i="38" s="1"/>
  <c r="BC118" i="38" s="1"/>
  <c r="G4" i="38" s="1"/>
  <c r="R267" i="38" s="1"/>
  <c r="BD121" i="38"/>
  <c r="BE121" i="38" s="1"/>
  <c r="BF121" i="38" s="1"/>
  <c r="BG121" i="38" s="1"/>
  <c r="J7" i="38" s="1"/>
  <c r="R281" i="38" s="1"/>
  <c r="AZ120" i="38"/>
  <c r="BA120" i="38" s="1"/>
  <c r="BB120" i="38" s="1"/>
  <c r="BC120" i="38" s="1"/>
  <c r="G6" i="38" s="1"/>
  <c r="R269" i="38" s="1"/>
  <c r="AF119" i="38"/>
  <c r="AG119" i="38" s="1"/>
  <c r="AH119" i="38" s="1"/>
  <c r="AI119" i="38" s="1"/>
  <c r="A35" i="38" s="1"/>
  <c r="R214" i="38" s="1"/>
  <c r="BD122" i="38"/>
  <c r="BE122" i="38" s="1"/>
  <c r="BF122" i="38" s="1"/>
  <c r="BG122" i="38" s="1"/>
  <c r="J8" i="38" s="1"/>
  <c r="R282" i="38" s="1"/>
  <c r="BD119" i="38"/>
  <c r="BE119" i="38" s="1"/>
  <c r="BF119" i="38" s="1"/>
  <c r="BG119" i="38" s="1"/>
  <c r="J5" i="38" s="1"/>
  <c r="R279" i="38" s="1"/>
  <c r="BD123" i="38"/>
  <c r="BE123" i="38" s="1"/>
  <c r="BF123" i="38" s="1"/>
  <c r="BG123" i="38" s="1"/>
  <c r="J9" i="38" s="1"/>
  <c r="R283" i="38" s="1"/>
  <c r="BD126" i="38"/>
  <c r="BE126" i="38" s="1"/>
  <c r="BF126" i="38" s="1"/>
  <c r="BG126" i="38" s="1"/>
  <c r="K4" i="38" s="1"/>
  <c r="BD120" i="38"/>
  <c r="BE120" i="38" s="1"/>
  <c r="BF120" i="38" s="1"/>
  <c r="BG120" i="38" s="1"/>
  <c r="J6" i="38" s="1"/>
  <c r="R280" i="38" s="1"/>
  <c r="O59" i="35"/>
  <c r="P59" i="35" s="1"/>
  <c r="Q59" i="35" s="1"/>
  <c r="P65" i="35" s="1"/>
  <c r="E13" i="35" s="1"/>
  <c r="O61" i="35"/>
  <c r="P61" i="35" s="1"/>
  <c r="Q61" i="35" s="1"/>
  <c r="P67" i="35" s="1"/>
  <c r="E15" i="35" s="1"/>
  <c r="AS111" i="37"/>
  <c r="AZ121" i="37" s="1"/>
  <c r="BA121" i="37" s="1"/>
  <c r="BB121" i="37" s="1"/>
  <c r="BC121" i="37" s="1"/>
  <c r="G7" i="37" s="1"/>
  <c r="R270" i="37" s="1"/>
  <c r="AF102" i="38"/>
  <c r="AF103" i="38" s="1"/>
  <c r="AF104" i="38" s="1"/>
  <c r="AF105" i="38" s="1"/>
  <c r="AF106" i="38" s="1"/>
  <c r="AF107" i="38" s="1"/>
  <c r="AG101" i="38"/>
  <c r="AF102" i="37"/>
  <c r="AF103" i="37" s="1"/>
  <c r="AF104" i="37" s="1"/>
  <c r="AF105" i="37" s="1"/>
  <c r="AF106" i="37" s="1"/>
  <c r="AF107" i="37" s="1"/>
  <c r="AF108" i="37" s="1"/>
  <c r="AF109" i="37" s="1"/>
  <c r="AF110" i="37" s="1"/>
  <c r="AF111" i="37" s="1"/>
  <c r="AF112" i="37" s="1"/>
  <c r="AF113" i="37" s="1"/>
  <c r="AF114" i="37" s="1"/>
  <c r="AF115" i="37" s="1"/>
  <c r="AG101" i="37"/>
  <c r="W190" i="38"/>
  <c r="X189" i="38"/>
  <c r="AU183" i="38"/>
  <c r="AU184" i="38" s="1"/>
  <c r="AU185" i="38" s="1"/>
  <c r="AU186" i="38" s="1"/>
  <c r="AU187" i="38" s="1"/>
  <c r="AU188" i="38" s="1"/>
  <c r="AU189" i="38" s="1"/>
  <c r="AU190" i="38" s="1"/>
  <c r="AV182" i="38"/>
  <c r="AZ127" i="38"/>
  <c r="BA127" i="38" s="1"/>
  <c r="BB127" i="38" s="1"/>
  <c r="BC127" i="38" s="1"/>
  <c r="H5" i="38" s="1"/>
  <c r="R286" i="38" s="1"/>
  <c r="AZ125" i="38"/>
  <c r="BA125" i="38" s="1"/>
  <c r="BB125" i="38" s="1"/>
  <c r="BC125" i="38" s="1"/>
  <c r="G3" i="38" s="1"/>
  <c r="R266" i="38" s="1"/>
  <c r="AU183" i="37"/>
  <c r="AU184" i="37" s="1"/>
  <c r="AU185" i="37" s="1"/>
  <c r="AU186" i="37" s="1"/>
  <c r="AU187" i="37" s="1"/>
  <c r="AU188" i="37" s="1"/>
  <c r="AU189" i="37" s="1"/>
  <c r="AU190" i="37" s="1"/>
  <c r="AV182" i="37"/>
  <c r="W190" i="37"/>
  <c r="X189" i="37"/>
  <c r="AZ122" i="37"/>
  <c r="BA122" i="37" s="1"/>
  <c r="BB122" i="37" s="1"/>
  <c r="BC122" i="37" s="1"/>
  <c r="G8" i="37" s="1"/>
  <c r="R271" i="37" s="1"/>
  <c r="AG107" i="37"/>
  <c r="AF108" i="38"/>
  <c r="AF109" i="38" s="1"/>
  <c r="AF110" i="38" s="1"/>
  <c r="AF111" i="38" s="1"/>
  <c r="AF112" i="38" s="1"/>
  <c r="AF113" i="38" s="1"/>
  <c r="AF114" i="38" s="1"/>
  <c r="AF115" i="38" s="1"/>
  <c r="AG107" i="38"/>
  <c r="AX104" i="38"/>
  <c r="AX105" i="38" s="1"/>
  <c r="AX106" i="38" s="1"/>
  <c r="AY103" i="38"/>
  <c r="AI85" i="38"/>
  <c r="AI86" i="38" s="1"/>
  <c r="AI87" i="38" s="1"/>
  <c r="AI88" i="38" s="1"/>
  <c r="AI89" i="38" s="1"/>
  <c r="AI90" i="38" s="1"/>
  <c r="AI91" i="38" s="1"/>
  <c r="AJ84" i="38"/>
  <c r="AZ128" i="38"/>
  <c r="BA128" i="38" s="1"/>
  <c r="BB128" i="38" s="1"/>
  <c r="BC128" i="38" s="1"/>
  <c r="H6" i="38" s="1"/>
  <c r="AX104" i="37"/>
  <c r="AX105" i="37" s="1"/>
  <c r="AX106" i="37" s="1"/>
  <c r="AY103" i="37"/>
  <c r="AZ122" i="38"/>
  <c r="BA122" i="38" s="1"/>
  <c r="BB122" i="38" s="1"/>
  <c r="BC122" i="38" s="1"/>
  <c r="G8" i="38" s="1"/>
  <c r="R271" i="38" s="1"/>
  <c r="AZ123" i="38"/>
  <c r="BA123" i="38" s="1"/>
  <c r="BB123" i="38" s="1"/>
  <c r="BC123" i="38" s="1"/>
  <c r="G9" i="38" s="1"/>
  <c r="R272" i="38" s="1"/>
  <c r="M79" i="35"/>
  <c r="M83" i="35"/>
  <c r="M77" i="35"/>
  <c r="E23" i="35" s="1"/>
  <c r="M81" i="35"/>
  <c r="G23" i="35"/>
  <c r="M84" i="35"/>
  <c r="M82" i="35"/>
  <c r="M78" i="35"/>
  <c r="M80" i="35"/>
  <c r="F99" i="35"/>
  <c r="K21" i="35" s="1"/>
  <c r="BD105" i="38"/>
  <c r="BD106" i="38" s="1"/>
  <c r="BD107" i="38" s="1"/>
  <c r="BE104" i="38"/>
  <c r="AL188" i="37"/>
  <c r="AL189" i="37" s="1"/>
  <c r="AL190" i="37" s="1"/>
  <c r="AM187" i="37"/>
  <c r="F41" i="35"/>
  <c r="F35" i="35"/>
  <c r="F102" i="35"/>
  <c r="K32" i="35" s="1"/>
  <c r="M89" i="35"/>
  <c r="O89" i="35" s="1"/>
  <c r="P89" i="35" s="1"/>
  <c r="Q89" i="35" s="1"/>
  <c r="R89" i="35" s="1"/>
  <c r="S89" i="35" s="1"/>
  <c r="T89" i="35" s="1"/>
  <c r="D38" i="35" s="1"/>
  <c r="M91" i="35"/>
  <c r="M87" i="35"/>
  <c r="M88" i="35"/>
  <c r="M86" i="35"/>
  <c r="D35" i="35" s="1"/>
  <c r="M92" i="35"/>
  <c r="M90" i="35"/>
  <c r="BD126" i="37"/>
  <c r="BE126" i="37" s="1"/>
  <c r="BF126" i="37" s="1"/>
  <c r="BG126" i="37" s="1"/>
  <c r="K4" i="37" s="1"/>
  <c r="BD128" i="37"/>
  <c r="BE128" i="37" s="1"/>
  <c r="BF128" i="37" s="1"/>
  <c r="BG128" i="37" s="1"/>
  <c r="K6" i="37" s="1"/>
  <c r="BD125" i="37"/>
  <c r="BE125" i="37" s="1"/>
  <c r="BF125" i="37" s="1"/>
  <c r="BG125" i="37" s="1"/>
  <c r="J3" i="37" s="1"/>
  <c r="R277" i="37" s="1"/>
  <c r="AO94" i="37"/>
  <c r="AO95" i="37" s="1"/>
  <c r="AO96" i="37" s="1"/>
  <c r="AP93" i="37"/>
  <c r="Z89" i="37"/>
  <c r="Z90" i="37" s="1"/>
  <c r="Z91" i="37" s="1"/>
  <c r="Z92" i="37" s="1"/>
  <c r="Z93" i="37" s="1"/>
  <c r="Z94" i="37" s="1"/>
  <c r="Z95" i="37" s="1"/>
  <c r="Z96" i="37" s="1"/>
  <c r="Z97" i="37" s="1"/>
  <c r="Z98" i="37" s="1"/>
  <c r="AA88" i="37"/>
  <c r="Z89" i="38"/>
  <c r="Z90" i="38" s="1"/>
  <c r="Z91" i="38" s="1"/>
  <c r="Z92" i="38" s="1"/>
  <c r="Z93" i="38" s="1"/>
  <c r="Z94" i="38" s="1"/>
  <c r="Z95" i="38" s="1"/>
  <c r="Z96" i="38" s="1"/>
  <c r="Z97" i="38" s="1"/>
  <c r="Z98" i="38" s="1"/>
  <c r="AA88" i="38"/>
  <c r="AI92" i="37"/>
  <c r="AI93" i="37" s="1"/>
  <c r="AI94" i="37" s="1"/>
  <c r="AI95" i="37" s="1"/>
  <c r="AI96" i="37" s="1"/>
  <c r="AI97" i="37" s="1"/>
  <c r="AI98" i="37" s="1"/>
  <c r="AI99" i="37" s="1"/>
  <c r="AI100" i="37" s="1"/>
  <c r="AJ91" i="37"/>
  <c r="AO94" i="38"/>
  <c r="AO95" i="38" s="1"/>
  <c r="AO96" i="38" s="1"/>
  <c r="AP93" i="38"/>
  <c r="AL188" i="38"/>
  <c r="AL189" i="38" s="1"/>
  <c r="AL190" i="38" s="1"/>
  <c r="AM187" i="38"/>
  <c r="BD127" i="37"/>
  <c r="BE127" i="37" s="1"/>
  <c r="BF127" i="37" s="1"/>
  <c r="BG127" i="37" s="1"/>
  <c r="K5" i="37" s="1"/>
  <c r="BA93" i="38"/>
  <c r="BA94" i="38" s="1"/>
  <c r="BA95" i="38" s="1"/>
  <c r="BA96" i="38" s="1"/>
  <c r="BA97" i="38" s="1"/>
  <c r="BA98" i="38" s="1"/>
  <c r="BB92" i="38"/>
  <c r="BA93" i="37"/>
  <c r="BA94" i="37" s="1"/>
  <c r="BA95" i="37" s="1"/>
  <c r="BA96" i="37" s="1"/>
  <c r="BA97" i="37" s="1"/>
  <c r="BA98" i="37" s="1"/>
  <c r="BB92" i="37"/>
  <c r="F40" i="35"/>
  <c r="BD121" i="37"/>
  <c r="BE121" i="37" s="1"/>
  <c r="BF121" i="37" s="1"/>
  <c r="BG121" i="37" s="1"/>
  <c r="J7" i="37" s="1"/>
  <c r="R281" i="37" s="1"/>
  <c r="G28" i="35"/>
  <c r="F42" i="35"/>
  <c r="AF118" i="38"/>
  <c r="AG118" i="38" s="1"/>
  <c r="AH118" i="38" s="1"/>
  <c r="AI118" i="38" s="1"/>
  <c r="A34" i="38" s="1"/>
  <c r="R213" i="38" s="1"/>
  <c r="AF124" i="37"/>
  <c r="AG124" i="37" s="1"/>
  <c r="AH124" i="37" s="1"/>
  <c r="AI124" i="37" s="1"/>
  <c r="A40" i="37" s="1"/>
  <c r="R219" i="37" s="1"/>
  <c r="AF118" i="37"/>
  <c r="AG118" i="37" s="1"/>
  <c r="AH118" i="37" s="1"/>
  <c r="AI118" i="37" s="1"/>
  <c r="A34" i="37" s="1"/>
  <c r="R213" i="37" s="1"/>
  <c r="AF120" i="37"/>
  <c r="AG120" i="37" s="1"/>
  <c r="AH120" i="37" s="1"/>
  <c r="AI120" i="37" s="1"/>
  <c r="A36" i="37" s="1"/>
  <c r="R215" i="37" s="1"/>
  <c r="AF120" i="38"/>
  <c r="AG120" i="38" s="1"/>
  <c r="AH120" i="38" s="1"/>
  <c r="AI120" i="38" s="1"/>
  <c r="A36" i="38" s="1"/>
  <c r="R215" i="38" s="1"/>
  <c r="J11" i="37"/>
  <c r="S59" i="38"/>
  <c r="V58" i="38"/>
  <c r="AP94" i="38"/>
  <c r="AA91" i="38"/>
  <c r="AS180" i="37"/>
  <c r="AR181" i="37"/>
  <c r="AR182" i="37" s="1"/>
  <c r="AR183" i="37" s="1"/>
  <c r="V58" i="37"/>
  <c r="S59" i="37"/>
  <c r="AP94" i="37"/>
  <c r="BE107" i="38"/>
  <c r="BD108" i="38"/>
  <c r="BD109" i="38" s="1"/>
  <c r="BD110" i="38" s="1"/>
  <c r="BD111" i="38" s="1"/>
  <c r="BD112" i="38" s="1"/>
  <c r="BD113" i="38" s="1"/>
  <c r="BD114" i="38" s="1"/>
  <c r="BD115" i="38" s="1"/>
  <c r="BE102" i="37"/>
  <c r="BD103" i="37"/>
  <c r="BD104" i="37" s="1"/>
  <c r="AA91" i="37"/>
  <c r="BB111" i="37"/>
  <c r="S46" i="37"/>
  <c r="J21" i="37" s="1"/>
  <c r="R47" i="37"/>
  <c r="S47" i="37" s="1"/>
  <c r="R49" i="37" s="1"/>
  <c r="AR181" i="38"/>
  <c r="AR182" i="38" s="1"/>
  <c r="AR183" i="38" s="1"/>
  <c r="AS180" i="38"/>
  <c r="BB111" i="38"/>
  <c r="R47" i="38"/>
  <c r="S47" i="38" s="1"/>
  <c r="S46" i="38"/>
  <c r="J21" i="38" s="1"/>
  <c r="AZ124" i="37" l="1"/>
  <c r="BA124" i="37" s="1"/>
  <c r="BB124" i="37" s="1"/>
  <c r="BC124" i="37" s="1"/>
  <c r="G10" i="37" s="1"/>
  <c r="R273" i="37" s="1"/>
  <c r="AZ123" i="37"/>
  <c r="BA123" i="37" s="1"/>
  <c r="BB123" i="37" s="1"/>
  <c r="BC123" i="37" s="1"/>
  <c r="G9" i="37" s="1"/>
  <c r="R272" i="37" s="1"/>
  <c r="AZ126" i="38"/>
  <c r="BA126" i="38" s="1"/>
  <c r="BB126" i="38" s="1"/>
  <c r="BC126" i="38" s="1"/>
  <c r="H4" i="38" s="1"/>
  <c r="AZ124" i="38"/>
  <c r="BA124" i="38" s="1"/>
  <c r="BB124" i="38" s="1"/>
  <c r="BC124" i="38" s="1"/>
  <c r="G10" i="38" s="1"/>
  <c r="R273" i="38" s="1"/>
  <c r="AZ119" i="38"/>
  <c r="BA119" i="38" s="1"/>
  <c r="BB119" i="38" s="1"/>
  <c r="BC119" i="38" s="1"/>
  <c r="G5" i="38" s="1"/>
  <c r="R268" i="38" s="1"/>
  <c r="AJ119" i="38"/>
  <c r="AK119" i="38" s="1"/>
  <c r="AL119" i="38" s="1"/>
  <c r="AM119" i="38" s="1"/>
  <c r="A24" i="38" s="1"/>
  <c r="R223" i="38" s="1"/>
  <c r="AJ122" i="38"/>
  <c r="AK122" i="38" s="1"/>
  <c r="AL122" i="38" s="1"/>
  <c r="AM122" i="38" s="1"/>
  <c r="A27" i="38" s="1"/>
  <c r="R226" i="38" s="1"/>
  <c r="AZ118" i="37"/>
  <c r="BA118" i="37" s="1"/>
  <c r="BB118" i="37" s="1"/>
  <c r="BC118" i="37" s="1"/>
  <c r="G4" i="37" s="1"/>
  <c r="R267" i="37" s="1"/>
  <c r="AZ119" i="37"/>
  <c r="BA119" i="37" s="1"/>
  <c r="BB119" i="37" s="1"/>
  <c r="BC119" i="37" s="1"/>
  <c r="G5" i="37" s="1"/>
  <c r="R268" i="37" s="1"/>
  <c r="AJ121" i="38"/>
  <c r="AK121" i="38" s="1"/>
  <c r="AL121" i="38" s="1"/>
  <c r="AM121" i="38" s="1"/>
  <c r="A26" i="38" s="1"/>
  <c r="R225" i="38" s="1"/>
  <c r="AZ125" i="37"/>
  <c r="BA125" i="37" s="1"/>
  <c r="BB125" i="37" s="1"/>
  <c r="BC125" i="37" s="1"/>
  <c r="G3" i="37" s="1"/>
  <c r="R266" i="37" s="1"/>
  <c r="AZ120" i="37"/>
  <c r="BA120" i="37" s="1"/>
  <c r="BB120" i="37" s="1"/>
  <c r="BC120" i="37" s="1"/>
  <c r="G6" i="37" s="1"/>
  <c r="R269" i="37" s="1"/>
  <c r="AJ118" i="37"/>
  <c r="AK118" i="37" s="1"/>
  <c r="AL118" i="37" s="1"/>
  <c r="AM118" i="37" s="1"/>
  <c r="A23" i="37" s="1"/>
  <c r="R222" i="37" s="1"/>
  <c r="AJ120" i="37"/>
  <c r="AK120" i="37" s="1"/>
  <c r="AL120" i="37" s="1"/>
  <c r="AM120" i="37" s="1"/>
  <c r="A25" i="37" s="1"/>
  <c r="R224" i="37" s="1"/>
  <c r="AJ119" i="37"/>
  <c r="AK119" i="37" s="1"/>
  <c r="AL119" i="37" s="1"/>
  <c r="AM119" i="37" s="1"/>
  <c r="A24" i="37" s="1"/>
  <c r="R223" i="37" s="1"/>
  <c r="AJ121" i="37"/>
  <c r="AK121" i="37" s="1"/>
  <c r="AL121" i="37" s="1"/>
  <c r="AM121" i="37" s="1"/>
  <c r="A26" i="37" s="1"/>
  <c r="R225" i="37" s="1"/>
  <c r="AJ122" i="37"/>
  <c r="AK122" i="37" s="1"/>
  <c r="AL122" i="37" s="1"/>
  <c r="AM122" i="37" s="1"/>
  <c r="A27" i="37" s="1"/>
  <c r="R226" i="37" s="1"/>
  <c r="AJ120" i="38"/>
  <c r="AK120" i="38" s="1"/>
  <c r="AL120" i="38" s="1"/>
  <c r="AM120" i="38" s="1"/>
  <c r="A25" i="38" s="1"/>
  <c r="R224" i="38" s="1"/>
  <c r="AZ128" i="37"/>
  <c r="BA128" i="37" s="1"/>
  <c r="BB128" i="37" s="1"/>
  <c r="BC128" i="37" s="1"/>
  <c r="H6" i="37" s="1"/>
  <c r="AZ127" i="37"/>
  <c r="BA127" i="37" s="1"/>
  <c r="BB127" i="37" s="1"/>
  <c r="BC127" i="37" s="1"/>
  <c r="H5" i="37" s="1"/>
  <c r="AZ126" i="37"/>
  <c r="BA126" i="37" s="1"/>
  <c r="BB126" i="37" s="1"/>
  <c r="BC126" i="37" s="1"/>
  <c r="H4" i="37" s="1"/>
  <c r="R275" i="38"/>
  <c r="BP120" i="38"/>
  <c r="BQ120" i="38" s="1"/>
  <c r="BR120" i="38" s="1"/>
  <c r="BS120" i="38" s="1"/>
  <c r="J36" i="38" s="1"/>
  <c r="R314" i="38" s="1"/>
  <c r="AR184" i="37"/>
  <c r="AR185" i="37" s="1"/>
  <c r="AR186" i="37" s="1"/>
  <c r="AS183" i="37"/>
  <c r="AI101" i="37"/>
  <c r="AI102" i="37" s="1"/>
  <c r="AI103" i="37" s="1"/>
  <c r="AI104" i="37" s="1"/>
  <c r="AI105" i="37" s="1"/>
  <c r="AI106" i="37" s="1"/>
  <c r="AI107" i="37" s="1"/>
  <c r="AI108" i="37" s="1"/>
  <c r="AI109" i="37" s="1"/>
  <c r="AI110" i="37" s="1"/>
  <c r="AJ100" i="37"/>
  <c r="AX107" i="38"/>
  <c r="AX108" i="38" s="1"/>
  <c r="AX109" i="38" s="1"/>
  <c r="AX110" i="38" s="1"/>
  <c r="AX111" i="38" s="1"/>
  <c r="AX112" i="38" s="1"/>
  <c r="AX113" i="38" s="1"/>
  <c r="AX114" i="38" s="1"/>
  <c r="AX115" i="38" s="1"/>
  <c r="AY106" i="38"/>
  <c r="AR184" i="38"/>
  <c r="AR185" i="38" s="1"/>
  <c r="AR186" i="38" s="1"/>
  <c r="AR187" i="38" s="1"/>
  <c r="AR188" i="38" s="1"/>
  <c r="AR189" i="38" s="1"/>
  <c r="AR190" i="38" s="1"/>
  <c r="AS183" i="38"/>
  <c r="AX107" i="37"/>
  <c r="AX108" i="37" s="1"/>
  <c r="AX109" i="37" s="1"/>
  <c r="AX110" i="37" s="1"/>
  <c r="AX111" i="37" s="1"/>
  <c r="AX112" i="37" s="1"/>
  <c r="AY112" i="37" s="1"/>
  <c r="AY106" i="37"/>
  <c r="AI92" i="38"/>
  <c r="AI93" i="38" s="1"/>
  <c r="AI94" i="38" s="1"/>
  <c r="AI95" i="38" s="1"/>
  <c r="AI96" i="38" s="1"/>
  <c r="AI97" i="38" s="1"/>
  <c r="AI98" i="38" s="1"/>
  <c r="AI99" i="38" s="1"/>
  <c r="AI100" i="38" s="1"/>
  <c r="AJ91" i="38"/>
  <c r="O80" i="35"/>
  <c r="P80" i="35" s="1"/>
  <c r="BA99" i="37"/>
  <c r="BA100" i="37" s="1"/>
  <c r="BA101" i="37" s="1"/>
  <c r="BA102" i="37" s="1"/>
  <c r="BA103" i="37" s="1"/>
  <c r="BA104" i="37" s="1"/>
  <c r="BA105" i="37" s="1"/>
  <c r="BB98" i="37"/>
  <c r="O91" i="35"/>
  <c r="P91" i="35" s="1"/>
  <c r="Q91" i="35" s="1"/>
  <c r="R91" i="35" s="1"/>
  <c r="S91" i="35" s="1"/>
  <c r="T91" i="35" s="1"/>
  <c r="D40" i="35" s="1"/>
  <c r="O81" i="35"/>
  <c r="P81" i="35" s="1"/>
  <c r="Q81" i="35" s="1"/>
  <c r="R81" i="35" s="1"/>
  <c r="S81" i="35" s="1"/>
  <c r="T81" i="35" s="1"/>
  <c r="E27" i="35" s="1"/>
  <c r="AJ108" i="37"/>
  <c r="BA99" i="38"/>
  <c r="BA100" i="38" s="1"/>
  <c r="BA101" i="38" s="1"/>
  <c r="BA102" i="38" s="1"/>
  <c r="BA103" i="38" s="1"/>
  <c r="BA104" i="38" s="1"/>
  <c r="BA105" i="38" s="1"/>
  <c r="BB98" i="38"/>
  <c r="O83" i="35"/>
  <c r="P83" i="35" s="1"/>
  <c r="O90" i="35"/>
  <c r="P90" i="35" s="1"/>
  <c r="AJ127" i="38"/>
  <c r="AK127" i="38" s="1"/>
  <c r="AL127" i="38" s="1"/>
  <c r="AM127" i="38" s="1"/>
  <c r="B25" i="38" s="1"/>
  <c r="R231" i="38" s="1"/>
  <c r="AJ123" i="38"/>
  <c r="AK123" i="38" s="1"/>
  <c r="AL123" i="38" s="1"/>
  <c r="AM123" i="38" s="1"/>
  <c r="A28" i="38" s="1"/>
  <c r="R227" i="38" s="1"/>
  <c r="O92" i="35"/>
  <c r="P92" i="35" s="1"/>
  <c r="O87" i="35"/>
  <c r="P87" i="35" s="1"/>
  <c r="Q87" i="35" s="1"/>
  <c r="R87" i="35" s="1"/>
  <c r="S87" i="35" s="1"/>
  <c r="T87" i="35" s="1"/>
  <c r="D36" i="35" s="1"/>
  <c r="O79" i="35"/>
  <c r="P79" i="35" s="1"/>
  <c r="AJ124" i="37"/>
  <c r="AK124" i="37" s="1"/>
  <c r="AL124" i="37" s="1"/>
  <c r="AM124" i="37" s="1"/>
  <c r="A29" i="37" s="1"/>
  <c r="R228" i="37" s="1"/>
  <c r="AJ128" i="37"/>
  <c r="AK128" i="37" s="1"/>
  <c r="AL128" i="37" s="1"/>
  <c r="AM128" i="37" s="1"/>
  <c r="B26" i="37" s="1"/>
  <c r="R232" i="37" s="1"/>
  <c r="AJ126" i="37"/>
  <c r="AK126" i="37" s="1"/>
  <c r="AL126" i="37" s="1"/>
  <c r="AM126" i="37" s="1"/>
  <c r="B24" i="37" s="1"/>
  <c r="R230" i="37" s="1"/>
  <c r="AJ127" i="37"/>
  <c r="AK127" i="37" s="1"/>
  <c r="AL127" i="37" s="1"/>
  <c r="AM127" i="37" s="1"/>
  <c r="B25" i="37" s="1"/>
  <c r="R231" i="37" s="1"/>
  <c r="O78" i="35"/>
  <c r="P78" i="35" s="1"/>
  <c r="R276" i="38"/>
  <c r="R287" i="38"/>
  <c r="AJ123" i="37"/>
  <c r="AK123" i="37" s="1"/>
  <c r="AL123" i="37" s="1"/>
  <c r="AM123" i="37" s="1"/>
  <c r="A28" i="37" s="1"/>
  <c r="R227" i="37" s="1"/>
  <c r="O82" i="35"/>
  <c r="P82" i="35" s="1"/>
  <c r="BD105" i="37"/>
  <c r="BD106" i="37" s="1"/>
  <c r="BD107" i="37" s="1"/>
  <c r="BD108" i="37" s="1"/>
  <c r="BD109" i="37" s="1"/>
  <c r="BD110" i="37" s="1"/>
  <c r="BD111" i="37" s="1"/>
  <c r="BD112" i="37" s="1"/>
  <c r="BD113" i="37" s="1"/>
  <c r="BD114" i="37" s="1"/>
  <c r="BD115" i="37" s="1"/>
  <c r="BH118" i="37" s="1"/>
  <c r="BI118" i="37" s="1"/>
  <c r="BJ118" i="37" s="1"/>
  <c r="BK118" i="37" s="1"/>
  <c r="J14" i="37" s="1"/>
  <c r="R290" i="37" s="1"/>
  <c r="BE104" i="37"/>
  <c r="O88" i="35"/>
  <c r="P88" i="35" s="1"/>
  <c r="R49" i="38"/>
  <c r="U49" i="38" s="1"/>
  <c r="BP122" i="38"/>
  <c r="BQ122" i="38" s="1"/>
  <c r="BR122" i="38" s="1"/>
  <c r="BS122" i="38" s="1"/>
  <c r="J38" i="38" s="1"/>
  <c r="R316" i="38" s="1"/>
  <c r="L100" i="37"/>
  <c r="L102" i="37" s="1"/>
  <c r="Q183" i="37" s="1"/>
  <c r="AK191" i="37" s="1"/>
  <c r="BP119" i="38"/>
  <c r="BQ119" i="38" s="1"/>
  <c r="BR119" i="38" s="1"/>
  <c r="BS119" i="38" s="1"/>
  <c r="J35" i="38" s="1"/>
  <c r="R313" i="38" s="1"/>
  <c r="BP118" i="38"/>
  <c r="BQ118" i="38" s="1"/>
  <c r="BR118" i="38" s="1"/>
  <c r="BS118" i="38" s="1"/>
  <c r="J34" i="38" s="1"/>
  <c r="R312" i="38" s="1"/>
  <c r="BP121" i="38"/>
  <c r="BQ121" i="38" s="1"/>
  <c r="BR121" i="38" s="1"/>
  <c r="BS121" i="38" s="1"/>
  <c r="J37" i="38" s="1"/>
  <c r="R315" i="38" s="1"/>
  <c r="AJ118" i="38"/>
  <c r="AK118" i="38" s="1"/>
  <c r="AL118" i="38" s="1"/>
  <c r="AM118" i="38" s="1"/>
  <c r="A23" i="38" s="1"/>
  <c r="R222" i="38" s="1"/>
  <c r="V118" i="38"/>
  <c r="W118" i="38" s="1"/>
  <c r="X118" i="38" s="1"/>
  <c r="Y118" i="38" s="1"/>
  <c r="G34" i="38" s="1"/>
  <c r="R190" i="38" s="1"/>
  <c r="U49" i="37"/>
  <c r="R50" i="37"/>
  <c r="S60" i="37"/>
  <c r="V59" i="37"/>
  <c r="J31" i="38"/>
  <c r="L100" i="38"/>
  <c r="L102" i="38" s="1"/>
  <c r="Q183" i="38" s="1"/>
  <c r="L101" i="38"/>
  <c r="L103" i="38" s="1"/>
  <c r="Q184" i="38" s="1"/>
  <c r="AS186" i="37"/>
  <c r="AR187" i="37"/>
  <c r="AR188" i="37" s="1"/>
  <c r="AR189" i="37" s="1"/>
  <c r="AR190" i="37" s="1"/>
  <c r="BB113" i="37"/>
  <c r="BB113" i="38"/>
  <c r="J31" i="37"/>
  <c r="L101" i="37"/>
  <c r="L103" i="37" s="1"/>
  <c r="Q184" i="37" s="1"/>
  <c r="BP125" i="38"/>
  <c r="BQ125" i="38" s="1"/>
  <c r="BR125" i="38" s="1"/>
  <c r="BS125" i="38" s="1"/>
  <c r="J33" i="38" s="1"/>
  <c r="R311" i="38" s="1"/>
  <c r="BP123" i="38"/>
  <c r="BQ123" i="38" s="1"/>
  <c r="BR123" i="38" s="1"/>
  <c r="BS123" i="38" s="1"/>
  <c r="J39" i="38" s="1"/>
  <c r="R317" i="38" s="1"/>
  <c r="BP124" i="38"/>
  <c r="BQ124" i="38" s="1"/>
  <c r="BR124" i="38" s="1"/>
  <c r="BS124" i="38" s="1"/>
  <c r="J40" i="38" s="1"/>
  <c r="R318" i="38" s="1"/>
  <c r="BP126" i="38"/>
  <c r="BQ126" i="38" s="1"/>
  <c r="BR126" i="38" s="1"/>
  <c r="BS126" i="38" s="1"/>
  <c r="J32" i="38" s="1"/>
  <c r="R310" i="38" s="1"/>
  <c r="AP96" i="38"/>
  <c r="AO97" i="38"/>
  <c r="AO98" i="38" s="1"/>
  <c r="AO99" i="38" s="1"/>
  <c r="AO100" i="38" s="1"/>
  <c r="AS186" i="38"/>
  <c r="BP128" i="38"/>
  <c r="BQ128" i="38" s="1"/>
  <c r="BR128" i="38" s="1"/>
  <c r="BS128" i="38" s="1"/>
  <c r="K36" i="38" s="1"/>
  <c r="R320" i="38" s="1"/>
  <c r="BP127" i="38"/>
  <c r="BQ127" i="38" s="1"/>
  <c r="BR127" i="38" s="1"/>
  <c r="BS127" i="38" s="1"/>
  <c r="K35" i="38" s="1"/>
  <c r="R319" i="38" s="1"/>
  <c r="AA98" i="37"/>
  <c r="Z99" i="37"/>
  <c r="Z100" i="37" s="1"/>
  <c r="BE107" i="37"/>
  <c r="AP96" i="37"/>
  <c r="AO97" i="37"/>
  <c r="AO98" i="37" s="1"/>
  <c r="AO99" i="37" s="1"/>
  <c r="AO100" i="37" s="1"/>
  <c r="V59" i="38"/>
  <c r="S60" i="38"/>
  <c r="V120" i="38"/>
  <c r="W120" i="38" s="1"/>
  <c r="X120" i="38" s="1"/>
  <c r="Y120" i="38" s="1"/>
  <c r="G36" i="38" s="1"/>
  <c r="R192" i="38" s="1"/>
  <c r="AF122" i="38"/>
  <c r="AG122" i="38" s="1"/>
  <c r="AH122" i="38" s="1"/>
  <c r="AI122" i="38" s="1"/>
  <c r="A38" i="38" s="1"/>
  <c r="R217" i="38" s="1"/>
  <c r="V122" i="38"/>
  <c r="W122" i="38" s="1"/>
  <c r="X122" i="38" s="1"/>
  <c r="Y122" i="38" s="1"/>
  <c r="G38" i="38" s="1"/>
  <c r="R194" i="38" s="1"/>
  <c r="AF124" i="38"/>
  <c r="AG124" i="38" s="1"/>
  <c r="AH124" i="38" s="1"/>
  <c r="AI124" i="38" s="1"/>
  <c r="A40" i="38" s="1"/>
  <c r="R219" i="38" s="1"/>
  <c r="AJ128" i="38"/>
  <c r="AK128" i="38" s="1"/>
  <c r="AL128" i="38" s="1"/>
  <c r="AM128" i="38" s="1"/>
  <c r="B26" i="38" s="1"/>
  <c r="R232" i="38" s="1"/>
  <c r="V121" i="38"/>
  <c r="W121" i="38" s="1"/>
  <c r="X121" i="38" s="1"/>
  <c r="Y121" i="38" s="1"/>
  <c r="G37" i="38" s="1"/>
  <c r="R193" i="38" s="1"/>
  <c r="AF125" i="38"/>
  <c r="AG125" i="38" s="1"/>
  <c r="AH125" i="38" s="1"/>
  <c r="AI125" i="38" s="1"/>
  <c r="A33" i="38" s="1"/>
  <c r="R212" i="38" s="1"/>
  <c r="AF128" i="38"/>
  <c r="AG128" i="38" s="1"/>
  <c r="AH128" i="38" s="1"/>
  <c r="AI128" i="38" s="1"/>
  <c r="B36" i="38" s="1"/>
  <c r="R221" i="38" s="1"/>
  <c r="AJ125" i="38"/>
  <c r="AK125" i="38" s="1"/>
  <c r="AL125" i="38" s="1"/>
  <c r="AM125" i="38" s="1"/>
  <c r="A30" i="38" s="1"/>
  <c r="R229" i="38" s="1"/>
  <c r="V126" i="38"/>
  <c r="W126" i="38" s="1"/>
  <c r="X126" i="38" s="1"/>
  <c r="Y126" i="38" s="1"/>
  <c r="H34" i="38" s="1"/>
  <c r="R197" i="38" s="1"/>
  <c r="AF127" i="38"/>
  <c r="AG127" i="38" s="1"/>
  <c r="AH127" i="38" s="1"/>
  <c r="AI127" i="38" s="1"/>
  <c r="B35" i="38" s="1"/>
  <c r="R220" i="38" s="1"/>
  <c r="AJ124" i="38"/>
  <c r="AK124" i="38" s="1"/>
  <c r="AL124" i="38" s="1"/>
  <c r="AM124" i="38" s="1"/>
  <c r="A29" i="38" s="1"/>
  <c r="R228" i="38" s="1"/>
  <c r="V124" i="38"/>
  <c r="W124" i="38" s="1"/>
  <c r="X124" i="38" s="1"/>
  <c r="Y124" i="38" s="1"/>
  <c r="G40" i="38" s="1"/>
  <c r="R196" i="38" s="1"/>
  <c r="BD124" i="38"/>
  <c r="BE124" i="38" s="1"/>
  <c r="BF124" i="38" s="1"/>
  <c r="BG124" i="38" s="1"/>
  <c r="J10" i="38" s="1"/>
  <c r="R284" i="38" s="1"/>
  <c r="AJ126" i="38"/>
  <c r="AK126" i="38" s="1"/>
  <c r="AL126" i="38" s="1"/>
  <c r="AM126" i="38" s="1"/>
  <c r="B24" i="38" s="1"/>
  <c r="R230" i="38" s="1"/>
  <c r="AF123" i="38"/>
  <c r="AG123" i="38" s="1"/>
  <c r="AH123" i="38" s="1"/>
  <c r="AI123" i="38" s="1"/>
  <c r="A39" i="38" s="1"/>
  <c r="R218" i="38" s="1"/>
  <c r="V123" i="38"/>
  <c r="W123" i="38" s="1"/>
  <c r="X123" i="38" s="1"/>
  <c r="Y123" i="38" s="1"/>
  <c r="G39" i="38" s="1"/>
  <c r="R195" i="38" s="1"/>
  <c r="AF121" i="38"/>
  <c r="AG121" i="38" s="1"/>
  <c r="AH121" i="38" s="1"/>
  <c r="AI121" i="38" s="1"/>
  <c r="A37" i="38" s="1"/>
  <c r="R216" i="38" s="1"/>
  <c r="AF126" i="38"/>
  <c r="AG126" i="38" s="1"/>
  <c r="AH126" i="38" s="1"/>
  <c r="AI126" i="38" s="1"/>
  <c r="A32" i="38" s="1"/>
  <c r="R211" i="38" s="1"/>
  <c r="AA98" i="38"/>
  <c r="Z99" i="38"/>
  <c r="Z100" i="38" s="1"/>
  <c r="BH124" i="37" l="1"/>
  <c r="BI124" i="37" s="1"/>
  <c r="BJ124" i="37" s="1"/>
  <c r="BK124" i="37" s="1"/>
  <c r="J20" i="37" s="1"/>
  <c r="R296" i="37" s="1"/>
  <c r="Q82" i="35"/>
  <c r="R82" i="35" s="1"/>
  <c r="S82" i="35" s="1"/>
  <c r="T82" i="35" s="1"/>
  <c r="E28" i="35" s="1"/>
  <c r="Q83" i="35"/>
  <c r="R83" i="35" s="1"/>
  <c r="S83" i="35" s="1"/>
  <c r="T83" i="35" s="1"/>
  <c r="E29" i="35" s="1"/>
  <c r="R274" i="38"/>
  <c r="R285" i="38"/>
  <c r="Q92" i="35"/>
  <c r="R92" i="35" s="1"/>
  <c r="S92" i="35" s="1"/>
  <c r="T92" i="35" s="1"/>
  <c r="D41" i="35" s="1"/>
  <c r="Q79" i="35"/>
  <c r="R79" i="35" s="1"/>
  <c r="S79" i="35" s="1"/>
  <c r="T79" i="35" s="1"/>
  <c r="E25" i="35" s="1"/>
  <c r="BH119" i="37"/>
  <c r="BI119" i="37" s="1"/>
  <c r="BJ119" i="37" s="1"/>
  <c r="BK119" i="37" s="1"/>
  <c r="J15" i="37" s="1"/>
  <c r="R291" i="37" s="1"/>
  <c r="BH120" i="37"/>
  <c r="BI120" i="37" s="1"/>
  <c r="BJ120" i="37" s="1"/>
  <c r="BK120" i="37" s="1"/>
  <c r="J16" i="37" s="1"/>
  <c r="R292" i="37" s="1"/>
  <c r="BH121" i="37"/>
  <c r="BI121" i="37" s="1"/>
  <c r="BJ121" i="37" s="1"/>
  <c r="BK121" i="37" s="1"/>
  <c r="J17" i="37" s="1"/>
  <c r="R293" i="37" s="1"/>
  <c r="Q80" i="35"/>
  <c r="R80" i="35" s="1"/>
  <c r="S80" i="35" s="1"/>
  <c r="T80" i="35" s="1"/>
  <c r="E26" i="35" s="1"/>
  <c r="AY112" i="38"/>
  <c r="BH127" i="38" s="1"/>
  <c r="BI127" i="38" s="1"/>
  <c r="BJ127" i="38" s="1"/>
  <c r="BK127" i="38" s="1"/>
  <c r="K15" i="38" s="1"/>
  <c r="R297" i="38" s="1"/>
  <c r="R285" i="37"/>
  <c r="R274" i="37"/>
  <c r="AX113" i="37"/>
  <c r="AX114" i="37" s="1"/>
  <c r="AX115" i="37" s="1"/>
  <c r="R286" i="37"/>
  <c r="R275" i="37"/>
  <c r="R287" i="37"/>
  <c r="R276" i="37"/>
  <c r="BH128" i="37"/>
  <c r="BI128" i="37" s="1"/>
  <c r="BJ128" i="37" s="1"/>
  <c r="BK128" i="37" s="1"/>
  <c r="K16" i="37" s="1"/>
  <c r="R298" i="37" s="1"/>
  <c r="BH125" i="37"/>
  <c r="BI125" i="37" s="1"/>
  <c r="BJ125" i="37" s="1"/>
  <c r="BK125" i="37" s="1"/>
  <c r="J13" i="37" s="1"/>
  <c r="R289" i="37" s="1"/>
  <c r="BA106" i="38"/>
  <c r="BA107" i="38" s="1"/>
  <c r="BA108" i="38" s="1"/>
  <c r="BA109" i="38" s="1"/>
  <c r="BA110" i="38" s="1"/>
  <c r="BA111" i="38" s="1"/>
  <c r="BA112" i="38" s="1"/>
  <c r="BA113" i="38" s="1"/>
  <c r="BA114" i="38" s="1"/>
  <c r="BA115" i="38" s="1"/>
  <c r="BB105" i="38"/>
  <c r="BL126" i="38" s="1"/>
  <c r="BM126" i="38" s="1"/>
  <c r="BN126" i="38" s="1"/>
  <c r="BO126" i="38" s="1"/>
  <c r="K24" i="38" s="1"/>
  <c r="R307" i="38" s="1"/>
  <c r="BH123" i="37"/>
  <c r="BI123" i="37" s="1"/>
  <c r="BJ123" i="37" s="1"/>
  <c r="BK123" i="37" s="1"/>
  <c r="J19" i="37" s="1"/>
  <c r="R295" i="37" s="1"/>
  <c r="AI111" i="37"/>
  <c r="AI112" i="37" s="1"/>
  <c r="AI113" i="37" s="1"/>
  <c r="AI114" i="37" s="1"/>
  <c r="AJ110" i="37"/>
  <c r="AI101" i="38"/>
  <c r="AI102" i="38" s="1"/>
  <c r="AI103" i="38" s="1"/>
  <c r="AI104" i="38" s="1"/>
  <c r="AI105" i="38" s="1"/>
  <c r="AI106" i="38" s="1"/>
  <c r="AI107" i="38" s="1"/>
  <c r="AI108" i="38" s="1"/>
  <c r="AI109" i="38" s="1"/>
  <c r="AI110" i="38" s="1"/>
  <c r="AJ100" i="38"/>
  <c r="R50" i="38"/>
  <c r="R51" i="38" s="1"/>
  <c r="R52" i="38" s="1"/>
  <c r="R53" i="38" s="1"/>
  <c r="R54" i="38" s="1"/>
  <c r="R55" i="38" s="1"/>
  <c r="R56" i="38" s="1"/>
  <c r="R57" i="38" s="1"/>
  <c r="R58" i="38" s="1"/>
  <c r="R59" i="38" s="1"/>
  <c r="R60" i="38" s="1"/>
  <c r="BH126" i="37"/>
  <c r="BI126" i="37" s="1"/>
  <c r="BJ126" i="37" s="1"/>
  <c r="BK126" i="37" s="1"/>
  <c r="J12" i="37" s="1"/>
  <c r="R288" i="37" s="1"/>
  <c r="Q78" i="35"/>
  <c r="R78" i="35" s="1"/>
  <c r="S78" i="35" s="1"/>
  <c r="T78" i="35" s="1"/>
  <c r="E24" i="35" s="1"/>
  <c r="BA106" i="37"/>
  <c r="BA107" i="37" s="1"/>
  <c r="BA108" i="37" s="1"/>
  <c r="BA109" i="37" s="1"/>
  <c r="BA110" i="37" s="1"/>
  <c r="BA111" i="37" s="1"/>
  <c r="BA112" i="37" s="1"/>
  <c r="BA113" i="37" s="1"/>
  <c r="BA114" i="37" s="1"/>
  <c r="BA115" i="37" s="1"/>
  <c r="BB105" i="37"/>
  <c r="BL119" i="37" s="1"/>
  <c r="BM119" i="37" s="1"/>
  <c r="BN119" i="37" s="1"/>
  <c r="BO119" i="37" s="1"/>
  <c r="J24" i="37" s="1"/>
  <c r="R300" i="37" s="1"/>
  <c r="AZ191" i="37"/>
  <c r="BA191" i="37" s="1"/>
  <c r="Q88" i="35"/>
  <c r="R88" i="35" s="1"/>
  <c r="S88" i="35" s="1"/>
  <c r="T88" i="35" s="1"/>
  <c r="D37" i="35" s="1"/>
  <c r="BC191" i="37"/>
  <c r="BD191" i="37" s="1"/>
  <c r="AO101" i="37"/>
  <c r="AO102" i="37" s="1"/>
  <c r="AO103" i="37" s="1"/>
  <c r="AO104" i="37" s="1"/>
  <c r="AO105" i="37" s="1"/>
  <c r="AO106" i="37" s="1"/>
  <c r="AO107" i="37" s="1"/>
  <c r="AO108" i="37" s="1"/>
  <c r="AP100" i="37"/>
  <c r="BP122" i="37"/>
  <c r="BQ122" i="37" s="1"/>
  <c r="BR122" i="37" s="1"/>
  <c r="BS122" i="37" s="1"/>
  <c r="J38" i="37" s="1"/>
  <c r="R316" i="37" s="1"/>
  <c r="AT191" i="37"/>
  <c r="AV191" i="37" s="1"/>
  <c r="AN191" i="37"/>
  <c r="AO191" i="37" s="1"/>
  <c r="AP191" i="37" s="1"/>
  <c r="BL125" i="38"/>
  <c r="BM125" i="38" s="1"/>
  <c r="BN125" i="38" s="1"/>
  <c r="BO125" i="38" s="1"/>
  <c r="J30" i="38" s="1"/>
  <c r="R306" i="38" s="1"/>
  <c r="AO101" i="38"/>
  <c r="AO102" i="38" s="1"/>
  <c r="AO103" i="38" s="1"/>
  <c r="AO104" i="38" s="1"/>
  <c r="AO105" i="38" s="1"/>
  <c r="AO106" i="38" s="1"/>
  <c r="AO107" i="38" s="1"/>
  <c r="AO108" i="38" s="1"/>
  <c r="AP100" i="38"/>
  <c r="AH191" i="37"/>
  <c r="AJ191" i="37" s="1"/>
  <c r="AQ191" i="37"/>
  <c r="AS191" i="37" s="1"/>
  <c r="M24" i="24"/>
  <c r="AJ108" i="38"/>
  <c r="Q90" i="35"/>
  <c r="R90" i="35" s="1"/>
  <c r="S90" i="35" s="1"/>
  <c r="T90" i="35" s="1"/>
  <c r="D39" i="35" s="1"/>
  <c r="BH127" i="37"/>
  <c r="BI127" i="37" s="1"/>
  <c r="BJ127" i="37" s="1"/>
  <c r="BK127" i="37" s="1"/>
  <c r="K15" i="37" s="1"/>
  <c r="R297" i="37" s="1"/>
  <c r="AW191" i="37"/>
  <c r="AY191" i="37" s="1"/>
  <c r="AE191" i="37"/>
  <c r="AF191" i="37" s="1"/>
  <c r="AG191" i="37" s="1"/>
  <c r="V191" i="37"/>
  <c r="X191" i="37" s="1"/>
  <c r="AB191" i="37"/>
  <c r="AD191" i="37" s="1"/>
  <c r="Y191" i="37"/>
  <c r="Z191" i="37" s="1"/>
  <c r="T59" i="38"/>
  <c r="U50" i="38"/>
  <c r="BL122" i="38"/>
  <c r="BM122" i="38" s="1"/>
  <c r="BN122" i="38" s="1"/>
  <c r="BO122" i="38" s="1"/>
  <c r="J27" i="38" s="1"/>
  <c r="R303" i="38" s="1"/>
  <c r="BL120" i="38"/>
  <c r="BM120" i="38" s="1"/>
  <c r="BN120" i="38" s="1"/>
  <c r="BO120" i="38" s="1"/>
  <c r="J25" i="38" s="1"/>
  <c r="R301" i="38" s="1"/>
  <c r="AM191" i="37"/>
  <c r="AL191" i="37"/>
  <c r="V118" i="37"/>
  <c r="W118" i="37" s="1"/>
  <c r="X118" i="37" s="1"/>
  <c r="Y118" i="37" s="1"/>
  <c r="G34" i="37" s="1"/>
  <c r="R190" i="37" s="1"/>
  <c r="BD118" i="37"/>
  <c r="BE118" i="37" s="1"/>
  <c r="BF118" i="37" s="1"/>
  <c r="BG118" i="37" s="1"/>
  <c r="J4" i="37" s="1"/>
  <c r="R278" i="37" s="1"/>
  <c r="BL118" i="37"/>
  <c r="BM118" i="37" s="1"/>
  <c r="BN118" i="37" s="1"/>
  <c r="BO118" i="37" s="1"/>
  <c r="J23" i="37" s="1"/>
  <c r="R299" i="37" s="1"/>
  <c r="R51" i="37"/>
  <c r="BL118" i="38"/>
  <c r="BM118" i="38" s="1"/>
  <c r="BN118" i="38" s="1"/>
  <c r="BO118" i="38" s="1"/>
  <c r="J23" i="38" s="1"/>
  <c r="R299" i="38" s="1"/>
  <c r="U50" i="37"/>
  <c r="BL119" i="38"/>
  <c r="BM119" i="38" s="1"/>
  <c r="BN119" i="38" s="1"/>
  <c r="BO119" i="38" s="1"/>
  <c r="J24" i="38" s="1"/>
  <c r="R300" i="38" s="1"/>
  <c r="BP118" i="37"/>
  <c r="BQ118" i="37" s="1"/>
  <c r="BR118" i="37" s="1"/>
  <c r="BS118" i="37" s="1"/>
  <c r="J34" i="37" s="1"/>
  <c r="R312" i="37" s="1"/>
  <c r="BP119" i="37"/>
  <c r="BQ119" i="37" s="1"/>
  <c r="BR119" i="37" s="1"/>
  <c r="BS119" i="37" s="1"/>
  <c r="J35" i="37" s="1"/>
  <c r="R313" i="37" s="1"/>
  <c r="BP120" i="37"/>
  <c r="BQ120" i="37" s="1"/>
  <c r="BR120" i="37" s="1"/>
  <c r="BS120" i="37" s="1"/>
  <c r="J36" i="37" s="1"/>
  <c r="R314" i="37" s="1"/>
  <c r="BL121" i="38"/>
  <c r="BM121" i="38" s="1"/>
  <c r="BN121" i="38" s="1"/>
  <c r="BO121" i="38" s="1"/>
  <c r="J26" i="38" s="1"/>
  <c r="R302" i="38" s="1"/>
  <c r="BP121" i="37"/>
  <c r="BQ121" i="37" s="1"/>
  <c r="BR121" i="37" s="1"/>
  <c r="BS121" i="37" s="1"/>
  <c r="J37" i="37" s="1"/>
  <c r="R315" i="37" s="1"/>
  <c r="BL123" i="38"/>
  <c r="BM123" i="38" s="1"/>
  <c r="BN123" i="38" s="1"/>
  <c r="BO123" i="38" s="1"/>
  <c r="J28" i="38" s="1"/>
  <c r="R304" i="38" s="1"/>
  <c r="AB192" i="37"/>
  <c r="AK192" i="37"/>
  <c r="Y192" i="37"/>
  <c r="AZ192" i="37"/>
  <c r="AT192" i="37"/>
  <c r="AH192" i="37"/>
  <c r="V192" i="37"/>
  <c r="AQ192" i="37"/>
  <c r="BC192" i="37"/>
  <c r="AN192" i="37"/>
  <c r="AE192" i="37"/>
  <c r="AW192" i="37"/>
  <c r="V60" i="38"/>
  <c r="AR118" i="37"/>
  <c r="AS118" i="37" s="1"/>
  <c r="AT118" i="37" s="1"/>
  <c r="AU118" i="37" s="1"/>
  <c r="A4" i="37" s="1"/>
  <c r="R245" i="37" s="1"/>
  <c r="BL121" i="37"/>
  <c r="BM121" i="37" s="1"/>
  <c r="BN121" i="37" s="1"/>
  <c r="BO121" i="37" s="1"/>
  <c r="J26" i="37" s="1"/>
  <c r="R302" i="37" s="1"/>
  <c r="BD119" i="37"/>
  <c r="BE119" i="37" s="1"/>
  <c r="BF119" i="37" s="1"/>
  <c r="BG119" i="37" s="1"/>
  <c r="J5" i="37" s="1"/>
  <c r="R279" i="37" s="1"/>
  <c r="V126" i="37"/>
  <c r="W126" i="37" s="1"/>
  <c r="X126" i="37" s="1"/>
  <c r="Y126" i="37" s="1"/>
  <c r="H34" i="37" s="1"/>
  <c r="R197" i="37" s="1"/>
  <c r="BD120" i="37"/>
  <c r="BE120" i="37" s="1"/>
  <c r="BF120" i="37" s="1"/>
  <c r="BG120" i="37" s="1"/>
  <c r="J6" i="37" s="1"/>
  <c r="R280" i="37" s="1"/>
  <c r="AF128" i="37"/>
  <c r="AG128" i="37" s="1"/>
  <c r="AH128" i="37" s="1"/>
  <c r="AI128" i="37" s="1"/>
  <c r="B36" i="37" s="1"/>
  <c r="R221" i="37" s="1"/>
  <c r="BH122" i="37"/>
  <c r="BI122" i="37" s="1"/>
  <c r="BJ122" i="37" s="1"/>
  <c r="BK122" i="37" s="1"/>
  <c r="J18" i="37" s="1"/>
  <c r="R294" i="37" s="1"/>
  <c r="AJ125" i="37"/>
  <c r="AK125" i="37" s="1"/>
  <c r="AL125" i="37" s="1"/>
  <c r="AM125" i="37" s="1"/>
  <c r="A30" i="37" s="1"/>
  <c r="R229" i="37" s="1"/>
  <c r="BD122" i="37"/>
  <c r="BE122" i="37" s="1"/>
  <c r="BF122" i="37" s="1"/>
  <c r="BG122" i="37" s="1"/>
  <c r="J8" i="37" s="1"/>
  <c r="R282" i="37" s="1"/>
  <c r="BL123" i="37"/>
  <c r="BM123" i="37" s="1"/>
  <c r="BN123" i="37" s="1"/>
  <c r="BO123" i="37" s="1"/>
  <c r="J28" i="37" s="1"/>
  <c r="R304" i="37" s="1"/>
  <c r="AF126" i="37"/>
  <c r="AG126" i="37" s="1"/>
  <c r="AH126" i="37" s="1"/>
  <c r="AI126" i="37" s="1"/>
  <c r="A32" i="37" s="1"/>
  <c r="R211" i="37" s="1"/>
  <c r="BL120" i="37"/>
  <c r="BM120" i="37" s="1"/>
  <c r="BN120" i="37" s="1"/>
  <c r="BO120" i="37" s="1"/>
  <c r="J25" i="37" s="1"/>
  <c r="R301" i="37" s="1"/>
  <c r="AF123" i="37"/>
  <c r="AG123" i="37" s="1"/>
  <c r="AH123" i="37" s="1"/>
  <c r="AI123" i="37" s="1"/>
  <c r="A39" i="37" s="1"/>
  <c r="R218" i="37" s="1"/>
  <c r="AF125" i="37"/>
  <c r="AG125" i="37" s="1"/>
  <c r="AH125" i="37" s="1"/>
  <c r="AI125" i="37" s="1"/>
  <c r="A33" i="37" s="1"/>
  <c r="R212" i="37" s="1"/>
  <c r="BL122" i="37"/>
  <c r="BM122" i="37" s="1"/>
  <c r="BN122" i="37" s="1"/>
  <c r="BO122" i="37" s="1"/>
  <c r="J27" i="37" s="1"/>
  <c r="R303" i="37" s="1"/>
  <c r="AF127" i="37"/>
  <c r="AG127" i="37" s="1"/>
  <c r="AH127" i="37" s="1"/>
  <c r="AI127" i="37" s="1"/>
  <c r="B35" i="37" s="1"/>
  <c r="R220" i="37" s="1"/>
  <c r="BL127" i="37"/>
  <c r="BM127" i="37" s="1"/>
  <c r="BN127" i="37" s="1"/>
  <c r="BO127" i="37" s="1"/>
  <c r="K25" i="37" s="1"/>
  <c r="R308" i="37" s="1"/>
  <c r="AF122" i="37"/>
  <c r="AG122" i="37" s="1"/>
  <c r="AH122" i="37" s="1"/>
  <c r="AI122" i="37" s="1"/>
  <c r="A38" i="37" s="1"/>
  <c r="R217" i="37" s="1"/>
  <c r="AF121" i="37"/>
  <c r="AG121" i="37" s="1"/>
  <c r="AH121" i="37" s="1"/>
  <c r="AI121" i="37" s="1"/>
  <c r="A37" i="37" s="1"/>
  <c r="R216" i="37" s="1"/>
  <c r="BL126" i="37"/>
  <c r="BM126" i="37" s="1"/>
  <c r="BN126" i="37" s="1"/>
  <c r="BO126" i="37" s="1"/>
  <c r="K24" i="37" s="1"/>
  <c r="R307" i="37" s="1"/>
  <c r="V60" i="37"/>
  <c r="AA100" i="37"/>
  <c r="Z101" i="37"/>
  <c r="Z102" i="37" s="1"/>
  <c r="Z103" i="37" s="1"/>
  <c r="Y192" i="38"/>
  <c r="AB192" i="38"/>
  <c r="V192" i="38"/>
  <c r="AT192" i="38"/>
  <c r="AE192" i="38"/>
  <c r="BC192" i="38"/>
  <c r="AZ192" i="38"/>
  <c r="AW192" i="38"/>
  <c r="AH192" i="38"/>
  <c r="AQ192" i="38"/>
  <c r="AK192" i="38"/>
  <c r="AN192" i="38"/>
  <c r="Y191" i="38"/>
  <c r="AB191" i="38"/>
  <c r="AZ191" i="38"/>
  <c r="AK191" i="38"/>
  <c r="V191" i="38"/>
  <c r="AW191" i="38"/>
  <c r="AE191" i="38"/>
  <c r="AT191" i="38"/>
  <c r="BC191" i="38"/>
  <c r="AH191" i="38"/>
  <c r="AQ191" i="38"/>
  <c r="AN191" i="38"/>
  <c r="BL127" i="38"/>
  <c r="BM127" i="38" s="1"/>
  <c r="BN127" i="38" s="1"/>
  <c r="BO127" i="38" s="1"/>
  <c r="K25" i="38" s="1"/>
  <c r="R308" i="38" s="1"/>
  <c r="AA100" i="38"/>
  <c r="Z101" i="38"/>
  <c r="Z102" i="38" s="1"/>
  <c r="Z103" i="38" s="1"/>
  <c r="BL124" i="38"/>
  <c r="BM124" i="38" s="1"/>
  <c r="BN124" i="38" s="1"/>
  <c r="BO124" i="38" s="1"/>
  <c r="J29" i="38" s="1"/>
  <c r="R305" i="38" s="1"/>
  <c r="BP125" i="37"/>
  <c r="BQ125" i="37" s="1"/>
  <c r="BR125" i="37" s="1"/>
  <c r="BS125" i="37" s="1"/>
  <c r="J33" i="37" s="1"/>
  <c r="R311" i="37" s="1"/>
  <c r="BP127" i="37"/>
  <c r="BQ127" i="37" s="1"/>
  <c r="BR127" i="37" s="1"/>
  <c r="BS127" i="37" s="1"/>
  <c r="K35" i="37" s="1"/>
  <c r="R319" i="37" s="1"/>
  <c r="BP128" i="37"/>
  <c r="BQ128" i="37" s="1"/>
  <c r="BR128" i="37" s="1"/>
  <c r="BS128" i="37" s="1"/>
  <c r="K36" i="37" s="1"/>
  <c r="R320" i="37" s="1"/>
  <c r="BP124" i="37"/>
  <c r="BQ124" i="37" s="1"/>
  <c r="BR124" i="37" s="1"/>
  <c r="BS124" i="37" s="1"/>
  <c r="J40" i="37" s="1"/>
  <c r="R318" i="37" s="1"/>
  <c r="BP126" i="37"/>
  <c r="BQ126" i="37" s="1"/>
  <c r="BR126" i="37" s="1"/>
  <c r="BS126" i="37" s="1"/>
  <c r="J32" i="37" s="1"/>
  <c r="R310" i="37" s="1"/>
  <c r="BP123" i="37"/>
  <c r="BQ123" i="37" s="1"/>
  <c r="BR123" i="37" s="1"/>
  <c r="BS123" i="37" s="1"/>
  <c r="J39" i="37" s="1"/>
  <c r="R317" i="37" s="1"/>
  <c r="BL124" i="37" l="1"/>
  <c r="BM124" i="37" s="1"/>
  <c r="BN124" i="37" s="1"/>
  <c r="BO124" i="37" s="1"/>
  <c r="J29" i="37" s="1"/>
  <c r="R305" i="37" s="1"/>
  <c r="BL128" i="37"/>
  <c r="BM128" i="37" s="1"/>
  <c r="BN128" i="37" s="1"/>
  <c r="BO128" i="37" s="1"/>
  <c r="K26" i="37" s="1"/>
  <c r="R309" i="37" s="1"/>
  <c r="BH120" i="38"/>
  <c r="BI120" i="38" s="1"/>
  <c r="BJ120" i="38" s="1"/>
  <c r="BK120" i="38" s="1"/>
  <c r="J16" i="38" s="1"/>
  <c r="R292" i="38" s="1"/>
  <c r="BH121" i="38"/>
  <c r="BI121" i="38" s="1"/>
  <c r="BJ121" i="38" s="1"/>
  <c r="BK121" i="38" s="1"/>
  <c r="J17" i="38" s="1"/>
  <c r="R293" i="38" s="1"/>
  <c r="BH125" i="38"/>
  <c r="BI125" i="38" s="1"/>
  <c r="BJ125" i="38" s="1"/>
  <c r="BK125" i="38" s="1"/>
  <c r="J13" i="38" s="1"/>
  <c r="R289" i="38" s="1"/>
  <c r="BH123" i="38"/>
  <c r="BI123" i="38" s="1"/>
  <c r="BJ123" i="38" s="1"/>
  <c r="BK123" i="38" s="1"/>
  <c r="J19" i="38" s="1"/>
  <c r="R295" i="38" s="1"/>
  <c r="BL125" i="37"/>
  <c r="BM125" i="37" s="1"/>
  <c r="BN125" i="37" s="1"/>
  <c r="BO125" i="37" s="1"/>
  <c r="J30" i="37" s="1"/>
  <c r="R306" i="37" s="1"/>
  <c r="BH122" i="38"/>
  <c r="BI122" i="38" s="1"/>
  <c r="BJ122" i="38" s="1"/>
  <c r="BK122" i="38" s="1"/>
  <c r="J18" i="38" s="1"/>
  <c r="R294" i="38" s="1"/>
  <c r="BH119" i="38"/>
  <c r="BI119" i="38" s="1"/>
  <c r="BJ119" i="38" s="1"/>
  <c r="BK119" i="38" s="1"/>
  <c r="J15" i="38" s="1"/>
  <c r="R291" i="38" s="1"/>
  <c r="AC191" i="37"/>
  <c r="AC192" i="37" s="1"/>
  <c r="AC193" i="37" s="1"/>
  <c r="AC194" i="37" s="1"/>
  <c r="AC195" i="37" s="1"/>
  <c r="AU191" i="37"/>
  <c r="AU192" i="37" s="1"/>
  <c r="AU193" i="37" s="1"/>
  <c r="AU194" i="37" s="1"/>
  <c r="AU195" i="37" s="1"/>
  <c r="BH118" i="38"/>
  <c r="BI118" i="38" s="1"/>
  <c r="BJ118" i="38" s="1"/>
  <c r="BK118" i="38" s="1"/>
  <c r="J14" i="38" s="1"/>
  <c r="R290" i="38" s="1"/>
  <c r="BL128" i="38"/>
  <c r="BM128" i="38" s="1"/>
  <c r="BN128" i="38" s="1"/>
  <c r="BO128" i="38" s="1"/>
  <c r="K26" i="38" s="1"/>
  <c r="R309" i="38" s="1"/>
  <c r="AJ113" i="37"/>
  <c r="AN127" i="37" s="1"/>
  <c r="AO127" i="37" s="1"/>
  <c r="AP127" i="37" s="1"/>
  <c r="AQ127" i="37" s="1"/>
  <c r="B15" i="37" s="1"/>
  <c r="R242" i="37" s="1"/>
  <c r="T57" i="38"/>
  <c r="BH124" i="38"/>
  <c r="BI124" i="38" s="1"/>
  <c r="BJ124" i="38" s="1"/>
  <c r="BK124" i="38" s="1"/>
  <c r="J20" i="38" s="1"/>
  <c r="R296" i="38" s="1"/>
  <c r="BH128" i="38"/>
  <c r="BI128" i="38" s="1"/>
  <c r="BJ128" i="38" s="1"/>
  <c r="BK128" i="38" s="1"/>
  <c r="K16" i="38" s="1"/>
  <c r="R298" i="38" s="1"/>
  <c r="BB191" i="37"/>
  <c r="BH126" i="38"/>
  <c r="BI126" i="38" s="1"/>
  <c r="BJ126" i="38" s="1"/>
  <c r="BK126" i="38" s="1"/>
  <c r="J12" i="38" s="1"/>
  <c r="R288" i="38" s="1"/>
  <c r="W191" i="37"/>
  <c r="W192" i="37" s="1"/>
  <c r="W193" i="37" s="1"/>
  <c r="W194" i="37" s="1"/>
  <c r="W195" i="37" s="1"/>
  <c r="T56" i="38"/>
  <c r="T60" i="38"/>
  <c r="T58" i="38"/>
  <c r="T49" i="38"/>
  <c r="T52" i="38"/>
  <c r="AO109" i="38"/>
  <c r="AO110" i="38" s="1"/>
  <c r="AO111" i="38" s="1"/>
  <c r="AO112" i="38" s="1"/>
  <c r="AO113" i="38" s="1"/>
  <c r="AO114" i="38" s="1"/>
  <c r="AP108" i="38"/>
  <c r="Z104" i="37"/>
  <c r="Z105" i="37" s="1"/>
  <c r="Z106" i="37" s="1"/>
  <c r="Z107" i="37" s="1"/>
  <c r="Z108" i="37" s="1"/>
  <c r="Z109" i="37" s="1"/>
  <c r="Z110" i="37" s="1"/>
  <c r="Z111" i="37" s="1"/>
  <c r="Z112" i="37" s="1"/>
  <c r="Z113" i="37" s="1"/>
  <c r="Z114" i="37" s="1"/>
  <c r="Z115" i="37" s="1"/>
  <c r="AA103" i="37"/>
  <c r="BE191" i="37"/>
  <c r="T54" i="38"/>
  <c r="T55" i="38"/>
  <c r="AX191" i="37"/>
  <c r="AX192" i="37" s="1"/>
  <c r="AX193" i="37" s="1"/>
  <c r="AX194" i="37" s="1"/>
  <c r="AX195" i="37" s="1"/>
  <c r="T53" i="38"/>
  <c r="AI111" i="38"/>
  <c r="AI112" i="38" s="1"/>
  <c r="AI113" i="38" s="1"/>
  <c r="AI114" i="38" s="1"/>
  <c r="AJ110" i="38"/>
  <c r="T51" i="38"/>
  <c r="AR191" i="37"/>
  <c r="AR192" i="37" s="1"/>
  <c r="AR193" i="37" s="1"/>
  <c r="AR194" i="37" s="1"/>
  <c r="AR195" i="37" s="1"/>
  <c r="AO109" i="37"/>
  <c r="AO110" i="37" s="1"/>
  <c r="AO111" i="37" s="1"/>
  <c r="AO112" i="37" s="1"/>
  <c r="AO113" i="37" s="1"/>
  <c r="AO114" i="37" s="1"/>
  <c r="AP108" i="37"/>
  <c r="Z104" i="38"/>
  <c r="Z105" i="38" s="1"/>
  <c r="Z106" i="38" s="1"/>
  <c r="Z107" i="38" s="1"/>
  <c r="Z108" i="38" s="1"/>
  <c r="Z109" i="38" s="1"/>
  <c r="Z110" i="38" s="1"/>
  <c r="Z111" i="38" s="1"/>
  <c r="Z112" i="38" s="1"/>
  <c r="Z113" i="38" s="1"/>
  <c r="Z114" i="38" s="1"/>
  <c r="Z115" i="38" s="1"/>
  <c r="AA103" i="38"/>
  <c r="T50" i="38"/>
  <c r="AP110" i="38"/>
  <c r="AI191" i="37"/>
  <c r="AI192" i="37" s="1"/>
  <c r="AI193" i="37" s="1"/>
  <c r="AI115" i="37"/>
  <c r="AJ114" i="37"/>
  <c r="AN128" i="37" s="1"/>
  <c r="AO128" i="37" s="1"/>
  <c r="AP128" i="37" s="1"/>
  <c r="AQ128" i="37" s="1"/>
  <c r="B16" i="37" s="1"/>
  <c r="R243" i="37" s="1"/>
  <c r="AP110" i="37"/>
  <c r="AK5" i="24"/>
  <c r="AK14" i="24" s="1"/>
  <c r="AL5" i="24"/>
  <c r="N24" i="24"/>
  <c r="AA191" i="37"/>
  <c r="U51" i="38"/>
  <c r="R52" i="37"/>
  <c r="U51" i="37"/>
  <c r="AO191" i="38"/>
  <c r="AP191" i="38" s="1"/>
  <c r="AR191" i="38"/>
  <c r="AR192" i="38" s="1"/>
  <c r="AR193" i="38" s="1"/>
  <c r="AR194" i="38" s="1"/>
  <c r="AR195" i="38" s="1"/>
  <c r="AS191" i="38"/>
  <c r="AY192" i="37"/>
  <c r="BH198" i="37" s="1"/>
  <c r="BI198" i="37" s="1"/>
  <c r="BJ198" i="37" s="1"/>
  <c r="BK198" i="37" s="1"/>
  <c r="L14" i="37" s="1"/>
  <c r="S217" i="37" s="1"/>
  <c r="AA106" i="38"/>
  <c r="AV191" i="38"/>
  <c r="AU191" i="38"/>
  <c r="AU192" i="38" s="1"/>
  <c r="AU193" i="38" s="1"/>
  <c r="AU194" i="38" s="1"/>
  <c r="AU195" i="38" s="1"/>
  <c r="AV192" i="38"/>
  <c r="AG192" i="37"/>
  <c r="AF192" i="37"/>
  <c r="AF193" i="37" s="1"/>
  <c r="AF194" i="37" s="1"/>
  <c r="AF195" i="37" s="1"/>
  <c r="AY192" i="38"/>
  <c r="BE192" i="37"/>
  <c r="BD192" i="37"/>
  <c r="BD193" i="37" s="1"/>
  <c r="BD194" i="37" s="1"/>
  <c r="BD195" i="37" s="1"/>
  <c r="X191" i="38"/>
  <c r="W191" i="38"/>
  <c r="W192" i="38" s="1"/>
  <c r="W193" i="38" s="1"/>
  <c r="W194" i="38" s="1"/>
  <c r="W195" i="38" s="1"/>
  <c r="BB191" i="38"/>
  <c r="BA191" i="38"/>
  <c r="BA192" i="38" s="1"/>
  <c r="BA193" i="38" s="1"/>
  <c r="BA194" i="38" s="1"/>
  <c r="AJ192" i="37"/>
  <c r="AJ191" i="38"/>
  <c r="AI191" i="38"/>
  <c r="AI192" i="38" s="1"/>
  <c r="AI193" i="38" s="1"/>
  <c r="AY191" i="38"/>
  <c r="AX191" i="38"/>
  <c r="AX192" i="38" s="1"/>
  <c r="AX193" i="38" s="1"/>
  <c r="AX194" i="38" s="1"/>
  <c r="AX195" i="38" s="1"/>
  <c r="AD192" i="38"/>
  <c r="AL191" i="38"/>
  <c r="AL192" i="38" s="1"/>
  <c r="AL193" i="38" s="1"/>
  <c r="AL194" i="38" s="1"/>
  <c r="AL195" i="38" s="1"/>
  <c r="AM191" i="38"/>
  <c r="X192" i="37"/>
  <c r="AC191" i="38"/>
  <c r="AC192" i="38" s="1"/>
  <c r="AC193" i="38" s="1"/>
  <c r="AC194" i="38" s="1"/>
  <c r="AC195" i="38" s="1"/>
  <c r="AD191" i="38"/>
  <c r="X192" i="38"/>
  <c r="BA192" i="37"/>
  <c r="BA193" i="37" s="1"/>
  <c r="BA194" i="37" s="1"/>
  <c r="BB192" i="37"/>
  <c r="BE192" i="38"/>
  <c r="BE191" i="38"/>
  <c r="BD191" i="38"/>
  <c r="BD192" i="38" s="1"/>
  <c r="BD193" i="38" s="1"/>
  <c r="BD194" i="38" s="1"/>
  <c r="BD195" i="38" s="1"/>
  <c r="AP192" i="38"/>
  <c r="Z192" i="37"/>
  <c r="Z193" i="37" s="1"/>
  <c r="Z194" i="37" s="1"/>
  <c r="Z195" i="37" s="1"/>
  <c r="AA192" i="37"/>
  <c r="AA198" i="37" s="1"/>
  <c r="AB198" i="37" s="1"/>
  <c r="AC198" i="37" s="1"/>
  <c r="AD198" i="37" s="1"/>
  <c r="F34" i="37" s="1"/>
  <c r="S154" i="37" s="1"/>
  <c r="AL192" i="37"/>
  <c r="AL193" i="37" s="1"/>
  <c r="AL194" i="37" s="1"/>
  <c r="AL195" i="37" s="1"/>
  <c r="BB192" i="38"/>
  <c r="AG192" i="38"/>
  <c r="AP192" i="37"/>
  <c r="AO192" i="37"/>
  <c r="AO193" i="37" s="1"/>
  <c r="AO194" i="37" s="1"/>
  <c r="AO195" i="37" s="1"/>
  <c r="Z191" i="38"/>
  <c r="Z192" i="38" s="1"/>
  <c r="Z193" i="38" s="1"/>
  <c r="Z194" i="38" s="1"/>
  <c r="Z195" i="38" s="1"/>
  <c r="AA191" i="38"/>
  <c r="AS192" i="38"/>
  <c r="AA106" i="37"/>
  <c r="AD192" i="37"/>
  <c r="AF200" i="37" s="1"/>
  <c r="AG200" i="37" s="1"/>
  <c r="AH200" i="37" s="1"/>
  <c r="AI200" i="37" s="1"/>
  <c r="C36" i="37" s="1"/>
  <c r="S163" i="37" s="1"/>
  <c r="AF191" i="38"/>
  <c r="AF192" i="38" s="1"/>
  <c r="AF193" i="38" s="1"/>
  <c r="AF194" i="38" s="1"/>
  <c r="AF195" i="38" s="1"/>
  <c r="AA192" i="38"/>
  <c r="AS192" i="37"/>
  <c r="AJ192" i="38"/>
  <c r="AM192" i="37" l="1"/>
  <c r="AN126" i="37"/>
  <c r="AO126" i="37" s="1"/>
  <c r="AP126" i="37" s="1"/>
  <c r="AQ126" i="37" s="1"/>
  <c r="A12" i="37" s="1"/>
  <c r="R233" i="37" s="1"/>
  <c r="AN121" i="37"/>
  <c r="AO121" i="37" s="1"/>
  <c r="AP121" i="37" s="1"/>
  <c r="AQ121" i="37" s="1"/>
  <c r="A17" i="37" s="1"/>
  <c r="R238" i="37" s="1"/>
  <c r="V198" i="37"/>
  <c r="W198" i="37" s="1"/>
  <c r="X198" i="37" s="1"/>
  <c r="Y198" i="37" s="1"/>
  <c r="I34" i="37" s="1"/>
  <c r="S146" i="37" s="1"/>
  <c r="V198" i="38"/>
  <c r="W198" i="38" s="1"/>
  <c r="X198" i="38" s="1"/>
  <c r="Y198" i="38" s="1"/>
  <c r="I34" i="38" s="1"/>
  <c r="S146" i="38" s="1"/>
  <c r="AN120" i="37"/>
  <c r="AO120" i="37" s="1"/>
  <c r="AP120" i="37" s="1"/>
  <c r="AQ120" i="37" s="1"/>
  <c r="A16" i="37" s="1"/>
  <c r="R237" i="37" s="1"/>
  <c r="AA124" i="38"/>
  <c r="AB124" i="38" s="1"/>
  <c r="AC124" i="38" s="1"/>
  <c r="AD124" i="38" s="1"/>
  <c r="D40" i="38" s="1"/>
  <c r="R207" i="38" s="1"/>
  <c r="AN125" i="37"/>
  <c r="AO125" i="37" s="1"/>
  <c r="AP125" i="37" s="1"/>
  <c r="AQ125" i="37" s="1"/>
  <c r="A13" i="37" s="1"/>
  <c r="R234" i="37" s="1"/>
  <c r="AN119" i="37"/>
  <c r="AO119" i="37" s="1"/>
  <c r="AP119" i="37" s="1"/>
  <c r="AQ119" i="37" s="1"/>
  <c r="A15" i="37" s="1"/>
  <c r="R236" i="37" s="1"/>
  <c r="BP198" i="37"/>
  <c r="BQ198" i="37" s="1"/>
  <c r="BR198" i="37" s="1"/>
  <c r="BS198" i="37" s="1"/>
  <c r="L34" i="37" s="1"/>
  <c r="S233" i="37" s="1"/>
  <c r="AN124" i="37"/>
  <c r="AO124" i="37" s="1"/>
  <c r="AP124" i="37" s="1"/>
  <c r="AQ124" i="37" s="1"/>
  <c r="A20" i="37" s="1"/>
  <c r="R241" i="37" s="1"/>
  <c r="AN122" i="37"/>
  <c r="AO122" i="37" s="1"/>
  <c r="AP122" i="37" s="1"/>
  <c r="AQ122" i="37" s="1"/>
  <c r="A18" i="37" s="1"/>
  <c r="R239" i="37" s="1"/>
  <c r="AN118" i="37"/>
  <c r="AO118" i="37" s="1"/>
  <c r="AP118" i="37" s="1"/>
  <c r="AQ118" i="37" s="1"/>
  <c r="A14" i="37" s="1"/>
  <c r="R235" i="37" s="1"/>
  <c r="AJ113" i="38"/>
  <c r="AO115" i="38"/>
  <c r="AP114" i="38"/>
  <c r="AV120" i="38" s="1"/>
  <c r="AW120" i="38" s="1"/>
  <c r="AX120" i="38" s="1"/>
  <c r="AY120" i="38" s="1"/>
  <c r="D6" i="38" s="1"/>
  <c r="R258" i="38" s="1"/>
  <c r="AA120" i="38"/>
  <c r="AB120" i="38" s="1"/>
  <c r="AC120" i="38" s="1"/>
  <c r="AD120" i="38" s="1"/>
  <c r="D36" i="38" s="1"/>
  <c r="R203" i="38" s="1"/>
  <c r="AO115" i="37"/>
  <c r="AN123" i="37" s="1"/>
  <c r="AO123" i="37" s="1"/>
  <c r="AP123" i="37" s="1"/>
  <c r="AQ123" i="37" s="1"/>
  <c r="A19" i="37" s="1"/>
  <c r="R240" i="37" s="1"/>
  <c r="AP114" i="37"/>
  <c r="AV119" i="37" s="1"/>
  <c r="AW119" i="37" s="1"/>
  <c r="AX119" i="37" s="1"/>
  <c r="AY119" i="37" s="1"/>
  <c r="D5" i="37" s="1"/>
  <c r="R257" i="37" s="1"/>
  <c r="AI115" i="38"/>
  <c r="AJ114" i="38"/>
  <c r="AN122" i="38" s="1"/>
  <c r="AO122" i="38" s="1"/>
  <c r="AP122" i="38" s="1"/>
  <c r="AQ122" i="38" s="1"/>
  <c r="A18" i="38" s="1"/>
  <c r="R239" i="38" s="1"/>
  <c r="AM192" i="38"/>
  <c r="AR203" i="38" s="1"/>
  <c r="AS203" i="38" s="1"/>
  <c r="AT203" i="38" s="1"/>
  <c r="AU203" i="38" s="1"/>
  <c r="C9" i="38" s="1"/>
  <c r="S191" i="38" s="1"/>
  <c r="AG191" i="38"/>
  <c r="AJ203" i="38" s="1"/>
  <c r="AK203" i="38" s="1"/>
  <c r="AL203" i="38" s="1"/>
  <c r="AM203" i="38" s="1"/>
  <c r="C28" i="38" s="1"/>
  <c r="S174" i="38" s="1"/>
  <c r="N5" i="8"/>
  <c r="AN5" i="24"/>
  <c r="M23" i="24"/>
  <c r="AO192" i="38"/>
  <c r="AO193" i="38" s="1"/>
  <c r="AO194" i="38" s="1"/>
  <c r="AO195" i="38" s="1"/>
  <c r="AA123" i="38"/>
  <c r="AB123" i="38" s="1"/>
  <c r="AC123" i="38" s="1"/>
  <c r="AD123" i="38" s="1"/>
  <c r="D39" i="38" s="1"/>
  <c r="R206" i="38" s="1"/>
  <c r="AA121" i="38"/>
  <c r="AB121" i="38" s="1"/>
  <c r="AC121" i="38" s="1"/>
  <c r="AD121" i="38" s="1"/>
  <c r="D37" i="38" s="1"/>
  <c r="R204" i="38" s="1"/>
  <c r="AV198" i="38"/>
  <c r="AW198" i="38" s="1"/>
  <c r="AX198" i="38" s="1"/>
  <c r="AY198" i="38" s="1"/>
  <c r="F4" i="38" s="1"/>
  <c r="S194" i="38" s="1"/>
  <c r="AF198" i="38"/>
  <c r="AG198" i="38" s="1"/>
  <c r="AH198" i="38" s="1"/>
  <c r="AI198" i="38" s="1"/>
  <c r="C34" i="38" s="1"/>
  <c r="S161" i="38" s="1"/>
  <c r="AR198" i="38"/>
  <c r="AS198" i="38" s="1"/>
  <c r="AT198" i="38" s="1"/>
  <c r="AU198" i="38" s="1"/>
  <c r="C4" i="38" s="1"/>
  <c r="S186" i="38" s="1"/>
  <c r="BD198" i="38"/>
  <c r="BE198" i="38" s="1"/>
  <c r="BF198" i="38" s="1"/>
  <c r="BG198" i="38" s="1"/>
  <c r="L4" i="38" s="1"/>
  <c r="S210" i="38" s="1"/>
  <c r="AZ199" i="38"/>
  <c r="BA199" i="38" s="1"/>
  <c r="BB199" i="38" s="1"/>
  <c r="BC199" i="38" s="1"/>
  <c r="I5" i="38" s="1"/>
  <c r="S203" i="38" s="1"/>
  <c r="AZ201" i="38"/>
  <c r="BA201" i="38" s="1"/>
  <c r="BB201" i="38" s="1"/>
  <c r="BC201" i="38" s="1"/>
  <c r="I7" i="38" s="1"/>
  <c r="S205" i="38" s="1"/>
  <c r="AZ198" i="38"/>
  <c r="BA198" i="38" s="1"/>
  <c r="BB198" i="38" s="1"/>
  <c r="BC198" i="38" s="1"/>
  <c r="I4" i="38" s="1"/>
  <c r="S202" i="38" s="1"/>
  <c r="AV199" i="38"/>
  <c r="AW199" i="38" s="1"/>
  <c r="AX199" i="38" s="1"/>
  <c r="AY199" i="38" s="1"/>
  <c r="F5" i="38" s="1"/>
  <c r="S195" i="38" s="1"/>
  <c r="AV200" i="38"/>
  <c r="AW200" i="38" s="1"/>
  <c r="AX200" i="38" s="1"/>
  <c r="AY200" i="38" s="1"/>
  <c r="F6" i="38" s="1"/>
  <c r="S196" i="38" s="1"/>
  <c r="BP198" i="38"/>
  <c r="BQ198" i="38" s="1"/>
  <c r="BR198" i="38" s="1"/>
  <c r="BS198" i="38" s="1"/>
  <c r="L34" i="38" s="1"/>
  <c r="S233" i="38" s="1"/>
  <c r="BP199" i="38"/>
  <c r="BQ199" i="38" s="1"/>
  <c r="BR199" i="38" s="1"/>
  <c r="BS199" i="38" s="1"/>
  <c r="L35" i="38" s="1"/>
  <c r="S234" i="38" s="1"/>
  <c r="AV198" i="37"/>
  <c r="AW198" i="37" s="1"/>
  <c r="AX198" i="37" s="1"/>
  <c r="AY198" i="37" s="1"/>
  <c r="F4" i="37" s="1"/>
  <c r="S194" i="37" s="1"/>
  <c r="AF199" i="37"/>
  <c r="AG199" i="37" s="1"/>
  <c r="AH199" i="37" s="1"/>
  <c r="AI199" i="37" s="1"/>
  <c r="C35" i="37" s="1"/>
  <c r="S162" i="37" s="1"/>
  <c r="AF198" i="37"/>
  <c r="AG198" i="37" s="1"/>
  <c r="AH198" i="37" s="1"/>
  <c r="AI198" i="37" s="1"/>
  <c r="C34" i="37" s="1"/>
  <c r="S161" i="37" s="1"/>
  <c r="AJ198" i="37"/>
  <c r="AK198" i="37" s="1"/>
  <c r="AL198" i="37" s="1"/>
  <c r="AM198" i="37" s="1"/>
  <c r="C23" i="37" s="1"/>
  <c r="S169" i="37" s="1"/>
  <c r="AR199" i="37"/>
  <c r="AS199" i="37" s="1"/>
  <c r="AT199" i="37" s="1"/>
  <c r="AU199" i="37" s="1"/>
  <c r="C5" i="37" s="1"/>
  <c r="S187" i="37" s="1"/>
  <c r="AZ198" i="37"/>
  <c r="BA198" i="37" s="1"/>
  <c r="BB198" i="37" s="1"/>
  <c r="BC198" i="37" s="1"/>
  <c r="I4" i="37" s="1"/>
  <c r="S202" i="37" s="1"/>
  <c r="AR198" i="37"/>
  <c r="AS198" i="37" s="1"/>
  <c r="AT198" i="37" s="1"/>
  <c r="AU198" i="37" s="1"/>
  <c r="C4" i="37" s="1"/>
  <c r="S186" i="37" s="1"/>
  <c r="AZ199" i="37"/>
  <c r="BA199" i="37" s="1"/>
  <c r="BB199" i="37" s="1"/>
  <c r="BC199" i="37" s="1"/>
  <c r="I5" i="37" s="1"/>
  <c r="S203" i="37" s="1"/>
  <c r="AZ201" i="37"/>
  <c r="BA201" i="37" s="1"/>
  <c r="BB201" i="37" s="1"/>
  <c r="BC201" i="37" s="1"/>
  <c r="I7" i="37" s="1"/>
  <c r="S205" i="37" s="1"/>
  <c r="AA118" i="37"/>
  <c r="AB118" i="37" s="1"/>
  <c r="AC118" i="37" s="1"/>
  <c r="AD118" i="37" s="1"/>
  <c r="D34" i="37" s="1"/>
  <c r="R201" i="37" s="1"/>
  <c r="AA119" i="37"/>
  <c r="AB119" i="37" s="1"/>
  <c r="AC119" i="37" s="1"/>
  <c r="AD119" i="37" s="1"/>
  <c r="D35" i="37" s="1"/>
  <c r="R202" i="37" s="1"/>
  <c r="BH198" i="38"/>
  <c r="BI198" i="38" s="1"/>
  <c r="BJ198" i="38" s="1"/>
  <c r="BK198" i="38" s="1"/>
  <c r="L14" i="38" s="1"/>
  <c r="S217" i="38" s="1"/>
  <c r="BH199" i="38"/>
  <c r="BI199" i="38" s="1"/>
  <c r="BJ199" i="38" s="1"/>
  <c r="BK199" i="38" s="1"/>
  <c r="L15" i="38" s="1"/>
  <c r="S218" i="38" s="1"/>
  <c r="BH200" i="38"/>
  <c r="BI200" i="38" s="1"/>
  <c r="BJ200" i="38" s="1"/>
  <c r="BK200" i="38" s="1"/>
  <c r="L16" i="38" s="1"/>
  <c r="S219" i="38" s="1"/>
  <c r="R53" i="37"/>
  <c r="AA120" i="37"/>
  <c r="AB120" i="37" s="1"/>
  <c r="AC120" i="37" s="1"/>
  <c r="AD120" i="37" s="1"/>
  <c r="D36" i="37" s="1"/>
  <c r="R203" i="37" s="1"/>
  <c r="BD200" i="38"/>
  <c r="BE200" i="38" s="1"/>
  <c r="BF200" i="38" s="1"/>
  <c r="BG200" i="38" s="1"/>
  <c r="L6" i="38" s="1"/>
  <c r="S212" i="38" s="1"/>
  <c r="BD199" i="38"/>
  <c r="BE199" i="38" s="1"/>
  <c r="BF199" i="38" s="1"/>
  <c r="BG199" i="38" s="1"/>
  <c r="L5" i="38" s="1"/>
  <c r="S211" i="38" s="1"/>
  <c r="BP199" i="37"/>
  <c r="BQ199" i="37" s="1"/>
  <c r="BR199" i="37" s="1"/>
  <c r="BS199" i="37" s="1"/>
  <c r="L35" i="37" s="1"/>
  <c r="S234" i="37" s="1"/>
  <c r="AA125" i="38"/>
  <c r="AB125" i="38" s="1"/>
  <c r="AC125" i="38" s="1"/>
  <c r="AD125" i="38" s="1"/>
  <c r="D33" i="38" s="1"/>
  <c r="R200" i="38" s="1"/>
  <c r="AA122" i="38"/>
  <c r="AB122" i="38" s="1"/>
  <c r="AC122" i="38" s="1"/>
  <c r="AD122" i="38" s="1"/>
  <c r="D38" i="38" s="1"/>
  <c r="R205" i="38" s="1"/>
  <c r="AA119" i="38"/>
  <c r="AB119" i="38" s="1"/>
  <c r="AC119" i="38" s="1"/>
  <c r="AD119" i="38" s="1"/>
  <c r="D35" i="38" s="1"/>
  <c r="R202" i="38" s="1"/>
  <c r="U52" i="37"/>
  <c r="AJ199" i="37"/>
  <c r="AK199" i="37" s="1"/>
  <c r="AL199" i="37" s="1"/>
  <c r="AM199" i="37" s="1"/>
  <c r="C24" i="37" s="1"/>
  <c r="S170" i="37" s="1"/>
  <c r="AA198" i="38"/>
  <c r="AB198" i="38" s="1"/>
  <c r="AC198" i="38" s="1"/>
  <c r="AD198" i="38" s="1"/>
  <c r="F34" i="38" s="1"/>
  <c r="S154" i="38" s="1"/>
  <c r="AF199" i="38"/>
  <c r="AG199" i="38" s="1"/>
  <c r="AH199" i="38" s="1"/>
  <c r="AI199" i="38" s="1"/>
  <c r="C35" i="38" s="1"/>
  <c r="S162" i="38" s="1"/>
  <c r="AF200" i="38"/>
  <c r="AG200" i="38" s="1"/>
  <c r="AH200" i="38" s="1"/>
  <c r="AI200" i="38" s="1"/>
  <c r="C36" i="38" s="1"/>
  <c r="S163" i="38" s="1"/>
  <c r="AA118" i="38"/>
  <c r="AB118" i="38" s="1"/>
  <c r="AC118" i="38" s="1"/>
  <c r="AD118" i="38" s="1"/>
  <c r="D34" i="38" s="1"/>
  <c r="R201" i="38" s="1"/>
  <c r="AR199" i="38"/>
  <c r="AS199" i="38" s="1"/>
  <c r="AT199" i="38" s="1"/>
  <c r="AU199" i="38" s="1"/>
  <c r="C5" i="38" s="1"/>
  <c r="S187" i="38" s="1"/>
  <c r="AA121" i="37"/>
  <c r="AB121" i="37" s="1"/>
  <c r="AC121" i="37" s="1"/>
  <c r="AD121" i="37" s="1"/>
  <c r="D37" i="37" s="1"/>
  <c r="R204" i="37" s="1"/>
  <c r="AA123" i="37"/>
  <c r="AB123" i="37" s="1"/>
  <c r="AC123" i="37" s="1"/>
  <c r="AD123" i="37" s="1"/>
  <c r="D39" i="37" s="1"/>
  <c r="R206" i="37" s="1"/>
  <c r="AA122" i="37"/>
  <c r="AB122" i="37" s="1"/>
  <c r="AC122" i="37" s="1"/>
  <c r="AD122" i="37" s="1"/>
  <c r="D38" i="37" s="1"/>
  <c r="R205" i="37" s="1"/>
  <c r="AJ198" i="38"/>
  <c r="AK198" i="38" s="1"/>
  <c r="AL198" i="38" s="1"/>
  <c r="AM198" i="38" s="1"/>
  <c r="C23" i="38" s="1"/>
  <c r="S169" i="38" s="1"/>
  <c r="AV199" i="37"/>
  <c r="AW199" i="37" s="1"/>
  <c r="AX199" i="37" s="1"/>
  <c r="AY199" i="37" s="1"/>
  <c r="F5" i="37" s="1"/>
  <c r="S195" i="37" s="1"/>
  <c r="AV200" i="37"/>
  <c r="AW200" i="37" s="1"/>
  <c r="AX200" i="37" s="1"/>
  <c r="AY200" i="37" s="1"/>
  <c r="F6" i="37" s="1"/>
  <c r="S196" i="37" s="1"/>
  <c r="AZ200" i="38"/>
  <c r="BA200" i="38" s="1"/>
  <c r="BB200" i="38" s="1"/>
  <c r="BC200" i="38" s="1"/>
  <c r="I6" i="38" s="1"/>
  <c r="S204" i="38" s="1"/>
  <c r="AA124" i="37"/>
  <c r="AB124" i="37" s="1"/>
  <c r="AC124" i="37" s="1"/>
  <c r="AD124" i="37" s="1"/>
  <c r="D40" i="37" s="1"/>
  <c r="R207" i="37" s="1"/>
  <c r="U52" i="38"/>
  <c r="AA127" i="38"/>
  <c r="AB127" i="38" s="1"/>
  <c r="AC127" i="38" s="1"/>
  <c r="AD127" i="38" s="1"/>
  <c r="E35" i="38" s="1"/>
  <c r="R209" i="38" s="1"/>
  <c r="AA126" i="38"/>
  <c r="AB126" i="38" s="1"/>
  <c r="AC126" i="38" s="1"/>
  <c r="AD126" i="38" s="1"/>
  <c r="E34" i="38" s="1"/>
  <c r="R208" i="38" s="1"/>
  <c r="AF203" i="38"/>
  <c r="AG203" i="38" s="1"/>
  <c r="AH203" i="38" s="1"/>
  <c r="AI203" i="38" s="1"/>
  <c r="C39" i="38" s="1"/>
  <c r="S166" i="38" s="1"/>
  <c r="AF202" i="38"/>
  <c r="AG202" i="38" s="1"/>
  <c r="AH202" i="38" s="1"/>
  <c r="AI202" i="38" s="1"/>
  <c r="C38" i="38" s="1"/>
  <c r="S165" i="38" s="1"/>
  <c r="AF201" i="38"/>
  <c r="AG201" i="38" s="1"/>
  <c r="AH201" i="38" s="1"/>
  <c r="AI201" i="38" s="1"/>
  <c r="C37" i="38" s="1"/>
  <c r="S164" i="38" s="1"/>
  <c r="AF206" i="38"/>
  <c r="AG206" i="38" s="1"/>
  <c r="AH206" i="38" s="1"/>
  <c r="AI206" i="38" s="1"/>
  <c r="AF205" i="38"/>
  <c r="AG205" i="38" s="1"/>
  <c r="AH205" i="38" s="1"/>
  <c r="AI205" i="38" s="1"/>
  <c r="B40" i="38" s="1"/>
  <c r="S168" i="38" s="1"/>
  <c r="AF204" i="38"/>
  <c r="AG204" i="38" s="1"/>
  <c r="AH204" i="38" s="1"/>
  <c r="AI204" i="38" s="1"/>
  <c r="C40" i="38" s="1"/>
  <c r="S167" i="38" s="1"/>
  <c r="AJ199" i="38"/>
  <c r="AK199" i="38" s="1"/>
  <c r="AL199" i="38" s="1"/>
  <c r="AM199" i="38" s="1"/>
  <c r="C24" i="38" s="1"/>
  <c r="S170" i="38" s="1"/>
  <c r="BH206" i="38"/>
  <c r="BI206" i="38" s="1"/>
  <c r="BJ206" i="38" s="1"/>
  <c r="BK206" i="38" s="1"/>
  <c r="AA201" i="38"/>
  <c r="AB201" i="38" s="1"/>
  <c r="AC201" i="38" s="1"/>
  <c r="AD201" i="38" s="1"/>
  <c r="F37" i="38" s="1"/>
  <c r="S157" i="38" s="1"/>
  <c r="AA204" i="38"/>
  <c r="AB204" i="38" s="1"/>
  <c r="AC204" i="38" s="1"/>
  <c r="AD204" i="38" s="1"/>
  <c r="F40" i="38" s="1"/>
  <c r="S160" i="38" s="1"/>
  <c r="AZ204" i="38"/>
  <c r="BA204" i="38" s="1"/>
  <c r="BB204" i="38" s="1"/>
  <c r="BC204" i="38" s="1"/>
  <c r="I10" i="38" s="1"/>
  <c r="S208" i="38" s="1"/>
  <c r="V203" i="38"/>
  <c r="W203" i="38" s="1"/>
  <c r="X203" i="38" s="1"/>
  <c r="Y203" i="38" s="1"/>
  <c r="I39" i="38" s="1"/>
  <c r="S151" i="38" s="1"/>
  <c r="AZ203" i="38"/>
  <c r="BA203" i="38" s="1"/>
  <c r="BB203" i="38" s="1"/>
  <c r="BC203" i="38" s="1"/>
  <c r="I9" i="38" s="1"/>
  <c r="S207" i="38" s="1"/>
  <c r="BH203" i="38"/>
  <c r="BI203" i="38" s="1"/>
  <c r="BJ203" i="38" s="1"/>
  <c r="BK203" i="38" s="1"/>
  <c r="L19" i="38" s="1"/>
  <c r="S222" i="38" s="1"/>
  <c r="BD203" i="38"/>
  <c r="BE203" i="38" s="1"/>
  <c r="BF203" i="38" s="1"/>
  <c r="BG203" i="38" s="1"/>
  <c r="L9" i="38" s="1"/>
  <c r="S215" i="38" s="1"/>
  <c r="V200" i="38"/>
  <c r="W200" i="38" s="1"/>
  <c r="X200" i="38" s="1"/>
  <c r="Y200" i="38" s="1"/>
  <c r="I36" i="38" s="1"/>
  <c r="S148" i="38" s="1"/>
  <c r="V201" i="38"/>
  <c r="W201" i="38" s="1"/>
  <c r="X201" i="38" s="1"/>
  <c r="Y201" i="38" s="1"/>
  <c r="I37" i="38" s="1"/>
  <c r="S149" i="38" s="1"/>
  <c r="V205" i="38"/>
  <c r="W205" i="38" s="1"/>
  <c r="X205" i="38" s="1"/>
  <c r="Y205" i="38" s="1"/>
  <c r="I33" i="38" s="1"/>
  <c r="S145" i="38" s="1"/>
  <c r="AA199" i="38"/>
  <c r="AB199" i="38" s="1"/>
  <c r="AC199" i="38" s="1"/>
  <c r="AD199" i="38" s="1"/>
  <c r="F35" i="38" s="1"/>
  <c r="S155" i="38" s="1"/>
  <c r="V206" i="38"/>
  <c r="W206" i="38" s="1"/>
  <c r="X206" i="38" s="1"/>
  <c r="Y206" i="38" s="1"/>
  <c r="V202" i="38"/>
  <c r="W202" i="38" s="1"/>
  <c r="X202" i="38" s="1"/>
  <c r="Y202" i="38" s="1"/>
  <c r="I38" i="38" s="1"/>
  <c r="S150" i="38" s="1"/>
  <c r="V204" i="38"/>
  <c r="W204" i="38" s="1"/>
  <c r="X204" i="38" s="1"/>
  <c r="Y204" i="38" s="1"/>
  <c r="I40" i="38" s="1"/>
  <c r="S152" i="38" s="1"/>
  <c r="AV201" i="38"/>
  <c r="AW201" i="38" s="1"/>
  <c r="AX201" i="38" s="1"/>
  <c r="AY201" i="38" s="1"/>
  <c r="F7" i="38" s="1"/>
  <c r="S197" i="38" s="1"/>
  <c r="BD205" i="38"/>
  <c r="BE205" i="38" s="1"/>
  <c r="BF205" i="38" s="1"/>
  <c r="BG205" i="38" s="1"/>
  <c r="L3" i="38" s="1"/>
  <c r="S209" i="38" s="1"/>
  <c r="AZ206" i="38"/>
  <c r="BA206" i="38" s="1"/>
  <c r="BB206" i="38" s="1"/>
  <c r="BC206" i="38" s="1"/>
  <c r="AV202" i="38"/>
  <c r="AW202" i="38" s="1"/>
  <c r="AX202" i="38" s="1"/>
  <c r="AY202" i="38" s="1"/>
  <c r="F8" i="38" s="1"/>
  <c r="S198" i="38" s="1"/>
  <c r="BD204" i="38"/>
  <c r="BE204" i="38" s="1"/>
  <c r="BF204" i="38" s="1"/>
  <c r="BG204" i="38" s="1"/>
  <c r="L10" i="38" s="1"/>
  <c r="S216" i="38" s="1"/>
  <c r="AZ205" i="38"/>
  <c r="BA205" i="38" s="1"/>
  <c r="BB205" i="38" s="1"/>
  <c r="BC205" i="38" s="1"/>
  <c r="I3" i="38" s="1"/>
  <c r="S201" i="38" s="1"/>
  <c r="BH205" i="38"/>
  <c r="BI205" i="38" s="1"/>
  <c r="BJ205" i="38" s="1"/>
  <c r="BK205" i="38" s="1"/>
  <c r="K20" i="38" s="1"/>
  <c r="S224" i="38" s="1"/>
  <c r="AV204" i="38"/>
  <c r="AW204" i="38" s="1"/>
  <c r="AX204" i="38" s="1"/>
  <c r="AY204" i="38" s="1"/>
  <c r="F10" i="38" s="1"/>
  <c r="S200" i="38" s="1"/>
  <c r="BD206" i="38"/>
  <c r="BE206" i="38" s="1"/>
  <c r="BF206" i="38" s="1"/>
  <c r="BG206" i="38" s="1"/>
  <c r="AV206" i="38"/>
  <c r="AW206" i="38" s="1"/>
  <c r="AX206" i="38" s="1"/>
  <c r="AY206" i="38" s="1"/>
  <c r="BH201" i="38"/>
  <c r="BI201" i="38" s="1"/>
  <c r="BJ201" i="38" s="1"/>
  <c r="BK201" i="38" s="1"/>
  <c r="L17" i="38" s="1"/>
  <c r="S220" i="38" s="1"/>
  <c r="AV203" i="38"/>
  <c r="AW203" i="38" s="1"/>
  <c r="AX203" i="38" s="1"/>
  <c r="AY203" i="38" s="1"/>
  <c r="F9" i="38" s="1"/>
  <c r="S199" i="38" s="1"/>
  <c r="BD202" i="38"/>
  <c r="BE202" i="38" s="1"/>
  <c r="BF202" i="38" s="1"/>
  <c r="BG202" i="38" s="1"/>
  <c r="L8" i="38" s="1"/>
  <c r="S214" i="38" s="1"/>
  <c r="AZ202" i="38"/>
  <c r="BA202" i="38" s="1"/>
  <c r="BB202" i="38" s="1"/>
  <c r="BC202" i="38" s="1"/>
  <c r="I8" i="38" s="1"/>
  <c r="S206" i="38" s="1"/>
  <c r="AR201" i="38"/>
  <c r="AS201" i="38" s="1"/>
  <c r="AT201" i="38" s="1"/>
  <c r="AU201" i="38" s="1"/>
  <c r="C7" i="38" s="1"/>
  <c r="S189" i="38" s="1"/>
  <c r="BH202" i="38"/>
  <c r="BI202" i="38" s="1"/>
  <c r="BJ202" i="38" s="1"/>
  <c r="BK202" i="38" s="1"/>
  <c r="L18" i="38" s="1"/>
  <c r="S221" i="38" s="1"/>
  <c r="BD201" i="38"/>
  <c r="BE201" i="38" s="1"/>
  <c r="BF201" i="38" s="1"/>
  <c r="BG201" i="38" s="1"/>
  <c r="L7" i="38" s="1"/>
  <c r="S213" i="38" s="1"/>
  <c r="BH204" i="38"/>
  <c r="BI204" i="38" s="1"/>
  <c r="BJ204" i="38" s="1"/>
  <c r="BK204" i="38" s="1"/>
  <c r="L20" i="38" s="1"/>
  <c r="S223" i="38" s="1"/>
  <c r="AV205" i="38"/>
  <c r="AW205" i="38" s="1"/>
  <c r="AX205" i="38" s="1"/>
  <c r="AY205" i="38" s="1"/>
  <c r="F3" i="38" s="1"/>
  <c r="S193" i="38" s="1"/>
  <c r="BB194" i="38"/>
  <c r="BL198" i="38" s="1"/>
  <c r="BM198" i="38" s="1"/>
  <c r="BN198" i="38" s="1"/>
  <c r="BO198" i="38" s="1"/>
  <c r="L23" i="38" s="1"/>
  <c r="S225" i="38" s="1"/>
  <c r="BA195" i="38"/>
  <c r="BB195" i="38" s="1"/>
  <c r="BB194" i="37"/>
  <c r="BL198" i="37" s="1"/>
  <c r="BM198" i="37" s="1"/>
  <c r="BN198" i="37" s="1"/>
  <c r="BO198" i="37" s="1"/>
  <c r="L23" i="37" s="1"/>
  <c r="S225" i="37" s="1"/>
  <c r="BA195" i="37"/>
  <c r="BB195" i="37" s="1"/>
  <c r="AV192" i="37"/>
  <c r="BD206" i="37" s="1"/>
  <c r="BE206" i="37" s="1"/>
  <c r="BF206" i="37" s="1"/>
  <c r="BG206" i="37" s="1"/>
  <c r="AJ193" i="38"/>
  <c r="AN203" i="38" s="1"/>
  <c r="AO203" i="38" s="1"/>
  <c r="AP203" i="38" s="1"/>
  <c r="AQ203" i="38" s="1"/>
  <c r="C19" i="38" s="1"/>
  <c r="S182" i="38" s="1"/>
  <c r="AI194" i="38"/>
  <c r="AI195" i="38" s="1"/>
  <c r="AA203" i="38"/>
  <c r="AB203" i="38" s="1"/>
  <c r="AC203" i="38" s="1"/>
  <c r="AD203" i="38" s="1"/>
  <c r="F39" i="38" s="1"/>
  <c r="S159" i="38" s="1"/>
  <c r="AA206" i="38"/>
  <c r="AB206" i="38" s="1"/>
  <c r="AC206" i="38" s="1"/>
  <c r="AD206" i="38" s="1"/>
  <c r="AA205" i="38"/>
  <c r="AB205" i="38" s="1"/>
  <c r="AC205" i="38" s="1"/>
  <c r="AD205" i="38" s="1"/>
  <c r="F33" i="38" s="1"/>
  <c r="S153" i="38" s="1"/>
  <c r="AA200" i="38"/>
  <c r="AB200" i="38" s="1"/>
  <c r="AC200" i="38" s="1"/>
  <c r="AD200" i="38" s="1"/>
  <c r="F36" i="38" s="1"/>
  <c r="S156" i="38" s="1"/>
  <c r="AA202" i="38"/>
  <c r="AB202" i="38" s="1"/>
  <c r="AC202" i="38" s="1"/>
  <c r="AD202" i="38" s="1"/>
  <c r="F38" i="38" s="1"/>
  <c r="S158" i="38" s="1"/>
  <c r="AJ193" i="37"/>
  <c r="AN198" i="37" s="1"/>
  <c r="AO198" i="37" s="1"/>
  <c r="AP198" i="37" s="1"/>
  <c r="AQ198" i="37" s="1"/>
  <c r="C14" i="37" s="1"/>
  <c r="S177" i="37" s="1"/>
  <c r="AI194" i="37"/>
  <c r="AI195" i="37" s="1"/>
  <c r="BP202" i="38"/>
  <c r="BQ202" i="38" s="1"/>
  <c r="BR202" i="38" s="1"/>
  <c r="BS202" i="38" s="1"/>
  <c r="L38" i="38" s="1"/>
  <c r="S237" i="38" s="1"/>
  <c r="BP204" i="38"/>
  <c r="BQ204" i="38" s="1"/>
  <c r="BR204" i="38" s="1"/>
  <c r="BS204" i="38" s="1"/>
  <c r="L40" i="38" s="1"/>
  <c r="S239" i="38" s="1"/>
  <c r="BP200" i="38"/>
  <c r="BQ200" i="38" s="1"/>
  <c r="BR200" i="38" s="1"/>
  <c r="BS200" i="38" s="1"/>
  <c r="L36" i="38" s="1"/>
  <c r="S235" i="38" s="1"/>
  <c r="BP206" i="38"/>
  <c r="BQ206" i="38" s="1"/>
  <c r="BR206" i="38" s="1"/>
  <c r="BS206" i="38" s="1"/>
  <c r="BP203" i="38"/>
  <c r="BQ203" i="38" s="1"/>
  <c r="BR203" i="38" s="1"/>
  <c r="BS203" i="38" s="1"/>
  <c r="L39" i="38" s="1"/>
  <c r="S238" i="38" s="1"/>
  <c r="BP205" i="38"/>
  <c r="BQ205" i="38" s="1"/>
  <c r="BR205" i="38" s="1"/>
  <c r="BS205" i="38" s="1"/>
  <c r="K40" i="38" s="1"/>
  <c r="S240" i="38" s="1"/>
  <c r="BP201" i="38"/>
  <c r="BQ201" i="38" s="1"/>
  <c r="BR201" i="38" s="1"/>
  <c r="BS201" i="38" s="1"/>
  <c r="L37" i="38" s="1"/>
  <c r="S236" i="38" s="1"/>
  <c r="V199" i="38"/>
  <c r="W199" i="38" s="1"/>
  <c r="X199" i="38" s="1"/>
  <c r="Y199" i="38" s="1"/>
  <c r="I35" i="38" s="1"/>
  <c r="S147" i="38" s="1"/>
  <c r="AA127" i="37"/>
  <c r="AB127" i="37" s="1"/>
  <c r="AC127" i="37" s="1"/>
  <c r="AD127" i="37" s="1"/>
  <c r="E35" i="37" s="1"/>
  <c r="R209" i="37" s="1"/>
  <c r="AA126" i="37"/>
  <c r="AB126" i="37" s="1"/>
  <c r="AC126" i="37" s="1"/>
  <c r="AD126" i="37" s="1"/>
  <c r="E34" i="37" s="1"/>
  <c r="R208" i="37" s="1"/>
  <c r="AA128" i="37"/>
  <c r="AB128" i="37" s="1"/>
  <c r="AC128" i="37" s="1"/>
  <c r="AD128" i="37" s="1"/>
  <c r="E36" i="37" s="1"/>
  <c r="R210" i="37" s="1"/>
  <c r="AA125" i="37"/>
  <c r="AB125" i="37" s="1"/>
  <c r="AC125" i="37" s="1"/>
  <c r="AD125" i="37" s="1"/>
  <c r="D33" i="37" s="1"/>
  <c r="R200" i="37" s="1"/>
  <c r="AR202" i="37"/>
  <c r="AS202" i="37" s="1"/>
  <c r="AT202" i="37" s="1"/>
  <c r="AU202" i="37" s="1"/>
  <c r="C8" i="37" s="1"/>
  <c r="S190" i="37" s="1"/>
  <c r="AF202" i="37"/>
  <c r="AG202" i="37" s="1"/>
  <c r="AH202" i="37" s="1"/>
  <c r="AI202" i="37" s="1"/>
  <c r="C38" i="37" s="1"/>
  <c r="S165" i="37" s="1"/>
  <c r="AR201" i="37"/>
  <c r="AS201" i="37" s="1"/>
  <c r="AT201" i="37" s="1"/>
  <c r="AU201" i="37" s="1"/>
  <c r="C7" i="37" s="1"/>
  <c r="S189" i="37" s="1"/>
  <c r="AR206" i="37"/>
  <c r="AS206" i="37" s="1"/>
  <c r="AT206" i="37" s="1"/>
  <c r="AU206" i="37" s="1"/>
  <c r="AR200" i="37"/>
  <c r="AS200" i="37" s="1"/>
  <c r="AT200" i="37" s="1"/>
  <c r="AU200" i="37" s="1"/>
  <c r="C6" i="37" s="1"/>
  <c r="S188" i="37" s="1"/>
  <c r="AF205" i="37"/>
  <c r="AG205" i="37" s="1"/>
  <c r="AH205" i="37" s="1"/>
  <c r="AI205" i="37" s="1"/>
  <c r="B40" i="37" s="1"/>
  <c r="S168" i="37" s="1"/>
  <c r="AF201" i="37"/>
  <c r="AG201" i="37" s="1"/>
  <c r="AH201" i="37" s="1"/>
  <c r="AI201" i="37" s="1"/>
  <c r="C37" i="37" s="1"/>
  <c r="S164" i="37" s="1"/>
  <c r="AR204" i="37"/>
  <c r="AS204" i="37" s="1"/>
  <c r="AT204" i="37" s="1"/>
  <c r="AU204" i="37" s="1"/>
  <c r="C10" i="37" s="1"/>
  <c r="S192" i="37" s="1"/>
  <c r="AV203" i="37"/>
  <c r="AW203" i="37" s="1"/>
  <c r="AX203" i="37" s="1"/>
  <c r="AY203" i="37" s="1"/>
  <c r="F9" i="37" s="1"/>
  <c r="S199" i="37" s="1"/>
  <c r="AA202" i="37"/>
  <c r="AB202" i="37" s="1"/>
  <c r="AC202" i="37" s="1"/>
  <c r="AD202" i="37" s="1"/>
  <c r="F38" i="37" s="1"/>
  <c r="S158" i="37" s="1"/>
  <c r="V204" i="37"/>
  <c r="W204" i="37" s="1"/>
  <c r="X204" i="37" s="1"/>
  <c r="Y204" i="37" s="1"/>
  <c r="I40" i="37" s="1"/>
  <c r="S152" i="37" s="1"/>
  <c r="V200" i="37"/>
  <c r="W200" i="37" s="1"/>
  <c r="X200" i="37" s="1"/>
  <c r="Y200" i="37" s="1"/>
  <c r="I36" i="37" s="1"/>
  <c r="S148" i="37" s="1"/>
  <c r="V201" i="37"/>
  <c r="W201" i="37" s="1"/>
  <c r="X201" i="37" s="1"/>
  <c r="Y201" i="37" s="1"/>
  <c r="I37" i="37" s="1"/>
  <c r="S149" i="37" s="1"/>
  <c r="BH202" i="37"/>
  <c r="BI202" i="37" s="1"/>
  <c r="BJ202" i="37" s="1"/>
  <c r="BK202" i="37" s="1"/>
  <c r="L18" i="37" s="1"/>
  <c r="S221" i="37" s="1"/>
  <c r="BH204" i="37"/>
  <c r="BI204" i="37" s="1"/>
  <c r="BJ204" i="37" s="1"/>
  <c r="BK204" i="37" s="1"/>
  <c r="L20" i="37" s="1"/>
  <c r="S223" i="37" s="1"/>
  <c r="V205" i="37"/>
  <c r="W205" i="37" s="1"/>
  <c r="X205" i="37" s="1"/>
  <c r="Y205" i="37" s="1"/>
  <c r="I33" i="37" s="1"/>
  <c r="S145" i="37" s="1"/>
  <c r="AA206" i="37"/>
  <c r="AB206" i="37" s="1"/>
  <c r="AC206" i="37" s="1"/>
  <c r="AD206" i="37" s="1"/>
  <c r="BH203" i="37"/>
  <c r="BI203" i="37" s="1"/>
  <c r="BJ203" i="37" s="1"/>
  <c r="BK203" i="37" s="1"/>
  <c r="L19" i="37" s="1"/>
  <c r="S222" i="37" s="1"/>
  <c r="AJ200" i="37"/>
  <c r="AK200" i="37" s="1"/>
  <c r="AL200" i="37" s="1"/>
  <c r="AM200" i="37" s="1"/>
  <c r="C25" i="37" s="1"/>
  <c r="S171" i="37" s="1"/>
  <c r="AA205" i="37"/>
  <c r="AB205" i="37" s="1"/>
  <c r="AC205" i="37" s="1"/>
  <c r="AD205" i="37" s="1"/>
  <c r="F33" i="37" s="1"/>
  <c r="S153" i="37" s="1"/>
  <c r="BH200" i="37"/>
  <c r="BI200" i="37" s="1"/>
  <c r="BJ200" i="37" s="1"/>
  <c r="BK200" i="37" s="1"/>
  <c r="L16" i="37" s="1"/>
  <c r="S219" i="37" s="1"/>
  <c r="V202" i="37"/>
  <c r="W202" i="37" s="1"/>
  <c r="X202" i="37" s="1"/>
  <c r="Y202" i="37" s="1"/>
  <c r="I38" i="37" s="1"/>
  <c r="S150" i="37" s="1"/>
  <c r="AF204" i="37"/>
  <c r="AG204" i="37" s="1"/>
  <c r="AH204" i="37" s="1"/>
  <c r="AI204" i="37" s="1"/>
  <c r="C40" i="37" s="1"/>
  <c r="S167" i="37" s="1"/>
  <c r="V199" i="37"/>
  <c r="W199" i="37" s="1"/>
  <c r="X199" i="37" s="1"/>
  <c r="Y199" i="37" s="1"/>
  <c r="I35" i="37" s="1"/>
  <c r="S147" i="37" s="1"/>
  <c r="AA201" i="37"/>
  <c r="AB201" i="37" s="1"/>
  <c r="AC201" i="37" s="1"/>
  <c r="AD201" i="37" s="1"/>
  <c r="F37" i="37" s="1"/>
  <c r="S157" i="37" s="1"/>
  <c r="AZ200" i="37"/>
  <c r="BA200" i="37" s="1"/>
  <c r="BB200" i="37" s="1"/>
  <c r="BC200" i="37" s="1"/>
  <c r="I6" i="37" s="1"/>
  <c r="S204" i="37" s="1"/>
  <c r="AV201" i="37"/>
  <c r="AW201" i="37" s="1"/>
  <c r="AX201" i="37" s="1"/>
  <c r="AY201" i="37" s="1"/>
  <c r="F7" i="37" s="1"/>
  <c r="S197" i="37" s="1"/>
  <c r="AV205" i="37"/>
  <c r="AW205" i="37" s="1"/>
  <c r="AX205" i="37" s="1"/>
  <c r="AY205" i="37" s="1"/>
  <c r="F3" i="37" s="1"/>
  <c r="S193" i="37" s="1"/>
  <c r="BH199" i="37"/>
  <c r="BI199" i="37" s="1"/>
  <c r="BJ199" i="37" s="1"/>
  <c r="BK199" i="37" s="1"/>
  <c r="L15" i="37" s="1"/>
  <c r="S218" i="37" s="1"/>
  <c r="BH206" i="37"/>
  <c r="BI206" i="37" s="1"/>
  <c r="BJ206" i="37" s="1"/>
  <c r="BK206" i="37" s="1"/>
  <c r="AJ205" i="37"/>
  <c r="AK205" i="37" s="1"/>
  <c r="AL205" i="37" s="1"/>
  <c r="AM205" i="37" s="1"/>
  <c r="C30" i="37" s="1"/>
  <c r="S176" i="37" s="1"/>
  <c r="BH201" i="37"/>
  <c r="BI201" i="37" s="1"/>
  <c r="BJ201" i="37" s="1"/>
  <c r="BK201" i="37" s="1"/>
  <c r="L17" i="37" s="1"/>
  <c r="S220" i="37" s="1"/>
  <c r="AJ201" i="37"/>
  <c r="AK201" i="37" s="1"/>
  <c r="AL201" i="37" s="1"/>
  <c r="AM201" i="37" s="1"/>
  <c r="C26" i="37" s="1"/>
  <c r="S172" i="37" s="1"/>
  <c r="V206" i="37"/>
  <c r="W206" i="37" s="1"/>
  <c r="X206" i="37" s="1"/>
  <c r="Y206" i="37" s="1"/>
  <c r="AV202" i="37"/>
  <c r="AW202" i="37" s="1"/>
  <c r="AX202" i="37" s="1"/>
  <c r="AY202" i="37" s="1"/>
  <c r="F8" i="37" s="1"/>
  <c r="S198" i="37" s="1"/>
  <c r="AA204" i="37"/>
  <c r="AB204" i="37" s="1"/>
  <c r="AC204" i="37" s="1"/>
  <c r="AD204" i="37" s="1"/>
  <c r="F40" i="37" s="1"/>
  <c r="S160" i="37" s="1"/>
  <c r="AA200" i="37"/>
  <c r="AB200" i="37" s="1"/>
  <c r="AC200" i="37" s="1"/>
  <c r="AD200" i="37" s="1"/>
  <c r="F36" i="37" s="1"/>
  <c r="S156" i="37" s="1"/>
  <c r="AV206" i="37"/>
  <c r="AW206" i="37" s="1"/>
  <c r="AX206" i="37" s="1"/>
  <c r="AY206" i="37" s="1"/>
  <c r="AR203" i="37"/>
  <c r="AS203" i="37" s="1"/>
  <c r="AT203" i="37" s="1"/>
  <c r="AU203" i="37" s="1"/>
  <c r="C9" i="37" s="1"/>
  <c r="S191" i="37" s="1"/>
  <c r="AV204" i="37"/>
  <c r="AW204" i="37" s="1"/>
  <c r="AX204" i="37" s="1"/>
  <c r="AY204" i="37" s="1"/>
  <c r="F10" i="37" s="1"/>
  <c r="S200" i="37" s="1"/>
  <c r="AA199" i="37"/>
  <c r="AB199" i="37" s="1"/>
  <c r="AC199" i="37" s="1"/>
  <c r="AD199" i="37" s="1"/>
  <c r="F35" i="37" s="1"/>
  <c r="S155" i="37" s="1"/>
  <c r="AF203" i="37"/>
  <c r="AG203" i="37" s="1"/>
  <c r="AH203" i="37" s="1"/>
  <c r="AI203" i="37" s="1"/>
  <c r="C39" i="37" s="1"/>
  <c r="S166" i="37" s="1"/>
  <c r="AA203" i="37"/>
  <c r="AB203" i="37" s="1"/>
  <c r="AC203" i="37" s="1"/>
  <c r="AD203" i="37" s="1"/>
  <c r="F39" i="37" s="1"/>
  <c r="S159" i="37" s="1"/>
  <c r="AF206" i="37"/>
  <c r="AG206" i="37" s="1"/>
  <c r="AH206" i="37" s="1"/>
  <c r="AI206" i="37" s="1"/>
  <c r="AZ206" i="37"/>
  <c r="BA206" i="37" s="1"/>
  <c r="BB206" i="37" s="1"/>
  <c r="BC206" i="37" s="1"/>
  <c r="AZ203" i="37"/>
  <c r="BA203" i="37" s="1"/>
  <c r="BB203" i="37" s="1"/>
  <c r="BC203" i="37" s="1"/>
  <c r="I9" i="37" s="1"/>
  <c r="S207" i="37" s="1"/>
  <c r="AJ204" i="37"/>
  <c r="AK204" i="37" s="1"/>
  <c r="AL204" i="37" s="1"/>
  <c r="AM204" i="37" s="1"/>
  <c r="C29" i="37" s="1"/>
  <c r="S175" i="37" s="1"/>
  <c r="AR205" i="37"/>
  <c r="AS205" i="37" s="1"/>
  <c r="AT205" i="37" s="1"/>
  <c r="AU205" i="37" s="1"/>
  <c r="C3" i="37" s="1"/>
  <c r="S185" i="37" s="1"/>
  <c r="BH205" i="37"/>
  <c r="BI205" i="37" s="1"/>
  <c r="BJ205" i="37" s="1"/>
  <c r="BK205" i="37" s="1"/>
  <c r="K20" i="37" s="1"/>
  <c r="S224" i="37" s="1"/>
  <c r="AZ202" i="37"/>
  <c r="BA202" i="37" s="1"/>
  <c r="BB202" i="37" s="1"/>
  <c r="BC202" i="37" s="1"/>
  <c r="I8" i="37" s="1"/>
  <c r="S206" i="37" s="1"/>
  <c r="AJ206" i="37"/>
  <c r="AK206" i="37" s="1"/>
  <c r="AL206" i="37" s="1"/>
  <c r="AM206" i="37" s="1"/>
  <c r="AZ204" i="37"/>
  <c r="BA204" i="37" s="1"/>
  <c r="BB204" i="37" s="1"/>
  <c r="BC204" i="37" s="1"/>
  <c r="I10" i="37" s="1"/>
  <c r="S208" i="37" s="1"/>
  <c r="AJ203" i="37"/>
  <c r="AK203" i="37" s="1"/>
  <c r="AL203" i="37" s="1"/>
  <c r="AM203" i="37" s="1"/>
  <c r="C28" i="37" s="1"/>
  <c r="S174" i="37" s="1"/>
  <c r="AZ205" i="37"/>
  <c r="BA205" i="37" s="1"/>
  <c r="BB205" i="37" s="1"/>
  <c r="BC205" i="37" s="1"/>
  <c r="I3" i="37" s="1"/>
  <c r="S201" i="37" s="1"/>
  <c r="AJ202" i="37"/>
  <c r="AK202" i="37" s="1"/>
  <c r="AL202" i="37" s="1"/>
  <c r="AM202" i="37" s="1"/>
  <c r="C27" i="37" s="1"/>
  <c r="S173" i="37" s="1"/>
  <c r="V203" i="37"/>
  <c r="W203" i="37" s="1"/>
  <c r="X203" i="37" s="1"/>
  <c r="Y203" i="37" s="1"/>
  <c r="I39" i="37" s="1"/>
  <c r="S151" i="37" s="1"/>
  <c r="BP204" i="37"/>
  <c r="BQ204" i="37" s="1"/>
  <c r="BR204" i="37" s="1"/>
  <c r="BS204" i="37" s="1"/>
  <c r="L40" i="37" s="1"/>
  <c r="S239" i="37" s="1"/>
  <c r="BP206" i="37"/>
  <c r="BQ206" i="37" s="1"/>
  <c r="BR206" i="37" s="1"/>
  <c r="BS206" i="37" s="1"/>
  <c r="BP200" i="37"/>
  <c r="BQ200" i="37" s="1"/>
  <c r="BR200" i="37" s="1"/>
  <c r="BS200" i="37" s="1"/>
  <c r="L36" i="37" s="1"/>
  <c r="S235" i="37" s="1"/>
  <c r="BP205" i="37"/>
  <c r="BQ205" i="37" s="1"/>
  <c r="BR205" i="37" s="1"/>
  <c r="BS205" i="37" s="1"/>
  <c r="K40" i="37" s="1"/>
  <c r="S240" i="37" s="1"/>
  <c r="BP203" i="37"/>
  <c r="BQ203" i="37" s="1"/>
  <c r="BR203" i="37" s="1"/>
  <c r="BS203" i="37" s="1"/>
  <c r="L39" i="37" s="1"/>
  <c r="S238" i="37" s="1"/>
  <c r="BP201" i="37"/>
  <c r="BQ201" i="37" s="1"/>
  <c r="BR201" i="37" s="1"/>
  <c r="BS201" i="37" s="1"/>
  <c r="L37" i="37" s="1"/>
  <c r="S236" i="37" s="1"/>
  <c r="BP202" i="37"/>
  <c r="BQ202" i="37" s="1"/>
  <c r="BR202" i="37" s="1"/>
  <c r="BS202" i="37" s="1"/>
  <c r="L38" i="37" s="1"/>
  <c r="S237" i="37" s="1"/>
  <c r="AA128" i="38"/>
  <c r="AB128" i="38" s="1"/>
  <c r="AC128" i="38" s="1"/>
  <c r="AD128" i="38" s="1"/>
  <c r="E36" i="38" s="1"/>
  <c r="R210" i="38" s="1"/>
  <c r="AR200" i="38" l="1"/>
  <c r="AS200" i="38" s="1"/>
  <c r="AT200" i="38" s="1"/>
  <c r="AU200" i="38" s="1"/>
  <c r="C6" i="38" s="1"/>
  <c r="S188" i="38" s="1"/>
  <c r="AN121" i="38"/>
  <c r="AO121" i="38" s="1"/>
  <c r="AP121" i="38" s="1"/>
  <c r="AQ121" i="38" s="1"/>
  <c r="A17" i="38" s="1"/>
  <c r="R238" i="38" s="1"/>
  <c r="AN120" i="38"/>
  <c r="AO120" i="38" s="1"/>
  <c r="AP120" i="38" s="1"/>
  <c r="AQ120" i="38" s="1"/>
  <c r="A16" i="38" s="1"/>
  <c r="R237" i="38" s="1"/>
  <c r="AN123" i="38"/>
  <c r="AO123" i="38" s="1"/>
  <c r="AP123" i="38" s="1"/>
  <c r="AQ123" i="38" s="1"/>
  <c r="A19" i="38" s="1"/>
  <c r="R240" i="38" s="1"/>
  <c r="AV127" i="38"/>
  <c r="AW127" i="38" s="1"/>
  <c r="AX127" i="38" s="1"/>
  <c r="AY127" i="38" s="1"/>
  <c r="E5" i="38" s="1"/>
  <c r="R264" i="38" s="1"/>
  <c r="AV125" i="38"/>
  <c r="AW125" i="38" s="1"/>
  <c r="AX125" i="38" s="1"/>
  <c r="AY125" i="38" s="1"/>
  <c r="D3" i="38" s="1"/>
  <c r="R255" i="38" s="1"/>
  <c r="AV126" i="38"/>
  <c r="AW126" i="38" s="1"/>
  <c r="AX126" i="38" s="1"/>
  <c r="AY126" i="38" s="1"/>
  <c r="E4" i="38" s="1"/>
  <c r="R263" i="38" s="1"/>
  <c r="AV123" i="37"/>
  <c r="AW123" i="37" s="1"/>
  <c r="AX123" i="37" s="1"/>
  <c r="AY123" i="37" s="1"/>
  <c r="D9" i="37" s="1"/>
  <c r="R261" i="37" s="1"/>
  <c r="AV121" i="38"/>
  <c r="AW121" i="38" s="1"/>
  <c r="AX121" i="38" s="1"/>
  <c r="AY121" i="38" s="1"/>
  <c r="D7" i="38" s="1"/>
  <c r="R259" i="38" s="1"/>
  <c r="AV128" i="38"/>
  <c r="AW128" i="38" s="1"/>
  <c r="AX128" i="38" s="1"/>
  <c r="AY128" i="38" s="1"/>
  <c r="E6" i="38" s="1"/>
  <c r="R265" i="38" s="1"/>
  <c r="AV125" i="37"/>
  <c r="AW125" i="37" s="1"/>
  <c r="AX125" i="37" s="1"/>
  <c r="AY125" i="37" s="1"/>
  <c r="D3" i="37" s="1"/>
  <c r="R255" i="37" s="1"/>
  <c r="AN124" i="38"/>
  <c r="AO124" i="38" s="1"/>
  <c r="AP124" i="38" s="1"/>
  <c r="AQ124" i="38" s="1"/>
  <c r="A20" i="38" s="1"/>
  <c r="R241" i="38" s="1"/>
  <c r="AV122" i="38"/>
  <c r="AW122" i="38" s="1"/>
  <c r="AX122" i="38" s="1"/>
  <c r="AY122" i="38" s="1"/>
  <c r="D8" i="38" s="1"/>
  <c r="R260" i="38" s="1"/>
  <c r="AV126" i="37"/>
  <c r="AW126" i="37" s="1"/>
  <c r="AX126" i="37" s="1"/>
  <c r="AY126" i="37" s="1"/>
  <c r="E4" i="37" s="1"/>
  <c r="R263" i="37" s="1"/>
  <c r="AV121" i="37"/>
  <c r="AW121" i="37" s="1"/>
  <c r="AX121" i="37" s="1"/>
  <c r="AY121" i="37" s="1"/>
  <c r="D7" i="37" s="1"/>
  <c r="R259" i="37" s="1"/>
  <c r="AN119" i="38"/>
  <c r="AO119" i="38" s="1"/>
  <c r="AP119" i="38" s="1"/>
  <c r="AQ119" i="38" s="1"/>
  <c r="A15" i="38" s="1"/>
  <c r="R236" i="38" s="1"/>
  <c r="AV118" i="38"/>
  <c r="AW118" i="38" s="1"/>
  <c r="AX118" i="38" s="1"/>
  <c r="AY118" i="38" s="1"/>
  <c r="D4" i="38" s="1"/>
  <c r="R256" i="38" s="1"/>
  <c r="AN118" i="38"/>
  <c r="AO118" i="38" s="1"/>
  <c r="AP118" i="38" s="1"/>
  <c r="AQ118" i="38" s="1"/>
  <c r="A14" i="38" s="1"/>
  <c r="R235" i="38" s="1"/>
  <c r="AN126" i="38"/>
  <c r="AO126" i="38" s="1"/>
  <c r="AP126" i="38" s="1"/>
  <c r="AQ126" i="38" s="1"/>
  <c r="A12" i="38" s="1"/>
  <c r="R233" i="38" s="1"/>
  <c r="AN125" i="38"/>
  <c r="AO125" i="38" s="1"/>
  <c r="AP125" i="38" s="1"/>
  <c r="AQ125" i="38" s="1"/>
  <c r="A13" i="38" s="1"/>
  <c r="R234" i="38" s="1"/>
  <c r="AV122" i="37"/>
  <c r="AW122" i="37" s="1"/>
  <c r="AX122" i="37" s="1"/>
  <c r="AY122" i="37" s="1"/>
  <c r="D8" i="37" s="1"/>
  <c r="R260" i="37" s="1"/>
  <c r="AV118" i="37"/>
  <c r="AW118" i="37" s="1"/>
  <c r="AX118" i="37" s="1"/>
  <c r="AY118" i="37" s="1"/>
  <c r="D4" i="37" s="1"/>
  <c r="R256" i="37" s="1"/>
  <c r="AV127" i="37"/>
  <c r="AW127" i="37" s="1"/>
  <c r="AX127" i="37" s="1"/>
  <c r="AY127" i="37" s="1"/>
  <c r="E5" i="37" s="1"/>
  <c r="R264" i="37" s="1"/>
  <c r="AV119" i="38"/>
  <c r="AW119" i="38" s="1"/>
  <c r="AX119" i="38" s="1"/>
  <c r="AY119" i="38" s="1"/>
  <c r="D5" i="38" s="1"/>
  <c r="R257" i="38" s="1"/>
  <c r="AV128" i="37"/>
  <c r="AW128" i="37" s="1"/>
  <c r="AX128" i="37" s="1"/>
  <c r="AY128" i="37" s="1"/>
  <c r="E6" i="37" s="1"/>
  <c r="R265" i="37" s="1"/>
  <c r="AV120" i="37"/>
  <c r="AW120" i="37" s="1"/>
  <c r="AX120" i="37" s="1"/>
  <c r="AY120" i="37" s="1"/>
  <c r="D6" i="37" s="1"/>
  <c r="R258" i="37" s="1"/>
  <c r="AV124" i="37"/>
  <c r="AW124" i="37" s="1"/>
  <c r="AX124" i="37" s="1"/>
  <c r="AY124" i="37" s="1"/>
  <c r="D10" i="37" s="1"/>
  <c r="R262" i="37" s="1"/>
  <c r="BL205" i="38"/>
  <c r="BM205" i="38" s="1"/>
  <c r="BN205" i="38" s="1"/>
  <c r="BO205" i="38" s="1"/>
  <c r="L30" i="38" s="1"/>
  <c r="S232" i="38" s="1"/>
  <c r="BD202" i="37"/>
  <c r="BE202" i="37" s="1"/>
  <c r="BF202" i="37" s="1"/>
  <c r="BG202" i="37" s="1"/>
  <c r="L8" i="37" s="1"/>
  <c r="S214" i="37" s="1"/>
  <c r="AN128" i="38"/>
  <c r="AO128" i="38" s="1"/>
  <c r="AP128" i="38" s="1"/>
  <c r="AQ128" i="38" s="1"/>
  <c r="B16" i="38" s="1"/>
  <c r="R243" i="38" s="1"/>
  <c r="AV124" i="38"/>
  <c r="AW124" i="38" s="1"/>
  <c r="AX124" i="38" s="1"/>
  <c r="AY124" i="38" s="1"/>
  <c r="D10" i="38" s="1"/>
  <c r="R262" i="38" s="1"/>
  <c r="AV123" i="38"/>
  <c r="AW123" i="38" s="1"/>
  <c r="AX123" i="38" s="1"/>
  <c r="AY123" i="38" s="1"/>
  <c r="D9" i="38" s="1"/>
  <c r="R261" i="38" s="1"/>
  <c r="AJ206" i="38"/>
  <c r="AK206" i="38" s="1"/>
  <c r="AL206" i="38" s="1"/>
  <c r="AM206" i="38" s="1"/>
  <c r="AL4" i="24"/>
  <c r="AK4" i="24"/>
  <c r="N23" i="24"/>
  <c r="AJ202" i="38"/>
  <c r="AK202" i="38" s="1"/>
  <c r="AL202" i="38" s="1"/>
  <c r="AM202" i="38" s="1"/>
  <c r="C27" i="38" s="1"/>
  <c r="S173" i="38" s="1"/>
  <c r="AR202" i="38"/>
  <c r="AS202" i="38" s="1"/>
  <c r="AT202" i="38" s="1"/>
  <c r="AU202" i="38" s="1"/>
  <c r="C8" i="38" s="1"/>
  <c r="S190" i="38" s="1"/>
  <c r="AR204" i="38"/>
  <c r="AS204" i="38" s="1"/>
  <c r="AT204" i="38" s="1"/>
  <c r="AU204" i="38" s="1"/>
  <c r="C10" i="38" s="1"/>
  <c r="S192" i="38" s="1"/>
  <c r="AR205" i="38"/>
  <c r="AS205" i="38" s="1"/>
  <c r="AT205" i="38" s="1"/>
  <c r="AU205" i="38" s="1"/>
  <c r="C3" i="38" s="1"/>
  <c r="S185" i="38" s="1"/>
  <c r="AJ201" i="38"/>
  <c r="AK201" i="38" s="1"/>
  <c r="AL201" i="38" s="1"/>
  <c r="AM201" i="38" s="1"/>
  <c r="C26" i="38" s="1"/>
  <c r="S172" i="38" s="1"/>
  <c r="AR206" i="38"/>
  <c r="AS206" i="38" s="1"/>
  <c r="AT206" i="38" s="1"/>
  <c r="AU206" i="38" s="1"/>
  <c r="AJ200" i="38"/>
  <c r="AK200" i="38" s="1"/>
  <c r="AL200" i="38" s="1"/>
  <c r="AM200" i="38" s="1"/>
  <c r="C25" i="38" s="1"/>
  <c r="S171" i="38" s="1"/>
  <c r="AJ205" i="38"/>
  <c r="AK205" i="38" s="1"/>
  <c r="AL205" i="38" s="1"/>
  <c r="AM205" i="38" s="1"/>
  <c r="C30" i="38" s="1"/>
  <c r="S176" i="38" s="1"/>
  <c r="AJ204" i="38"/>
  <c r="AK204" i="38" s="1"/>
  <c r="AL204" i="38" s="1"/>
  <c r="AM204" i="38" s="1"/>
  <c r="C29" i="38" s="1"/>
  <c r="S175" i="38" s="1"/>
  <c r="AN127" i="38"/>
  <c r="AO127" i="38" s="1"/>
  <c r="AP127" i="38" s="1"/>
  <c r="AQ127" i="38" s="1"/>
  <c r="B15" i="38" s="1"/>
  <c r="R242" i="38" s="1"/>
  <c r="BL205" i="37"/>
  <c r="BM205" i="37" s="1"/>
  <c r="BN205" i="37" s="1"/>
  <c r="BO205" i="37" s="1"/>
  <c r="L30" i="37" s="1"/>
  <c r="S232" i="37" s="1"/>
  <c r="AN205" i="38"/>
  <c r="AO205" i="38" s="1"/>
  <c r="AP205" i="38" s="1"/>
  <c r="AQ205" i="38" s="1"/>
  <c r="B20" i="38" s="1"/>
  <c r="S184" i="38" s="1"/>
  <c r="BL199" i="38"/>
  <c r="BM199" i="38" s="1"/>
  <c r="BN199" i="38" s="1"/>
  <c r="BO199" i="38" s="1"/>
  <c r="L24" i="38" s="1"/>
  <c r="S226" i="38" s="1"/>
  <c r="AN201" i="38"/>
  <c r="AO201" i="38" s="1"/>
  <c r="AP201" i="38" s="1"/>
  <c r="AQ201" i="38" s="1"/>
  <c r="C17" i="38" s="1"/>
  <c r="S180" i="38" s="1"/>
  <c r="BL204" i="38"/>
  <c r="BM204" i="38" s="1"/>
  <c r="BN204" i="38" s="1"/>
  <c r="BO204" i="38" s="1"/>
  <c r="L29" i="38" s="1"/>
  <c r="S231" i="38" s="1"/>
  <c r="BL200" i="38"/>
  <c r="BM200" i="38" s="1"/>
  <c r="BN200" i="38" s="1"/>
  <c r="BO200" i="38" s="1"/>
  <c r="L25" i="38" s="1"/>
  <c r="S227" i="38" s="1"/>
  <c r="AN200" i="38"/>
  <c r="AO200" i="38" s="1"/>
  <c r="AP200" i="38" s="1"/>
  <c r="AQ200" i="38" s="1"/>
  <c r="C16" i="38" s="1"/>
  <c r="S179" i="38" s="1"/>
  <c r="R54" i="37"/>
  <c r="BD200" i="37"/>
  <c r="BE200" i="37" s="1"/>
  <c r="BF200" i="37" s="1"/>
  <c r="BG200" i="37" s="1"/>
  <c r="L6" i="37" s="1"/>
  <c r="S212" i="37" s="1"/>
  <c r="BD199" i="37"/>
  <c r="BE199" i="37" s="1"/>
  <c r="BF199" i="37" s="1"/>
  <c r="BG199" i="37" s="1"/>
  <c r="L5" i="37" s="1"/>
  <c r="S211" i="37" s="1"/>
  <c r="BD204" i="37"/>
  <c r="BE204" i="37" s="1"/>
  <c r="BF204" i="37" s="1"/>
  <c r="BG204" i="37" s="1"/>
  <c r="L10" i="37" s="1"/>
  <c r="S216" i="37" s="1"/>
  <c r="AN202" i="38"/>
  <c r="AO202" i="38" s="1"/>
  <c r="AP202" i="38" s="1"/>
  <c r="AQ202" i="38" s="1"/>
  <c r="C18" i="38" s="1"/>
  <c r="S181" i="38" s="1"/>
  <c r="BD205" i="37"/>
  <c r="BE205" i="37" s="1"/>
  <c r="BF205" i="37" s="1"/>
  <c r="BG205" i="37" s="1"/>
  <c r="L3" i="37" s="1"/>
  <c r="S209" i="37" s="1"/>
  <c r="U53" i="37"/>
  <c r="BD203" i="37"/>
  <c r="BE203" i="37" s="1"/>
  <c r="BF203" i="37" s="1"/>
  <c r="BG203" i="37" s="1"/>
  <c r="L9" i="37" s="1"/>
  <c r="S215" i="37" s="1"/>
  <c r="AN205" i="37"/>
  <c r="AO205" i="37" s="1"/>
  <c r="AP205" i="37" s="1"/>
  <c r="AQ205" i="37" s="1"/>
  <c r="B20" i="37" s="1"/>
  <c r="S184" i="37" s="1"/>
  <c r="AN199" i="37"/>
  <c r="AO199" i="37" s="1"/>
  <c r="AP199" i="37" s="1"/>
  <c r="AQ199" i="37" s="1"/>
  <c r="C15" i="37" s="1"/>
  <c r="S178" i="37" s="1"/>
  <c r="AN201" i="37"/>
  <c r="AO201" i="37" s="1"/>
  <c r="AP201" i="37" s="1"/>
  <c r="AQ201" i="37" s="1"/>
  <c r="C17" i="37" s="1"/>
  <c r="S180" i="37" s="1"/>
  <c r="AN200" i="37"/>
  <c r="AO200" i="37" s="1"/>
  <c r="AP200" i="37" s="1"/>
  <c r="AQ200" i="37" s="1"/>
  <c r="C16" i="37" s="1"/>
  <c r="S179" i="37" s="1"/>
  <c r="AN198" i="38"/>
  <c r="AO198" i="38" s="1"/>
  <c r="AP198" i="38" s="1"/>
  <c r="AQ198" i="38" s="1"/>
  <c r="C14" i="38" s="1"/>
  <c r="S177" i="38" s="1"/>
  <c r="U53" i="38"/>
  <c r="BD201" i="37"/>
  <c r="BE201" i="37" s="1"/>
  <c r="BF201" i="37" s="1"/>
  <c r="BG201" i="37" s="1"/>
  <c r="L7" i="37" s="1"/>
  <c r="S213" i="37" s="1"/>
  <c r="BD198" i="37"/>
  <c r="BE198" i="37" s="1"/>
  <c r="BF198" i="37" s="1"/>
  <c r="BG198" i="37" s="1"/>
  <c r="L4" i="37" s="1"/>
  <c r="S210" i="37" s="1"/>
  <c r="AN199" i="38"/>
  <c r="AO199" i="38" s="1"/>
  <c r="AP199" i="38" s="1"/>
  <c r="AQ199" i="38" s="1"/>
  <c r="C15" i="38" s="1"/>
  <c r="S178" i="38" s="1"/>
  <c r="BL199" i="37"/>
  <c r="BM199" i="37" s="1"/>
  <c r="BN199" i="37" s="1"/>
  <c r="BO199" i="37" s="1"/>
  <c r="L24" i="37" s="1"/>
  <c r="S226" i="37" s="1"/>
  <c r="BL204" i="37"/>
  <c r="BM204" i="37" s="1"/>
  <c r="BN204" i="37" s="1"/>
  <c r="BO204" i="37" s="1"/>
  <c r="L29" i="37" s="1"/>
  <c r="S231" i="37" s="1"/>
  <c r="AN206" i="38"/>
  <c r="AO206" i="38" s="1"/>
  <c r="AP206" i="38" s="1"/>
  <c r="AQ206" i="38" s="1"/>
  <c r="AN204" i="37"/>
  <c r="AO204" i="37" s="1"/>
  <c r="AP204" i="37" s="1"/>
  <c r="AQ204" i="37" s="1"/>
  <c r="C20" i="37" s="1"/>
  <c r="S183" i="37" s="1"/>
  <c r="AN206" i="37"/>
  <c r="AO206" i="37" s="1"/>
  <c r="AP206" i="37" s="1"/>
  <c r="AQ206" i="37" s="1"/>
  <c r="AN202" i="37"/>
  <c r="AO202" i="37" s="1"/>
  <c r="AP202" i="37" s="1"/>
  <c r="AQ202" i="37" s="1"/>
  <c r="C18" i="37" s="1"/>
  <c r="S181" i="37" s="1"/>
  <c r="BL206" i="38"/>
  <c r="BM206" i="38" s="1"/>
  <c r="BN206" i="38" s="1"/>
  <c r="BO206" i="38" s="1"/>
  <c r="AN203" i="37"/>
  <c r="AO203" i="37" s="1"/>
  <c r="AP203" i="37" s="1"/>
  <c r="AQ203" i="37" s="1"/>
  <c r="C19" i="37" s="1"/>
  <c r="S182" i="37" s="1"/>
  <c r="BL201" i="38"/>
  <c r="BM201" i="38" s="1"/>
  <c r="BN201" i="38" s="1"/>
  <c r="BO201" i="38" s="1"/>
  <c r="L26" i="38" s="1"/>
  <c r="S228" i="38" s="1"/>
  <c r="BL203" i="38"/>
  <c r="BM203" i="38" s="1"/>
  <c r="BN203" i="38" s="1"/>
  <c r="BO203" i="38" s="1"/>
  <c r="L28" i="38" s="1"/>
  <c r="S230" i="38" s="1"/>
  <c r="AN204" i="38"/>
  <c r="AO204" i="38" s="1"/>
  <c r="AP204" i="38" s="1"/>
  <c r="AQ204" i="38" s="1"/>
  <c r="C20" i="38" s="1"/>
  <c r="S183" i="38" s="1"/>
  <c r="BL200" i="37"/>
  <c r="BM200" i="37" s="1"/>
  <c r="BN200" i="37" s="1"/>
  <c r="BO200" i="37" s="1"/>
  <c r="L25" i="37" s="1"/>
  <c r="S227" i="37" s="1"/>
  <c r="BL202" i="38"/>
  <c r="BM202" i="38" s="1"/>
  <c r="BN202" i="38" s="1"/>
  <c r="BO202" i="38" s="1"/>
  <c r="L27" i="38" s="1"/>
  <c r="S229" i="38" s="1"/>
  <c r="BL203" i="37"/>
  <c r="BM203" i="37" s="1"/>
  <c r="BN203" i="37" s="1"/>
  <c r="BO203" i="37" s="1"/>
  <c r="L28" i="37" s="1"/>
  <c r="S230" i="37" s="1"/>
  <c r="BL201" i="37"/>
  <c r="BM201" i="37" s="1"/>
  <c r="BN201" i="37" s="1"/>
  <c r="BO201" i="37" s="1"/>
  <c r="L26" i="37" s="1"/>
  <c r="S228" i="37" s="1"/>
  <c r="BL206" i="37"/>
  <c r="BM206" i="37" s="1"/>
  <c r="BN206" i="37" s="1"/>
  <c r="BO206" i="37" s="1"/>
  <c r="BL202" i="37"/>
  <c r="BM202" i="37" s="1"/>
  <c r="BN202" i="37" s="1"/>
  <c r="BO202" i="37" s="1"/>
  <c r="L27" i="37" s="1"/>
  <c r="S229" i="37" s="1"/>
  <c r="N4" i="8" l="1"/>
  <c r="M28" i="24"/>
  <c r="AN4" i="24"/>
  <c r="AK13" i="24"/>
  <c r="U54" i="37"/>
  <c r="R55" i="37"/>
  <c r="U54" i="38"/>
  <c r="N28" i="24" l="1"/>
  <c r="N9" i="8" s="1"/>
  <c r="AL9" i="24"/>
  <c r="AK9" i="24"/>
  <c r="R56" i="37"/>
  <c r="R57" i="37" s="1"/>
  <c r="R58" i="37" s="1"/>
  <c r="R59" i="37" s="1"/>
  <c r="R60" i="37" s="1"/>
  <c r="T54" i="37" s="1"/>
  <c r="T60" i="37"/>
  <c r="T53" i="37"/>
  <c r="T57" i="37"/>
  <c r="T58" i="37"/>
  <c r="T51" i="37"/>
  <c r="T55" i="37"/>
  <c r="T49" i="37"/>
  <c r="U55" i="37"/>
  <c r="U55" i="38"/>
  <c r="AN9" i="24" l="1"/>
  <c r="M27" i="24"/>
  <c r="T56" i="37"/>
  <c r="AK12" i="24"/>
  <c r="U56" i="37"/>
  <c r="U57" i="37" s="1"/>
  <c r="U58" i="37" s="1"/>
  <c r="U59" i="37" s="1"/>
  <c r="U60" i="37" s="1"/>
  <c r="W55" i="37" s="1"/>
  <c r="Y55" i="37" s="1"/>
  <c r="AA55" i="37" s="1"/>
  <c r="E11" i="37" s="1"/>
  <c r="W57" i="37"/>
  <c r="Y57" i="37" s="1"/>
  <c r="AA57" i="37" s="1"/>
  <c r="I11" i="37" s="1"/>
  <c r="W58" i="37"/>
  <c r="Y58" i="37" s="1"/>
  <c r="AA58" i="37" s="1"/>
  <c r="I17" i="37" s="1"/>
  <c r="W54" i="37"/>
  <c r="Y54" i="37" s="1"/>
  <c r="AA54" i="37" s="1"/>
  <c r="D11" i="37" s="1"/>
  <c r="U56" i="38"/>
  <c r="T52" i="37"/>
  <c r="T50" i="37"/>
  <c r="T59" i="37"/>
  <c r="W53" i="37"/>
  <c r="Y53" i="37" s="1"/>
  <c r="AA53" i="37" s="1"/>
  <c r="D17" i="37" s="1"/>
  <c r="AL8" i="24" l="1"/>
  <c r="N27" i="24"/>
  <c r="AK8" i="24"/>
  <c r="AK11" i="24" s="1"/>
  <c r="N8" i="8"/>
  <c r="W50" i="37"/>
  <c r="Y50" i="37" s="1"/>
  <c r="AA50" i="37" s="1"/>
  <c r="E30" i="37" s="1"/>
  <c r="W60" i="37"/>
  <c r="Y60" i="37" s="1"/>
  <c r="AA60" i="37" s="1"/>
  <c r="I30" i="37" s="1"/>
  <c r="W52" i="37"/>
  <c r="Y52" i="37" s="1"/>
  <c r="AA52" i="37" s="1"/>
  <c r="D24" i="37" s="1"/>
  <c r="W49" i="37"/>
  <c r="Y49" i="37" s="1"/>
  <c r="AA49" i="37" s="1"/>
  <c r="H30" i="37" s="1"/>
  <c r="W51" i="37"/>
  <c r="Y51" i="37" s="1"/>
  <c r="AA51" i="37" s="1"/>
  <c r="D30" i="37" s="1"/>
  <c r="W59" i="37"/>
  <c r="Y59" i="37" s="1"/>
  <c r="AA59" i="37" s="1"/>
  <c r="I24" i="37" s="1"/>
  <c r="U57" i="38"/>
  <c r="U58" i="38" s="1"/>
  <c r="U59" i="38" s="1"/>
  <c r="U60" i="38" s="1"/>
  <c r="W56" i="37"/>
  <c r="Y56" i="37" s="1"/>
  <c r="AA56" i="37" s="1"/>
  <c r="H11" i="37" s="1"/>
  <c r="W49" i="38" l="1"/>
  <c r="Y49" i="38" s="1"/>
  <c r="AA49" i="38" s="1"/>
  <c r="H30" i="38" s="1"/>
  <c r="M26" i="24"/>
  <c r="AN8" i="24"/>
  <c r="W52" i="38"/>
  <c r="Y52" i="38" s="1"/>
  <c r="AA52" i="38" s="1"/>
  <c r="D24" i="38" s="1"/>
  <c r="W60" i="38"/>
  <c r="Y60" i="38" s="1"/>
  <c r="AA60" i="38" s="1"/>
  <c r="I30" i="38" s="1"/>
  <c r="W50" i="38"/>
  <c r="Y50" i="38" s="1"/>
  <c r="AA50" i="38" s="1"/>
  <c r="E30" i="38" s="1"/>
  <c r="W58" i="38"/>
  <c r="Y58" i="38" s="1"/>
  <c r="AA58" i="38" s="1"/>
  <c r="I17" i="38" s="1"/>
  <c r="W53" i="38"/>
  <c r="Y53" i="38" s="1"/>
  <c r="AA53" i="38" s="1"/>
  <c r="D17" i="38" s="1"/>
  <c r="W59" i="38"/>
  <c r="Y59" i="38" s="1"/>
  <c r="AA59" i="38" s="1"/>
  <c r="I24" i="38" s="1"/>
  <c r="W56" i="38"/>
  <c r="Y56" i="38" s="1"/>
  <c r="AA56" i="38" s="1"/>
  <c r="H11" i="38" s="1"/>
  <c r="W57" i="38"/>
  <c r="Y57" i="38" s="1"/>
  <c r="AA57" i="38" s="1"/>
  <c r="I11" i="38" s="1"/>
  <c r="W51" i="38"/>
  <c r="Y51" i="38" s="1"/>
  <c r="AA51" i="38" s="1"/>
  <c r="D30" i="38" s="1"/>
  <c r="W55" i="38"/>
  <c r="Y55" i="38" s="1"/>
  <c r="AA55" i="38" s="1"/>
  <c r="E11" i="38" s="1"/>
  <c r="W54" i="38"/>
  <c r="Y54" i="38" s="1"/>
  <c r="AA54" i="38" s="1"/>
  <c r="D11" i="38" s="1"/>
  <c r="N26" i="24" l="1"/>
  <c r="AK7" i="24"/>
  <c r="AK10" i="24" s="1"/>
  <c r="AL7" i="24"/>
  <c r="N7" i="8" l="1"/>
  <c r="M25" i="24"/>
  <c r="AN7" i="24"/>
  <c r="N25" i="24" l="1"/>
  <c r="AN6" i="24" s="1"/>
  <c r="AL6" i="24"/>
  <c r="AK6" i="24"/>
  <c r="N6" i="8"/>
  <c r="AK15" i="24" l="1"/>
  <c r="I23" i="12" s="1"/>
  <c r="G66" i="12"/>
  <c r="H143" i="12"/>
  <c r="N136" i="12"/>
  <c r="O27" i="24"/>
  <c r="I58" i="12" l="1"/>
  <c r="AU22" i="24"/>
  <c r="B98" i="12"/>
  <c r="H119" i="12"/>
  <c r="H21" i="12"/>
  <c r="I59" i="12"/>
  <c r="L100" i="12"/>
  <c r="H45" i="12"/>
  <c r="L50" i="12"/>
  <c r="B96" i="12"/>
  <c r="N37" i="12"/>
  <c r="H44" i="12"/>
  <c r="AU21" i="24"/>
  <c r="B110" i="12"/>
  <c r="B130" i="12"/>
  <c r="B134" i="12"/>
  <c r="C65" i="12"/>
  <c r="B44" i="12"/>
  <c r="I34" i="12"/>
  <c r="B20" i="12"/>
  <c r="G31" i="12"/>
  <c r="B60" i="12"/>
  <c r="AU19" i="24"/>
  <c r="C42" i="12"/>
  <c r="AS21" i="24" s="1"/>
  <c r="B107" i="12"/>
  <c r="AU23" i="24"/>
  <c r="B24" i="12"/>
  <c r="B70" i="12"/>
  <c r="I71" i="12"/>
  <c r="B45" i="12"/>
  <c r="C64" i="12"/>
  <c r="L88" i="12"/>
  <c r="I35" i="12"/>
  <c r="AU18" i="24"/>
  <c r="G80" i="12"/>
  <c r="AU26" i="24"/>
  <c r="B133" i="12"/>
  <c r="N87" i="12"/>
  <c r="N49" i="12"/>
  <c r="AT30" i="24"/>
  <c r="AT31" i="24" s="1"/>
  <c r="B23" i="12"/>
  <c r="B57" i="12"/>
  <c r="B120" i="12"/>
  <c r="N112" i="12"/>
  <c r="B8" i="12"/>
  <c r="I109" i="12"/>
  <c r="G104" i="12"/>
  <c r="G43" i="12"/>
  <c r="L73" i="12"/>
  <c r="B132" i="12"/>
  <c r="B31" i="12"/>
  <c r="G19" i="12"/>
  <c r="B129" i="12"/>
  <c r="N100" i="12"/>
  <c r="C30" i="12"/>
  <c r="AS20" i="24" s="1"/>
  <c r="I10" i="12"/>
  <c r="H95" i="12"/>
  <c r="I134" i="12"/>
  <c r="I97" i="12"/>
  <c r="B86" i="12"/>
  <c r="B85" i="12"/>
  <c r="G128" i="12"/>
  <c r="C54" i="12"/>
  <c r="AS22" i="24" s="1"/>
  <c r="G55" i="12"/>
  <c r="B11" i="12"/>
  <c r="AU28" i="24"/>
  <c r="I144" i="12"/>
  <c r="L13" i="12"/>
  <c r="I36" i="12"/>
  <c r="L124" i="12"/>
  <c r="G93" i="12"/>
  <c r="B81" i="12"/>
  <c r="H8" i="12"/>
  <c r="B118" i="12"/>
  <c r="B106" i="12"/>
  <c r="N124" i="12"/>
  <c r="L136" i="12"/>
  <c r="B72" i="12"/>
  <c r="B71" i="12"/>
  <c r="I110" i="12"/>
  <c r="H130" i="12"/>
  <c r="H33" i="12"/>
  <c r="AQ6" i="24"/>
  <c r="C18" i="12"/>
  <c r="AS19" i="24" s="1"/>
  <c r="B69" i="12"/>
  <c r="I108" i="12"/>
  <c r="AU20" i="24"/>
  <c r="B131" i="12"/>
  <c r="B121" i="12"/>
  <c r="L49" i="12"/>
  <c r="E2" i="12"/>
  <c r="L111" i="12"/>
  <c r="B32" i="12"/>
  <c r="B146" i="12"/>
  <c r="G7" i="12"/>
  <c r="L123" i="12"/>
  <c r="L99" i="12"/>
  <c r="I48" i="12"/>
  <c r="B94" i="12"/>
  <c r="B143" i="12"/>
  <c r="L112" i="12"/>
  <c r="B93" i="12"/>
  <c r="B35" i="12"/>
  <c r="H56" i="12"/>
  <c r="C17" i="12"/>
  <c r="G141" i="12"/>
  <c r="B144" i="12"/>
  <c r="B22" i="12"/>
  <c r="G6" i="12"/>
  <c r="I85" i="12"/>
  <c r="H68" i="12"/>
  <c r="C66" i="12"/>
  <c r="AS23" i="24" s="1"/>
  <c r="B108" i="12"/>
  <c r="C53" i="12"/>
  <c r="B43" i="12"/>
  <c r="B47" i="12"/>
  <c r="I60" i="12"/>
  <c r="L26" i="12"/>
  <c r="I12" i="12"/>
  <c r="I24" i="12"/>
  <c r="N74" i="12"/>
  <c r="B122" i="12"/>
  <c r="I86" i="12"/>
  <c r="I132" i="12"/>
  <c r="N111" i="12"/>
  <c r="I98" i="12"/>
  <c r="I145" i="12"/>
  <c r="I96" i="12"/>
  <c r="O1" i="1"/>
  <c r="I47" i="12"/>
  <c r="G54" i="12"/>
  <c r="L61" i="12"/>
  <c r="I11" i="12"/>
  <c r="N26" i="12"/>
  <c r="L25" i="12"/>
  <c r="C5" i="12"/>
  <c r="I22" i="12"/>
  <c r="B9" i="12"/>
  <c r="I122" i="12"/>
  <c r="C41" i="12"/>
  <c r="N123" i="12"/>
  <c r="B119" i="12"/>
  <c r="H106" i="12"/>
  <c r="B68" i="12"/>
  <c r="B33" i="12"/>
  <c r="AU30" i="24"/>
  <c r="AQ5" i="24"/>
  <c r="B58" i="12"/>
  <c r="N14" i="12"/>
  <c r="H20" i="12"/>
  <c r="B19" i="12"/>
  <c r="N135" i="12"/>
  <c r="H82" i="12"/>
  <c r="AU29" i="24"/>
  <c r="N148" i="12"/>
  <c r="I72" i="12"/>
  <c r="H94" i="12"/>
  <c r="N73" i="12"/>
  <c r="L147" i="12"/>
  <c r="G116" i="12"/>
  <c r="B83" i="12"/>
  <c r="N88" i="12"/>
  <c r="AU25" i="24"/>
  <c r="B105" i="12"/>
  <c r="I70" i="12"/>
  <c r="B34" i="12"/>
  <c r="L38" i="12"/>
  <c r="G30" i="12"/>
  <c r="N50" i="12"/>
  <c r="B21" i="12"/>
  <c r="B10" i="12"/>
  <c r="C16" i="12"/>
  <c r="C6" i="12"/>
  <c r="AS18" i="24" s="1"/>
  <c r="AQ7" i="24" s="1"/>
  <c r="B142" i="12"/>
  <c r="B48" i="12"/>
  <c r="H142" i="12"/>
  <c r="I84" i="12"/>
  <c r="B82" i="12"/>
  <c r="L62" i="12"/>
  <c r="H32" i="12"/>
  <c r="H131" i="12"/>
  <c r="K2" i="12"/>
  <c r="G105" i="12"/>
  <c r="L148" i="12"/>
  <c r="B141" i="12"/>
  <c r="B59" i="12"/>
  <c r="C29" i="12"/>
  <c r="N61" i="12"/>
  <c r="G42" i="12"/>
  <c r="L14" i="12"/>
  <c r="G18" i="12"/>
  <c r="N13" i="12"/>
  <c r="P1" i="1"/>
  <c r="I120" i="12"/>
  <c r="G67" i="12"/>
  <c r="G129" i="12"/>
  <c r="C40" i="12"/>
  <c r="H9" i="12"/>
  <c r="B84" i="12"/>
  <c r="I133" i="12"/>
  <c r="B117" i="12"/>
  <c r="G117" i="12"/>
  <c r="G92" i="12"/>
  <c r="AU27" i="24"/>
  <c r="G81" i="12"/>
  <c r="AU24" i="24"/>
  <c r="B46" i="12"/>
  <c r="B55" i="12"/>
  <c r="L37" i="12"/>
  <c r="B36" i="12"/>
  <c r="B12" i="12"/>
  <c r="G29" i="8"/>
  <c r="C4" i="12"/>
  <c r="H83" i="12"/>
  <c r="C52" i="12"/>
  <c r="H118" i="12"/>
  <c r="G140" i="12"/>
  <c r="L135" i="12"/>
  <c r="H57" i="12"/>
  <c r="N147" i="12"/>
  <c r="I121" i="12"/>
  <c r="B145" i="12"/>
  <c r="L87" i="12"/>
  <c r="L74" i="12"/>
  <c r="I146" i="12"/>
  <c r="H69" i="12"/>
  <c r="N99" i="12"/>
  <c r="B109" i="12"/>
  <c r="B67" i="12"/>
  <c r="B97" i="12"/>
  <c r="H107" i="12"/>
  <c r="B95" i="12"/>
  <c r="I46" i="12"/>
  <c r="N38" i="12"/>
  <c r="B56" i="12"/>
  <c r="C28" i="12"/>
  <c r="N62" i="12"/>
  <c r="N25" i="12"/>
  <c r="B7" i="12"/>
  <c r="AU32" i="24"/>
  <c r="AL14" i="24"/>
  <c r="P27" i="24"/>
  <c r="R8" i="8" s="1"/>
  <c r="AQ8" i="24" l="1"/>
  <c r="AQ9" i="24"/>
  <c r="B4" i="1"/>
  <c r="AT32" i="24"/>
  <c r="B100" i="1" s="1"/>
  <c r="C99" i="1" s="1"/>
  <c r="C108" i="1"/>
  <c r="C109" i="1" s="1"/>
  <c r="AP62" i="24"/>
  <c r="AP54" i="24"/>
  <c r="AP65" i="24"/>
  <c r="AP70" i="24"/>
  <c r="AP67" i="24"/>
  <c r="C101" i="1"/>
  <c r="C77" i="1"/>
  <c r="B76" i="1"/>
  <c r="C75" i="1" s="1"/>
  <c r="AP60" i="24"/>
  <c r="AP53" i="24"/>
  <c r="AS7" i="24"/>
  <c r="AP7" i="24" s="1"/>
  <c r="AS6" i="24"/>
  <c r="AP6" i="24" s="1"/>
  <c r="AS3" i="24"/>
  <c r="AP3" i="24" s="1"/>
  <c r="AS5" i="24"/>
  <c r="AP5" i="24" s="1"/>
  <c r="AS8" i="24"/>
  <c r="AP8" i="24" s="1"/>
  <c r="AS4" i="24"/>
  <c r="AP4" i="24" s="1"/>
  <c r="B28" i="1"/>
  <c r="C3" i="1"/>
  <c r="B64" i="1"/>
  <c r="AS9" i="24"/>
  <c r="C5" i="1"/>
  <c r="B40" i="1"/>
  <c r="B52" i="1"/>
  <c r="B16" i="1"/>
  <c r="AR3" i="24"/>
  <c r="B6" i="1" s="1"/>
  <c r="AR8" i="24"/>
  <c r="B11" i="1" s="1"/>
  <c r="AR7" i="24"/>
  <c r="B10" i="1" s="1"/>
  <c r="AR6" i="24"/>
  <c r="B9" i="1" s="1"/>
  <c r="B20" i="1" s="1"/>
  <c r="AR5" i="24"/>
  <c r="B8" i="1" s="1"/>
  <c r="AR4" i="24"/>
  <c r="B7" i="1" s="1"/>
  <c r="C105" i="1"/>
  <c r="D102" i="1"/>
  <c r="C106" i="1"/>
  <c r="D105" i="1"/>
  <c r="C102" i="1"/>
  <c r="AQ58" i="24"/>
  <c r="AQ59" i="24" s="1"/>
  <c r="AQ65" i="24"/>
  <c r="AQ66" i="24" s="1"/>
  <c r="AQ44" i="24"/>
  <c r="AQ45" i="24" s="1"/>
  <c r="AQ23" i="24"/>
  <c r="AQ24" i="24" s="1"/>
  <c r="AQ51" i="24"/>
  <c r="AQ52" i="24" s="1"/>
  <c r="AQ16" i="24"/>
  <c r="AQ17" i="24" s="1"/>
  <c r="AQ30" i="24"/>
  <c r="AQ31" i="24" s="1"/>
  <c r="AQ10" i="24"/>
  <c r="AQ37" i="24"/>
  <c r="AQ38" i="24" s="1"/>
  <c r="AN14" i="24"/>
  <c r="C78" i="12" s="1"/>
  <c r="O26" i="24"/>
  <c r="D106" i="1" l="1"/>
  <c r="C84" i="1"/>
  <c r="D103" i="1"/>
  <c r="C103" i="1"/>
  <c r="C107" i="1"/>
  <c r="D104" i="1"/>
  <c r="I105" i="1"/>
  <c r="C81" i="1"/>
  <c r="D80" i="1"/>
  <c r="L84" i="1"/>
  <c r="I83" i="1"/>
  <c r="AT15" i="24"/>
  <c r="H91" i="1"/>
  <c r="L88" i="1"/>
  <c r="C78" i="1"/>
  <c r="C79" i="12"/>
  <c r="C104" i="1"/>
  <c r="N97" i="1"/>
  <c r="AT17" i="24"/>
  <c r="D107" i="1"/>
  <c r="D83" i="1"/>
  <c r="L75" i="1"/>
  <c r="H104" i="1"/>
  <c r="N87" i="1"/>
  <c r="AP55" i="24"/>
  <c r="I107" i="1"/>
  <c r="G77" i="1"/>
  <c r="I93" i="1"/>
  <c r="G98" i="1"/>
  <c r="H80" i="1"/>
  <c r="L99" i="1"/>
  <c r="C82" i="1"/>
  <c r="L96" i="1"/>
  <c r="AP59" i="24"/>
  <c r="AP51" i="24"/>
  <c r="AP61" i="24"/>
  <c r="AP58" i="24"/>
  <c r="C89" i="1"/>
  <c r="AP68" i="24"/>
  <c r="AP52" i="24"/>
  <c r="AR53" i="24" s="1"/>
  <c r="B88" i="1"/>
  <c r="AP63" i="24"/>
  <c r="L109" i="1"/>
  <c r="G89" i="1"/>
  <c r="L97" i="1"/>
  <c r="C79" i="1"/>
  <c r="AS15" i="24"/>
  <c r="L87" i="1"/>
  <c r="N109" i="1"/>
  <c r="D82" i="1"/>
  <c r="C85" i="1"/>
  <c r="D78" i="1"/>
  <c r="I106" i="1"/>
  <c r="C83" i="1"/>
  <c r="H92" i="1"/>
  <c r="AR54" i="24"/>
  <c r="N108" i="1"/>
  <c r="AS17" i="24"/>
  <c r="G102" i="1"/>
  <c r="N84" i="1"/>
  <c r="N88" i="1"/>
  <c r="G86" i="1"/>
  <c r="D81" i="1"/>
  <c r="N75" i="1"/>
  <c r="G78" i="1"/>
  <c r="L108" i="1"/>
  <c r="G90" i="1"/>
  <c r="I94" i="1"/>
  <c r="AS12" i="24"/>
  <c r="C39" i="1"/>
  <c r="C41" i="1"/>
  <c r="AQ12" i="24"/>
  <c r="AP14" i="24"/>
  <c r="B22" i="1"/>
  <c r="AU9" i="24"/>
  <c r="AP9" i="24"/>
  <c r="B23" i="1"/>
  <c r="B19" i="1"/>
  <c r="AP11" i="24"/>
  <c r="B18" i="1"/>
  <c r="C65" i="1"/>
  <c r="C63" i="1"/>
  <c r="AS14" i="24"/>
  <c r="AP13" i="24"/>
  <c r="B21" i="1"/>
  <c r="C17" i="1"/>
  <c r="AS10" i="24"/>
  <c r="C15" i="1"/>
  <c r="AP12" i="24"/>
  <c r="B31" i="1"/>
  <c r="C29" i="1"/>
  <c r="C27" i="1"/>
  <c r="AS11" i="24"/>
  <c r="C53" i="1"/>
  <c r="C51" i="1"/>
  <c r="AS13" i="24"/>
  <c r="AP10" i="24"/>
  <c r="AP69" i="24"/>
  <c r="AL13" i="24"/>
  <c r="P26" i="24"/>
  <c r="H79" i="1" l="1"/>
  <c r="L100" i="1"/>
  <c r="I81" i="1"/>
  <c r="G101" i="1"/>
  <c r="N99" i="1"/>
  <c r="I95" i="1"/>
  <c r="I82" i="1"/>
  <c r="N85" i="1"/>
  <c r="N96" i="1"/>
  <c r="L76" i="1"/>
  <c r="G74" i="1"/>
  <c r="D79" i="1"/>
  <c r="N76" i="1"/>
  <c r="C80" i="1"/>
  <c r="H103" i="1"/>
  <c r="L85" i="1"/>
  <c r="N100" i="1"/>
  <c r="AR59" i="24"/>
  <c r="AR60" i="24"/>
  <c r="AR58" i="24"/>
  <c r="AP64" i="24"/>
  <c r="C96" i="1" s="1"/>
  <c r="D93" i="1" s="1"/>
  <c r="AR61" i="24"/>
  <c r="AR51" i="24"/>
  <c r="C93" i="1"/>
  <c r="AR12" i="24"/>
  <c r="C87" i="1"/>
  <c r="AS16" i="24"/>
  <c r="C95" i="1"/>
  <c r="C94" i="1"/>
  <c r="D94" i="1"/>
  <c r="D95" i="1"/>
  <c r="D91" i="1"/>
  <c r="AP17" i="24"/>
  <c r="B30" i="1"/>
  <c r="AP24" i="24"/>
  <c r="B42" i="1"/>
  <c r="AP19" i="24"/>
  <c r="AR10" i="24"/>
  <c r="AP15" i="24"/>
  <c r="AR9" i="24"/>
  <c r="C91" i="12"/>
  <c r="B32" i="1"/>
  <c r="AU10" i="24"/>
  <c r="AP16" i="24"/>
  <c r="B35" i="1"/>
  <c r="AP18" i="24"/>
  <c r="AP20" i="24"/>
  <c r="B33" i="1"/>
  <c r="AR11" i="24"/>
  <c r="AP21" i="24"/>
  <c r="AQ19" i="24"/>
  <c r="B34" i="1"/>
  <c r="R7" i="8"/>
  <c r="AN13" i="24"/>
  <c r="O25" i="24"/>
  <c r="AR68" i="24"/>
  <c r="AR66" i="24"/>
  <c r="D90" i="1" l="1"/>
  <c r="AT16" i="24"/>
  <c r="AR63" i="24"/>
  <c r="F94" i="1" s="1"/>
  <c r="C91" i="1"/>
  <c r="D92" i="1"/>
  <c r="C92" i="1"/>
  <c r="C97" i="1"/>
  <c r="C90" i="1"/>
  <c r="AR64" i="24"/>
  <c r="F95" i="1" s="1"/>
  <c r="AR62" i="24"/>
  <c r="F93" i="1" s="1"/>
  <c r="AR19" i="24"/>
  <c r="C12" i="1"/>
  <c r="AQ11" i="24"/>
  <c r="B59" i="1"/>
  <c r="AU12" i="24"/>
  <c r="B44" i="1"/>
  <c r="AP26" i="24"/>
  <c r="AP25" i="24"/>
  <c r="B43" i="1"/>
  <c r="AR13" i="24"/>
  <c r="F9" i="1" s="1"/>
  <c r="AR15" i="24"/>
  <c r="F11" i="1" s="1"/>
  <c r="AR14" i="24"/>
  <c r="F10" i="1" s="1"/>
  <c r="AR17" i="24"/>
  <c r="AU11" i="24"/>
  <c r="B47" i="1"/>
  <c r="AP23" i="24"/>
  <c r="AP30" i="24" s="1"/>
  <c r="AQ26" i="24"/>
  <c r="B46" i="1"/>
  <c r="AP28" i="24"/>
  <c r="AR16" i="24"/>
  <c r="AP22" i="24"/>
  <c r="AP27" i="24"/>
  <c r="B45" i="1"/>
  <c r="AR18" i="24"/>
  <c r="P25" i="24"/>
  <c r="R6" i="8" s="1"/>
  <c r="AL12" i="24"/>
  <c r="AR25" i="24" l="1"/>
  <c r="AR22" i="24"/>
  <c r="F23" i="1" s="1"/>
  <c r="B54" i="1"/>
  <c r="AP31" i="24"/>
  <c r="AN12" i="24"/>
  <c r="C103" i="12" s="1"/>
  <c r="O24" i="24"/>
  <c r="C104" i="12"/>
  <c r="AS26" i="24" s="1"/>
  <c r="C102" i="12"/>
  <c r="B56" i="1"/>
  <c r="AP33" i="24"/>
  <c r="AR31" i="24" s="1"/>
  <c r="AR24" i="24"/>
  <c r="B55" i="1"/>
  <c r="AP32" i="24"/>
  <c r="AR33" i="24" s="1"/>
  <c r="B70" i="1"/>
  <c r="AQ40" i="24"/>
  <c r="AR26" i="24"/>
  <c r="C24" i="1"/>
  <c r="AQ18" i="24"/>
  <c r="AR20" i="24"/>
  <c r="F21" i="1" s="1"/>
  <c r="AR21" i="24"/>
  <c r="F22" i="1" s="1"/>
  <c r="AP34" i="24"/>
  <c r="B57" i="1"/>
  <c r="AQ33" i="24"/>
  <c r="B58" i="1"/>
  <c r="AP35" i="24"/>
  <c r="AP42" i="24" s="1"/>
  <c r="AP29" i="24"/>
  <c r="AR23" i="24"/>
  <c r="I9" i="1"/>
  <c r="L12" i="1"/>
  <c r="D8" i="1"/>
  <c r="N13" i="1"/>
  <c r="N4" i="1"/>
  <c r="C9" i="1"/>
  <c r="C11" i="1"/>
  <c r="C13" i="1"/>
  <c r="H8" i="1"/>
  <c r="I11" i="1"/>
  <c r="AT9" i="24"/>
  <c r="D11" i="1"/>
  <c r="L3" i="1"/>
  <c r="D9" i="1"/>
  <c r="G5" i="1"/>
  <c r="D6" i="1"/>
  <c r="C10" i="1"/>
  <c r="H7" i="1"/>
  <c r="N3" i="1"/>
  <c r="D10" i="1"/>
  <c r="L13" i="1"/>
  <c r="D7" i="1"/>
  <c r="G2" i="1"/>
  <c r="G6" i="1"/>
  <c r="L4" i="1"/>
  <c r="C8" i="1"/>
  <c r="C6" i="1"/>
  <c r="I10" i="1"/>
  <c r="C7" i="1"/>
  <c r="N12" i="1"/>
  <c r="B81" i="1" l="1"/>
  <c r="B92" i="1" s="1"/>
  <c r="B103" i="1" s="1"/>
  <c r="AP66" i="24" s="1"/>
  <c r="AR28" i="24"/>
  <c r="F34" i="1" s="1"/>
  <c r="AR29" i="24"/>
  <c r="F35" i="1" s="1"/>
  <c r="AR27" i="24"/>
  <c r="F33" i="1" s="1"/>
  <c r="B66" i="1"/>
  <c r="AP38" i="24"/>
  <c r="B68" i="1"/>
  <c r="AP40" i="24"/>
  <c r="B69" i="1"/>
  <c r="AP41" i="24"/>
  <c r="AP48" i="24" s="1"/>
  <c r="AQ25" i="24"/>
  <c r="C36" i="1"/>
  <c r="AR32" i="24"/>
  <c r="G17" i="1"/>
  <c r="C21" i="1"/>
  <c r="I23" i="1"/>
  <c r="L25" i="1"/>
  <c r="H19" i="1"/>
  <c r="D21" i="1"/>
  <c r="C23" i="1"/>
  <c r="N15" i="1"/>
  <c r="L24" i="1"/>
  <c r="D23" i="1"/>
  <c r="I21" i="1"/>
  <c r="C22" i="1"/>
  <c r="D20" i="1"/>
  <c r="L16" i="1"/>
  <c r="C20" i="1"/>
  <c r="H20" i="1"/>
  <c r="C25" i="1"/>
  <c r="N16" i="1"/>
  <c r="C19" i="1"/>
  <c r="D22" i="1"/>
  <c r="D18" i="1"/>
  <c r="G14" i="1"/>
  <c r="D19" i="1"/>
  <c r="L15" i="1"/>
  <c r="AT10" i="24"/>
  <c r="N24" i="1"/>
  <c r="G18" i="1"/>
  <c r="N25" i="1"/>
  <c r="C18" i="1"/>
  <c r="I22" i="1"/>
  <c r="B71" i="1"/>
  <c r="AU13" i="24"/>
  <c r="AL11" i="24"/>
  <c r="P24" i="24"/>
  <c r="AP36" i="24"/>
  <c r="AR30" i="24"/>
  <c r="AP39" i="24"/>
  <c r="B67" i="1"/>
  <c r="AP37" i="24"/>
  <c r="AN11" i="24" l="1"/>
  <c r="C80" i="12" s="1"/>
  <c r="AS24" i="24" s="1"/>
  <c r="O23" i="24"/>
  <c r="C114" i="12"/>
  <c r="C115" i="12"/>
  <c r="C116" i="12"/>
  <c r="AS27" i="24" s="1"/>
  <c r="AP49" i="24"/>
  <c r="AP56" i="24" s="1"/>
  <c r="AQ47" i="24"/>
  <c r="B82" i="1"/>
  <c r="B93" i="1" s="1"/>
  <c r="B104" i="1" s="1"/>
  <c r="AR38" i="24"/>
  <c r="B79" i="1"/>
  <c r="B90" i="1" s="1"/>
  <c r="AP46" i="24"/>
  <c r="G30" i="1"/>
  <c r="I35" i="1"/>
  <c r="I33" i="1"/>
  <c r="G29" i="1"/>
  <c r="L37" i="1"/>
  <c r="D31" i="1"/>
  <c r="H31" i="1"/>
  <c r="D33" i="1"/>
  <c r="I34" i="1"/>
  <c r="N37" i="1"/>
  <c r="AT11" i="24"/>
  <c r="C34" i="1"/>
  <c r="D34" i="1"/>
  <c r="C35" i="1"/>
  <c r="C31" i="1"/>
  <c r="D30" i="1"/>
  <c r="L36" i="1"/>
  <c r="C30" i="1"/>
  <c r="N36" i="1"/>
  <c r="N27" i="1"/>
  <c r="D35" i="1"/>
  <c r="C37" i="1"/>
  <c r="H32" i="1"/>
  <c r="C32" i="1"/>
  <c r="L27" i="1"/>
  <c r="D32" i="1"/>
  <c r="L28" i="1"/>
  <c r="N28" i="1"/>
  <c r="C33" i="1"/>
  <c r="G26" i="1"/>
  <c r="AR39" i="24"/>
  <c r="AR37" i="24"/>
  <c r="AP43" i="24"/>
  <c r="B83" i="1"/>
  <c r="AP44" i="24"/>
  <c r="AU14" i="24"/>
  <c r="AR34" i="24"/>
  <c r="F45" i="1" s="1"/>
  <c r="AR36" i="24"/>
  <c r="F47" i="1" s="1"/>
  <c r="AR35" i="24"/>
  <c r="F46" i="1" s="1"/>
  <c r="C48" i="1"/>
  <c r="AQ32" i="24"/>
  <c r="AP47" i="24"/>
  <c r="B80" i="1"/>
  <c r="B91" i="1" s="1"/>
  <c r="B102" i="1" s="1"/>
  <c r="B78" i="1"/>
  <c r="AP45" i="24"/>
  <c r="AR40" i="24"/>
  <c r="R5" i="8"/>
  <c r="AR67" i="24"/>
  <c r="AR65" i="24"/>
  <c r="AP71" i="24"/>
  <c r="AR47" i="24" l="1"/>
  <c r="AR45" i="24"/>
  <c r="B107" i="1"/>
  <c r="AR71" i="24"/>
  <c r="F107" i="1" s="1"/>
  <c r="AR70" i="24"/>
  <c r="F106" i="1" s="1"/>
  <c r="AR69" i="24"/>
  <c r="F105" i="1" s="1"/>
  <c r="AR46" i="24"/>
  <c r="AU15" i="24"/>
  <c r="B95" i="1"/>
  <c r="AR44" i="24"/>
  <c r="AP50" i="24"/>
  <c r="AR52" i="24"/>
  <c r="AP57" i="24"/>
  <c r="B94" i="1"/>
  <c r="B105" i="1" s="1"/>
  <c r="AQ54" i="24"/>
  <c r="C60" i="1"/>
  <c r="AQ39" i="24"/>
  <c r="AR42" i="24"/>
  <c r="F58" i="1" s="1"/>
  <c r="AR41" i="24"/>
  <c r="F57" i="1" s="1"/>
  <c r="AR43" i="24"/>
  <c r="F59" i="1" s="1"/>
  <c r="L39" i="1"/>
  <c r="I47" i="1"/>
  <c r="C42" i="1"/>
  <c r="N40" i="1"/>
  <c r="H44" i="1"/>
  <c r="D46" i="1"/>
  <c r="C46" i="1"/>
  <c r="C44" i="1"/>
  <c r="I45" i="1"/>
  <c r="D42" i="1"/>
  <c r="AT12" i="24"/>
  <c r="C43" i="1"/>
  <c r="N39" i="1"/>
  <c r="I46" i="1"/>
  <c r="L40" i="1"/>
  <c r="D43" i="1"/>
  <c r="N48" i="1"/>
  <c r="L48" i="1"/>
  <c r="G41" i="1"/>
  <c r="C47" i="1"/>
  <c r="G38" i="1"/>
  <c r="L49" i="1"/>
  <c r="H43" i="1"/>
  <c r="C49" i="1"/>
  <c r="N49" i="1"/>
  <c r="G42" i="1"/>
  <c r="D47" i="1"/>
  <c r="C45" i="1"/>
  <c r="D45" i="1"/>
  <c r="D44" i="1"/>
  <c r="AL10" i="24"/>
  <c r="P23" i="24"/>
  <c r="R4" i="8" s="1"/>
  <c r="I57" i="1" l="1"/>
  <c r="G50" i="1"/>
  <c r="L52" i="1"/>
  <c r="L60" i="1"/>
  <c r="C56" i="1"/>
  <c r="H56" i="1"/>
  <c r="C58" i="1"/>
  <c r="D54" i="1"/>
  <c r="C54" i="1"/>
  <c r="L61" i="1"/>
  <c r="D55" i="1"/>
  <c r="D56" i="1"/>
  <c r="N52" i="1"/>
  <c r="C55" i="1"/>
  <c r="C59" i="1"/>
  <c r="N60" i="1"/>
  <c r="G53" i="1"/>
  <c r="I59" i="1"/>
  <c r="D59" i="1"/>
  <c r="G54" i="1"/>
  <c r="D57" i="1"/>
  <c r="N51" i="1"/>
  <c r="AT13" i="24"/>
  <c r="D58" i="1"/>
  <c r="I58" i="1"/>
  <c r="L51" i="1"/>
  <c r="N61" i="1"/>
  <c r="H55" i="1"/>
  <c r="C61" i="1"/>
  <c r="C57" i="1"/>
  <c r="AR56" i="24"/>
  <c r="F82" i="1" s="1"/>
  <c r="AR55" i="24"/>
  <c r="F81" i="1" s="1"/>
  <c r="AR57" i="24"/>
  <c r="F83" i="1" s="1"/>
  <c r="AQ46" i="24"/>
  <c r="C72" i="1"/>
  <c r="AR48" i="24"/>
  <c r="F69" i="1" s="1"/>
  <c r="AR50" i="24"/>
  <c r="F71" i="1" s="1"/>
  <c r="AR49" i="24"/>
  <c r="F70" i="1" s="1"/>
  <c r="B106" i="1"/>
  <c r="AU17" i="24" s="1"/>
  <c r="AQ61" i="24"/>
  <c r="AQ67" i="24"/>
  <c r="AQ53" i="24"/>
  <c r="AQ60" i="24"/>
  <c r="O28" i="24"/>
  <c r="AN10" i="24"/>
  <c r="C92" i="12" s="1"/>
  <c r="AS25" i="24" s="1"/>
  <c r="C126" i="12"/>
  <c r="C128" i="12"/>
  <c r="AS28" i="24" s="1"/>
  <c r="AU16" i="24"/>
  <c r="P28" i="24" l="1"/>
  <c r="AN15" i="24" s="1"/>
  <c r="AL15" i="24"/>
  <c r="R9" i="8"/>
  <c r="G65" i="1"/>
  <c r="G66" i="1"/>
  <c r="C66" i="1"/>
  <c r="H67" i="1"/>
  <c r="L63" i="1"/>
  <c r="C68" i="1"/>
  <c r="D71" i="1"/>
  <c r="C71" i="1"/>
  <c r="D68" i="1"/>
  <c r="L72" i="1"/>
  <c r="N63" i="1"/>
  <c r="N73" i="1"/>
  <c r="D66" i="1"/>
  <c r="I70" i="1"/>
  <c r="D70" i="1"/>
  <c r="D67" i="1"/>
  <c r="L64" i="1"/>
  <c r="N64" i="1"/>
  <c r="AT14" i="24"/>
  <c r="C70" i="1"/>
  <c r="C69" i="1"/>
  <c r="I71" i="1"/>
  <c r="H68" i="1"/>
  <c r="D69" i="1"/>
  <c r="C73" i="1"/>
  <c r="L73" i="1"/>
  <c r="I69" i="1"/>
  <c r="N72" i="1"/>
  <c r="C67" i="1"/>
  <c r="G62" i="1"/>
  <c r="AQ68" i="24"/>
  <c r="C127" i="12"/>
  <c r="C140" i="12" l="1"/>
  <c r="AS29" i="24" s="1"/>
  <c r="C138" i="12"/>
  <c r="C139" i="12"/>
  <c r="C90" i="12"/>
  <c r="E76" i="12"/>
  <c r="K7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Digital Business Client User</author>
  </authors>
  <commentList>
    <comment ref="CZ4" authorId="0" shapeId="0" xr:uid="{550A9C31-67FA-4B30-AEAB-4357A6B28CA9}">
      <text>
        <r>
          <rPr>
            <sz val="8"/>
            <color indexed="81"/>
            <rFont val="Tahoma"/>
            <family val="2"/>
          </rPr>
          <t xml:space="preserve">Ngay AL cuoi cung cua nam AL 1900
</t>
        </r>
      </text>
    </comment>
    <comment ref="CZ5" authorId="0" shapeId="0" xr:uid="{DD30A7AB-5E27-4474-895F-F8FA950F9EF8}">
      <text>
        <r>
          <rPr>
            <sz val="8"/>
            <color indexed="81"/>
            <rFont val="Tahoma"/>
            <family val="2"/>
          </rPr>
          <t>Tinh tu ngay moc den het nam AL</t>
        </r>
      </text>
    </comment>
    <comment ref="CG13" authorId="0" shapeId="0" xr:uid="{E80C7270-B43F-4E4A-B4F1-151E00EFAAD5}">
      <text>
        <r>
          <rPr>
            <sz val="8"/>
            <color indexed="81"/>
            <rFont val="Tahoma"/>
            <family val="2"/>
          </rPr>
          <t>De tra bang tinh CAN CHI cua ngay sinh</t>
        </r>
      </text>
    </comment>
    <comment ref="CG17" authorId="0" shapeId="0" xr:uid="{CE318BB2-2F36-47A0-B8E6-18AF80C88806}">
      <text>
        <r>
          <rPr>
            <sz val="8"/>
            <color indexed="81"/>
            <rFont val="Tahoma"/>
            <family val="2"/>
          </rPr>
          <t>La truong hop trung ngay cuoi cung nam truoc (AL)</t>
        </r>
      </text>
    </comment>
    <comment ref="CG24" authorId="0" shapeId="0" xr:uid="{E9046AF6-1A88-4E10-8FE3-4DBC8E66DCC2}">
      <text>
        <r>
          <rPr>
            <sz val="8"/>
            <color indexed="81"/>
            <rFont val="Tahoma"/>
            <family val="2"/>
          </rPr>
          <t>La ngay cuoi cung cua thang truoc (AL)</t>
        </r>
      </text>
    </comment>
    <comment ref="CG52" authorId="0" shapeId="0" xr:uid="{555AFAA3-7ACC-432E-916F-FC46C04F366B}">
      <text>
        <r>
          <rPr>
            <sz val="8"/>
            <color indexed="81"/>
            <rFont val="Tahoma"/>
            <family val="2"/>
          </rPr>
          <t>De tra bang tinh CAN CHI cua ngay sinh</t>
        </r>
      </text>
    </comment>
    <comment ref="CG56" authorId="0" shapeId="0" xr:uid="{AB9ADCC8-F30C-41EE-A380-A6E128EAD01B}">
      <text>
        <r>
          <rPr>
            <sz val="8"/>
            <color indexed="81"/>
            <rFont val="Tahoma"/>
            <family val="2"/>
          </rPr>
          <t>La truong hop trung ngay cuoi cung nam truoc (AL)</t>
        </r>
      </text>
    </comment>
    <comment ref="CG63" authorId="0" shapeId="0" xr:uid="{3C8CFFD3-25D0-4307-9894-EFF8A5414626}">
      <text>
        <r>
          <rPr>
            <sz val="8"/>
            <color indexed="81"/>
            <rFont val="Tahoma"/>
            <family val="2"/>
          </rPr>
          <t>La ngay cuoi cung cua thang truoc (AL)</t>
        </r>
      </text>
    </comment>
    <comment ref="CG91" authorId="0" shapeId="0" xr:uid="{55DD5A90-D8D9-48FF-A7F6-279C49995D52}">
      <text>
        <r>
          <rPr>
            <sz val="8"/>
            <color indexed="81"/>
            <rFont val="Tahoma"/>
            <family val="2"/>
          </rPr>
          <t>De tra bang tinh CAN CHI cua ngay sinh</t>
        </r>
      </text>
    </comment>
    <comment ref="CG95" authorId="0" shapeId="0" xr:uid="{E3A5BDA5-8728-4D03-B229-E4A07E45C3D8}">
      <text>
        <r>
          <rPr>
            <sz val="8"/>
            <color indexed="81"/>
            <rFont val="Tahoma"/>
            <family val="2"/>
          </rPr>
          <t>La truong hop trung ngay cuoi cung nam truoc (AL)</t>
        </r>
      </text>
    </comment>
    <comment ref="CG102" authorId="0" shapeId="0" xr:uid="{87FB1C27-9E27-4748-9C82-B3D2E622E243}">
      <text>
        <r>
          <rPr>
            <sz val="8"/>
            <color indexed="81"/>
            <rFont val="Tahoma"/>
            <family val="2"/>
          </rPr>
          <t>La ngay cuoi cung cua thang truoc (AL)</t>
        </r>
      </text>
    </comment>
  </commentList>
</comments>
</file>

<file path=xl/sharedStrings.xml><?xml version="1.0" encoding="utf-8"?>
<sst xmlns="http://schemas.openxmlformats.org/spreadsheetml/2006/main" count="25067" uniqueCount="9361">
  <si>
    <t>MKH: Lười, thoái bộ, vụng thi thố tài năng, can tâm phận dưới.</t>
  </si>
  <si>
    <t>MKH: Lượng hẹp, mà tham vọng nhiều sợ thất bại.</t>
  </si>
  <si>
    <t>MKH: Có chỗ quyền thế để dựa, giữ công tâm thì không thất bại, nhiều người theo, hoặc ra ngoài kinh doanh cũng được việc.</t>
  </si>
  <si>
    <t>GS: Tế ngộ không đúng thời, khó tiến thủ.</t>
  </si>
  <si>
    <t>GS: Được ban thưởng.</t>
  </si>
  <si>
    <t>GS: Được cấp trên biết đến.</t>
  </si>
  <si>
    <t>GS: Phòng bè bạn hoang đãng dâm dục.</t>
  </si>
  <si>
    <t>GS: Có mừng.</t>
  </si>
  <si>
    <t>GS: Được tiến cử thành danh.</t>
  </si>
  <si>
    <t>GS: Đỗ bét ở bằng cao (ngày xưa điện thi).</t>
  </si>
  <si>
    <t>GS: Bị đình giáng.</t>
  </si>
  <si>
    <t>GS: Mắc lỗi không đáng vị.</t>
  </si>
  <si>
    <t>GS: Được vời như quý khách, thành danh.</t>
  </si>
  <si>
    <t>GS: Tiến thủ vụng về.</t>
  </si>
  <si>
    <t>GS: Cố sức học tập để đợi thời.</t>
  </si>
  <si>
    <t>GS: Bị đình đốn.</t>
  </si>
  <si>
    <t>GS: Đừng tiến đại để cầu may.</t>
  </si>
  <si>
    <t>GS: Đỗ khoa mùa thu.</t>
  </si>
  <si>
    <t>GS: Đợi thời chờ bổ nhiệm.</t>
  </si>
  <si>
    <t>GS: Gặp tri kỷ nhờ đó tiến được.</t>
  </si>
  <si>
    <t>GS: Đỗ ưu hạng.</t>
  </si>
  <si>
    <t>GS: Bị đình đốn bôi nhọ.</t>
  </si>
  <si>
    <t>GS: Bỏ học trốn nghề.</t>
  </si>
  <si>
    <t>Những điều cốt yếu theo Học Năng :</t>
  </si>
  <si>
    <t>Ý HÀO: Hào âm tụ họp chẳng chính đâu, nhưng cứ phải đi.</t>
  </si>
  <si>
    <t>Ý HÀO: Tiến dễ dàng.</t>
  </si>
  <si>
    <t>Ý HÀO: Không tài cứu khốn đến nỗi thân nguy.</t>
  </si>
  <si>
    <t>Ý HÀO: Tiếc chưa được dùng, mà hứa sẽ đắc dụng.</t>
  </si>
  <si>
    <t>Ý HÀO: Cái bệnh của sự biến cách là hay nóng nảy, phải thẩm sát cho kỹ lưỡng.</t>
  </si>
  <si>
    <t>Ý HÀO: Đỉnh tốt, nhưng trước bực mình sau mới hợp.</t>
  </si>
  <si>
    <t>Ý HÀO: Vô đức nên bị tai họa. Nên sửa lỗi.</t>
  </si>
  <si>
    <t>Ý HÀO: Không đáng ngăn mà bị ngăn, mất hẳn thời cơ.</t>
  </si>
  <si>
    <t>Ý HÀO: Không được yên ổn, vô đức nên không tiến được.</t>
  </si>
  <si>
    <t>Ý HÀO: Vô đức vô ứng, nên cam phận đệ thiếp.</t>
  </si>
  <si>
    <t>MHC: Hợp tình hợp lý, vị ở cao mà không lộng quyền.</t>
  </si>
  <si>
    <t>MHC: Tính ủy mị, tuy có đại tài mà không thực hiện được việc nhỏ.</t>
  </si>
  <si>
    <t>MHC: Trung chính, tin nhau trong đảng bạn nên công nghiệp dễ thành.</t>
  </si>
  <si>
    <t>MHC: Tài đức đầy đủ, làm giường cột quốc gia, có quyền giám sát.</t>
  </si>
  <si>
    <t>MHC: Bậc đại quý nhân, giữ việc lớn, chính trực không sợ gì.</t>
  </si>
  <si>
    <t>MHC: Học rộng tài cao, lão thành nơi Hàn viện, trước khó sau dễ, người thân ngờ vực, xuất chính được đắc cách.</t>
  </si>
  <si>
    <t>MHC: Dù là quý nhân mà sau mất cả thể cách.</t>
  </si>
  <si>
    <t>MHC: Tuy ở thời loạn ô trọc, mà một mình giữ được đạo trung, hưởng lộc trong lành.</t>
  </si>
  <si>
    <t>QC: Nhục vì tham nhũng.</t>
  </si>
  <si>
    <t>QC: Cẩn thủ nên lộc vị bền.</t>
  </si>
  <si>
    <t>QC: Phòng nông nổi, bất cẩn mà bị lỗi.</t>
  </si>
  <si>
    <t>QC: Không được lòng cấp trên.</t>
  </si>
  <si>
    <t>QC: Được dịp thì buông cương.</t>
  </si>
  <si>
    <t>QC: Bị dèm pha, nhục.</t>
  </si>
  <si>
    <t>QC: Có thể gần mặt trời, phụ tá thân mật nhưng phòng tổn thương.</t>
  </si>
  <si>
    <t>QC: Đương nhàn đổi việc quan trọng, đương quan trọng thì hóa nhàn.</t>
  </si>
  <si>
    <t>QC: Được phục chức cũ, hoặc bị giáng thì được phục hồi.</t>
  </si>
  <si>
    <t>QC: Được tưởng lệ.</t>
  </si>
  <si>
    <t>QC: Xứng đáng, có dịp được thăng chuyển.</t>
  </si>
  <si>
    <t>QC: Vì nước quên nhà, ngày thêm vinh sủng.</t>
  </si>
  <si>
    <t>QC: Bị hành xích vì bạo động.</t>
  </si>
  <si>
    <t>QC: Vượt lên cao.</t>
  </si>
  <si>
    <t>QC: Nên lui.</t>
  </si>
  <si>
    <t>QC: Nên giữ chỗ.</t>
  </si>
  <si>
    <t>QC: Trước sợ, sau vui.</t>
  </si>
  <si>
    <t>QC: Giữ địa vị thì không thất thế gì.</t>
  </si>
  <si>
    <t>QC: Phải nói thẳng, điều trần lợi hại.</t>
  </si>
  <si>
    <t>QC: Giúp được chủ sự có tiếng.</t>
  </si>
  <si>
    <t>MKH: Có tật phải dùng thuốc mau, có lỗi phải đổi lẹ, nhỏ thì gian nan, lớn được yên lành.</t>
  </si>
  <si>
    <t>21955b</t>
  </si>
  <si>
    <t>31955b</t>
  </si>
  <si>
    <t>41955b</t>
  </si>
  <si>
    <t>51955b</t>
  </si>
  <si>
    <t>61955b</t>
  </si>
  <si>
    <t xml:space="preserve">Tiến thì hai chí chưa toàn,           </t>
  </si>
  <si>
    <t xml:space="preserve">Bàn hoàn chưa vội tiến, </t>
  </si>
  <si>
    <t xml:space="preserve">Chim hồng bay bổng đường mây,      </t>
  </si>
  <si>
    <t>Tối tăm mê vui, nhưng rồi có thay đổi, không lỗi gì.</t>
  </si>
  <si>
    <t>G.Nhân1</t>
  </si>
  <si>
    <t>K.Tế</t>
  </si>
  <si>
    <t>K.Tế1</t>
  </si>
  <si>
    <t>Bí1</t>
  </si>
  <si>
    <t>M.Di</t>
  </si>
  <si>
    <t>M.Di1</t>
  </si>
  <si>
    <t>101995b</t>
  </si>
  <si>
    <t>111995b</t>
  </si>
  <si>
    <t>121995b</t>
  </si>
  <si>
    <t>11996b</t>
  </si>
  <si>
    <t>11910</t>
  </si>
  <si>
    <t>21910</t>
  </si>
  <si>
    <t>31910</t>
  </si>
  <si>
    <t>41910</t>
  </si>
  <si>
    <t>51910</t>
  </si>
  <si>
    <t>61910</t>
  </si>
  <si>
    <t>71910</t>
  </si>
  <si>
    <t>81910</t>
  </si>
  <si>
    <t>31929b</t>
  </si>
  <si>
    <t>41929b</t>
  </si>
  <si>
    <t>51929b</t>
  </si>
  <si>
    <t>61929b</t>
  </si>
  <si>
    <t>71929b</t>
  </si>
  <si>
    <t>81929b</t>
  </si>
  <si>
    <t>91929b</t>
  </si>
  <si>
    <t>101929b</t>
  </si>
  <si>
    <t>111929b</t>
  </si>
  <si>
    <t>121929b</t>
  </si>
  <si>
    <t>11930b</t>
  </si>
  <si>
    <t>21930b</t>
  </si>
  <si>
    <t>NT: Đắc lợi. Số xấu thì càng xấu, sợ quan tụng, tai họa.</t>
  </si>
  <si>
    <t>NT: Ra ngoài được bạn giúp đắc lực.</t>
  </si>
  <si>
    <t>51965</t>
  </si>
  <si>
    <t>61965</t>
  </si>
  <si>
    <t>71965</t>
  </si>
  <si>
    <t>81965</t>
  </si>
  <si>
    <t>91965</t>
  </si>
  <si>
    <t>101965</t>
  </si>
  <si>
    <t>111965</t>
  </si>
  <si>
    <t>121965</t>
  </si>
  <si>
    <t>11966</t>
  </si>
  <si>
    <t>21966</t>
  </si>
  <si>
    <t>31966</t>
  </si>
  <si>
    <t>31930b</t>
  </si>
  <si>
    <t>41930b</t>
  </si>
  <si>
    <t>51930b</t>
  </si>
  <si>
    <t>61930b</t>
  </si>
  <si>
    <t>71930b</t>
  </si>
  <si>
    <t>81930b</t>
  </si>
  <si>
    <t>91930b</t>
  </si>
  <si>
    <t>101930b</t>
  </si>
  <si>
    <t>111930b</t>
  </si>
  <si>
    <t>121930b</t>
  </si>
  <si>
    <t>11931b</t>
  </si>
  <si>
    <t>21931b</t>
  </si>
  <si>
    <t>31931b</t>
  </si>
  <si>
    <t>41931b</t>
  </si>
  <si>
    <t>51931b</t>
  </si>
  <si>
    <t>61931b</t>
  </si>
  <si>
    <t>71931b</t>
  </si>
  <si>
    <t>81931b</t>
  </si>
  <si>
    <t>91931b</t>
  </si>
  <si>
    <t>101931b</t>
  </si>
  <si>
    <t>111931b</t>
  </si>
  <si>
    <t>121931b</t>
  </si>
  <si>
    <t>11932b</t>
  </si>
  <si>
    <t>21932b</t>
  </si>
  <si>
    <t>31932b</t>
  </si>
  <si>
    <t>41932b</t>
  </si>
  <si>
    <t>51932b</t>
  </si>
  <si>
    <t>61932b</t>
  </si>
  <si>
    <t>71932b</t>
  </si>
  <si>
    <t>81932b</t>
  </si>
  <si>
    <t>91932b</t>
  </si>
  <si>
    <t>Chẳng nên chuyên một mình,</t>
  </si>
  <si>
    <t xml:space="preserve">Lo gì thêm mệt thêm mê,         </t>
  </si>
  <si>
    <t xml:space="preserve">Sương gieo, cành xấu hoa gầy,      </t>
  </si>
  <si>
    <t>Mông đít không da, nên đi chập choạng (hào 4 xấu), (chỉ có cách) lùa bầy dê thì khỏi ăn năn (nhường những hào dương kia đi trước, mình theo sau), nghe lời này chẳng tin ư ? (hào 4 dở dang lắm).</t>
  </si>
  <si>
    <t>Mũi tên lên thẳng tầng mây nhẹ nhàng.</t>
  </si>
  <si>
    <t>Nội ngoại cùng liên hệ,</t>
  </si>
  <si>
    <t>MKH: Vào sinh ra tử, đổi nguy thành an, được tôn quý tin dùng, muộn tuổi hưởng phúc.</t>
  </si>
  <si>
    <t>MKH: Hăng đấu tranh, chuốc oán mua hờn, cô độc lo lắng.</t>
  </si>
  <si>
    <t>MKH: Cô lập, gian truân, hoặc đau lưng, đau cẳng, phúc nhỏ.</t>
  </si>
  <si>
    <t>MKH: Lãnh đạm với thân thích, gia nghiệp quạnh hiu, rời tổ đi xa, may lắm mới toại ý.</t>
  </si>
  <si>
    <t>MKH: Toại ý, không trở ngại, gia nghiệp vượng hoặc tu đạo thanh hư.</t>
  </si>
  <si>
    <t>MKH: Thân cô thế nguy.</t>
  </si>
  <si>
    <t>MKH: Không được thụ dụng, không được hưởng lộc, chưa chút phát triển, buồn thiu.</t>
  </si>
  <si>
    <t>MKH: Khinh xuất vọng động, thành ít bại nhiều, trác lập gian truân, dễ bị tan tác.</t>
  </si>
  <si>
    <t>MKH: Chỉ quen đưa đón, nịnh bợ a dua, chẳng được nể vì mà thêm người cười khinh.</t>
  </si>
  <si>
    <t>MKH: Xa người thân, gần kẻ sơ, lìa nhà lập nghiệp, chẳng vinh, chẳng nhục; hoặc là tăng đạo tu dưỡng.</t>
  </si>
  <si>
    <t>MKH: Chuyên gian nịnh, đi quá kỷ phận mà cơm áo cũng chẳng dư, sau gặp nhiều trở ngại.</t>
  </si>
  <si>
    <t>MKH: Thành tín, nhưng tiến thoái thành bại bất thường, lại quan quả cô độc.</t>
  </si>
  <si>
    <t>MKH: Tự thị cương cường, chỉ gây thù ghét, họa theo thân, hại đe nhà.</t>
  </si>
  <si>
    <t>MKH: Làm bừa, lừa công dối trên, không dùng thù oán, dùng đến thì kiêu mạn, ưa tranh tụng, sức mệt, của hết.</t>
  </si>
  <si>
    <t>MKH: Âm hiểm, cùng hoạn nạn thì được chứ không cùng an hưởng, một bước cũng khó tiến.</t>
  </si>
  <si>
    <t>MKH: Thì quên nơi gần nhớ nơi xa, tránh người thân, tìm người sơ, dù được bậc Tôn trưởng thu dụng, cũng bị kẻ dưới ngờ ghét.</t>
  </si>
  <si>
    <t>MKH: Thì cũng khởi gia lập nghiệp, vợ đảm con quý.</t>
  </si>
  <si>
    <t>MKH: Là người bôn tẩu giang hồ múa lưỡi khua môi, hoặc tuổi trẻ được học hành, muộn tuổi được hưởng phúc.</t>
  </si>
  <si>
    <t>MKH: Khó làm người phục, tiến bị ngăn trở, thoái mà an phận thì hơn.</t>
  </si>
  <si>
    <t>MKH: Cũng là kẻ cả trong làng, trên khen, dưới mến.</t>
  </si>
  <si>
    <t>MKH: Cũng giỏi, được nhà vợ mạnh, dựa thế quý nhân.</t>
  </si>
  <si>
    <t>MKH: Đức lớn nhưng bị trở lực, vợ trẻ con muộn, muộn tuổi mới vinh hoa.</t>
  </si>
  <si>
    <t>QC: Chấp chính, phòng gian nịnh làm hại.</t>
  </si>
  <si>
    <t>QC: Lo gặp kẻ âm mưu, gian trá.</t>
  </si>
  <si>
    <t>GS: Phúc lộc, già thọ. Việc lớn khó tiến thủ, việc nhỏ tốt.</t>
  </si>
  <si>
    <t xml:space="preserve">    NGÀY VÀO TIẾT</t>
  </si>
  <si>
    <t xml:space="preserve">    THÁNG</t>
  </si>
  <si>
    <t xml:space="preserve">    NĂM</t>
  </si>
  <si>
    <t>Bị khốn nơi dây sắn, nơi gập ghềnh, rằng hoạt động thì ăn năn, có ăn năn nhưng cứ tiến hành thì tốt (vì hết thời khốn rồi).</t>
  </si>
  <si>
    <t>101994b</t>
  </si>
  <si>
    <t>111994b</t>
  </si>
  <si>
    <t>121994b</t>
  </si>
  <si>
    <t>11995b</t>
  </si>
  <si>
    <t>21995b</t>
  </si>
  <si>
    <t>31995b</t>
  </si>
  <si>
    <t>41995b</t>
  </si>
  <si>
    <t>51995b</t>
  </si>
  <si>
    <t>61995b</t>
  </si>
  <si>
    <t>71995b</t>
  </si>
  <si>
    <t>111967</t>
  </si>
  <si>
    <t>121967</t>
  </si>
  <si>
    <t>11968</t>
  </si>
  <si>
    <t>21968</t>
  </si>
  <si>
    <t>31968</t>
  </si>
  <si>
    <t>41968</t>
  </si>
  <si>
    <t>51968</t>
  </si>
  <si>
    <t>61968</t>
  </si>
  <si>
    <t>71968</t>
  </si>
  <si>
    <t>81968</t>
  </si>
  <si>
    <t>Kiền là Kiện (khỏe mạnh). Lại sanh từ tháng 2 đến trước tháng 8 là được mùa sanh, hưởng phúc đức. Dù ở hào vị kém cũng vẫn tốt. Nếu không được tuổi Nạp giáp và không được mùa sinh, thì dù ngồi hào vị tốt cũng vẫn là người vất vả long đong và kiêu trá nữa.</t>
  </si>
  <si>
    <t>(Ngộ thử phùng ngưu nhật).</t>
  </si>
  <si>
    <t>Sư là chúng (đám đông, quân đội) gian nan rồi thành công. (Chữ SƯ ngày xưa gợi ý: Sư-Phó, Sư-Bảo, Sư-Tướng, Thiên Sư v.v… Ngày nay có luật sư, giáo sư v.v...)</t>
  </si>
  <si>
    <t>Tỷ là Hòa (sánh vai, gần gũi, gặp dịp thuận tiện để phát triển).</t>
  </si>
  <si>
    <t>vị còn thấp kém, sao nên ràng buộc ai ?</t>
  </si>
  <si>
    <t>GS: Đợi thời thì không bị tước đoạt.</t>
  </si>
  <si>
    <t>GS: Tiến cử.</t>
  </si>
  <si>
    <t>GS: Ruợu chè, phế nghiệp.</t>
  </si>
  <si>
    <t>GS: Tốt đẹp văn vẻ.</t>
  </si>
  <si>
    <t>GS: Đỗ cao ở nước ngoài.</t>
  </si>
  <si>
    <t>GS: Được tiến cử, thành danh.</t>
  </si>
  <si>
    <t>GS: Khó gặp cơ hội.</t>
  </si>
  <si>
    <t>GS: Nổi danh.</t>
  </si>
  <si>
    <t>GS: Có tài lầm tưởng là ta thông suốt.</t>
  </si>
  <si>
    <t>GS: Có lợi, chưa sáng tỏ.</t>
  </si>
  <si>
    <t xml:space="preserve">Việc đời cùng biến, tắc thông        </t>
  </si>
  <si>
    <t xml:space="preserve">Nhà nát phải trùng tu. </t>
  </si>
  <si>
    <t xml:space="preserve">Thời tiến nên tiến, chớ ngừng         </t>
  </si>
  <si>
    <t xml:space="preserve">Ngồi nhà tên tuổi thơm hương,       </t>
  </si>
  <si>
    <t xml:space="preserve">Phong vân ngàn thuở hội này,        </t>
  </si>
  <si>
    <t>MHC: Tài đức, tri thức cũng khá mà không sinh khôn tranh đi trước, nghe điều thiện biết theo, lập được công danh.</t>
  </si>
  <si>
    <t>MHC: Quý mà không có địa vị, ở cao mà không có dân, tri cơ cố thủ thì đỡ tai hại.</t>
  </si>
  <si>
    <t>MHC: Cầm quyền chấp chính phải hoành hóa tất cả, tụ họp được mọi thịnh vượng thì mới không lỗi.</t>
  </si>
  <si>
    <t>121931</t>
  </si>
  <si>
    <t>11932</t>
  </si>
  <si>
    <t>21932</t>
  </si>
  <si>
    <t>31932</t>
  </si>
  <si>
    <t>41932</t>
  </si>
  <si>
    <t>51932</t>
  </si>
  <si>
    <t>61932</t>
  </si>
  <si>
    <t>71932</t>
  </si>
  <si>
    <t>81932</t>
  </si>
  <si>
    <t>91932</t>
  </si>
  <si>
    <t>101932</t>
  </si>
  <si>
    <t>111932</t>
  </si>
  <si>
    <t>121932</t>
  </si>
  <si>
    <t>11933</t>
  </si>
  <si>
    <t>21933</t>
  </si>
  <si>
    <t>31933</t>
  </si>
  <si>
    <t>41933</t>
  </si>
  <si>
    <t>51933</t>
  </si>
  <si>
    <t>61933</t>
  </si>
  <si>
    <t>71933</t>
  </si>
  <si>
    <t>81933</t>
  </si>
  <si>
    <t>91933</t>
  </si>
  <si>
    <t>101933</t>
  </si>
  <si>
    <t>111933</t>
  </si>
  <si>
    <t>121933</t>
  </si>
  <si>
    <t>11934</t>
  </si>
  <si>
    <t>21934</t>
  </si>
  <si>
    <t>31934</t>
  </si>
  <si>
    <t>41934</t>
  </si>
  <si>
    <t>51934</t>
  </si>
  <si>
    <t>61934</t>
  </si>
  <si>
    <t>71934</t>
  </si>
  <si>
    <t>81934</t>
  </si>
  <si>
    <t>91934</t>
  </si>
  <si>
    <t>101934</t>
  </si>
  <si>
    <t>111934</t>
  </si>
  <si>
    <t>121934</t>
  </si>
  <si>
    <t>11935</t>
  </si>
  <si>
    <t>21935</t>
  </si>
  <si>
    <t>31935</t>
  </si>
  <si>
    <t>41935</t>
  </si>
  <si>
    <t>51935</t>
  </si>
  <si>
    <t>61935</t>
  </si>
  <si>
    <t>71935</t>
  </si>
  <si>
    <t>81935</t>
  </si>
  <si>
    <t>91935</t>
  </si>
  <si>
    <t>101935</t>
  </si>
  <si>
    <t>111935</t>
  </si>
  <si>
    <t>121935</t>
  </si>
  <si>
    <t>11936</t>
  </si>
  <si>
    <t>21936</t>
  </si>
  <si>
    <t>31936</t>
  </si>
  <si>
    <t>41936</t>
  </si>
  <si>
    <t>51936</t>
  </si>
  <si>
    <t>61936</t>
  </si>
  <si>
    <t>71936</t>
  </si>
  <si>
    <t>81936</t>
  </si>
  <si>
    <t>MHC: Có đức có vị nhưng khiêm nhường thì suốt đời an vui.</t>
  </si>
  <si>
    <t>MHC: Không đỉnh chung mà cũng không thiếu thốn, có cái vui về điền lý.</t>
  </si>
  <si>
    <t>MHC: Độ lượng dung nạp được hết, không thiên gần bỏ xa, mở được vận hội thanh bình, hưởng phú quý.</t>
  </si>
  <si>
    <t>MHC: Trung chính, khoan dung, ở yên đợi phúc trạch. Sau có thể đổi bĩ thành thái, hưởng phúc trạch.</t>
  </si>
  <si>
    <t>QC: Việc nặng trừ gian diệt tệ.</t>
  </si>
  <si>
    <t>QC: Được người cộng tác hay, lên cao.</t>
  </si>
  <si>
    <t>MHC: Giữ điều chính mà kiên nhẫn nuôi thân dưỡng tính.</t>
  </si>
  <si>
    <t>MHC: Cứu nguy dẹp loạn, lập công lớn.</t>
  </si>
  <si>
    <t>MHC: Lúc biến cố, tuy chưa thành việc lớn, nhưng cũng cứu được cái nguy đổ sụp.</t>
  </si>
  <si>
    <t>61973</t>
  </si>
  <si>
    <t>71973</t>
  </si>
  <si>
    <t>81973</t>
  </si>
  <si>
    <t>91973</t>
  </si>
  <si>
    <t>101973</t>
  </si>
  <si>
    <t>QC: Nên thoái thì hay, khó tiến. Nếu có Hóa công thì đi nhậm chức nơi xa, hàng ngày vất vả.</t>
  </si>
  <si>
    <t>GS: Nên thoái thì hay, khó tiến. Nếu có Hóa công thì đi nhậm chức nơi xa, hàng ngày vất vả.</t>
  </si>
  <si>
    <t>62025b</t>
  </si>
  <si>
    <t>72025b</t>
  </si>
  <si>
    <t>82025b</t>
  </si>
  <si>
    <t>92025b</t>
  </si>
  <si>
    <t>102025b</t>
  </si>
  <si>
    <t>112025b</t>
  </si>
  <si>
    <t>61903b</t>
  </si>
  <si>
    <t>71903b</t>
  </si>
  <si>
    <t>81903b</t>
  </si>
  <si>
    <t>91903b</t>
  </si>
  <si>
    <t>101903b</t>
  </si>
  <si>
    <t>111903b</t>
  </si>
  <si>
    <t>121903b</t>
  </si>
  <si>
    <t>11904b</t>
  </si>
  <si>
    <t>21904b</t>
  </si>
  <si>
    <t>31904b</t>
  </si>
  <si>
    <t>41904b</t>
  </si>
  <si>
    <t>51904b</t>
  </si>
  <si>
    <t>61904b</t>
  </si>
  <si>
    <t>71904b</t>
  </si>
  <si>
    <t>81904b</t>
  </si>
  <si>
    <t>91904b</t>
  </si>
  <si>
    <t>101904b</t>
  </si>
  <si>
    <t>111904b</t>
  </si>
  <si>
    <t>121904b</t>
  </si>
  <si>
    <t>11905b</t>
  </si>
  <si>
    <t>21905b</t>
  </si>
  <si>
    <t>31905b</t>
  </si>
  <si>
    <t>41905b</t>
  </si>
  <si>
    <t>51905b</t>
  </si>
  <si>
    <t>61905b</t>
  </si>
  <si>
    <t>121972b</t>
  </si>
  <si>
    <t>11973b</t>
  </si>
  <si>
    <t>21973b</t>
  </si>
  <si>
    <t>31973b</t>
  </si>
  <si>
    <t>41973b</t>
  </si>
  <si>
    <t>51973b</t>
  </si>
  <si>
    <t>61973b</t>
  </si>
  <si>
    <t>71973b</t>
  </si>
  <si>
    <t>81973b</t>
  </si>
  <si>
    <t>91973b</t>
  </si>
  <si>
    <t>101973b</t>
  </si>
  <si>
    <t>111973b</t>
  </si>
  <si>
    <t>121973b</t>
  </si>
  <si>
    <t>11974b</t>
  </si>
  <si>
    <t>21974b</t>
  </si>
  <si>
    <t>NT: Tham quá mắc họa. Số xấu có điều phi pháp ám muội.</t>
  </si>
  <si>
    <t>An vui về việc giữ chừng mực nên hanh thông.</t>
  </si>
  <si>
    <t>101927</t>
  </si>
  <si>
    <t>111927</t>
  </si>
  <si>
    <t>121927</t>
  </si>
  <si>
    <t>11928</t>
  </si>
  <si>
    <t>21928</t>
  </si>
  <si>
    <t>91978</t>
  </si>
  <si>
    <t>QC: Thăng chuyển.</t>
  </si>
  <si>
    <t>Tháng</t>
  </si>
  <si>
    <t>Dần</t>
  </si>
  <si>
    <t>NT: Mọi người nên tri cơ, tùy hoàn cảnh mà tiến thoái.</t>
  </si>
  <si>
    <t>TSN đến tháng trước</t>
  </si>
  <si>
    <t>91914</t>
  </si>
  <si>
    <t>101914</t>
  </si>
  <si>
    <t>111914</t>
  </si>
  <si>
    <t>121914</t>
  </si>
  <si>
    <t>11915</t>
  </si>
  <si>
    <t>21915</t>
  </si>
  <si>
    <t>31915</t>
  </si>
  <si>
    <t>41915</t>
  </si>
  <si>
    <t>51915</t>
  </si>
  <si>
    <t>61915</t>
  </si>
  <si>
    <t>71915</t>
  </si>
  <si>
    <t>81915</t>
  </si>
  <si>
    <t>NT: Lo buồn dồn dập, hoặc có đại tang hoặc phải đi về thôn ấp hoang vắng. Nếu sinh tháng 12 thì tốt.</t>
  </si>
  <si>
    <t>GS: Khó gặp tri kỷ, tìm lối khác mà lập công danh. Hoặc có điều chi lo phiền về cha mẹ, vợ con.</t>
  </si>
  <si>
    <t>NT: Khó gặp tri kỷ, tìm lối khác mà lập công danh. Hoặc có điều chi lo phiền về cha mẹ, vợ con.</t>
  </si>
  <si>
    <t>NT: Bệnh chân tay, nô bộc làm tổn hại, anh em bất hòa. Chỉ lợi việc tu đạo. Xấu nữa thì thân tan nát nhà tan, doanh mưu thất bại.</t>
  </si>
  <si>
    <t>Chim hồng tiến dần đến nơi mặt hòn đá lớn, ăn uống vui hòa, tốt.</t>
  </si>
  <si>
    <t>GS: Bị ghen ghét.</t>
  </si>
  <si>
    <t>51974b</t>
  </si>
  <si>
    <t>61974b</t>
  </si>
  <si>
    <t>71974b</t>
  </si>
  <si>
    <t>81974b</t>
  </si>
  <si>
    <t>QC: Gặp gỡ trở ngại, nên lùi bước.</t>
  </si>
  <si>
    <t>GS: Trì trệ lật đật.</t>
  </si>
  <si>
    <t>GS: Cầu danh không toại ý.</t>
  </si>
  <si>
    <t>NT: Kiện tụng. Số xấu: Tai mắt kém, khí huyết hư hoặc tổn vong.</t>
  </si>
  <si>
    <t>112002</t>
  </si>
  <si>
    <t>122002</t>
  </si>
  <si>
    <t>12003</t>
  </si>
  <si>
    <t>22003</t>
  </si>
  <si>
    <t>32003</t>
  </si>
  <si>
    <t>42003</t>
  </si>
  <si>
    <t>52003</t>
  </si>
  <si>
    <t>62003</t>
  </si>
  <si>
    <t>72003</t>
  </si>
  <si>
    <t>Trở lại đường lối của mình. Có chi là lỗi ? Tốt.</t>
  </si>
  <si>
    <t>MHC: Có tài to đức lớn, mà vẫn khiêm cung làm đến chức lớn lắm (ngày xưa Tam Công, đại phu) hoặc Tư lệnh quân đội ở Thành môn, lập được quân công. Chiến thắng.</t>
  </si>
  <si>
    <t>12041b</t>
  </si>
  <si>
    <t>22041b</t>
  </si>
  <si>
    <t>32041b</t>
  </si>
  <si>
    <t>42041b</t>
  </si>
  <si>
    <t>52041b</t>
  </si>
  <si>
    <t>62041b</t>
  </si>
  <si>
    <t>72041b</t>
  </si>
  <si>
    <t>82041b</t>
  </si>
  <si>
    <t>92041b</t>
  </si>
  <si>
    <t>102041b</t>
  </si>
  <si>
    <t>112041b</t>
  </si>
  <si>
    <t>(Ưu hoan tiêu, nhất mã phi,</t>
  </si>
  <si>
    <t>Mộc biên hữu khánh bất tu nghi.)</t>
  </si>
  <si>
    <t>Chẳng đề phòng quá đi một chút, thì (họ tiểu nhân) theo dõi hoặc làm hại đấy, sẽ xấu.</t>
  </si>
  <si>
    <t>Chẳng đúng đạo lý mà quá đấy, chim bay xa đấy, xấu, cho nên tai vạ.</t>
  </si>
  <si>
    <t>Hãy kéo lết cái bánh xe (đừng vội đi quá), ướt đuôi rồi (nhưng chưa qua sông), không lỗi gì.</t>
  </si>
  <si>
    <t>Xem lại lý lịch để xét điềm lành, thấy trọn vẹn, tốt nhất.</t>
  </si>
  <si>
    <t>QC: Được cấp trên quý mến.</t>
  </si>
  <si>
    <t>NT: Khách buôn rộng bước giang hồ. Số xấu bị thương tổn.</t>
  </si>
  <si>
    <t>122045b</t>
  </si>
  <si>
    <t>12046b</t>
  </si>
  <si>
    <t>22046b</t>
  </si>
  <si>
    <t>32046b</t>
  </si>
  <si>
    <t>42046b</t>
  </si>
  <si>
    <t>52046b</t>
  </si>
  <si>
    <t>62046b</t>
  </si>
  <si>
    <t>72046b</t>
  </si>
  <si>
    <t>82046b</t>
  </si>
  <si>
    <t>92046b</t>
  </si>
  <si>
    <t>102046b</t>
  </si>
  <si>
    <t>112046b</t>
  </si>
  <si>
    <t>42039</t>
  </si>
  <si>
    <t>52039</t>
  </si>
  <si>
    <t>62039</t>
  </si>
  <si>
    <t>72039</t>
  </si>
  <si>
    <t>82039</t>
  </si>
  <si>
    <t>92039</t>
  </si>
  <si>
    <t>102039</t>
  </si>
  <si>
    <t>112039</t>
  </si>
  <si>
    <t>122039</t>
  </si>
  <si>
    <t>12040</t>
  </si>
  <si>
    <t>22040</t>
  </si>
  <si>
    <t>32040</t>
  </si>
  <si>
    <t>42040</t>
  </si>
  <si>
    <t>52040</t>
  </si>
  <si>
    <t>62040</t>
  </si>
  <si>
    <t>72040</t>
  </si>
  <si>
    <t>Muốn mở trí ngu tối cho trẻ, có khi phải dùng hình phạt mới được, nhưng chỉ dùng để tháo gông cùm của những thói xấu thôi rồi cảm hóa dần dần, chứ nếu đi quá đà thì sẽ hối tiếc vì trái đạo Thời trung.</t>
  </si>
  <si>
    <t>Bao dung thì tốt (Giáo hóa dần dần sự ngu tối. Cũng như dung nạp đàn bà ấy là tốt, phận con sửa trị được việc nhà (coi Hào 5 là Cha).</t>
  </si>
  <si>
    <t>Chuyển Đổi Sang Âm Lịch - Can Chi</t>
  </si>
  <si>
    <t>Đổi DL -&gt; ÂL thông thường</t>
  </si>
  <si>
    <t>DỮ LIỆU VÀO - DƯƠNG LỊCH NGÀY SINH</t>
  </si>
  <si>
    <t>DƯƠNG LỊCH NGÀY VÀO TIẾT ĐẦU THÁNG</t>
  </si>
  <si>
    <t>101960b</t>
  </si>
  <si>
    <t>111960b</t>
  </si>
  <si>
    <t>121960b</t>
  </si>
  <si>
    <t>11961b</t>
  </si>
  <si>
    <t>21961b</t>
  </si>
  <si>
    <t>31961b</t>
  </si>
  <si>
    <t>41961b</t>
  </si>
  <si>
    <t>51961b</t>
  </si>
  <si>
    <t>61961b</t>
  </si>
  <si>
    <t>Vạc gãy chân, đổ ụp thức ăn của nhà nước, bị hình phạt nặng, xấu.</t>
  </si>
  <si>
    <t>Đoài</t>
  </si>
  <si>
    <t>Quải</t>
  </si>
  <si>
    <t>Tổn</t>
  </si>
  <si>
    <t>Năm</t>
  </si>
  <si>
    <t>32033b</t>
  </si>
  <si>
    <t>Cưỡi rồng phòng thất lạc,</t>
  </si>
  <si>
    <t>Nếu được cao nhân giúp,</t>
  </si>
  <si>
    <t>Lưỡi câu sẵn có, doanh bồng đường đây.</t>
  </si>
  <si>
    <t>Người đi muôn dặm, cảnh tình vẫn thơm.</t>
  </si>
  <si>
    <t>41914b</t>
  </si>
  <si>
    <t>51914b</t>
  </si>
  <si>
    <t>61914b</t>
  </si>
  <si>
    <t>71914b</t>
  </si>
  <si>
    <t>81914b</t>
  </si>
  <si>
    <t>Tên quẻ</t>
  </si>
  <si>
    <t>Tốt</t>
  </si>
  <si>
    <t>Xấu</t>
  </si>
  <si>
    <t>Đắc thời</t>
  </si>
  <si>
    <t>Trang sức cho nhau như (ư !) thấm nhuần cho nhau như (ư !) giữ chính thì tốt (hào 3 đối với hào 2, hào 4).</t>
  </si>
  <si>
    <t>Trang sức cho nhau như (ư !) làm trắng toát cho nhau như (ư !), ngựa trắng bay như (ư !) chẳng phải kẻ cướp mà là người cầu hôn.</t>
  </si>
  <si>
    <t>102039b</t>
  </si>
  <si>
    <t>112039b</t>
  </si>
  <si>
    <t>122039b</t>
  </si>
  <si>
    <t>12040b</t>
  </si>
  <si>
    <t>22040b</t>
  </si>
  <si>
    <t>Tháng ÂL để tính tháng sinh</t>
  </si>
  <si>
    <t>61939</t>
  </si>
  <si>
    <t>71939</t>
  </si>
  <si>
    <t>81939</t>
  </si>
  <si>
    <t>91939</t>
  </si>
  <si>
    <t xml:space="preserve">Người nhân thân với xóm làng,      </t>
  </si>
  <si>
    <t xml:space="preserve">Dương khí lên, thân tốt  </t>
  </si>
  <si>
    <t>Non cao trùng điệp xanh;</t>
  </si>
  <si>
    <t xml:space="preserve">Vọng động chi cho mệt,  </t>
  </si>
  <si>
    <t xml:space="preserve">Vui mừng, cảnh vật phong quang        </t>
  </si>
  <si>
    <t>Hổ long là vận vinh hoa số trời.</t>
  </si>
  <si>
    <t>Giữ gìn tiết khí chửa thành công,</t>
  </si>
  <si>
    <t xml:space="preserve">Hương đan quế, áng công danh         </t>
  </si>
  <si>
    <t>Trước nhỏ sau mới phát,</t>
  </si>
  <si>
    <t xml:space="preserve">       Giọng ca Tây bắc nổi lên, </t>
  </si>
  <si>
    <t xml:space="preserve">Có đàn bà, việc chẳng sao                                </t>
  </si>
  <si>
    <t xml:space="preserve">Lòng khi muốn chậm, muốn mau      </t>
  </si>
  <si>
    <t>Kinh doanh tuy đứt mối,</t>
  </si>
  <si>
    <t>Trăng khuyết trăng lại tròn.</t>
  </si>
  <si>
    <t>Vào sâu thêm hại, về nằm thì yên.</t>
  </si>
  <si>
    <t>Còn gì hối tiếc, hàng ngày an vui.</t>
  </si>
  <si>
    <t>Chẳng nên chịu tiếng bỏ trây đức hằng.</t>
  </si>
  <si>
    <t>Cánh chim bạc gió, trăng kề giếng sâu.</t>
  </si>
  <si>
    <t>Âm lùi mong được đêm lành tạnh quang.</t>
  </si>
  <si>
    <t>Thìn</t>
  </si>
  <si>
    <t>Ngọ</t>
  </si>
  <si>
    <t>Mùi</t>
  </si>
  <si>
    <t>NT: Được thừa nghiệp kinh doanh lớn của cha mẹ, nhưng phải sửa sang lại cả. Nữ mệnh: Cần kiệm trì gia, làm giàu.</t>
  </si>
  <si>
    <t>GS: Trong vui có buồn, trong buồn có vui, cầu danh mưu lợi, khi được khi mất.</t>
  </si>
  <si>
    <t>MHC: Vô tư, được lương bằng đến với mình, cấp trên yêu, dưới dân kính.</t>
  </si>
  <si>
    <t>NT: Hay gây oán thù, kiện tụng tranh chấp.</t>
  </si>
  <si>
    <t>MKH: Thấp kém, ô nhiễm, tối tăm, thành bại chẳng ra sao. Hoặc có bệnh kiết lỵ, lại khí tức ở trên, có thể giảm thọ.</t>
  </si>
  <si>
    <t>MKH: Phận nhỏ mọn, hay chấp nhất, tuy không tai họa, nhưng cũng bỉ lậu xấu hổ.</t>
  </si>
  <si>
    <t>MKH: Dời tổ đi xa lập nghiệp, cần lợi hơn danh, có con với vợ nhỏ, hoặc sanh con, đương lo hóa mừng, tiện thành quý.</t>
  </si>
  <si>
    <t>MKH: Cũng biết lo lắng, tu tỉnh, trước gian nan, sau hưởng phúc, hoặc có tật câm ngọng.</t>
  </si>
  <si>
    <t>MKH: Khiêm tốn giữ phận nhỏ, nên bảo thủ được thân gia, không tai họa.</t>
  </si>
  <si>
    <t>MKH: Cũng sinh nhai đi từ thấp lên, nhưng vất vả hay bị miệng tiếng.</t>
  </si>
  <si>
    <t>MKH: Cũng giữ phận thường, đi từ sự khó nhọc, hoặc tật bệnh chân, phải ngồi.</t>
  </si>
  <si>
    <t>MKH: Cậy tài kiêu hãnh, gây oán ghét, cốt nhục hình thương.</t>
  </si>
  <si>
    <t>MKH: Sống với bên dưới, nhỏ nhặt quen, nếu gặp dịp kiêu ngay, lỡ bị vận bĩ thì tai họa khó lường.</t>
  </si>
  <si>
    <t>NT: Cẩn thủ không mưu tính gì xa xôi.</t>
  </si>
  <si>
    <t>NT: Buôn bán hoạch lợi, hưởng lộc tế tự, được phúc.</t>
  </si>
  <si>
    <t>NT: Hay kinh sợ nạn giặc cướp.</t>
  </si>
  <si>
    <t>NT: Được nhiều vàng lụa, thủy lợi hoặc nô tỳ, phụ nhân có nghén.</t>
  </si>
  <si>
    <t>NT: Cẩn thủ.</t>
  </si>
  <si>
    <t>NT: Kinh doanh có lợi, nhưng người ngoài nhũng nhiễu, kẻ dưới làm hại. Bệnh sơ qua.</t>
  </si>
  <si>
    <t>NT: Kiện tụng, mất mát, già thì lo tuổi thọ, trẻ thì có chuyện sợ hãi, 7 ngày là nói kỳ hạn, có co giãn.</t>
  </si>
  <si>
    <t>NT: Lo toan chẳng được việc gì, phải sang quận khác để làm lao công vất vả, hoặc đau chân, hoặc buồn phiền nỗi nhà.</t>
  </si>
  <si>
    <t>NT: Bận việc cỗ bàn bếp núc, có lợi và vui vẻ.</t>
  </si>
  <si>
    <t>Ý HÀO: Ngăn điều ác ngay từ lúc đầu thì làm được điều thiện.</t>
  </si>
  <si>
    <t>MKH: Hay chơi với tiểu nhân, tuy vị có quý, nhưng không làm được việc lớn.</t>
  </si>
  <si>
    <t>MKH: Cũng thanh nhàn, không vinh mà chẳng nhục, chẳng lo cơm áo.</t>
  </si>
  <si>
    <t>MKH: Cũng là kẻ sĩ cẩn hậu được kính trọng nơi hương lý, giàu có đầy đặn.</t>
  </si>
  <si>
    <t>MKH: Theo thói thường, danh không chính, lợi không bền, thủ phận thì đỡ tai họa.</t>
  </si>
  <si>
    <t>MKH: Làm khách ở sơn lâm, nhờ thân thích.</t>
  </si>
  <si>
    <t>MKH: Cũng hưởng phúc thọ, giàu có, chẳng lo sợ gì.</t>
  </si>
  <si>
    <t>MKH: Được tiến cử.</t>
  </si>
  <si>
    <t>MKH: Cũng giữ vững, không xiểm nịnh, không bẩn đục, tri cơ, tốt.</t>
  </si>
  <si>
    <t>MKH: Làm nô tỳ hay chức thấp kém (tùy phái).</t>
  </si>
  <si>
    <t>MKH: Cũng là người trung thực.</t>
  </si>
  <si>
    <t>MKH: Cũng là thiện sĩ làm lợi cho nhà.</t>
  </si>
  <si>
    <t>MKH: Sinh kế thấp kém, quê mùa.</t>
  </si>
  <si>
    <t>MKH: Da thịt bị tổn thương, mai danh ẩn tích, nên làm tăng đạo.</t>
  </si>
  <si>
    <t>GS: Tiến thủ bình thường.</t>
  </si>
  <si>
    <t>82039b</t>
  </si>
  <si>
    <t>92039b</t>
  </si>
  <si>
    <t>Thủ thường nhìn rõ việc đời sẽ hay.</t>
  </si>
  <si>
    <t xml:space="preserve">       Kình ngao tùy ở tay mình, </t>
  </si>
  <si>
    <t>Vô Vọng là Vô dục vọng (phóng nhậm tự nhiên).</t>
  </si>
  <si>
    <t xml:space="preserve">Thân này bằng cấp cũng không,     </t>
  </si>
  <si>
    <t>Suy lường xem nên vui hòa với phía nào (với hào 5 dương hay 3 âm) vì vậy chưa yên lòng, nhưng cương quyết bỏ (hào 3 tiểu nhân) liền có sự vui mừng.</t>
  </si>
  <si>
    <t>Đêm nhà ba chó cắn oang oang (?)</t>
  </si>
  <si>
    <t xml:space="preserve">Trong cỏ ễnh ương kêu ộp ộp,      </t>
  </si>
  <si>
    <t>Giải là Tán (Tan biến cởi mở hoạn nạn, uất ức…). Lại sanh tháng 12 là cách công danh phú quý. Tháng 2 tháng 8 sấm mưa đúng mùa thì phúc cũng dày. Từ tháng 9 đến tháng 1 (trừ tháng 12) thì phúc mỏng.</t>
  </si>
  <si>
    <t>Không lỗi (mới cởi mở, vô vi, có hào 4 ứng).</t>
  </si>
  <si>
    <t>Săn được 3 con cáo (3 kẻ tiểu nhân, tức là 3 hào âm, trừ hào 5) được mũi tên màu vàng, giữ chính bền thì tốt.</t>
  </si>
  <si>
    <t>Vừa đội vác, vừa ngồi xe (nhố nhăng vậy), chỉ thêm hấp dẫn giặc tới, cứ ngoan cố thế thì hối thẹn đấy.</t>
  </si>
  <si>
    <t>MKH: Chỉ làm được việc nhỏ, làm lớn sẽ tai hại, về công kỹ nghệ cũng hay bỏ gốc theo ngọn. Được sức thợ thuyền.</t>
  </si>
  <si>
    <t>MHC: Là người hiền tài sau gặp được vị lãnh đạo sáng suốt, được lên chức lớn. Không phải cầu cạnh ai mà người ta tìm đến mình. Nữ mạng thì chồng sang con quý.</t>
  </si>
  <si>
    <t>NT: Bị điều tiếng thưa kiện tranh chấp rắc rối. Đại để việc gì cũng nên thong thả đợi quý nhân, tự nhiên sẽ có cách giải quyết.</t>
  </si>
  <si>
    <t>MHC: Vị cao lộc hậu, vừa lòng trên, cảm được thần, tuy không cứu khốn được, nhưng không bị tai họa gì.</t>
  </si>
  <si>
    <t>MHC: Khó gặp được người lãnh đạo (minh chủ), nên an phận vui sống.</t>
  </si>
  <si>
    <t>MHC: Biến cải đúng thời cơ, hợp tình dân, sáng lập, kiến thiết, sửa trị một thời mà gây ảnh hưởng đến muôn đời.</t>
  </si>
  <si>
    <t>MHC: Là nhân vật quý báu của đất nước, có thực tài chân đức, ích quốc lợi dân.</t>
  </si>
  <si>
    <t>NT: Cố thủ không bị hao tổn.</t>
  </si>
  <si>
    <t>NT: Kinh doanh toại ý.</t>
  </si>
  <si>
    <t>NT: Được toại ý. Được mẹ hiền, vợ giàu.</t>
  </si>
  <si>
    <t>NT: Thành gia, tài vật tăng bội.</t>
  </si>
  <si>
    <t>TUẦN
TRIỆT</t>
  </si>
  <si>
    <t>Tuần 
Triệt</t>
  </si>
  <si>
    <t>————</t>
  </si>
  <si>
    <t>–––––</t>
  </si>
  <si>
    <t>GS: Thừa cơ nên tiến.</t>
  </si>
  <si>
    <t>GS: Không người giúp, khó gặp cơ hội.</t>
  </si>
  <si>
    <t>GS: Hoặc đỗ đạt, được tiến cử, nên danh.</t>
  </si>
  <si>
    <t xml:space="preserve">Đường khó đi, họa thiết thân           </t>
  </si>
  <si>
    <t xml:space="preserve">         Hàn vi sau ắt sang giàu,</t>
  </si>
  <si>
    <t xml:space="preserve">Nguy qua, hối hận cũng qua        </t>
  </si>
  <si>
    <t>Có vận mệnh, không lỗi gì, cả bọn được nhờ phúc (cả 3 hào dương).</t>
  </si>
  <si>
    <t xml:space="preserve">Lòng đây, việc đấy hòa đồng,           </t>
  </si>
  <si>
    <t>Cùng người đi vào tông phái, hối thẹn (hào 2 thân riêng với hào 5 ứng, mất vô tư).</t>
  </si>
  <si>
    <t>Ghét yêu, luẩn quẩn thiệt thòi danh thơm.</t>
  </si>
  <si>
    <t>Dấu binh khí ở rừng, lên gò cao nơi mình đứng (hào 3 rình hào 2) nhưng ba năm chẳng hưng khởi được.</t>
  </si>
  <si>
    <t>QC: Giữ chỗ.</t>
  </si>
  <si>
    <t>QC: Gặp cường bạo không chế phục nổi, đổi việc, vô định.</t>
  </si>
  <si>
    <t>QC: Ở ngoài đợi gọi về Trung Ương.</t>
  </si>
  <si>
    <t>QC: Giữa trên dưới có nghi kỵ không ổn.</t>
  </si>
  <si>
    <t>QC: Trọng nhậm bên ngoài, chinh chiến có công.</t>
  </si>
  <si>
    <t>QC: Hoặc tổng chế ba quân ngoài biên hoặc làm chức trông coi tế tự.</t>
  </si>
  <si>
    <t>QC: Có mưu đuổi quân tà, được thăng chuyển.</t>
  </si>
  <si>
    <t>MKH: Cũng được hưởng phúc, ruộng vườn, hay hoạt động, ít tĩnh.</t>
  </si>
  <si>
    <t>MKH: Cũng được người trên tin dùng, người dưới phục vụ.</t>
  </si>
  <si>
    <t>MKH: Tham nhỏ chóng đầy, coi bị họa thoán đạt.</t>
  </si>
  <si>
    <t>MKH: Cũng thân cận người hiền, làm gương nơi làng xóm.</t>
  </si>
  <si>
    <t>MKH: Cũng có phúc đức, được tôn trọng, vợ chồng hòa vui. Nếu vợ mạng âm thì phúc thọ, nhưng không ở ngôi chính.</t>
  </si>
  <si>
    <t>Cách quý hiển :</t>
  </si>
  <si>
    <t>TT:</t>
  </si>
  <si>
    <t>HT:</t>
  </si>
  <si>
    <t>Tiền vận</t>
  </si>
  <si>
    <t>Hậu vận</t>
  </si>
  <si>
    <t>TĐThời TT:</t>
  </si>
  <si>
    <t>Nạp giáp TT</t>
  </si>
  <si>
    <t>Nạp giáp HT</t>
  </si>
  <si>
    <t>TĐThời HT:</t>
  </si>
  <si>
    <t>BÁT TỰ HÀ LẠC SỐ</t>
  </si>
  <si>
    <t>Khó biết, khó đo lường, khó nhận ra.</t>
  </si>
  <si>
    <t>Đầy danh dự.</t>
  </si>
  <si>
    <t>Nhiều nỗi lo phiền.</t>
  </si>
  <si>
    <t>Nhiều cái giở.</t>
  </si>
  <si>
    <t>Lập được nhiều công trạng.</t>
  </si>
  <si>
    <t>Hào vị NĐ</t>
  </si>
  <si>
    <t>Dễ biết, dễ đo lường, dễ nhận ra.</t>
  </si>
  <si>
    <t>Thuận mùa</t>
  </si>
  <si>
    <t>Mã tê phong (Ngựa hí gió).</t>
  </si>
  <si>
    <t>Ngưu bội phong (Trâu phẫn chí về gió).</t>
  </si>
  <si>
    <t>Trạch thừa ân (Được ơn trên).</t>
  </si>
  <si>
    <t>Thái dương đương thiên (Vầng thái dương trên trời).</t>
  </si>
  <si>
    <t>Chu tước hồi quân (Phong thư trở về với chủ).</t>
  </si>
  <si>
    <t>Hổ ẩm thanh tuyền (Hùm uống nước suối trong).</t>
  </si>
  <si>
    <t>Vân tòng long (Mây theo rồng).</t>
  </si>
  <si>
    <t>Ngọc thỏ ngoạn thiềm (Ngọc thỏ ngắm trăng).</t>
  </si>
  <si>
    <t>Phụng phượng thừa phong (Bám cánh con Phượng nhân có gió mà bay cao).</t>
  </si>
  <si>
    <t>Ngư hóa long môn (Cá hóa rồng).</t>
  </si>
  <si>
    <t>Hổ lộng phong (Hùm giỡn với gió).</t>
  </si>
  <si>
    <t>Huyền vũ đương quyền.</t>
  </si>
  <si>
    <t>Ý HÀO: Trở lại đường thiện, với đạo là một.</t>
  </si>
  <si>
    <t>Ý HÀO: Trên dưới hòa hợp, nếu ngoài ý muốn có xảy chuyện gì, êm ngay.</t>
  </si>
  <si>
    <t>Ý HÀO: Chế được điều ác ngay từ gốc.</t>
  </si>
  <si>
    <t>Ý HÀO: Làm nguyên thủ mà phải cậy nhờ người nuôi dân giúp mình.</t>
  </si>
  <si>
    <t>Ý HÀO: Cương nhu không đủ tài để giúp đời.</t>
  </si>
  <si>
    <t>Ý HÀO: Có cách cứu hiểm, thì thành công cứu hiểm.</t>
  </si>
  <si>
    <t>Ý HÀO: Bậc nguyên thủ phải hết đạo lo việc nước thì mới được yên.</t>
  </si>
  <si>
    <t>Ý HÀO: Không cảm với vật nào nên không hệ lụy gì.</t>
  </si>
  <si>
    <t>71905b</t>
  </si>
  <si>
    <t>Đột nhiên như (ư !) mà tới như (ư !) thiêu đốt như (ư !) chết như (ư !) bỏ như (ư !).</t>
  </si>
  <si>
    <t>82026</t>
  </si>
  <si>
    <t>92026</t>
  </si>
  <si>
    <t>102026</t>
  </si>
  <si>
    <t>112026</t>
  </si>
  <si>
    <t>122026</t>
  </si>
  <si>
    <t>12027</t>
  </si>
  <si>
    <t>22027</t>
  </si>
  <si>
    <t>71912</t>
  </si>
  <si>
    <t>81912</t>
  </si>
  <si>
    <t>91912</t>
  </si>
  <si>
    <t>101912</t>
  </si>
  <si>
    <t>111912</t>
  </si>
  <si>
    <t>121912</t>
  </si>
  <si>
    <t>11913</t>
  </si>
  <si>
    <t>21913</t>
  </si>
  <si>
    <t>31913</t>
  </si>
  <si>
    <t>41913</t>
  </si>
  <si>
    <t>51913</t>
  </si>
  <si>
    <t>61913</t>
  </si>
  <si>
    <t>111935b</t>
  </si>
  <si>
    <t>121935b</t>
  </si>
  <si>
    <t>11936b</t>
  </si>
  <si>
    <t>21936b</t>
  </si>
  <si>
    <t>31936b</t>
  </si>
  <si>
    <t>41936b</t>
  </si>
  <si>
    <t>51936b</t>
  </si>
  <si>
    <t>61936b</t>
  </si>
  <si>
    <t xml:space="preserve">Đã quá lắm, cánh chim nguy         </t>
  </si>
  <si>
    <t xml:space="preserve">Việc trễ, mà vẫn theo cùng           </t>
  </si>
  <si>
    <t xml:space="preserve">Việc nhỏ giữ mức bình thường,       </t>
  </si>
  <si>
    <t>Sợ lệnh truyền sau chửa khắp cho.</t>
  </si>
  <si>
    <t>81905b</t>
  </si>
  <si>
    <t>91905b</t>
  </si>
  <si>
    <t>Giữ được chính thì lành, mà khỏi ăn năn gì; Bờ giậu đã tung, chẳng phải mệt nữa; Sức đương hăng ở cái trục bánh xe lớn.</t>
  </si>
  <si>
    <t>GS: Khó gặp cơ hội tốt.</t>
  </si>
  <si>
    <t>GS: Tiến, thành danh.</t>
  </si>
  <si>
    <t>GS: Thi bằng nhỏ, danh cao dần dần.</t>
  </si>
  <si>
    <t>GS: Hôn mê, sai ngoa.</t>
  </si>
  <si>
    <t>GS: Đợi thời.</t>
  </si>
  <si>
    <t>GS: Vào nội xá đại học.</t>
  </si>
  <si>
    <t>GS: Tiến thủ gian nan, chưa toại ý.</t>
  </si>
  <si>
    <t>GS: Bị xấu hổ.</t>
  </si>
  <si>
    <t>GS: Tiến thủ.</t>
  </si>
  <si>
    <t>GS: Được tiến cử.</t>
  </si>
  <si>
    <t>GS: Bị nhục.</t>
  </si>
  <si>
    <t>GS: Không đạt lý.</t>
  </si>
  <si>
    <t>NT: Lại thương tổn, bình phục dần dần. Tù được thả hay phân tán. Bị giam lâu được thân oan, người đi xa hết bị ràng buộc ở quê người. Số xấu: Thì nên lùi vào nơi vắng vẻ có thể bị roi vọt đánh đấm, hoặc đàn bà thì đẻ khó, huyết ra, hoặc có tang phục.</t>
  </si>
  <si>
    <t>NT: Theo lành, sửa lỗi, tránh được quan tụng. Số xấu: Thì đề phòng bị đi an trí.</t>
  </si>
  <si>
    <t>Ý HÀO: Đừng đi liều, mua lấy khổ.</t>
  </si>
  <si>
    <t>Ý HÀO: Nói về kẻ yếu hèn, dễ bán rẻ thân phận, không đáng cho thu nạp.</t>
  </si>
  <si>
    <t>Ý HÀO: Bản thân đã đi tới gần hiểm trở, phải tự thủ.</t>
  </si>
  <si>
    <t>Ý HÀO: An phận thì tốt lành.</t>
  </si>
  <si>
    <t>Ý HÀO: Khinh địch bại trận.</t>
  </si>
  <si>
    <t>Ý HÀO: Không chọn bạn, rất tổn hại.</t>
  </si>
  <si>
    <t>Ý HÀO: Vì cương quá, nên bị có kẻ ghìm lại.</t>
  </si>
  <si>
    <t>Ý HÀO: Đi đường lối sai, xấu.</t>
  </si>
  <si>
    <t>Ý HÀO: Biết cách sửa trị thời Thái lúc sắp chuyển sang Bĩ, thì rút cục vẫn giàu có được.</t>
  </si>
  <si>
    <t>Ý HÀO: Tiểu nhân muốn làm ác mà chưa làm được.</t>
  </si>
  <si>
    <t>Ý HÀO: Chẳng có phận thì cầu cạnh sao được.</t>
  </si>
  <si>
    <t>Ý HÀO: Ông lớn được cấp trên tin dùng.</t>
  </si>
  <si>
    <t>Ý HÀO: Nhường công, góp mặt.</t>
  </si>
  <si>
    <t>MKH: Cũng là người lương dân thiện sĩ túc y túc thực, không bị gian nan gì.</t>
  </si>
  <si>
    <t>MKH: Thì ẩn dật nơi núi rừng, hưởng lộc tùy phận tùy duyên, không dính dáng vào đường vinh nhục hỷ nộ của áng công danh.</t>
  </si>
  <si>
    <t>GS: Chỉ xoàng, thi cử ở dưới người.</t>
  </si>
  <si>
    <t>GS: Không thành đại sự.</t>
  </si>
  <si>
    <t>GS: Bị trở trệ cả.</t>
  </si>
  <si>
    <t>Nếu có một ngày tháng nào đó âm lịch là tháng 1 mà chi tháng trong tứ trụ lại là tháng Sửu hoặc Mão,… thì bạn đừng vội bảo nó sai vì môn này tính Can chi tháng theo Tiết khí (Vào tiết "Lập xuân" là bước vào tháng giêng, nguyệt kiến Dần,… Năm cũng vậy, vào Lập xuân mới tính năm Can chi khác). Cũng nên lưu ý giờ phút vào tiết : Đến thời khắc đó mới vào tiết - tức bước vào tháng mới !</t>
  </si>
  <si>
    <t>MHC: Mạnh bạo theo lành, vui lòng sửa lỗi, đi lên chỗ cao, không lưu chỗ thấp, công danh thành tựu phúc trạch thâm hậu.</t>
  </si>
  <si>
    <t>MKH: Họa sinh nội bộ, hại tới bất ngờ, trước thành sau bại, thân gia khó bảo toàn.</t>
  </si>
  <si>
    <t>MKH: Ít công tâm, cậy thời ỷ thế khinh rẻ dân lành, có thể chung hoạn nạn mà không chung hưởng lạc, phúc trạch mong manh.</t>
  </si>
  <si>
    <t>MKH: Giảm thọ, cô đơn, mất che chở.</t>
  </si>
  <si>
    <t>MKH: Hễ có lợi danh là có tổn phá. Nữ mệnh: Thì trắc nết, kém thọ, hay bị tai tật.</t>
  </si>
  <si>
    <t>MKH: Biến thành a dua, bất chánh, hại.</t>
  </si>
  <si>
    <t>MKH: Khoe mình, sính mạnh, nên nhà phá thân nguy.</t>
  </si>
  <si>
    <t>MKH: Danh lợi khó thành, cốt nhục hình thương, tăng ni tốt.</t>
  </si>
  <si>
    <t>MKH: Là tăng ni ở ngoài thành, là khách buôn chưa toại ý.</t>
  </si>
  <si>
    <t>Chờ năm Sửu Ngọ đường đời thênh thang.</t>
  </si>
  <si>
    <t>Nước trời gặp được tốt hòa đôi.</t>
  </si>
  <si>
    <t>Tự thủ, trong rừng một quả khai.</t>
  </si>
  <si>
    <t>Tin xa tốt đẹp, trăm ngàn lộc vinh.</t>
  </si>
  <si>
    <t xml:space="preserve">Rồi đây gia đạo thịnh, </t>
  </si>
  <si>
    <t>Hai con được cưỡi rồng.</t>
  </si>
  <si>
    <t>Bìu ríu với tiểu tử, thời mất lòng bậc trượng phu (theo hào 1, bỏ hào 5).</t>
  </si>
  <si>
    <t>MKH: Thì tính khéo làm vụng, chỉ theo người, thất bại.</t>
  </si>
  <si>
    <t>MKH: Hỏng nết mất tiếng, khó dung thứ.</t>
  </si>
  <si>
    <t>MKH: Chỉ ăn nhậu, tham tài tham sắc, tật lệ liên miên hoặc bị nô tỳ liên lụy.</t>
  </si>
  <si>
    <t>MKH: Sinh khí huyết cương cường, hay tranh đấu, để khởi hấn, tổn tài, bại gia.</t>
  </si>
  <si>
    <t>MKH: Cũng là người thành thật, chân chính, nhiều bạn ít thù, bình sinh an lạc vô ưu.</t>
  </si>
  <si>
    <t>MKH: Thì vế bên trái bị tổn thương, hoặc phải chia tay đi xa ngàn dặm.</t>
  </si>
  <si>
    <t xml:space="preserve">Khắp cõi đón tin hay.    </t>
  </si>
  <si>
    <t xml:space="preserve">Bản thân không chút lỗi lầm,   </t>
  </si>
  <si>
    <t xml:space="preserve">Thân hèn lên vị Tỷ Cao,     </t>
  </si>
  <si>
    <t>GS: Học thức mà không gặp tri kỷ.</t>
  </si>
  <si>
    <t>GS: Trước mê muội, sau mới được việc.</t>
  </si>
  <si>
    <t>GS: Không gặp dịp may.</t>
  </si>
  <si>
    <t>GS: Dự yến tiệc.</t>
  </si>
  <si>
    <t>GS: Chờ lâu, nay phát đạt.</t>
  </si>
  <si>
    <t>GS: Được toại ý.</t>
  </si>
  <si>
    <t>GS: Có tiến thủ, được gặp gỡ.</t>
  </si>
  <si>
    <t>GS: Trước mất sau được.</t>
  </si>
  <si>
    <t>GS: Đi lên, cẩn thận khéo mắc lỗi.</t>
  </si>
  <si>
    <t>GS: Gặp quý nhân minh được nghĩa lý.</t>
  </si>
  <si>
    <t>GS: Bắt đầu thi cử.</t>
  </si>
  <si>
    <t>GS: Luyện tài đợi thời.</t>
  </si>
  <si>
    <t>GS: Gặp không hay.</t>
  </si>
  <si>
    <t>GS: Có tin thắng lợi.</t>
  </si>
  <si>
    <t>GS: Thi bằng nhỏ.</t>
  </si>
  <si>
    <t>GS: Tiến thủ trắc trở.</t>
  </si>
  <si>
    <t>GS: Chờ thời sẽ tiến.</t>
  </si>
  <si>
    <t>GS: Đỗ đạt, thành danh.</t>
  </si>
  <si>
    <t>GS: Hợp chí người trên, sẽ được lựa chọn.</t>
  </si>
  <si>
    <t>NT: Nhà cửa an ninh. Nếu Nguyên Đường và số âm dương không hợp thời thì xấu, có thể khỏi kiện tụng về việc hộ tịch, hôn nhân. Nặng nữa thì bị tội trục xuất, trốn tránh, lưu đày khó về.</t>
  </si>
  <si>
    <t>Ý HÀO: Hòa vui đối với mọi người, nên được lòng dân.</t>
  </si>
  <si>
    <t>Ý HÀO: Cứu sự lìa tan, có dương cương giúp nên, cứu được.</t>
  </si>
  <si>
    <t>Ý HÀO: Liệu thời mà tự thủ thì khỏi nhục.</t>
  </si>
  <si>
    <t>Ý HÀO: Điều thiện nên theo một đường lối.</t>
  </si>
  <si>
    <t>Ý HÀO: Nên xuống thấp thì không hại.</t>
  </si>
  <si>
    <t>Ý HÀO: Nên cẩn thận ngay từ buổi đầu.</t>
  </si>
  <si>
    <t>Ý HÀO: Vô tài đức lại không gặp thời.</t>
  </si>
  <si>
    <t>NT: Thị phi, thưa kiện, rồi thân oan được. Có bệnh chẳng thuốc rồi cũng khỏi. Số xấu: Thì giảm thọ.</t>
  </si>
  <si>
    <t>NT: Kinh doanh có kế hoạch, tài lộc tiến. Nếu khinh động sẽ thành ít, bại nhiều. Số xấu: Gặp hiểm trở, giảm thọ.</t>
  </si>
  <si>
    <r>
      <t>Ý HÀO:</t>
    </r>
    <r>
      <rPr>
        <b/>
        <sz val="10"/>
        <rFont val="Times New Roman"/>
        <family val="1"/>
      </rPr>
      <t xml:space="preserve"> </t>
    </r>
    <r>
      <rPr>
        <sz val="10"/>
        <rFont val="Times New Roman"/>
        <family val="1"/>
      </rPr>
      <t>Tận tâm với đạo lý, đạt phúc quả.</t>
    </r>
  </si>
  <si>
    <r>
      <t>Ý HÀO:</t>
    </r>
    <r>
      <rPr>
        <b/>
        <sz val="10"/>
        <rFont val="Times New Roman"/>
        <family val="1"/>
      </rPr>
      <t xml:space="preserve"> </t>
    </r>
    <r>
      <rPr>
        <sz val="10"/>
        <rFont val="Times New Roman"/>
        <family val="1"/>
      </rPr>
      <t>Nịnh bợ nên xấu.</t>
    </r>
  </si>
  <si>
    <t>Bảng nhập dữ liệu</t>
  </si>
  <si>
    <t>letrungtu2008@yahoo.com</t>
  </si>
  <si>
    <t xml:space="preserve">Lưu trữ ngày sinh của nhiều người và xem được cho những người đó mà không phải nhập lại ngày sinh - Chỉ trên một file này ! </t>
  </si>
  <si>
    <t>QC: Chấp chính có bước tiến.</t>
  </si>
  <si>
    <t>QC: Cáo hưu để tránh nạn.</t>
  </si>
  <si>
    <t>QC: Phận hẩm hiu thì khởi lên được.</t>
  </si>
  <si>
    <t>QC: Bị trở ngại.</t>
  </si>
  <si>
    <t>QC: Có lộc nên giàu.</t>
  </si>
  <si>
    <t>QC: Được đồng chí tiến bạt.</t>
  </si>
  <si>
    <t>QC: Phòng bạn đảng tập hợp đú đởn có hại.</t>
  </si>
  <si>
    <t>QC: Đi lên.</t>
  </si>
  <si>
    <t>QC: Trách nhiệm trọng đại được trên mến.</t>
  </si>
  <si>
    <t>QC: Bị ruồng bỏ vì bất lực.</t>
  </si>
  <si>
    <t>QC: Bị về vườn.</t>
  </si>
  <si>
    <t>QC: Phòng nghi ngờ, nên bỏ cao xuống thấp, cấp lưu dũng thoái là hay.</t>
  </si>
  <si>
    <t>QC: Lên cao.</t>
  </si>
  <si>
    <t>QC: Kiêm nhiệm phức tạp.</t>
  </si>
  <si>
    <t>QC: Nên điều trần.</t>
  </si>
  <si>
    <t>QC: Thăng chuyển lẹ.</t>
  </si>
  <si>
    <t>QC: Bị cách giáng.</t>
  </si>
  <si>
    <t>MKH: Cũng có danh vọng, được việc lớn cho gia đình, phúc lộc dày bền.</t>
  </si>
  <si>
    <t>MKH: Dễ thành dễ phá, bỗng vinh, bỗng nhục, ăn mặc kiệm ước, phúc trạch thường.</t>
  </si>
  <si>
    <t>Sao nên phí sức, dở dang ích gì.</t>
  </si>
  <si>
    <t>82003b</t>
  </si>
  <si>
    <t>92003b</t>
  </si>
  <si>
    <t>102003b</t>
  </si>
  <si>
    <t>112003b</t>
  </si>
  <si>
    <t>122003b</t>
  </si>
  <si>
    <t>12004b</t>
  </si>
  <si>
    <t>22004b</t>
  </si>
  <si>
    <t>32004b</t>
  </si>
  <si>
    <t>42004b</t>
  </si>
  <si>
    <t>52004b</t>
  </si>
  <si>
    <t>62004b</t>
  </si>
  <si>
    <t>72004b</t>
  </si>
  <si>
    <t>82004b</t>
  </si>
  <si>
    <t>92004b</t>
  </si>
  <si>
    <t>102004b</t>
  </si>
  <si>
    <t>112004b</t>
  </si>
  <si>
    <t>122004b</t>
  </si>
  <si>
    <t>12005b</t>
  </si>
  <si>
    <t>22005b</t>
  </si>
  <si>
    <t>32005b</t>
  </si>
  <si>
    <t>42005b</t>
  </si>
  <si>
    <t>52005b</t>
  </si>
  <si>
    <t>62005b</t>
  </si>
  <si>
    <t>72005b</t>
  </si>
  <si>
    <t>22029b</t>
  </si>
  <si>
    <t>NT: Đeo tiếng thị phi, hoặc mang họa tửu sắc thanh âm. đại để Nên yên tịnh, đề phòng mọi việc.</t>
  </si>
  <si>
    <t>QC: Mọi người đều được vừa lòng toại ý.</t>
  </si>
  <si>
    <t>GS: Mọi người đều được vừa lòng toại ý.</t>
  </si>
  <si>
    <t>NT: Mọi người đều được vừa lòng toại ý.</t>
  </si>
  <si>
    <t>Phép đánh bật ngu tối đi, đừng nên làm cho trẻ (ức quá) mà thành giặc, không lợi.</t>
  </si>
  <si>
    <t>Nhờ đại nhân (nhà cách mệnh chân chính lãnh đạo), mà cọp thay lông đổi vẻ (dân đổi mới), chưa xem gì (điềm trời hay bói toán) cũng đã sẵn có lòng tin tưởng.</t>
  </si>
  <si>
    <t>Ngựa hay đuổi nhau (đua với hào 6) nhưng chịu khó bền chính thì lợi, ngày ngày chuẩn bị xe cộ và đồ phòng thân thì đi đâu cũng tiện lợi.</t>
  </si>
  <si>
    <t xml:space="preserve">Đường mây, tiễn tặng nhau quà </t>
  </si>
  <si>
    <t xml:space="preserve">Chim khách báo hiệu đầu cành,      </t>
  </si>
  <si>
    <t>42024b</t>
  </si>
  <si>
    <t>52024b</t>
  </si>
  <si>
    <t>62024b</t>
  </si>
  <si>
    <t>72024b</t>
  </si>
  <si>
    <t>82024b</t>
  </si>
  <si>
    <t>92024b</t>
  </si>
  <si>
    <t>102024b</t>
  </si>
  <si>
    <t>112024b</t>
  </si>
  <si>
    <t>122024b</t>
  </si>
  <si>
    <t>12025b</t>
  </si>
  <si>
    <t>22025b</t>
  </si>
  <si>
    <t>32025b</t>
  </si>
  <si>
    <t>42025b</t>
  </si>
  <si>
    <t>52025b</t>
  </si>
  <si>
    <t>Khiêm</t>
  </si>
  <si>
    <t>Bí</t>
  </si>
  <si>
    <t>Khuể</t>
  </si>
  <si>
    <t>Lý</t>
  </si>
  <si>
    <t>Hằng1</t>
  </si>
  <si>
    <t>Tốn</t>
  </si>
  <si>
    <t>Tốn1</t>
  </si>
  <si>
    <t>Tỉnh</t>
  </si>
  <si>
    <t>Tỉnh1</t>
  </si>
  <si>
    <t>Cổ</t>
  </si>
  <si>
    <t>Cổ1</t>
  </si>
  <si>
    <t>Thăng</t>
  </si>
  <si>
    <t>Thăng1</t>
  </si>
  <si>
    <t>Sư</t>
  </si>
  <si>
    <t>Sư1</t>
  </si>
  <si>
    <t>Mông</t>
  </si>
  <si>
    <t>Mông1</t>
  </si>
  <si>
    <t>Ăn nhờ đức cũ, vẫn phải giữ chính phòng nguy, sau tốt. Hoặc theo việc nhà vua (theo hào 6). Không thành.</t>
  </si>
  <si>
    <t>Ra quân phải giữ kỷ luật, nếu không rành, ắt xấu.</t>
  </si>
  <si>
    <t>Lo liệu trước (để rồi hãy tin) thì tốt; có điều khác lẩn quẩn thì chẳng được yên.</t>
  </si>
  <si>
    <t>NT: Yên phận, không hại gì. Số xấu người u hiểm, lại mất trong cảnh tối tăm.</t>
  </si>
  <si>
    <t>Cưỡi ngựa dùng dằng, như (ư !) khóc ra máu chảy đầm đìa như (ư !) (thời cùng khổ).</t>
  </si>
  <si>
    <t>QC: Đương vinh liền thấy nhục. Phòng bị dèm pha.</t>
  </si>
  <si>
    <t>GS: Đương vinh liền thấy nhục. Phòng bị hạ nhục.</t>
  </si>
  <si>
    <t>NT: Đương vinh liền thấy nhục. Phòng tổn thiệt. Xấu nữa thì tổn thọ, có tang cha mẹ.</t>
  </si>
  <si>
    <t>NT: Hay Bị Quan tụng, xích mích với bạn bè tranh đấu can qua, thị phi ám muội. Nhưng sau cũng giải thoát Được hoạn nạn. Số xấu: Hay Bị hình án.</t>
  </si>
  <si>
    <t>NT: Nên đi buôn xa. Tăng ni tiến tới được. Đại để mưu cầu việc gì càng vội, càng khó thành.</t>
  </si>
  <si>
    <t>51963b</t>
  </si>
  <si>
    <t>61963b</t>
  </si>
  <si>
    <t>71963b</t>
  </si>
  <si>
    <t>81963b</t>
  </si>
  <si>
    <t>91963b</t>
  </si>
  <si>
    <t>101963b</t>
  </si>
  <si>
    <t>111963b</t>
  </si>
  <si>
    <t>91988b</t>
  </si>
  <si>
    <t>101988b</t>
  </si>
  <si>
    <t>111988b</t>
  </si>
  <si>
    <t>121988b</t>
  </si>
  <si>
    <t>11989b</t>
  </si>
  <si>
    <t>21989b</t>
  </si>
  <si>
    <t>31989b</t>
  </si>
  <si>
    <t>41989b</t>
  </si>
  <si>
    <t>51989b</t>
  </si>
  <si>
    <t>61989b</t>
  </si>
  <si>
    <t>71989b</t>
  </si>
  <si>
    <t>81989b</t>
  </si>
  <si>
    <t>91989b</t>
  </si>
  <si>
    <t>101989b</t>
  </si>
  <si>
    <t>111989b</t>
  </si>
  <si>
    <t>121989b</t>
  </si>
  <si>
    <t>11990b</t>
  </si>
  <si>
    <t>21990b</t>
  </si>
  <si>
    <t>Lên (dễ dàng) như đi vào cái ấp bỏ trống.</t>
  </si>
  <si>
    <t>21987</t>
  </si>
  <si>
    <t>31987</t>
  </si>
  <si>
    <t>41987</t>
  </si>
  <si>
    <t>51987</t>
  </si>
  <si>
    <t>Chim hồng tiến dần đến nơi đường mây, lông nó có thể dùng làm đồ hành ngơi (cờ quạt để đi rước), tốt.</t>
  </si>
  <si>
    <t>61975b</t>
  </si>
  <si>
    <t>71975b</t>
  </si>
  <si>
    <t>81975b</t>
  </si>
  <si>
    <t>91975b</t>
  </si>
  <si>
    <t>101975b</t>
  </si>
  <si>
    <t>11948b</t>
  </si>
  <si>
    <t>21948b</t>
  </si>
  <si>
    <t>31948b</t>
  </si>
  <si>
    <t>41948b</t>
  </si>
  <si>
    <t>51948b</t>
  </si>
  <si>
    <t>61948b</t>
  </si>
  <si>
    <t>71948b</t>
  </si>
  <si>
    <t>81948b</t>
  </si>
  <si>
    <t>91948b</t>
  </si>
  <si>
    <t>101948b</t>
  </si>
  <si>
    <t>111948b</t>
  </si>
  <si>
    <t>QC: Công lớn, thăng cao.</t>
  </si>
  <si>
    <t>Giếng trong sạch, suối mát lạnh, ăn (ngon).</t>
  </si>
  <si>
    <t>(Tùy gắn bó như) móc buộc lấy, lại theo mà dằng giữ lấy, vương dùng tế hưởng ở đất Tây Sơn (nghiệp lớn thành).</t>
  </si>
  <si>
    <t>Cáng đáng việc đổ nát của cha; có con, cha không lỗi, e nguy sau mới tốt.</t>
  </si>
  <si>
    <t>Thời hoán, trừ khử được cái hại huyết đau, tống được điều sợ hãi đi, là không lỗi gì.</t>
  </si>
  <si>
    <t>51986</t>
  </si>
  <si>
    <t>61986</t>
  </si>
  <si>
    <t>71986</t>
  </si>
  <si>
    <t>Không lỗi, chẳng quá (cương) mà đúng đạo lý đấy (thời tiểu quá), tiến thời nguy nên rán, chớ dùng thói cố chấp mãi (mà có hại).</t>
  </si>
  <si>
    <t xml:space="preserve">Vốn nhu, thẹn, bởi thừa cương       </t>
  </si>
  <si>
    <t>Mây đặc chẳng mưa, từ đất phía Tây của ta (hào 5) ông bắt lấy nó (hào 2) ở tại hang.</t>
  </si>
  <si>
    <t>Cành hoa mưa đậm, má sầu bên sông.</t>
  </si>
  <si>
    <t>Giếng nước múc lên, chớ che đậy (cho mọi người cùng ăn) cứ thường thế mãi, thì tốt nhất.</t>
  </si>
  <si>
    <t>GS: Thành danh, của dùng sung túc, toại ý.</t>
  </si>
  <si>
    <t>NT: Thành danh, của dùng sung túc, toại ý.</t>
  </si>
  <si>
    <t>QC: Thay đổi, thành danh.</t>
  </si>
  <si>
    <t>GS: Thay đổi, thành danh.</t>
  </si>
  <si>
    <t>51953b</t>
  </si>
  <si>
    <t>61953b</t>
  </si>
  <si>
    <t>71953b</t>
  </si>
  <si>
    <t>81953b</t>
  </si>
  <si>
    <t>91953b</t>
  </si>
  <si>
    <t>101953b</t>
  </si>
  <si>
    <t>111953b</t>
  </si>
  <si>
    <t>121953b</t>
  </si>
  <si>
    <t>11954b</t>
  </si>
  <si>
    <t>21954b</t>
  </si>
  <si>
    <t>91910</t>
  </si>
  <si>
    <t>101910</t>
  </si>
  <si>
    <t>111910</t>
  </si>
  <si>
    <t>121910</t>
  </si>
  <si>
    <t>11911</t>
  </si>
  <si>
    <t>101902</t>
  </si>
  <si>
    <t>111902</t>
  </si>
  <si>
    <t>121902</t>
  </si>
  <si>
    <t xml:space="preserve">Nước ngon như suối trong veo,      </t>
  </si>
  <si>
    <t xml:space="preserve">Cách rồi bỏ mất thì hoài,              </t>
  </si>
  <si>
    <t>Làm đâu được đấy, khỏi cần bói quy.</t>
  </si>
  <si>
    <t>Sông dài ngàn dặm lái,</t>
  </si>
  <si>
    <t>MKH: Học rộng tài nhanh, thường an vui.</t>
  </si>
  <si>
    <t>MKH: Nhà không yên, thân quyến hết nhờ, hôn nhân khó thành.</t>
  </si>
  <si>
    <t>MKH: An bần, đạt mệnh, thọ.</t>
  </si>
  <si>
    <t>MKH: Chí hướng vô định, lưu đãng, tự kiêu, sinh kế khó khăn.</t>
  </si>
  <si>
    <t>MKH: Bé chẳng học hành, già vô vị, đau cẳng, đau lưng.</t>
  </si>
  <si>
    <t>Ý HÀO: Làm sáng tỏ con người của Hòa bình, để biết cái thuật giữ nghiệp lớn.</t>
  </si>
  <si>
    <t>Ý HÀO: Trước bực mình, sau mới gặp, cũng phải mượn đến sức mạnh mới xong.</t>
  </si>
  <si>
    <t>Ý HÀO: Ở ngôi trên, phải có oai để trị dân.</t>
  </si>
  <si>
    <t>Ý HÀO: Đức khiêm ở ngôi tôn cũng cần phải biến hóa.</t>
  </si>
  <si>
    <t>NT: Đành nuốt nhục để giữ thân gia, nếu không thì khó tránh thị phi, tai họa.</t>
  </si>
  <si>
    <t>NT: Nhiều việc lưỡng lự, bạn bè ngờ nhau, bo bo nơi gần, lạnh lùng nơi xa, đeo tiếng thị phi.</t>
  </si>
  <si>
    <t>NT: Kinh doanh lợi lớn. Người già giảm thọ.</t>
  </si>
  <si>
    <t>NT: Không khinh động, nhưng chộp được dịp may.</t>
  </si>
  <si>
    <t>NT: Mưu tính được lợi.</t>
  </si>
  <si>
    <r>
      <t xml:space="preserve">Với khoảng : 384 X (5 + 3 + 2) + 34 = </t>
    </r>
    <r>
      <rPr>
        <sz val="9"/>
        <color indexed="12"/>
        <rFont val="Arial"/>
        <family val="2"/>
      </rPr>
      <t>3874 Cách cục khác nhau.</t>
    </r>
    <r>
      <rPr>
        <sz val="9"/>
        <color indexed="18"/>
        <rFont val="Arial"/>
        <family val="2"/>
      </rPr>
      <t xml:space="preserve"> (Nếu tính chi li tổng số âm dương... thì còn nhiều nữa)</t>
    </r>
  </si>
  <si>
    <t>(Trong đó : 384 = 64 quẻ X 6 hào. 5/10 thể cách. 3 là Thiên địa nguyên khí hóa công. 2 là nạp giáp và tháng sinh. 34 cách quý hiển)</t>
  </si>
  <si>
    <t>Ý HÀO: Vượt ra ngoài sự thường tình.</t>
  </si>
  <si>
    <t>Ý HÀO: Vô đức, vô ứng, ước trước mà không hẹn sau.</t>
  </si>
  <si>
    <t>Ý HÀO: Sáng quá hóa tối nên xấu vậy.</t>
  </si>
  <si>
    <t>MHC: Dù có tài kinh tế cũng không gặp thời, nên an phận, không vinh nhục gì.</t>
  </si>
  <si>
    <t>MKH: Thì thân thích bị hình thương, hôn nhân cô khắc.</t>
  </si>
  <si>
    <t>MKH: Cũng là người có chí khí, không sợ đảm nhiệm việc lớn, không lừa dối trách vụ nhỏ. Hoặc làm hào lý có quyền hành.</t>
  </si>
  <si>
    <t>MKH: Nên thủ phận, khiêm tốn ắt được quý nhân đề cử, thoát hiểm nguy.</t>
  </si>
  <si>
    <t>MKH: Ở thôn dã, có vườn, gia súc, có học vấn, quyền binh, con lớn quản được việc nhà, con nhỏ hay bị chết non. Số xấu: Thì lại là người nói liều làm bậy, vụng về gàn quải.</t>
  </si>
  <si>
    <t>MKH: Cũng trung chính, có đức hạnh, cô đơn, sau có bạn, trước vất vả, sau dễ dàng, dù thế nào vẫn đủ ấm no, văn võ đủ tài.</t>
  </si>
  <si>
    <t>MKH: Nhờ có của mà được thu dụng, hoặc có người ám trợ. Hưởng phúc bình thường.</t>
  </si>
  <si>
    <t>TNK</t>
  </si>
  <si>
    <t>ĐNK</t>
  </si>
  <si>
    <t>HC</t>
  </si>
  <si>
    <t>Ngày giờ sinh</t>
  </si>
  <si>
    <t>101954b</t>
  </si>
  <si>
    <t>111954b</t>
  </si>
  <si>
    <t>121954b</t>
  </si>
  <si>
    <t>11955b</t>
  </si>
  <si>
    <t>22038</t>
  </si>
  <si>
    <t>32038</t>
  </si>
  <si>
    <t>42038</t>
  </si>
  <si>
    <t>52038</t>
  </si>
  <si>
    <t>Đây là chương trình lập số mệnh và xem vận theo phương pháp Hà Lạc Lý Số, dựa trên cuốn "Bát Tự Hà Lạc số" của Học Năng.</t>
  </si>
  <si>
    <t xml:space="preserve">                    Tín thành báo hỷ thường ngay,</t>
  </si>
  <si>
    <t>Bên đông cười mộc nữ,</t>
  </si>
  <si>
    <t>Ngàn dặm vút non cao.</t>
  </si>
  <si>
    <t>Lo xa đừng xử quá cương bao giờ.</t>
  </si>
  <si>
    <t>Tai qua phúc đến đường đời thênh thang.</t>
  </si>
  <si>
    <t>Sóng gió vạc sôi (?!)</t>
  </si>
  <si>
    <t>Bên cây mừng đến, chóng chày đừng nghi.</t>
  </si>
  <si>
    <t>Giữ chính khỏi chi cần.</t>
  </si>
  <si>
    <t>Coi đó hiếu song thân.</t>
  </si>
  <si>
    <t>Từ gần nhờ phúc lớn,</t>
  </si>
  <si>
    <t>Gió đưa buồm nhẹ không.</t>
  </si>
  <si>
    <t>Doanh mưu thêm hại thân.</t>
  </si>
  <si>
    <t>Thấy nguy chuột rúc lì gan xem nào.</t>
  </si>
  <si>
    <t>Một cẳng bước hai thuyền,</t>
  </si>
  <si>
    <t xml:space="preserve">Đoàn viên thêm phí sức, </t>
  </si>
  <si>
    <t>Phí sức lại đoàn viên.</t>
  </si>
  <si>
    <t>Nhưng nên thong thả để dò tai nguy.</t>
  </si>
  <si>
    <t>Bây giờ, danh lợi tiến thân được rồi.</t>
  </si>
  <si>
    <t>121943b</t>
  </si>
  <si>
    <t>11944b</t>
  </si>
  <si>
    <t>91915</t>
  </si>
  <si>
    <t>101915</t>
  </si>
  <si>
    <t>111915</t>
  </si>
  <si>
    <t>121915</t>
  </si>
  <si>
    <t>11916</t>
  </si>
  <si>
    <t>21916</t>
  </si>
  <si>
    <t>31916</t>
  </si>
  <si>
    <t>41916</t>
  </si>
  <si>
    <t>51916</t>
  </si>
  <si>
    <t>61916</t>
  </si>
  <si>
    <t>71916</t>
  </si>
  <si>
    <t>81916</t>
  </si>
  <si>
    <t>91916</t>
  </si>
  <si>
    <t>101916</t>
  </si>
  <si>
    <t>111916</t>
  </si>
  <si>
    <t>121916</t>
  </si>
  <si>
    <t xml:space="preserve">Rồng đã hiện, trăng đã tròn     </t>
  </si>
  <si>
    <t xml:space="preserve">Nên tiềm tàng, chớ dùng vội. </t>
  </si>
  <si>
    <t xml:space="preserve">Có danh không có thực,   </t>
  </si>
  <si>
    <t>Việc làm chưa gì nên,</t>
  </si>
  <si>
    <t xml:space="preserve">Trước khó sau dễ mới hay,         </t>
  </si>
  <si>
    <t xml:space="preserve">Khí âm lạnh, hạt sương mù      </t>
  </si>
  <si>
    <t xml:space="preserve">Ra tay gỡ mối Kinh Luân,          </t>
  </si>
  <si>
    <t xml:space="preserve">Truân chiên đến thế thì thôi,      </t>
  </si>
  <si>
    <t xml:space="preserve">Thu đông sẽ hết truân.     </t>
  </si>
  <si>
    <t>Gắng sức tự Kinh Luân.</t>
  </si>
  <si>
    <t>Đừng nên do dự nữa,</t>
  </si>
  <si>
    <t>71980b</t>
  </si>
  <si>
    <t>81980b</t>
  </si>
  <si>
    <t>91980b</t>
  </si>
  <si>
    <t>101980b</t>
  </si>
  <si>
    <t>111980b</t>
  </si>
  <si>
    <t>121980b</t>
  </si>
  <si>
    <t>11981b</t>
  </si>
  <si>
    <t>21981b</t>
  </si>
  <si>
    <t>31981b</t>
  </si>
  <si>
    <t>41981b</t>
  </si>
  <si>
    <t>51981b</t>
  </si>
  <si>
    <t>61981b</t>
  </si>
  <si>
    <t>71981b</t>
  </si>
  <si>
    <t>81981b</t>
  </si>
  <si>
    <t>91981b</t>
  </si>
  <si>
    <t>101981b</t>
  </si>
  <si>
    <t>111981b</t>
  </si>
  <si>
    <t>121981b</t>
  </si>
  <si>
    <t>11982b</t>
  </si>
  <si>
    <t>21982b</t>
  </si>
  <si>
    <t>31982b</t>
  </si>
  <si>
    <t>41982b</t>
  </si>
  <si>
    <t>51982b</t>
  </si>
  <si>
    <t>61982b</t>
  </si>
  <si>
    <t>71982b</t>
  </si>
  <si>
    <t>81982b</t>
  </si>
  <si>
    <t>91982b</t>
  </si>
  <si>
    <t>101982b</t>
  </si>
  <si>
    <t>111982b</t>
  </si>
  <si>
    <t>121982b</t>
  </si>
  <si>
    <t>11983b</t>
  </si>
  <si>
    <t>102013b</t>
  </si>
  <si>
    <t>112013b</t>
  </si>
  <si>
    <t>122013b</t>
  </si>
  <si>
    <t>Buộc (tay) dùng dây đàn, đặt (chân) vào bụi gai, ba năm chẳng được gì, xấu.</t>
  </si>
  <si>
    <t>Vào nơi hang hiểm. Có ba người khách thong dong đi lại. Kính trọng họ, sau tốt.</t>
  </si>
  <si>
    <t>101968</t>
  </si>
  <si>
    <t>111968</t>
  </si>
  <si>
    <t>121968</t>
  </si>
  <si>
    <t>11969</t>
  </si>
  <si>
    <t>21969</t>
  </si>
  <si>
    <t>31969</t>
  </si>
  <si>
    <t>41969</t>
  </si>
  <si>
    <t>51969</t>
  </si>
  <si>
    <t>61969</t>
  </si>
  <si>
    <t>71969</t>
  </si>
  <si>
    <t>81969</t>
  </si>
  <si>
    <t>91969</t>
  </si>
  <si>
    <t>101969</t>
  </si>
  <si>
    <t>111969</t>
  </si>
  <si>
    <t>121969</t>
  </si>
  <si>
    <t>11970</t>
  </si>
  <si>
    <t>Ngu tối nhưng được còn ngây thơ (dễ dạy) nên tốt.</t>
  </si>
  <si>
    <t>71961b</t>
  </si>
  <si>
    <t>81961b</t>
  </si>
  <si>
    <t>91961b</t>
  </si>
  <si>
    <t>101961b</t>
  </si>
  <si>
    <t>111961b</t>
  </si>
  <si>
    <t>121961b</t>
  </si>
  <si>
    <t>110010</t>
  </si>
  <si>
    <t>110100</t>
  </si>
  <si>
    <t>110000</t>
  </si>
  <si>
    <t>81997b</t>
  </si>
  <si>
    <t>91997b</t>
  </si>
  <si>
    <t>101997b</t>
  </si>
  <si>
    <t>111997b</t>
  </si>
  <si>
    <t>121997b</t>
  </si>
  <si>
    <t>11998b</t>
  </si>
  <si>
    <t>21998b</t>
  </si>
  <si>
    <t>31998b</t>
  </si>
  <si>
    <t>41998b</t>
  </si>
  <si>
    <t>51998b</t>
  </si>
  <si>
    <t>61998b</t>
  </si>
  <si>
    <t>71998b</t>
  </si>
  <si>
    <t>81998b</t>
  </si>
  <si>
    <t>91998b</t>
  </si>
  <si>
    <t>71956b</t>
  </si>
  <si>
    <t>81956b</t>
  </si>
  <si>
    <t>91956b</t>
  </si>
  <si>
    <t>111921b</t>
  </si>
  <si>
    <t>121921b</t>
  </si>
  <si>
    <t>11922b</t>
  </si>
  <si>
    <t>21922b</t>
  </si>
  <si>
    <t>31922b</t>
  </si>
  <si>
    <t>41922b</t>
  </si>
  <si>
    <t>51922b</t>
  </si>
  <si>
    <t>61922b</t>
  </si>
  <si>
    <t>71922b</t>
  </si>
  <si>
    <t>81922b</t>
  </si>
  <si>
    <t>91922b</t>
  </si>
  <si>
    <t>101922b</t>
  </si>
  <si>
    <t>111922b</t>
  </si>
  <si>
    <t xml:space="preserve">Vận Kiền công nghiệp ai bì,        </t>
  </si>
  <si>
    <t>Dương mới sinh, hãy còn tối,</t>
  </si>
  <si>
    <t xml:space="preserve">Lên cao chi quá càng lo !       </t>
  </si>
  <si>
    <t>Khi ra Rồng bổng, cõi trời xanh xanh.</t>
  </si>
  <si>
    <t xml:space="preserve">         Đáng ngôi lộc vị dành dành,</t>
  </si>
  <si>
    <t>Quý nhân tỏ mặt đâu còn hồ nghi.</t>
  </si>
  <si>
    <t>Phương đoài trăng mọc, bội phần vinh hoa.</t>
  </si>
  <si>
    <t>Chương trình gấp đổi, chẳng ngồi trách ai.</t>
  </si>
  <si>
    <t xml:space="preserve">Tây Bắc đi êm thắm, </t>
  </si>
  <si>
    <t>Mạnh ở nơi ngón chân, tiến đi thì xấu, tin chắc vậy.</t>
  </si>
  <si>
    <t>NT: Thâu lợi, hôn nhân thành, có người đề cử. Số xấu thì bạn bè oán ghét, xương thịt bị hình thương, quan sự rắc rối.</t>
  </si>
  <si>
    <t>42044b</t>
  </si>
  <si>
    <t>52044b</t>
  </si>
  <si>
    <t>62044b</t>
  </si>
  <si>
    <t>72044b</t>
  </si>
  <si>
    <t>82044b</t>
  </si>
  <si>
    <t>92044b</t>
  </si>
  <si>
    <t>102044b</t>
  </si>
  <si>
    <t>112044b</t>
  </si>
  <si>
    <t>122044b</t>
  </si>
  <si>
    <t>12045b</t>
  </si>
  <si>
    <t>22045b</t>
  </si>
  <si>
    <t>32045b</t>
  </si>
  <si>
    <t>Chương trình hoàn toàn được viết bằng hàm Excel, không sử dụng Macro. Riêng hàm đổi Dương lịch sang Âm lịch là sưu tầm của một tác giả không biết tên. Phần tiết khí theo tác giả Hồ Ngọc Đức.</t>
  </si>
  <si>
    <r>
      <t>Kinh nghiệm :</t>
    </r>
    <r>
      <rPr>
        <sz val="9"/>
        <color indexed="12"/>
        <rFont val="Arial"/>
        <family val="2"/>
      </rPr>
      <t xml:space="preserve"> </t>
    </r>
    <r>
      <rPr>
        <sz val="9"/>
        <color indexed="18"/>
        <rFont val="Arial"/>
        <family val="2"/>
      </rPr>
      <t>Nếu bạn sinh vào đầu hoặc cuối của một giờ can chi hoặc gần lúc vào tiết thì bạn nên lập thêm một lá số nữa vào giờ can chi trước hoặc sau, hoặc trước sau thời điểm giao tiết để chiêm nghiệm các sự kiện đã diễn ra trong quá khứ, lá số nào đúng thì giờ đó đúng.</t>
    </r>
  </si>
  <si>
    <t>Bìu ríu với bậc trượng phu (hào 4) thời mất tiểu tử (hào 1) đạo tùy mà có cầu có được thì nên giữ chính mới ích lợi.</t>
  </si>
  <si>
    <t>Thời tùy, có cái được, nhưng giữ chính mà vẫn xấu (hào 5 ngờ). Có tin tưởng ở đạo lý để làm cho sáng tỏ, còn lỗi gì ?</t>
  </si>
  <si>
    <t>QC: Hay bị dèm pha. Phàm gặp hào này, thì hay lo lắng tội vạ, chí không đạt, tuổi thọ không lâu.</t>
  </si>
  <si>
    <t>GS: Bị bôi nhọ. Phàm gặp hào này, thì hay lo lắng tội vạ, chí không đạt, tuổi thọ không lâu.</t>
  </si>
  <si>
    <t>NT: Phòng tổn hại, hoặc bị giam hãm. Phàm gặp hào này, thì hay lo lắng tội vạ, chí không đạt, tuổi thọ không lâu.</t>
  </si>
  <si>
    <t>Nhưng là nên thủy lại nên chung.</t>
  </si>
  <si>
    <t>Ý HÀO: Răn bậc nguyên thủ phải quyết tâm đối phó với kẻ tiểu nhân.</t>
  </si>
  <si>
    <t>NT: Doanh mưu thiệt hại, càng xáo động càng bị dèm pha, tĩnh thì tránh được tai vạ.</t>
  </si>
  <si>
    <t>Tự trời giúp cho; tốt, không có gì là chẳng lợi.</t>
  </si>
  <si>
    <t>Nhún nhường có tiếng, giữ chính, tốt.</t>
  </si>
  <si>
    <t>Không gì là chẳng lợi, phát triển được đức khiêm.</t>
  </si>
  <si>
    <t>112043b</t>
  </si>
  <si>
    <t>122043b</t>
  </si>
  <si>
    <t>12044b</t>
  </si>
  <si>
    <t>22044b</t>
  </si>
  <si>
    <t>32044b</t>
  </si>
  <si>
    <t>Hoán</t>
  </si>
  <si>
    <t>Có lòng tin, sánh vai, không lỗi. Có lòng tin đầy cái ang (như đầy tấm lòng); về sau có điều tốt lành khác.</t>
  </si>
  <si>
    <t>Từ trong sánh vai ra đến ngoài, giữ chính tốt.</t>
  </si>
  <si>
    <t>Chính bền, tứ cửu có chi lỗi lầm.</t>
  </si>
  <si>
    <t>MHC: Biết lo sâu nghĩ xa, thấy biến biết cách chuyển, thấy họa có mưu tránh, tuy không sáng cơ, cũng giữ được cựu nghiệp.</t>
  </si>
  <si>
    <t>MHC: Mình gồm tài đức, mà không gặp được “minh chủ” nhưng tấm lòng vẫn không ai lay chuyển nổi.</t>
  </si>
  <si>
    <t>GS: Trúng tuyển lớn. Chữ đại là ám chỉ: Đại học, đại sư, đại đức v.v...</t>
  </si>
  <si>
    <t>GS: Mưu đồ bạt mạng nên bị oán trách.</t>
  </si>
  <si>
    <t>GS: Gian nan.</t>
  </si>
  <si>
    <t>GS: Giữ phận, chưa nên cầu tiến vội.</t>
  </si>
  <si>
    <t>GS: Có tiếng tăm kinh động người, hoặc làm chức tỉnh, quận, hay chức chủ tế.</t>
  </si>
  <si>
    <t>GS: Tiến thủ lạc hậu.</t>
  </si>
  <si>
    <t>GS: Không có người ứng viện, tiến khó.</t>
  </si>
  <si>
    <t>GS: Đỗ khoa nhỏ.</t>
  </si>
  <si>
    <t>GS: Gặp nhiều tri kỷ dễ thành danh.</t>
  </si>
  <si>
    <t>GS: Thấp kém, ô trọc, quê vụng.</t>
  </si>
  <si>
    <t>GS: Vào văn lợi hơn võ.</t>
  </si>
  <si>
    <t>GS: Bạn tốt cùng tiến tới.</t>
  </si>
  <si>
    <t>GS: Có vận bay nhảy.</t>
  </si>
  <si>
    <t>GS: Tiến thủ được.</t>
  </si>
  <si>
    <t>GS: Có tin tốt lành hấp dẫn.</t>
  </si>
  <si>
    <t>GS: Có việc bay cao quá trời.</t>
  </si>
  <si>
    <t>GS: Được chọn, hoặc đỗ cuối bảng.</t>
  </si>
  <si>
    <t>NT: Phòng kiện tụng tranh dành, bị trộm cắp hay nô bộc làm hại.</t>
  </si>
  <si>
    <t>NT: Bị thưa kiện. Đương có tang mà xảy thưa kiện thì thua thiệt.</t>
  </si>
  <si>
    <t>NT: Hình khắc, tai ương, kém nữa bị giảm thọ.</t>
  </si>
  <si>
    <t>NT: Bị mắc gian kế, thị phi, nhũng nhiễu, lui bước ở yên thì tránh tai hại.</t>
  </si>
  <si>
    <t>NT: Tiền của tăng tiến. Có thể có tang phục.</t>
  </si>
  <si>
    <t>NT: Phá tổn, ốm đau khó thoát. Cẩn hậu đỡ tai vạ.</t>
  </si>
  <si>
    <t>NT: Bỉ ổi, ô trọc, thậm chí đến bị bắt bớ chăng trói tàn đời.</t>
  </si>
  <si>
    <t>MHC: Bạn với người hiền, lãnh đạo, đạt chí.</t>
  </si>
  <si>
    <t>Ý HÀO: Tự đình chỉ.</t>
  </si>
  <si>
    <t>Ý HÀO: Cầu người nuôi không phải chỗ.</t>
  </si>
  <si>
    <t>Ý HÀO: Dương được âm giúp.</t>
  </si>
  <si>
    <t>Ý HÀO: Đương gian nan, tìm cách thoát hiểm.</t>
  </si>
  <si>
    <t>Ý HÀO: Giúp sức xây nền văn minh.</t>
  </si>
  <si>
    <t>Ý HÀO: Tĩnh lợi hơn động.</t>
  </si>
  <si>
    <t>Ý HÀO: Giữ đạo trung nên ít lỗi.</t>
  </si>
  <si>
    <t>Ý HÀO: Nói cái đạo lấy dương chế âm vậy.</t>
  </si>
  <si>
    <t>Ý HÀO: Ở ngôi lãnh đạo, càng phải tu đức.</t>
  </si>
  <si>
    <t>Ý HÀO: Nguyên thủ mà giữ chính để gần dân thì là thuận trị rồi.</t>
  </si>
  <si>
    <t>Ý HÀO: Lấy đức cứu khốn, lấy lòng thành cảm thần.</t>
  </si>
  <si>
    <t>Ý HÀO: Đức minh trọn vẹn, công thành.</t>
  </si>
  <si>
    <t>Ý HÀO: Cuộc cách mệnh đúng hợp với dân tình.</t>
  </si>
  <si>
    <t>Ý HÀO: Chọn người hiền trị nước, giữ đức đến cùng.</t>
  </si>
  <si>
    <t>Ý HÀO: Vô tà khó tránh nguy, cần có đức để biết sợ.</t>
  </si>
  <si>
    <t>Ý HÀO: Dè dặt lời nói; nên đỡ lỗi.</t>
  </si>
  <si>
    <t>Ý HÀO: Tiến đến hào nguyên thủ, lại gặp người hiền phụ tá, nên việc trị nước thành công.</t>
  </si>
  <si>
    <t>Ý HÀO: Gái có đức, phong tục tốt đẹp.</t>
  </si>
  <si>
    <t>Ý HÀO: Khuyên cấp trên cầu hiền, nên nhân đó được người hiền.</t>
  </si>
  <si>
    <t>Một đi một lại, hỷ hoan đường đời.</t>
  </si>
  <si>
    <t>Mưu cầu được việc, tin người đến tay.</t>
  </si>
  <si>
    <t>Gió xuân đào lý, thuyền bơi thuận dòng.</t>
  </si>
  <si>
    <t>MHC: Là quý nhân, gặp quý nhân (chữ Sa ngày xưa nói về tể tướng đi kinh lý ngoài bãi cát đê điều, hoặc Tướng quân ở nơi Sa Tràng).</t>
  </si>
  <si>
    <t>MHC: Hoặc giữ chức hộ tịch, hoặc ẩn cư chí thú làm giàu, tiền của không gây oan nghiệt.</t>
  </si>
  <si>
    <t>MHC: Cương quyết mà không ngược ngạo, có ân uy, hoặc là tướng ở ngoài biên mà dân quân nhất trí, hoặc ở tổng hành doanh mà xa gần cảm mến.</t>
  </si>
  <si>
    <t>QC: Cố thủ không thay đổi.</t>
  </si>
  <si>
    <t>QC: Phần nhiều nắm quyền quân đội.</t>
  </si>
  <si>
    <t>QC: Được thăng trật, được hưởng cá vàng cá bạc (?).</t>
  </si>
  <si>
    <t>QC: Được thăng, hoặc trông coi việc tế lễ.</t>
  </si>
  <si>
    <t>QC: Được thăng chuyển, hoặc giữ chức coi tế lễ.</t>
  </si>
  <si>
    <t>QC: Lui về tự dưỡng.</t>
  </si>
  <si>
    <t>Người Quân tử (lớp dân hiểu biết thực tình với cách mệnh) thì như con báo biến hóa, còn kẻ tiểu nhân (lớp dân trí nông cạn) thì cũng cách ngoài mặt (sẽ hóa dần dần); nhưng đến đây tiến hành nữa thời xấu (hào 6, giai đoạn cuối rồi), cứ giữ chính bền thời tốt.</t>
  </si>
  <si>
    <t>Sấm đi sấm lại cũng nguy, nhưng lo tính sao cho không mất (đức trung) thì cũng có việc làm nổi.</t>
  </si>
  <si>
    <t>61938</t>
  </si>
  <si>
    <t>Khốn vì trẻ ngu tối, hối thẹn.</t>
  </si>
  <si>
    <t>122001</t>
  </si>
  <si>
    <t>12002</t>
  </si>
  <si>
    <t>22002</t>
  </si>
  <si>
    <t>32002</t>
  </si>
  <si>
    <t>42002</t>
  </si>
  <si>
    <t>52002</t>
  </si>
  <si>
    <t>Quẻ hậu thiên</t>
  </si>
  <si>
    <t>Quẻ tiên thiên</t>
  </si>
  <si>
    <t>21977</t>
  </si>
  <si>
    <t>31977</t>
  </si>
  <si>
    <t>41977</t>
  </si>
  <si>
    <t>51977</t>
  </si>
  <si>
    <t>61977</t>
  </si>
  <si>
    <t>71977</t>
  </si>
  <si>
    <t>81977</t>
  </si>
  <si>
    <t>91977</t>
  </si>
  <si>
    <t>101977</t>
  </si>
  <si>
    <t>111977</t>
  </si>
  <si>
    <t>121977</t>
  </si>
  <si>
    <t>11978</t>
  </si>
  <si>
    <t>21978</t>
  </si>
  <si>
    <t>31978</t>
  </si>
  <si>
    <t>41978</t>
  </si>
  <si>
    <t>51978</t>
  </si>
  <si>
    <t>61978</t>
  </si>
  <si>
    <t>71978</t>
  </si>
  <si>
    <t>81978</t>
  </si>
  <si>
    <t>91974b</t>
  </si>
  <si>
    <t>101974b</t>
  </si>
  <si>
    <t>111974b</t>
  </si>
  <si>
    <t>121974b</t>
  </si>
  <si>
    <t>11975b</t>
  </si>
  <si>
    <t>21975b</t>
  </si>
  <si>
    <t>31975b</t>
  </si>
  <si>
    <t>41975b</t>
  </si>
  <si>
    <t>51975b</t>
  </si>
  <si>
    <t>22010b</t>
  </si>
  <si>
    <t>32010b</t>
  </si>
  <si>
    <t>42010b</t>
  </si>
  <si>
    <t>52010b</t>
  </si>
  <si>
    <t>62010b</t>
  </si>
  <si>
    <t>72010b</t>
  </si>
  <si>
    <t>82010b</t>
  </si>
  <si>
    <t>92010b</t>
  </si>
  <si>
    <t>102010b</t>
  </si>
  <si>
    <t>112010b</t>
  </si>
  <si>
    <t>122010b</t>
  </si>
  <si>
    <t>12011b</t>
  </si>
  <si>
    <t>22011b</t>
  </si>
  <si>
    <t>32011b</t>
  </si>
  <si>
    <t>42011b</t>
  </si>
  <si>
    <t>52011b</t>
  </si>
  <si>
    <t>62011b</t>
  </si>
  <si>
    <t>72011b</t>
  </si>
  <si>
    <t>82011b</t>
  </si>
  <si>
    <t>92011b</t>
  </si>
  <si>
    <t>102011b</t>
  </si>
  <si>
    <t>112011b</t>
  </si>
  <si>
    <t>122011b</t>
  </si>
  <si>
    <t>51939b</t>
  </si>
  <si>
    <t>61939b</t>
  </si>
  <si>
    <t>71939b</t>
  </si>
  <si>
    <t>81939b</t>
  </si>
  <si>
    <t>91939b</t>
  </si>
  <si>
    <t>101939b</t>
  </si>
  <si>
    <t>111939b</t>
  </si>
  <si>
    <t>121939b</t>
  </si>
  <si>
    <t>11940b</t>
  </si>
  <si>
    <t>21940b</t>
  </si>
  <si>
    <t>31940b</t>
  </si>
  <si>
    <t>41940b</t>
  </si>
  <si>
    <t>51940b</t>
  </si>
  <si>
    <t>Cái bọc có cá (hào 2 là bọc, hào 1 là cá) không lỗi gì (vì hào 1 là tiểu nhân không nhảy ra được), không lợi đem cho gặp khách (hào 4 ứng với hào 1 sẽ giúp tiểu nhân làm bậy).</t>
  </si>
  <si>
    <t>Rồng chiến ngoài nội, máu chảy đen vàng. (hào âm đến cùng cực nên xấu, Âm dương sát phạt nhau).</t>
  </si>
  <si>
    <t>Hoặc tặng cho hắn đai lớn, trọn buổi mai, hắn lại bị tước lại ba lần. (hào 6 hay kiện, dù được khen tặng cũng chốc được chốc mất).</t>
  </si>
  <si>
    <t>Tự đánh giá</t>
  </si>
  <si>
    <t>Được tháng sinh :</t>
  </si>
  <si>
    <t>(Chi tiết ý nghĩa các thể cách có trong sách "Bát tự Hà Lạc" của Học Năng)</t>
  </si>
  <si>
    <t>TIỀN VẬN:</t>
  </si>
  <si>
    <t>Thì công giáo hóa cát hanh rõ ràng.</t>
  </si>
  <si>
    <t>Sánh vai với người ngoài (hào 5). Chính nên tốt.</t>
  </si>
  <si>
    <t>Gia đình cũng đẹp, sắt cầm hòa vui.</t>
  </si>
  <si>
    <t xml:space="preserve">Tây nam, ngựa chạy, sáng ngời      </t>
  </si>
  <si>
    <t>GS: Số xấu thì xảy việc kiện tụng do người nhà cố chấp. Hoặc đề phòng kẻ dưới xâm nhờn. An thường thủ phận thì không lỗi.</t>
  </si>
  <si>
    <t>82035</t>
  </si>
  <si>
    <t>92035</t>
  </si>
  <si>
    <t>102035</t>
  </si>
  <si>
    <t>112035</t>
  </si>
  <si>
    <t>QC: Chờ bổ khuyết.</t>
  </si>
  <si>
    <t>Ngày sinh (ÂL)</t>
  </si>
  <si>
    <t>C.Thìn</t>
  </si>
  <si>
    <t>122046b</t>
  </si>
  <si>
    <t>12047b</t>
  </si>
  <si>
    <t>121984</t>
  </si>
  <si>
    <t>11985</t>
  </si>
  <si>
    <t>21985</t>
  </si>
  <si>
    <t>31985</t>
  </si>
  <si>
    <t>41985</t>
  </si>
  <si>
    <t>51985</t>
  </si>
  <si>
    <t>61985</t>
  </si>
  <si>
    <t>71985</t>
  </si>
  <si>
    <t>81985</t>
  </si>
  <si>
    <t>91985</t>
  </si>
  <si>
    <t>101985</t>
  </si>
  <si>
    <t>111985</t>
  </si>
  <si>
    <t>121985</t>
  </si>
  <si>
    <t>11986</t>
  </si>
  <si>
    <t>21986</t>
  </si>
  <si>
    <t>31986</t>
  </si>
  <si>
    <t>41986</t>
  </si>
  <si>
    <t>GS: Có tài lương đống quốc gia.</t>
  </si>
  <si>
    <t>NT: Được người tôn quý dắt dẫn và thu hoạch bất ngờ. Đàn bà có sinh nở. Người già giảm thọ.</t>
  </si>
  <si>
    <t>QC: Tiến tới. Dù có sự bất ngờ chẳng tốt, tự nhiên sáng tỏ.</t>
  </si>
  <si>
    <t>GS: Tiến tới. Dù có sự bất ngờ chẳng tốt, tự nhiên sáng tỏ.</t>
  </si>
  <si>
    <t>QC: Giữ chức vụ cũ.</t>
  </si>
  <si>
    <t>GS: Giữ chức vụ cũ.</t>
  </si>
  <si>
    <t>NT: Đi xa trở về. Số xấu thì tiến thoái trì nghi, bị ngờ vực, thiên kiến.</t>
  </si>
  <si>
    <t>Độn1</t>
  </si>
  <si>
    <t>Hàm</t>
  </si>
  <si>
    <t>Hàm1</t>
  </si>
  <si>
    <t>72027b</t>
  </si>
  <si>
    <t>82027b</t>
  </si>
  <si>
    <t>92027b</t>
  </si>
  <si>
    <t>102027b</t>
  </si>
  <si>
    <t>112027b</t>
  </si>
  <si>
    <t>NT: An ổn, thâu lợi. Số xấu đức nhỏ, không xứng với hào này, có thể vong thân.</t>
  </si>
  <si>
    <t xml:space="preserve">Tạm nguy, đợi lộc tương lai          </t>
  </si>
  <si>
    <t>MKH: Cũng biết tùy thời liệu việc, làm nên, nhưng chẳng bền bỉ.</t>
  </si>
  <si>
    <t>MKH: Tính tình thay đổi, việc làm hay vượt lề lối cũ, hưởng phú quý về trước, sụp đổ về sau.</t>
  </si>
  <si>
    <t>MKH: Cũng nhàn nhã, an vui, tu hành lập đức, kỹ nghệ gia nghiệp thành.</t>
  </si>
  <si>
    <t>MKH: Tùy thời xử thường, xử biến.</t>
  </si>
  <si>
    <t>MKH: Bất nghĩa, tham ô, có hại.</t>
  </si>
  <si>
    <t>MKH: Tính tham hư, ẩn nơi sơn lâm, đủ dùng không tham, nên không thất thố gì.</t>
  </si>
  <si>
    <t>MKH: Tài xoàng chí mọn, không gặp thời, không đúng chỗ, lối bùn lầy lội, không cách vượt lên.</t>
  </si>
  <si>
    <t>MKH: Sửa đổi rồi cũng được ít nhiều thụ hưởng.</t>
  </si>
  <si>
    <t>MKH: Trung niên rời nhà đi xa, chưa được toại nguyện.</t>
  </si>
  <si>
    <t>MKH: Chẳng biết phận mình, chẳng lường nông sâu, nên động làm là trở trệ thất bại.</t>
  </si>
  <si>
    <t>MKH: Lo phiền, gian tân, dù có được đề huề, cũng chẳng làm nên chuyện.</t>
  </si>
  <si>
    <t>MKH: Cậy mạnh làm càn nên gian, tân cùng khốn.</t>
  </si>
  <si>
    <t>122036b</t>
  </si>
  <si>
    <t>12037b</t>
  </si>
  <si>
    <t>22037b</t>
  </si>
  <si>
    <t>32037b</t>
  </si>
  <si>
    <t>42037b</t>
  </si>
  <si>
    <t>52037b</t>
  </si>
  <si>
    <t>62037b</t>
  </si>
  <si>
    <t>72037b</t>
  </si>
  <si>
    <t>Cột cong queo, xấu.</t>
  </si>
  <si>
    <t>31999b</t>
  </si>
  <si>
    <t>41999b</t>
  </si>
  <si>
    <t>51999b</t>
  </si>
  <si>
    <t>61999b</t>
  </si>
  <si>
    <t>MHC: Uyển chuyển khiêm nhường giúp người trên, hóa người dưới thành nề nếp văn minh, hưởng phúc lớn rộng.</t>
  </si>
  <si>
    <t>MHC: Xem thời mà tiến, thấy phải hãy làm, đối trên không vượt phận, đối dưới không trái đạo, tai hại không sanh, cát tường tự đến.</t>
  </si>
  <si>
    <t>MHC: Thấy điều thiện thì làm, có lỗi thì sửa, hưởng phú quý phúc trạch.</t>
  </si>
  <si>
    <t>MHC: Cố thủ được chí xưa, tránh bọn gian tà, đem đức trung thuận ứng dụng vào việc đời.</t>
  </si>
  <si>
    <t>MHC: Khỏi thiên lệch, khỏi thái quá, thành người cốt cán của quốc gia.</t>
  </si>
  <si>
    <t>NT: Gặp ô nhục, bị vu oan, trước tổn sau ích.</t>
  </si>
  <si>
    <t>NT: Cận quý hoạch lợi.</t>
  </si>
  <si>
    <t>NT: Thâu lợi.</t>
  </si>
  <si>
    <t>NT: Được đại lợi, nhiều quý nhân giúp, ra vào đều có lợi.</t>
  </si>
  <si>
    <t>NT: Có quý nhân đề cử, mưu vọng toại ý, nhưng trong mừng có lo, có thể người vật hao tổn.</t>
  </si>
  <si>
    <t>NT: Chỉ thêm tổn hại.</t>
  </si>
  <si>
    <t>NT: Kinh doanh chẳng được như ý. Cẩn thận sông nước.</t>
  </si>
  <si>
    <t>Ý HÀO:</t>
  </si>
  <si>
    <t>Ý HÀO: Răn nên lưu ý khi đã bước lên tới chỗ cao vời, bấp bênh nguy hiểm của sự thịnh vượng.</t>
  </si>
  <si>
    <t>Ý HÀO: Âm cực, xảy ra tai họa.</t>
  </si>
  <si>
    <t>Ý HÀO: Phải ngăn giặc (thói xấu) cho nó, thì mới có lợi.</t>
  </si>
  <si>
    <t>Ý HÀO: Dùng người hiền để nuôi dân.</t>
  </si>
  <si>
    <t>Ý HÀO: Cương nhu đủ cả, nên gánh được trọng trách, nhưng nếu thiên về phía mềm yếu thì sẽ hỏng.</t>
  </si>
  <si>
    <t>Ý HÀO: Điều thiện cảm được nguyên thủ, thành công.</t>
  </si>
  <si>
    <t>Mão</t>
  </si>
  <si>
    <t>Không cầu toại ý ở xa đâu, tại trong bếp núc, giữ chính thì tốt.</t>
  </si>
  <si>
    <t>NT: Bệnh không thuốc thì khỏi, việc thành, sự sinh nở tốt lành.</t>
  </si>
  <si>
    <t>Tý</t>
  </si>
  <si>
    <t>Đã mưa, đã ổn rồi (hào 4 âm đã được lòng cả 5 hào dương). Sự sùng đức (đối với phe âm) đã chở đầy; (nhưng ví như) người đàn bà cố chấp, có thể nguy đấy; Mặt trăng gần tới rằm (âm thịnh lắm) người Quân tử đừng vội tiến hành mà xấu.</t>
  </si>
  <si>
    <t>101974</t>
  </si>
  <si>
    <t>111974</t>
  </si>
  <si>
    <t>121974</t>
  </si>
  <si>
    <t>11975</t>
  </si>
  <si>
    <t>21975</t>
  </si>
  <si>
    <t>31975</t>
  </si>
  <si>
    <t>41975</t>
  </si>
  <si>
    <t>51975</t>
  </si>
  <si>
    <t>61975</t>
  </si>
  <si>
    <t>71975</t>
  </si>
  <si>
    <t>81975</t>
  </si>
  <si>
    <t>91975</t>
  </si>
  <si>
    <t>101975</t>
  </si>
  <si>
    <t>111975</t>
  </si>
  <si>
    <t>121975</t>
  </si>
  <si>
    <t>11976</t>
  </si>
  <si>
    <t>Số để tính CAN CHI ngày Sinh</t>
  </si>
  <si>
    <t>Năm AL</t>
  </si>
  <si>
    <t>tháng</t>
  </si>
  <si>
    <t>61949b</t>
  </si>
  <si>
    <t>71949b</t>
  </si>
  <si>
    <t>81949b</t>
  </si>
  <si>
    <t>91949b</t>
  </si>
  <si>
    <t>101949b</t>
  </si>
  <si>
    <t>111949b</t>
  </si>
  <si>
    <t>121949b</t>
  </si>
  <si>
    <t>11950b</t>
  </si>
  <si>
    <t>21950b</t>
  </si>
  <si>
    <t>31950b</t>
  </si>
  <si>
    <t>41950b</t>
  </si>
  <si>
    <t>51950b</t>
  </si>
  <si>
    <t>61950b</t>
  </si>
  <si>
    <t>71950b</t>
  </si>
  <si>
    <t>Do mình mà có cái nuôi, nguy nhưng tốt, vượt sông lớn có lợi.</t>
  </si>
  <si>
    <t>QC: Được trên mến.</t>
  </si>
  <si>
    <t>91949</t>
  </si>
  <si>
    <t>101949</t>
  </si>
  <si>
    <t>111949</t>
  </si>
  <si>
    <t>121949</t>
  </si>
  <si>
    <t>71936b</t>
  </si>
  <si>
    <t>81936b</t>
  </si>
  <si>
    <t>91936b</t>
  </si>
  <si>
    <t>101936b</t>
  </si>
  <si>
    <t>111936b</t>
  </si>
  <si>
    <t>121936b</t>
  </si>
  <si>
    <t>11937b</t>
  </si>
  <si>
    <t>21937b</t>
  </si>
  <si>
    <t>Đi vào (chỗ tối như) bên trái bụng, muốn thỏa lòng trong thời Minh Di thì nên ra khỏi cửa, sân.</t>
  </si>
  <si>
    <t>Có mưa mà chẳng ướt tơ áo này.</t>
  </si>
  <si>
    <t xml:space="preserve">Buồn cười câu chuyện bấy nay, </t>
  </si>
  <si>
    <t>Chưa kỳ nở mặt đợi ngày nào cơ ?</t>
  </si>
  <si>
    <t>Càng đụng càng mệt, ba lần mới xong.</t>
  </si>
  <si>
    <t>32049b</t>
  </si>
  <si>
    <t>42049b</t>
  </si>
  <si>
    <t>52049b</t>
  </si>
  <si>
    <t>62049b</t>
  </si>
  <si>
    <t>72049b</t>
  </si>
  <si>
    <t>82049b</t>
  </si>
  <si>
    <t>92049b</t>
  </si>
  <si>
    <t>102049b</t>
  </si>
  <si>
    <t>112049b</t>
  </si>
  <si>
    <t>122049b</t>
  </si>
  <si>
    <t>12050b</t>
  </si>
  <si>
    <t>22050b</t>
  </si>
  <si>
    <t>32050b</t>
  </si>
  <si>
    <t>42050b</t>
  </si>
  <si>
    <t>52050b</t>
  </si>
  <si>
    <t>62050b</t>
  </si>
  <si>
    <t>72050b</t>
  </si>
  <si>
    <t>82050b</t>
  </si>
  <si>
    <t>92050b</t>
  </si>
  <si>
    <t>102050b</t>
  </si>
  <si>
    <t>112050b</t>
  </si>
  <si>
    <t>122050b</t>
  </si>
  <si>
    <t>Giải</t>
  </si>
  <si>
    <t>Giải1</t>
  </si>
  <si>
    <t>V.Tế</t>
  </si>
  <si>
    <t>V.Tế1</t>
  </si>
  <si>
    <t>Khốn</t>
  </si>
  <si>
    <t>Khốn1</t>
  </si>
  <si>
    <t>Tụng</t>
  </si>
  <si>
    <t>Tụng1</t>
  </si>
  <si>
    <t>Độn</t>
  </si>
  <si>
    <t>Hoán1</t>
  </si>
  <si>
    <t>81995b</t>
  </si>
  <si>
    <t>91995b</t>
  </si>
  <si>
    <t>NT: Tu tạo nhà cửa. Số xấu có hình phạt, tranh tụng.</t>
  </si>
  <si>
    <t>NT: Có vui mừng, bệnh khỏi việc thành. Vận xấu có tang tế.</t>
  </si>
  <si>
    <t>72015b</t>
  </si>
  <si>
    <t>82015b</t>
  </si>
  <si>
    <t>MHC: Có tài mà chẳng biết sử dụng, gặp thời mà chẳng biết tiến thủ, giữ châu báu để nước mê man, giữ thân trong sạch lúc đời loạn luân.</t>
  </si>
  <si>
    <t>MHC: Chí đồng tâm khế, làm đẹp cho trước, làm vượng cho sau.</t>
  </si>
  <si>
    <t>MHC: Đầy mưu lược, vượt chúng, chùm đời mà vẫn giữ đủ lễ với người trên.</t>
  </si>
  <si>
    <t>MHC: Đức đủ, đường lối sẵn, nhưng chưa tiến hành được. Chờ đợi thời, sẽ có cơ hội, công danh muộn vậy.</t>
  </si>
  <si>
    <t>MHC: Trung thuận, cẩn thận, trên mến dưới tin.</t>
  </si>
  <si>
    <t>MHC: Xứng đáng ngôi vị lớn. Chỉ ngại rằng không phải thời thái bình thì hay bị kẹt vào nơi hiểm trở.</t>
  </si>
  <si>
    <t>MHC: Gần bậc tôn quý, chuyên cần đức nghiệp, có khi không dùng lối mưu cầu danh lợi, hay văn bằng ngạch trật, mà đi con đường biên soạn Quốc sử, thiết lập điển hình, chẳng nắm quyền hành gì mà làm được thưởng phạt.</t>
  </si>
  <si>
    <t>MHC: Thanh Liêm công chính, giữ chức nhàn ở đất xa ngoài thành thị.</t>
  </si>
  <si>
    <t>Tiền đình trước mặt bạn cùng bước lên.</t>
  </si>
  <si>
    <t>Trước non cửa mở, đầu sông cá vào.</t>
  </si>
  <si>
    <t>Liệu chiều tiến thoái, sau cùng mới nên.</t>
  </si>
  <si>
    <t>MHC: Có uy danh, dân kính phục, lòng nhân ái ra ơn khắp, chí công vô tư, hưởng lộc lâu dài.</t>
  </si>
  <si>
    <t>MHC: Chân thành gặp người quý nhân cho lộc vị.</t>
  </si>
  <si>
    <t>MHC: Cao minh chính đại, lập sự nghiệp, hưởng phú quý.</t>
  </si>
  <si>
    <t>NT: Cùng bạn lữ kinh doanh được lợi, hoặc đi xa, hoặc tu tạo môn hộ, đi nhờ cửa nhà khác.</t>
  </si>
  <si>
    <t>NT: Kẻ dưới lăng loàn người trên. Có sự tai biến, cố trì thủ thì khỏi đổ vỡ.</t>
  </si>
  <si>
    <t>NT: Lo sợ, khẩu thiệt, trở ách.</t>
  </si>
  <si>
    <t>NT: Lui tới đúng đạo lý, kinh doanh có lợi.</t>
  </si>
  <si>
    <t>NT: Tính thì khéo mà làm thì vụng, ngớ ngẩn dễ bị lường gạt.</t>
  </si>
  <si>
    <t>NT: Đề phòng hình phạt, tật bệnh.</t>
  </si>
  <si>
    <t>NT: Chạy ngược xuôi, bỏ dễ nghe khó, xa người thân, gần người sơ. Tĩnh thì hung, động thì cát (tức là không nên bị động, chịu ép một bề).</t>
  </si>
  <si>
    <t>MHC: Tâm tình sáng suốt, độ lượng, tri cơ, toàn được thân, tránh được hại, thuận thời đi vào đường lập ngôn, biên tu quốc sử, không để tai tiếng gì.</t>
  </si>
  <si>
    <t>MKH: Cũng là kẻ sĩ nghiêm chỉnh, không chuộng phù hoa, tuy ở chỗ tịch mịch mà không a dua tăng ni.</t>
  </si>
  <si>
    <t>MKH: Giữ thiện một mình vậy, đi vào đường văn hóa, thanh tu.</t>
  </si>
  <si>
    <t>MKH: Cũng tâm đồng với bạn để hoạt động.</t>
  </si>
  <si>
    <t>MKH: Liệu thời hãy tiến, tri cơ nên lui, thời gian nan. Khó hành chí, giữ lấy thân gia cho khỏi tai nguy.</t>
  </si>
  <si>
    <t>MKH: Rời quê cha, hoặc đến ở nhà vợ, hoặc làm khách buôn, tăng ni.</t>
  </si>
  <si>
    <t>MKH: Nhục nhã, gian nan, cố giữ cho khỏi tội lỗi.</t>
  </si>
  <si>
    <t>GS: Ở hang cùng, có triệu chứng lấy công nương.</t>
  </si>
  <si>
    <t>GS: Hết thời rồi mới đi theo cho nên tai hại.</t>
  </si>
  <si>
    <t>GS: Văn chương xán lạn.</t>
  </si>
  <si>
    <t>GS: Có cơ tiến đạt, dịp may tự nhiên đến.</t>
  </si>
  <si>
    <t>GS: Không ai đề cử, khó tiến thân.</t>
  </si>
  <si>
    <t>GS: Nếu ở đại học thì thành danh, ở trung học thì chưa toại chí.</t>
  </si>
  <si>
    <t>GS: Được vào nội trú.</t>
  </si>
  <si>
    <t>GS: Hợp chí trên, cửa giời rộng mở.</t>
  </si>
  <si>
    <t>GS: Đỗ đạt Cử Tú.</t>
  </si>
  <si>
    <t>GS: Được tiến cử, danh dự lên.</t>
  </si>
  <si>
    <t>GS: Chưa có công trạng gì, nhưng có dịp được vinh hoa.</t>
  </si>
  <si>
    <t>10 thể cách của Hà Lạc :</t>
  </si>
  <si>
    <t>1.</t>
  </si>
  <si>
    <t>2.</t>
  </si>
  <si>
    <t>3.</t>
  </si>
  <si>
    <t>4.</t>
  </si>
  <si>
    <t>5.</t>
  </si>
  <si>
    <t>6.</t>
  </si>
  <si>
    <t>7.</t>
  </si>
  <si>
    <t>8.</t>
  </si>
  <si>
    <t>9.</t>
  </si>
  <si>
    <t>10.</t>
  </si>
  <si>
    <t>Được mùa</t>
  </si>
  <si>
    <t>Yểm trợ</t>
  </si>
  <si>
    <t>Được thể</t>
  </si>
  <si>
    <t>Đáng vị</t>
  </si>
  <si>
    <t>Hợp lý</t>
  </si>
  <si>
    <t xml:space="preserve">Ấy là bảo vệ tự nhiên Thái hòa. </t>
  </si>
  <si>
    <t xml:space="preserve">Cứ thế, việc trên đời         </t>
  </si>
  <si>
    <t>Ướt đuôi mà uổng công.</t>
  </si>
  <si>
    <t>MHC: Sửa trị từ lúc chưa loạn, bảo vệ nước từ lúc chưa nguy, đạo trung cảm được dân, uy tín ngăn bạo, văn thành tên tuổi, võ có công lao.</t>
  </si>
  <si>
    <t>MHC: Có tài lớn, lượng rộng, dung vật, thương dân.</t>
  </si>
  <si>
    <t>MHC: Đức khôn rộng chính trực, nên tiến dẫn được hiền năng, thiện đức ra giúp nước, lại cảm cách được thần linh, danh thơm ra cả hoàn vũ.</t>
  </si>
  <si>
    <t>MHC: Tài đức lớn, trên mến, dưới kính, công nghiệp hiển hách.</t>
  </si>
  <si>
    <t>GS: Trước khó sau thành. Buồn có, vui có. Trước hiểm trở sau an lành.</t>
  </si>
  <si>
    <t>Trang sức ở gò, ở vườn. Bó lụa mỏng mỏng, hối thẹn nhưng sau tốt (hào 5 keo sẻn).</t>
  </si>
  <si>
    <t xml:space="preserve">Ruộng vườn, chí sĩ kiệm cần       </t>
  </si>
  <si>
    <t>Bác là Lạc (rơi rụng, tan mất). Được quẻ này phần nhiều là người làm lớn hay là quý nhân nhưng không tránh khỏi cô lập hình khắc. Lại sanh tháng 9 là cách công danh phú quý. Sinh những tháng khác thì không khỏi anh em bất hòa, bôn ba vất vả.</t>
  </si>
  <si>
    <t>Hỏng giường đến chân, tiêu diệt đạo chính (Quân tử) thời xấu.</t>
  </si>
  <si>
    <t xml:space="preserve">Chân giường hỏng, cầu gãy tung        </t>
  </si>
  <si>
    <t>Hỏng giường đến then phên, tiêu diệt đạo chính thời xấu.</t>
  </si>
  <si>
    <t>Đổi thay cũ mới phải THÌ,                               Lợi tìm về phía Đông Nam,</t>
  </si>
  <si>
    <t xml:space="preserve">Ngựa chẳng cưỡi, món không ăn,   </t>
  </si>
  <si>
    <t xml:space="preserve">Tài nhỏ mà gánh việc to,      </t>
  </si>
  <si>
    <t xml:space="preserve">Chân vạc chổng, rửa sạch lầu        </t>
  </si>
  <si>
    <t>MKH: Cũng là người tốt, thành thực, bình sinh không vọng động, sống an ổn.</t>
  </si>
  <si>
    <t>MHC: Xem thời rồi hãy tiến, thấy nguy liền tránh, tuy không thành đạo tế thế được cũng toàn được thân, tránh được họa.</t>
  </si>
  <si>
    <t>MHC: Học cổ, hành đạo, tuy không lập được sự nghiệp, nhưng cũng khôn khéo tu thân bảo gia.</t>
  </si>
  <si>
    <t>MHC: Cải lỗi mà theo chính đạo thì giữ được nghiệp rộng lớn không lo gì.</t>
  </si>
  <si>
    <t>MHC: Có đức khiêm cung, lại được người đề bạt, trở thành giường cột quốc gia.</t>
  </si>
  <si>
    <t>MHC: Đức mạnh, tiến gấp để trục tà không để ý gì đến thị phi lợi hại.</t>
  </si>
  <si>
    <t>MHC: Giàu sang mà không kiêu, hoặc được vợ hiền giúp sức, con quý đỡ nhà, tiếc rằng quyền hành không nắm giữ. Nữ mệnh: Cần kiệm thành gia.</t>
  </si>
  <si>
    <t>MHC: Có đức lớn, công bằng, cẩn thận, xét nét, không bỏ cơ hội, phú quý bền được.</t>
  </si>
  <si>
    <t>MHC: Đủ tài đức, danh lợi, nhưng trước khó sau dễ. Hoặc làm tư lệnh quân đội hoặc giữ chức trung cấp trong dinh, phủ.</t>
  </si>
  <si>
    <t>MHC: Ân uy đi đôi, xa gần đều ứng, lập công to, hưởng phú quý.</t>
  </si>
  <si>
    <t>NT: Đương tốt thì bị hao tổn, hoặc nên dời chỗ ở và tu tạo thì tránh được tai họa, hoặc bị đau mắt, tai ách lửa điện, đại khái cái vinh là mầm của cái họa.</t>
  </si>
  <si>
    <t>NT: Có lo tổn, nhưng số tốt thì trong xấu có người cứu giúp, nơi đất chết lại tìm ra sống, công thành vui vẻ.</t>
  </si>
  <si>
    <t>NT: Đi quá lố, cầu danh lợi chẳng ăn thua gì. Người già giảm thọ.</t>
  </si>
  <si>
    <t>Ý HÀO: Lấy lòng thành mà tác động thì việc gì chẳng được.</t>
  </si>
  <si>
    <t>Ý HÀO: Thoái tốt.</t>
  </si>
  <si>
    <t>Ý HÀO: Bỏ tư cách của mình, đáng khinh bỉ.</t>
  </si>
  <si>
    <t>Ý HÀO: Kinh thận để khỏi lỗi lầm.</t>
  </si>
  <si>
    <t>Ý HÀO: Không biết cách trừ hiểm, nên không ra được chổ hiểm.</t>
  </si>
  <si>
    <t>Ý HÀO: Làm bậy, phải cẩn thận.</t>
  </si>
  <si>
    <t>Ý HÀO: Không nên cảm mà cảm.</t>
  </si>
  <si>
    <t>Ý HÀO: Cố chấp không do thời thế, chẳng nên cứ hằng như thế.</t>
  </si>
  <si>
    <t>Ý HÀO: Quân tử gặp tiểu nhân, giữ cho nó làm điều chính.</t>
  </si>
  <si>
    <t>Ý HÀO: Gặp được người chí thành giúp nước; nên bói quẻ tế lễ.</t>
  </si>
  <si>
    <t>Ý HÀO: Thành thực đối với trên, nhất là trong việc tế lễ.</t>
  </si>
  <si>
    <t>Ý HÀO: Có tài đức nhưng không có thời, nên không cứu khốn, giải nguy được.</t>
  </si>
  <si>
    <t>Ý HÀO: Có người giúp sức để tiến, lại rất may được lòng nguyên thủ, nên thực hiện được đường lối.</t>
  </si>
  <si>
    <t>Ý HÀO: Không có tài ra thoát nơi khốn.</t>
  </si>
  <si>
    <t>Ý HÀO: Không có đức, bị đời coi như bỏ.</t>
  </si>
  <si>
    <t>Ý HÀO: Không có nhiệm vụ biến cách thì không cách.</t>
  </si>
  <si>
    <t>Ý HÀO: Đức có đủ để thay cũ đổi mới.</t>
  </si>
  <si>
    <t>Ý HÀO: Biết sợ mà sợ thì sau mới có phép tắc.</t>
  </si>
  <si>
    <t>Ý HÀO: Có đường lối giữ đường ngay thẳng.</t>
  </si>
  <si>
    <t>Ý HÀO: Không được yên, chưa phải thời, không tiến được.</t>
  </si>
  <si>
    <t>Ý HÀO: Có đức mà thiếu ứng viện, cam phận vậy.</t>
  </si>
  <si>
    <t>Ý HÀO: Đức ngang nhau, công giúp nhau.</t>
  </si>
  <si>
    <t>Ý HÀO: Xử sự với tư cách người khách nhỏ nhặt.</t>
  </si>
  <si>
    <t>Ý HÀO: Nên quả quyết.</t>
  </si>
  <si>
    <t>MHC: Hiểu rõ lẽ thịnh suy vơi đầy, nên an mệnh sống vui thì cũng không tổn hại phúc trạch.</t>
  </si>
  <si>
    <t>NT: Đi quá phận mình nên oán hối, có thể xảy việc tang phục.</t>
  </si>
  <si>
    <t>NT: Phòng nhiễm bẩn, không hay, đi thuyền sợ đắm.</t>
  </si>
  <si>
    <t>NT: Vui mừng, thóc vải tăng gia, hôn nhân tốt.</t>
  </si>
  <si>
    <t>NT: Tính toán làm ăn có lợi.</t>
  </si>
  <si>
    <t>NT: Tiên trở hậu thuận.</t>
  </si>
  <si>
    <t>NT: Được giúp đỡ, vừa lòng.</t>
  </si>
  <si>
    <t>NT: Bạo động, họa hoạn có ngày vong thân.</t>
  </si>
  <si>
    <t>NT: An phận.</t>
  </si>
  <si>
    <t>Thái là Thông (thời vận hanh thông, rất tốt). Phàm số được quẻ này mà hợp cách cục là cực tốt. Có triệu chứng xuất tướng nhập tướng. Lại sanh tháng 1 là cách công danh phú quý, nếu sinh không đúng thời mà phúc nhỏ, thì chỉ nên thủ phận an thường.</t>
  </si>
  <si>
    <t>Bao dong cả hoang tạp, dùng (can đảm) lội sông, chẳng bỏ sót kẻ ở xa, quên bè phái, được đúng đạo trung hành.</t>
  </si>
  <si>
    <t>Không cái gì bằng mãi mà không nghiêng, đi mãi mà chẳng trở lại, cứ chịu khó giữ điều chính thì không lỗi gì. Chớ lo, tin rằng được ăn về điều có phúc.</t>
  </si>
  <si>
    <t>- Giới chức: Có điềm đỗ đạt tiến tới.</t>
  </si>
  <si>
    <t xml:space="preserve">Tiến không xong, hãy lui về         </t>
  </si>
  <si>
    <t xml:space="preserve">Kiện chẳng lợi, đổi theo điều chính    </t>
  </si>
  <si>
    <t xml:space="preserve">Lòng chính trực, án công minh       </t>
  </si>
  <si>
    <t xml:space="preserve">Kẻ sĩ gặp thời vận,            </t>
  </si>
  <si>
    <t xml:space="preserve">Ân thành oán, oán thành ân      </t>
  </si>
  <si>
    <t>Ngăn được răng (dữ tợn) của con heo thiến (mất thế dữ tợn) tốt.</t>
  </si>
  <si>
    <t xml:space="preserve">Trông, đi, trái đạo nguy rồi          </t>
  </si>
  <si>
    <t xml:space="preserve">Vó câu mới bước dùng dằng,         </t>
  </si>
  <si>
    <t>Gặp người cầu chuyện xích thàng xe tơ.</t>
  </si>
  <si>
    <t>Thời truân chiên, kẹt cả đến sự ban ơn huệ (dù ngồi ở Hào tôn vị cũng không làm nổi). Chỉnh đốn việc nhỏ thì tốt, chỉnh đốn việc lớn thì xấu.</t>
  </si>
  <si>
    <t>NT: An thường thủ phận thì hơn.</t>
  </si>
  <si>
    <t>NT: Bị cùng đường tai ách.</t>
  </si>
  <si>
    <t>NT: Đức nhỏ, được lợi nhỏ thôi, hoặc lấy thêm thiếp, hoặc vào nhà quyền thế để giải quyết cái sống.</t>
  </si>
  <si>
    <t>NT: Chỉ bị tai họa ở khía cạnh nhỏ hẹp.</t>
  </si>
  <si>
    <t>NT: Được bậc tôn trưởng đề cử nên mưu việc toại ý.</t>
  </si>
  <si>
    <t>QC: Cao quá dễ gãy.</t>
  </si>
  <si>
    <t>QC: Hay đứng đầu tỉnh quận.</t>
  </si>
  <si>
    <t>QC: Trọng mệnh trời mà vỗ về dân tình.</t>
  </si>
  <si>
    <t>QC: Có vinh thăng.</t>
  </si>
  <si>
    <t>QC: An thường thủ phận.</t>
  </si>
  <si>
    <t>QC: Biết phòng xa nên lộc vị yên ổn.</t>
  </si>
  <si>
    <t>MKH: Cũng trung hậu, làm việc có kế hoạch, rời tổ lập nghiệp ở xa, trì chí được, trước khó, sau dễ.</t>
  </si>
  <si>
    <t>MKH: Hữu tài vô hạnh, bỏ chính theo tà, cậy thế làm xằng, bỏ tổ đi xa, tán tụ bất nhất.</t>
  </si>
  <si>
    <t>MKH: Sống cẩu thả ở chỗ ty tiện, vùi thân vào cát bụi bùn lầy để mất thể thống, sinh nhai đạm bạc.</t>
  </si>
  <si>
    <t>MKH: Riêng mình toan tính, tự túc, hoặc làm tăng đạo.</t>
  </si>
  <si>
    <t>MKH: Sinh kế khó khăn, phải kiệm ước, muộn mới đủ dùng.</t>
  </si>
  <si>
    <t>NT: Tích trữ có lời, phòng có tang. Lo cho phụ thân.</t>
  </si>
  <si>
    <t xml:space="preserve">Chim bay phóng, một mũi tên       </t>
  </si>
  <si>
    <t xml:space="preserve">Việc ngoài dù tốt nhưng lo,     </t>
  </si>
  <si>
    <t xml:space="preserve">Lửa cháy quán, họa theo sau,  </t>
  </si>
  <si>
    <t>Đồng bộc tử tế, tư tài không lo.</t>
  </si>
  <si>
    <t xml:space="preserve">Quân sang, khách tới nghỉ ngơi </t>
  </si>
  <si>
    <t xml:space="preserve">Học Tây Thi nhăn mặt,   </t>
  </si>
  <si>
    <t xml:space="preserve">Lập công ca khúc khải hoàn,          </t>
  </si>
  <si>
    <t xml:space="preserve">Trong vườn ngàn đóa hoa tươi,      </t>
  </si>
  <si>
    <t xml:space="preserve">Trên non không thấy mắt xanh,           </t>
  </si>
  <si>
    <t xml:space="preserve">Được dùng chính ở phương Tây,       </t>
  </si>
  <si>
    <t xml:space="preserve">Cảnh vật đẹp nên thơ.     </t>
  </si>
  <si>
    <t xml:space="preserve">Dễ chẳng dễ, khó cũng không          </t>
  </si>
  <si>
    <t xml:space="preserve">Sửa sang chửa có công.      </t>
  </si>
  <si>
    <t xml:space="preserve">Bạn bè học tập cùng nhau,         </t>
  </si>
  <si>
    <t xml:space="preserve">Hòa vui chẳng nịnh bợ ai,             </t>
  </si>
  <si>
    <t xml:space="preserve">Tìm chỗ dựa, buổi lìa tan      </t>
  </si>
  <si>
    <t>61916b</t>
  </si>
  <si>
    <t>71916b</t>
  </si>
  <si>
    <t>81916b</t>
  </si>
  <si>
    <t>81911b</t>
  </si>
  <si>
    <t>NT: Doanh mưu hoạch lợi, được đề cử, toại ý.</t>
  </si>
  <si>
    <t>NT: Có nhiều việc vui mừng.</t>
  </si>
  <si>
    <t>31967</t>
  </si>
  <si>
    <t>41967</t>
  </si>
  <si>
    <t>51967</t>
  </si>
  <si>
    <t>61967</t>
  </si>
  <si>
    <t>71967</t>
  </si>
  <si>
    <t>81967</t>
  </si>
  <si>
    <t>91967</t>
  </si>
  <si>
    <t>101967</t>
  </si>
  <si>
    <t>92050</t>
  </si>
  <si>
    <t>102050</t>
  </si>
  <si>
    <t>112050</t>
  </si>
  <si>
    <t>122050</t>
  </si>
  <si>
    <t>111111</t>
  </si>
  <si>
    <t>111011</t>
  </si>
  <si>
    <t>111101</t>
  </si>
  <si>
    <t>111001</t>
  </si>
  <si>
    <t>21921</t>
  </si>
  <si>
    <t>31921</t>
  </si>
  <si>
    <t>41921</t>
  </si>
  <si>
    <t>51921</t>
  </si>
  <si>
    <t>101905b</t>
  </si>
  <si>
    <t>111905b</t>
  </si>
  <si>
    <t>121905b</t>
  </si>
  <si>
    <t>11906b</t>
  </si>
  <si>
    <t>21906b</t>
  </si>
  <si>
    <t>31906b</t>
  </si>
  <si>
    <t>41906b</t>
  </si>
  <si>
    <t>51906b</t>
  </si>
  <si>
    <t>61906b</t>
  </si>
  <si>
    <t>71906b</t>
  </si>
  <si>
    <t>81906b</t>
  </si>
  <si>
    <t>91906b</t>
  </si>
  <si>
    <t>101906b</t>
  </si>
  <si>
    <t>111906b</t>
  </si>
  <si>
    <t>121906b</t>
  </si>
  <si>
    <t>61907</t>
  </si>
  <si>
    <t>71907</t>
  </si>
  <si>
    <t>31941b</t>
  </si>
  <si>
    <t>41941b</t>
  </si>
  <si>
    <t>51941b</t>
  </si>
  <si>
    <t xml:space="preserve">Buồn vui ca khóc như điên,     </t>
  </si>
  <si>
    <t xml:space="preserve">Nghiêng bầu nở mặt nở mày,      </t>
  </si>
  <si>
    <t xml:space="preserve">Việc xưa đã đổi thay.       </t>
  </si>
  <si>
    <t>NT: Được giới thiệu, hoặc việc hôn nhân, sinh sản đều tốt đẹp.</t>
  </si>
  <si>
    <t>NT: Trước khó sau dễ, buồn vui bất thường.</t>
  </si>
  <si>
    <t>NT: Xem thời mà động tĩnh, nhưng không nên kiêu mãn mà chịu tai vạ.</t>
  </si>
  <si>
    <t>NT: Gặp quý nhân, lợi bội thu, nhưng phòng kiện tụng.</t>
  </si>
  <si>
    <t>NT: Nhiều việc lo nghĩ, tai nạn khó tránh. Bệnh tim, bụng.</t>
  </si>
  <si>
    <t>NT: Nhiều việc vui mừng.</t>
  </si>
  <si>
    <t>NT: Lập lại quy mô gia tộc, nên danh, vui mừng.</t>
  </si>
  <si>
    <t>NT: Toại ý.</t>
  </si>
  <si>
    <t>Bạn hiền giúp đỡ mới mau tốt lành.</t>
  </si>
  <si>
    <t>K.Tỵ</t>
  </si>
  <si>
    <t>T.Tỵ</t>
  </si>
  <si>
    <t>Ấ.Tỵ</t>
  </si>
  <si>
    <t>Đ.Tỵ</t>
  </si>
  <si>
    <t>K.</t>
  </si>
  <si>
    <t>C.</t>
  </si>
  <si>
    <t>T.</t>
  </si>
  <si>
    <t>N.</t>
  </si>
  <si>
    <t>Q.</t>
  </si>
  <si>
    <t>G.</t>
  </si>
  <si>
    <t>Ấ.</t>
  </si>
  <si>
    <t>B.</t>
  </si>
  <si>
    <t>Đ.</t>
  </si>
  <si>
    <t xml:space="preserve">Việc làm cứng rắn không hay,      </t>
  </si>
  <si>
    <t xml:space="preserve">Cố lên, đừng có hững hờ         </t>
  </si>
  <si>
    <t xml:space="preserve">Hai ngày ý hòa đồng,       </t>
  </si>
  <si>
    <t xml:space="preserve">            Giữ sao nữ tử cô đơn, </t>
  </si>
  <si>
    <t xml:space="preserve">Gặp thời ám muội tối om,          </t>
  </si>
  <si>
    <t>Giữ mình chính đính vận còn cát hanh.</t>
  </si>
  <si>
    <t xml:space="preserve">Người rình trong đất tổn thương,       </t>
  </si>
  <si>
    <t>MKH: Trước khó sau dễ, trước nhục sau vinh.</t>
  </si>
  <si>
    <t>MKH: Tuổi thọ không dài.</t>
  </si>
  <si>
    <t>MKH: Học không thành. Hay chơi với bọn vô loại để sinh tai tật, làm bậy bị tổn thương.</t>
  </si>
  <si>
    <t>MKH: Cương quá, không nghe lời răn, sẽ bị hại hoặc mất tin nhau, vợ chồng bất hòa, bạn bè khẩu thiệt, huyết khí tổn thương.</t>
  </si>
  <si>
    <t>11943</t>
  </si>
  <si>
    <t>51973</t>
  </si>
  <si>
    <t>NT: Hiếu động, cầu danh lợi nhỏ thì được, lớn thì uổng công. Nữ mệnh: Không lợi cho chồng con.</t>
  </si>
  <si>
    <t>72032b</t>
  </si>
  <si>
    <t>82032b</t>
  </si>
  <si>
    <t>92032b</t>
  </si>
  <si>
    <t>102032b</t>
  </si>
  <si>
    <t>112032b</t>
  </si>
  <si>
    <t>122032b</t>
  </si>
  <si>
    <t>61972b</t>
  </si>
  <si>
    <t>71972b</t>
  </si>
  <si>
    <t>81972b</t>
  </si>
  <si>
    <t>91972b</t>
  </si>
  <si>
    <t>101972b</t>
  </si>
  <si>
    <t>111972b</t>
  </si>
  <si>
    <t>Tìm người chân chính, lắng nghe chuyện đời.</t>
  </si>
  <si>
    <t>Thuận buồm vượt sóng qua sông dễ dàng.</t>
  </si>
  <si>
    <t>Chiến thắng lập công đầu.</t>
  </si>
  <si>
    <t>Đợi thời chớ nôn nao.</t>
  </si>
  <si>
    <t>Còn chi mà chẳng an vui tiệc tùng.</t>
  </si>
  <si>
    <t>Trọng đãi, chớ coi khinh.</t>
  </si>
  <si>
    <t xml:space="preserve">Khắp chốn vung ơn trạch, </t>
  </si>
  <si>
    <t>Vẹn toàn nếp lợi danh.</t>
  </si>
  <si>
    <t xml:space="preserve">Nhưng nên biết minh biện, </t>
  </si>
  <si>
    <t>Được lòng thôn ấp, sợ gì nữa đâu !</t>
  </si>
  <si>
    <t>Tòa nào cũng thế oan tình còn đâu.</t>
  </si>
  <si>
    <t>12028</t>
  </si>
  <si>
    <t>11950</t>
  </si>
  <si>
    <t>21950</t>
  </si>
  <si>
    <t>31950</t>
  </si>
  <si>
    <t>41950</t>
  </si>
  <si>
    <t>51950</t>
  </si>
  <si>
    <t>61950</t>
  </si>
  <si>
    <t>71950</t>
  </si>
  <si>
    <t>81950</t>
  </si>
  <si>
    <t>91950</t>
  </si>
  <si>
    <t>101950</t>
  </si>
  <si>
    <t>111950</t>
  </si>
  <si>
    <t>121950</t>
  </si>
  <si>
    <t>11951</t>
  </si>
  <si>
    <t>21951</t>
  </si>
  <si>
    <t>31951</t>
  </si>
  <si>
    <t>41951</t>
  </si>
  <si>
    <t>31937b</t>
  </si>
  <si>
    <t>41937b</t>
  </si>
  <si>
    <t>51937b</t>
  </si>
  <si>
    <t>61937b</t>
  </si>
  <si>
    <t>NT: Số xấu thì xảy việc kiện tụng do người nhà cố chấp. Hoặc đề phòng kẻ dưới xâm nhờn. An thường thủ phận thì không lỗi.</t>
  </si>
  <si>
    <t>MKH: Thì hung bạo, ngược ngạo đối với cấp trên, thích lớn ham công, ý kiến không nhất định. Xấu nữa thì làm người lính gian nan tân khổ, hoặc bị hình thương chém giết, hoặc nữa, khổ về kiện tụng hình ngục.</t>
  </si>
  <si>
    <t>Truân là nan (khó khăn, nhưng rồi có cơ hội). Lại sanh vào tháng 6 là cách công danh, phú quý. Sinh từ tháng 2 đến tháng 8 cũng được hưởng phúc dày. Những tháng khác thì kém.</t>
  </si>
  <si>
    <t>Khốn đốn như (ư !) Khó tiến như (ư !). Cưỡi ngựa dùng dằng như (ư !), không phải kẻ cướp, mà là người muốn kết hôn với mình (đó là hào 1 dương ở liền dưới).</t>
  </si>
  <si>
    <t>Lòng chí thành, bèn như dùng lễ thược rất đơn sơ (mà cảm được thần, tức hào 5) không lỗi gì.</t>
  </si>
  <si>
    <t>41972b</t>
  </si>
  <si>
    <t>51972b</t>
  </si>
  <si>
    <t>Quân lui về phía sau, không lỗi.</t>
  </si>
  <si>
    <t>21924b</t>
  </si>
  <si>
    <t>31924b</t>
  </si>
  <si>
    <t>41924b</t>
  </si>
  <si>
    <t>51924b</t>
  </si>
  <si>
    <t>61924b</t>
  </si>
  <si>
    <t>71924b</t>
  </si>
  <si>
    <t>81924b</t>
  </si>
  <si>
    <t>91924b</t>
  </si>
  <si>
    <t>101924b</t>
  </si>
  <si>
    <t>111924b</t>
  </si>
  <si>
    <t>121924b</t>
  </si>
  <si>
    <t>11925b</t>
  </si>
  <si>
    <t>21925b</t>
  </si>
  <si>
    <t>Từ tốn như nép mình vào dưới giường, dùng thầy Sử để cúng, thầy Vu để cầu trời, bịn rịn thế mới tốt, không lỗi gì.</t>
  </si>
  <si>
    <t>Tốn thuận luôn luôn, hối thẹn.</t>
  </si>
  <si>
    <t>Khỏi ăn năn gì, đi săn được 3 phẩm vật.</t>
  </si>
  <si>
    <t>Hôn nhân rồi cũng thành.</t>
  </si>
  <si>
    <t>Đuổi hươu mà không có người dẫn đường, thì chỉ đi sụp vào giữa rừng. Người Quân tử biết cơ ấy, chi bằng bỏ đi, tiến nữa sẽ hối thẹn.</t>
  </si>
  <si>
    <t xml:space="preserve">Người Quân tử phải tri cơ,         </t>
  </si>
  <si>
    <t>Cưỡi ngựa dùng dằng như (ư !) (Không lên được với hào 5). Quay xuống cầu kết bạn (Với Hào 1 Dương) thì tốt, không làm gì là chẳng lợi.</t>
  </si>
  <si>
    <t>NT: Số xấu danh nhục thân nguy, có thể không nhìn thấy vợ con.</t>
  </si>
  <si>
    <t>Đi lại từ từ, với nhau (hào 4 và hào 1) vì bị kẹt ở cái xe sắt (hào 2 ngăn cản), hối thẹn, nhưng có kết quả về sau.</t>
  </si>
  <si>
    <t>Ngăn ngừa (tật xấu) ngay từ lúc mới có nhà, thì không còn ăn năn gì cả.</t>
  </si>
  <si>
    <t>41901b</t>
  </si>
  <si>
    <t>51901b</t>
  </si>
  <si>
    <t>61901b</t>
  </si>
  <si>
    <t>71901b</t>
  </si>
  <si>
    <t>81901b</t>
  </si>
  <si>
    <t>91901b</t>
  </si>
  <si>
    <t>101901b</t>
  </si>
  <si>
    <t>111901b</t>
  </si>
  <si>
    <t>121901b</t>
  </si>
  <si>
    <t>11902b</t>
  </si>
  <si>
    <t>21902b</t>
  </si>
  <si>
    <t>31902b</t>
  </si>
  <si>
    <t>41902b</t>
  </si>
  <si>
    <t>51902b</t>
  </si>
  <si>
    <t>61902b</t>
  </si>
  <si>
    <t>71902b</t>
  </si>
  <si>
    <t>81902b</t>
  </si>
  <si>
    <t>91902b</t>
  </si>
  <si>
    <t>101902b</t>
  </si>
  <si>
    <t>111902b</t>
  </si>
  <si>
    <t>121902b</t>
  </si>
  <si>
    <t>11903b</t>
  </si>
  <si>
    <t>21903b</t>
  </si>
  <si>
    <t>31903b</t>
  </si>
  <si>
    <t>41903b</t>
  </si>
  <si>
    <t>51903b</t>
  </si>
  <si>
    <t>91976b</t>
  </si>
  <si>
    <t>71922</t>
  </si>
  <si>
    <t>81922</t>
  </si>
  <si>
    <t>91922</t>
  </si>
  <si>
    <t>101922</t>
  </si>
  <si>
    <t>111922</t>
  </si>
  <si>
    <t>121922</t>
  </si>
  <si>
    <t>11923</t>
  </si>
  <si>
    <t>21923</t>
  </si>
  <si>
    <t>31923</t>
  </si>
  <si>
    <t>41923</t>
  </si>
  <si>
    <t>51923</t>
  </si>
  <si>
    <t>61923</t>
  </si>
  <si>
    <t>71923</t>
  </si>
  <si>
    <t>81923</t>
  </si>
  <si>
    <t>91923</t>
  </si>
  <si>
    <t>101923</t>
  </si>
  <si>
    <t>111923</t>
  </si>
  <si>
    <t>121923</t>
  </si>
  <si>
    <t>11924</t>
  </si>
  <si>
    <t>NT: Nên an tĩnh, hành động dễ lỗi lầm tai họa. Kiền biến thành Cấu nên phòng kẻ xấu làm bẩn lây. Nhà buôn: Ế ẩm. Thầy tu, thầy pháp an vui. Đàn bà làm ăn thịnh vượng, sinh nở dễ dàng.</t>
  </si>
  <si>
    <t>Bấy giờ tiến vị cao sang hơn người.</t>
  </si>
  <si>
    <t>MKH: Cũng thẳng thắn làm điều phải, được phúc, được lộc.</t>
  </si>
  <si>
    <t>QC: Gặp người trên sáng suốt hiểu mình.</t>
  </si>
  <si>
    <t>NT: Gặp quý nhân dẫn dắt, nhà nông thâu hoạch. Buôn bán có lời. Nhà tu thêm hạnh. Nữ mạng: Được chồng làm nên giàu sang.</t>
  </si>
  <si>
    <t>NT: Tất tả ngược xuôi, đồng tiền khó kiếm. Mọi việc nên xét kỹ rồi hãy làm kẻo thua thiệt. Nữ mạng: Tính nóng, hình khắc, khó yên bề nội trợ.</t>
  </si>
  <si>
    <t>Cánh buồm ngàn dặm rời nhà bâng khuâng…</t>
  </si>
  <si>
    <t>MKH: Khó đương nổi nhiệm vụ, tuy chí lớn nhưng khó toại nguyện.</t>
  </si>
  <si>
    <t>NT: Gặp quý nhân đề cử. Hoặc dựa thần thế lớn, hoặc xây dựng cung điện.</t>
  </si>
  <si>
    <t>GS: Được đề bạt lên cao rồi bị bẻ gẫy sau.</t>
  </si>
  <si>
    <t>Quý</t>
  </si>
  <si>
    <t>Ý HÀO: Gặp chủ không xứng đáng, mình sáng suốt cũng vô dụng.</t>
  </si>
  <si>
    <t>Ý HÀO: Lữ khách chẳng gần nhân tình nên xấu.</t>
  </si>
  <si>
    <t>Ý HÀO: Không khéo tốn thuận nên mắc lỗi.</t>
  </si>
  <si>
    <t>Ý HÀO: Đem thân để cứu nạn.</t>
  </si>
  <si>
    <t>Ý HÀO: Không giữ chừng mực đến nỗi phải lo.</t>
  </si>
  <si>
    <t>Ý HÀO: Không có chủ định.</t>
  </si>
  <si>
    <t>Chừng mực một cách ngon ngọt, tiến đi còn có sùng thượng nữa.</t>
  </si>
  <si>
    <t>122025b</t>
  </si>
  <si>
    <t>12026b</t>
  </si>
  <si>
    <t>22026b</t>
  </si>
  <si>
    <t>NT: Mọi việc trì nghi. Chỉ thầy tu và đàn bà là an vui lợi lạc.</t>
  </si>
  <si>
    <t>41969b</t>
  </si>
  <si>
    <t>51969b</t>
  </si>
  <si>
    <t>61969b</t>
  </si>
  <si>
    <t>71969b</t>
  </si>
  <si>
    <t>GS: Lo có sự tổn thất.</t>
  </si>
  <si>
    <t>GS: Chạy chọt buồn lắm.</t>
  </si>
  <si>
    <t>GS: Lợi thi ở bên ngoài.</t>
  </si>
  <si>
    <t>GS: Kém đức hằng, nên xấu hổ.</t>
  </si>
  <si>
    <t>GS: Lo đình giáng.</t>
  </si>
  <si>
    <t>GS: Tiến thủ, phải lâu mới được.</t>
  </si>
  <si>
    <t xml:space="preserve">GS: Có lo bị kẻ đùn đẩy. </t>
  </si>
  <si>
    <t>MKH: Tuổi cao, đức lớn, dời quê lập nghiệp.</t>
  </si>
  <si>
    <t>MKH: Uất uất, không phát triển được tài năng, nên đi vào đường thanh tu.</t>
  </si>
  <si>
    <t>MKH: Cường bạo, nguy, tội vạ luôn.</t>
  </si>
  <si>
    <t>MKH: Người điềm tĩnh, chân thật, biết tùy thời.</t>
  </si>
  <si>
    <t>MKH: Bạc đức, dù có kỷ luật giỏi cũng vô dụng.</t>
  </si>
  <si>
    <t>MKH: Hôn mê mãi nên tật ách thương tàn, phá nhà hại nước.</t>
  </si>
  <si>
    <t>MKH: Chí lớn mà mưu vụng nên tất tả ngược xuôi, cô độc, tai vạ đến.</t>
  </si>
  <si>
    <t>Ý HÀO: Có đức nhưng lực không đủ phát động ra ngoài.</t>
  </si>
  <si>
    <t>Ý HÀO: Cứ bình tĩnh xem thời, thì biến đổi mới đúng.</t>
  </si>
  <si>
    <t>Ý HÀO: Có đạo tự thủ nên tốt.</t>
  </si>
  <si>
    <t>Ý HÀO: Biết sợ mà sợ thì sau có sở đắc.</t>
  </si>
  <si>
    <t>MKH: Cũng là người thiện, không ra oai mà được mến phục, bình sinh an vui, vợ đảm.</t>
  </si>
  <si>
    <t>MKH: Có tài đức, không gặp thời, bình sinh an vui, chẳng vinh, chẳng nhục.</t>
  </si>
  <si>
    <t>MKH: Gian nan, hình thương, mãi sau mới gặp dịp, nhưng phúc ít, họa nhiều.</t>
  </si>
  <si>
    <t>MKH: Ủy mị, để bị khinh nhờn, ra ơn mà thành oán.</t>
  </si>
  <si>
    <t>MKH: Cũng thành công văn võ, giàu về làng, uy phục được kẻ ngoan cố.</t>
  </si>
  <si>
    <t>MKH: Nhu nhược, thiếu tự lập, nhiều bệnh hoạn.</t>
  </si>
  <si>
    <t>92044</t>
  </si>
  <si>
    <t>102044</t>
  </si>
  <si>
    <t>112044</t>
  </si>
  <si>
    <t>122044</t>
  </si>
  <si>
    <t>12045</t>
  </si>
  <si>
    <t>22045</t>
  </si>
  <si>
    <t>32045</t>
  </si>
  <si>
    <t>42045</t>
  </si>
  <si>
    <t>52045</t>
  </si>
  <si>
    <t>62045</t>
  </si>
  <si>
    <t>72045</t>
  </si>
  <si>
    <t>82045</t>
  </si>
  <si>
    <t>92045</t>
  </si>
  <si>
    <t>102045</t>
  </si>
  <si>
    <t>112045</t>
  </si>
  <si>
    <t>122045</t>
  </si>
  <si>
    <t>12046</t>
  </si>
  <si>
    <t>22046</t>
  </si>
  <si>
    <t>32046</t>
  </si>
  <si>
    <t>42046</t>
  </si>
  <si>
    <t>52046</t>
  </si>
  <si>
    <t>62046</t>
  </si>
  <si>
    <t>72046</t>
  </si>
  <si>
    <t>82046</t>
  </si>
  <si>
    <t>92046</t>
  </si>
  <si>
    <t>102046</t>
  </si>
  <si>
    <t>41947</t>
  </si>
  <si>
    <t>51947</t>
  </si>
  <si>
    <t>61947</t>
  </si>
  <si>
    <t>71947</t>
  </si>
  <si>
    <t>81947</t>
  </si>
  <si>
    <t>91947</t>
  </si>
  <si>
    <t>101947</t>
  </si>
  <si>
    <t>111947</t>
  </si>
  <si>
    <t>121947</t>
  </si>
  <si>
    <t>11948</t>
  </si>
  <si>
    <t>21948</t>
  </si>
  <si>
    <t>31948</t>
  </si>
  <si>
    <t>41948</t>
  </si>
  <si>
    <t>51948</t>
  </si>
  <si>
    <t>61948</t>
  </si>
  <si>
    <t>71948</t>
  </si>
  <si>
    <t>81948</t>
  </si>
  <si>
    <t>91948</t>
  </si>
  <si>
    <t>101948</t>
  </si>
  <si>
    <t>111948</t>
  </si>
  <si>
    <t>121948</t>
  </si>
  <si>
    <t>Mới vui mà vang ầm lên, xấu.</t>
  </si>
  <si>
    <t>61987</t>
  </si>
  <si>
    <t>71987</t>
  </si>
  <si>
    <t>81987</t>
  </si>
  <si>
    <t>101977b</t>
  </si>
  <si>
    <t>111977b</t>
  </si>
  <si>
    <t>121977b</t>
  </si>
  <si>
    <t>11978b</t>
  </si>
  <si>
    <t>21978b</t>
  </si>
  <si>
    <t>31978b</t>
  </si>
  <si>
    <t>Tiểu Súc là Tắc (sự bế tắc nhỏ, chờ sắp giải quyết).</t>
  </si>
  <si>
    <t>Phệ Hạp là Khiết hợp (cắn ngậm lại, ngục hình). Lại sanh tháng 2, tháng 8 là cách công danh phú quý</t>
  </si>
  <si>
    <t>Cắn da, đứt mũi (hào 1) nhưng không lỗi gì.</t>
  </si>
  <si>
    <t xml:space="preserve">Nghe tin xấu, dạ hoang mang         </t>
  </si>
  <si>
    <t>Cắn miếng thịt xương khô, được cái kim vàng chịu khó giữ chính nên tốt.</t>
  </si>
  <si>
    <t xml:space="preserve">Một lòng chính trực trừ gian,         </t>
  </si>
  <si>
    <t xml:space="preserve">Lo âu bên gối quẩn quanh,          </t>
  </si>
  <si>
    <t xml:space="preserve">Không cầu, lộc tự trời cho     </t>
  </si>
  <si>
    <t>Trang sức bộ râu (hào 3).</t>
  </si>
  <si>
    <t>MKH: Cũng là kẻ sĩ cẩn hậu, hòa đồng với mọi người, không ham tài lộc, y thực phong túc.</t>
  </si>
  <si>
    <t>MKH: Nên giữ mình làm điều chính tất cũng có uy quyền, được trọng vọng. Nhưng giải quyết công việc hay có tính nghi hoặc chậm chạp thiếu quả quyết.</t>
  </si>
  <si>
    <t>Gió xuân, chống gậy, khuây lòng câu ca.</t>
  </si>
  <si>
    <t>NT: Việc hôn nhân tuy dùng dằng rồi cũng vui vẻ. Số xấu gặp hào này thì xảy ra liên can kiện tụng, đường đi trở ngại, tiến thoái truân chiên.</t>
  </si>
  <si>
    <t>81944b</t>
  </si>
  <si>
    <t>91944b</t>
  </si>
  <si>
    <t>101944b</t>
  </si>
  <si>
    <t>111944b</t>
  </si>
  <si>
    <t>121944b</t>
  </si>
  <si>
    <t>11945b</t>
  </si>
  <si>
    <t>21945b</t>
  </si>
  <si>
    <t>31945b</t>
  </si>
  <si>
    <t>41945b</t>
  </si>
  <si>
    <t>51945b</t>
  </si>
  <si>
    <t>61945b</t>
  </si>
  <si>
    <t>" Thuận thời thì sống, nghịch thời thì chết "</t>
  </si>
  <si>
    <r>
      <t>" Kinh dịch quý nhất chữ thời "</t>
    </r>
    <r>
      <rPr>
        <sz val="11"/>
        <color indexed="10"/>
        <rFont val="Times New Roman"/>
        <family val="1"/>
      </rPr>
      <t xml:space="preserve"> (Nguyễn Bỉnh Khiêm)</t>
    </r>
  </si>
  <si>
    <t>N.Tuất</t>
  </si>
  <si>
    <t>N.Thân</t>
  </si>
  <si>
    <t>N.Ngọ</t>
  </si>
  <si>
    <t>G.Thìn</t>
  </si>
  <si>
    <t>G.Dần</t>
  </si>
  <si>
    <t>G.Tý</t>
  </si>
  <si>
    <t>Đ.Sửu</t>
  </si>
  <si>
    <t>Đ.Mão</t>
  </si>
  <si>
    <t>K.Hợi</t>
  </si>
  <si>
    <t>K.Sửu</t>
  </si>
  <si>
    <t>K.Mão</t>
  </si>
  <si>
    <t>NT: Được lợi sơn lâm, hoặc ẩn vui non nước. Tăng đạo hưởng lộc tế lễ. Số xấu có điềm rở về sơn phần.</t>
  </si>
  <si>
    <t>92015b</t>
  </si>
  <si>
    <t>102015b</t>
  </si>
  <si>
    <t>112015b</t>
  </si>
  <si>
    <t>71938</t>
  </si>
  <si>
    <t>81938</t>
  </si>
  <si>
    <t>91938</t>
  </si>
  <si>
    <t>101938</t>
  </si>
  <si>
    <t>111938</t>
  </si>
  <si>
    <t>121938</t>
  </si>
  <si>
    <t>11939</t>
  </si>
  <si>
    <t>21939</t>
  </si>
  <si>
    <t>31939</t>
  </si>
  <si>
    <t>41939</t>
  </si>
  <si>
    <t>51939</t>
  </si>
  <si>
    <t>Lữ khách đến chỗ ở tạm, được tiền của và đồ hộ thân, nhưng lòng mình chẳng được vui vẻ.</t>
  </si>
  <si>
    <t>51925</t>
  </si>
  <si>
    <t>61925</t>
  </si>
  <si>
    <t>71925</t>
  </si>
  <si>
    <t>81925</t>
  </si>
  <si>
    <t>91925</t>
  </si>
  <si>
    <t>101925</t>
  </si>
  <si>
    <t>111925</t>
  </si>
  <si>
    <t>121925</t>
  </si>
  <si>
    <t>11926</t>
  </si>
  <si>
    <t>Tổng số ngày đến hết tháng trước</t>
  </si>
  <si>
    <t>121962</t>
  </si>
  <si>
    <t>Hoặc nhảy ở vực sâu, không lỗi gì. (Ở vực sâu, chưa bay lên trời. Thế đương thay đổi, phải tùy thời).</t>
  </si>
  <si>
    <t>52038b</t>
  </si>
  <si>
    <t>62038b</t>
  </si>
  <si>
    <t>72038b</t>
  </si>
  <si>
    <t>82038b</t>
  </si>
  <si>
    <t>92038b</t>
  </si>
  <si>
    <t>102038b</t>
  </si>
  <si>
    <t>112038b</t>
  </si>
  <si>
    <t>122038b</t>
  </si>
  <si>
    <t>12039b</t>
  </si>
  <si>
    <t>22039b</t>
  </si>
  <si>
    <t>32039b</t>
  </si>
  <si>
    <t>42039b</t>
  </si>
  <si>
    <t>52039b</t>
  </si>
  <si>
    <t>62039b</t>
  </si>
  <si>
    <t>72039b</t>
  </si>
  <si>
    <t>Mận đào điểm nhụy, cúc mừng lợi danh.</t>
  </si>
  <si>
    <t>61940b</t>
  </si>
  <si>
    <t>71940b</t>
  </si>
  <si>
    <t>81940b</t>
  </si>
  <si>
    <t>91940b</t>
  </si>
  <si>
    <t>101940b</t>
  </si>
  <si>
    <t>111940b</t>
  </si>
  <si>
    <t>121940b</t>
  </si>
  <si>
    <t>11941b</t>
  </si>
  <si>
    <t>21941b</t>
  </si>
  <si>
    <t>31900</t>
  </si>
  <si>
    <t>41900</t>
  </si>
  <si>
    <t>51900</t>
  </si>
  <si>
    <t>61900</t>
  </si>
  <si>
    <t>71900</t>
  </si>
  <si>
    <t>81900</t>
  </si>
  <si>
    <t>91900</t>
  </si>
  <si>
    <t>101900</t>
  </si>
  <si>
    <t>111900</t>
  </si>
  <si>
    <t>121900</t>
  </si>
  <si>
    <t>11901</t>
  </si>
  <si>
    <t>21901</t>
  </si>
  <si>
    <t>31901</t>
  </si>
  <si>
    <t>41901</t>
  </si>
  <si>
    <t>51901</t>
  </si>
  <si>
    <t>61901</t>
  </si>
  <si>
    <t>71901</t>
  </si>
  <si>
    <t>81901</t>
  </si>
  <si>
    <t>NT: Dễ bị tai họa.</t>
  </si>
  <si>
    <t>Chẳng giữ chừng mực như thế, thời than thở như thế, không biết trách lỗi ai.</t>
  </si>
  <si>
    <t>32027</t>
  </si>
  <si>
    <t>42027</t>
  </si>
  <si>
    <t>52027</t>
  </si>
  <si>
    <t>62027</t>
  </si>
  <si>
    <t>72027</t>
  </si>
  <si>
    <t>82027</t>
  </si>
  <si>
    <t>92027</t>
  </si>
  <si>
    <t>102027</t>
  </si>
  <si>
    <t>112027</t>
  </si>
  <si>
    <t>122027</t>
  </si>
  <si>
    <t>112005</t>
  </si>
  <si>
    <t>Danh lợi chỉ toàn mi với lộc,</t>
  </si>
  <si>
    <t>Đường trời lên rộng, ráng pha màu.</t>
  </si>
  <si>
    <t>NT: Tiến lên chẳng ổn, việc nhiều rắc rối. Lớn bé ưu sầu, danh lợi thành hư. Tuổi thọ cũng kém.</t>
  </si>
  <si>
    <t>Cắn miếng thịt khô, được hoàng kim, giữ chính, biết lo nguy, nên không lỗi gì.</t>
  </si>
  <si>
    <t>Xâu cả đàn cá (5 hào âm) để làm cung nhân được yêu thương, không có gì là chẳng lợi.</t>
  </si>
  <si>
    <t>NT: Trong vui có buồn, trong buồn có vui, cầu danh mưu lợi, khi được khi mất.</t>
  </si>
  <si>
    <t>Cảm thông mà tới, tốt, không gì là chẳng ích lợi.</t>
  </si>
  <si>
    <t>101939</t>
  </si>
  <si>
    <t>101958</t>
  </si>
  <si>
    <t>111958</t>
  </si>
  <si>
    <t>121958</t>
  </si>
  <si>
    <t>11959</t>
  </si>
  <si>
    <t>21959</t>
  </si>
  <si>
    <t>31959</t>
  </si>
  <si>
    <t>41959</t>
  </si>
  <si>
    <t>51959</t>
  </si>
  <si>
    <t>61959</t>
  </si>
  <si>
    <t>71959</t>
  </si>
  <si>
    <t>81959</t>
  </si>
  <si>
    <t>91959</t>
  </si>
  <si>
    <t>101959</t>
  </si>
  <si>
    <t>111959</t>
  </si>
  <si>
    <t>121959</t>
  </si>
  <si>
    <t>11960</t>
  </si>
  <si>
    <t>21960</t>
  </si>
  <si>
    <t>31960</t>
  </si>
  <si>
    <t>41960</t>
  </si>
  <si>
    <t>51960</t>
  </si>
  <si>
    <t>61960</t>
  </si>
  <si>
    <t>71960</t>
  </si>
  <si>
    <t>81960</t>
  </si>
  <si>
    <t>91960</t>
  </si>
  <si>
    <t>101960</t>
  </si>
  <si>
    <t>111960</t>
  </si>
  <si>
    <t>121960</t>
  </si>
  <si>
    <t>11961</t>
  </si>
  <si>
    <t>Quả lớn không ăn, người Quân tử được xe (dân chở) kẻ tiểu nhân sụp nhà.</t>
  </si>
  <si>
    <t>NT: Là phú hào, lâm nguy được an, bệnh khỏi, hưu nghỉ.</t>
  </si>
  <si>
    <t xml:space="preserve">Quanh co chưa mở được thời,          </t>
  </si>
  <si>
    <t>Trước nguy sau vững, gió xuân ôn hòa.</t>
  </si>
  <si>
    <t>Lòng ngờ việc chưa thành.</t>
  </si>
  <si>
    <t>Thấy ai chảnh hoảnh, gượng cười cho êm.</t>
  </si>
  <si>
    <t>NT: Kinh doanh đắc ý.</t>
  </si>
  <si>
    <t>NT: Điền sản gia tăng, hoặc là vũ tướng thì đi chinh phạt, săn bắn, hoặc có việc cải cách 3 lần, tốt lành.</t>
  </si>
  <si>
    <t>Ý HÀO: Nếu dùng nhầm kẻ gian tà là nguy hại đó.</t>
  </si>
  <si>
    <t>Ý HÀO: Rút quân về, mở rộng đức ra.</t>
  </si>
  <si>
    <t>Ý HÀO: Chừng mực tốt lành, vui vẻ.</t>
  </si>
  <si>
    <t>Ý HÀO: Nguyên thủ và người cộng tác tin nhau hết lòng.</t>
  </si>
  <si>
    <t>Ý HÀO: Làm trái đạo “nhỏ” nên không thành công.</t>
  </si>
  <si>
    <t>Ý HÀO: Cấp trên suy rồi không bằng cấp dưới gặp thời.</t>
  </si>
  <si>
    <t>Ý HÀO: Bậc nguyên thủ được phụ tá thành đức nghiệp mỹ mãn.</t>
  </si>
  <si>
    <t>Ý HÀO: Đi cầu người hiền tài để ra tay cứu buổi gian truân, và được hài lòng.</t>
  </si>
  <si>
    <t>Ý HÀO: Nói cái hại không biết làm thân với người giỏi để học.</t>
  </si>
  <si>
    <t>Ý HÀO: Nên biết tránh sự tai hại.</t>
  </si>
  <si>
    <t>MKH: Cũng khiêm tốn, cẩn thận, nên mưu việc toại ý, nối nghiệp tổ, nên gia thanh (?) tốt.</t>
  </si>
  <si>
    <t>MKH: Có kiến thức, biết nắm giữ mà tuổi trẻ bị uất ức gian nan, mãi già mới được phong túc.</t>
  </si>
  <si>
    <t>MHC: Làm lớn nhưng lòng tham không đáy, để hỏng việc nước, trên dưới cách trở, khó tránh lỗi.</t>
  </si>
  <si>
    <t>MHC: Kiêm tài đức, văn võ, chỉ khổ về vợ con.</t>
  </si>
  <si>
    <t>MHC: Không gặp dịp tốt, chỉ làm được việc nhỏ.</t>
  </si>
  <si>
    <t>MHC: Có tài đức làm phụ tá, nhưng cấp trên hôn ám, đồng liêu lầm lỗi.</t>
  </si>
  <si>
    <t>MHC: Có tài đức, tri cơ, ra khỏi hiểm trở một cách vui vẻ, nhờ đó thân được an toàn.</t>
  </si>
  <si>
    <t>MHC: Chí cương quyết, lòng tự ái, theo lành, sửa lỗi. Chữ Mệnh, chữ An thì có nghĩa là Mệnh quý, thọ, an nước, an nhà. Đàn bà là mệnh phụ, vợ ông lớn.</t>
  </si>
  <si>
    <t>Ý HÀO: Lòng thành tế thần được hưởng phúc.</t>
  </si>
  <si>
    <t xml:space="preserve">Việc đời vốn vất vả, </t>
  </si>
  <si>
    <t>Tổng số Dg Âm:</t>
  </si>
  <si>
    <t>NĐ :</t>
  </si>
  <si>
    <t>NĐ</t>
  </si>
  <si>
    <t>91912b</t>
  </si>
  <si>
    <t>101912b</t>
  </si>
  <si>
    <t>111912b</t>
  </si>
  <si>
    <t>121912b</t>
  </si>
  <si>
    <t>11913b</t>
  </si>
  <si>
    <t>32022</t>
  </si>
  <si>
    <t>42022</t>
  </si>
  <si>
    <t>52022</t>
  </si>
  <si>
    <t>62022</t>
  </si>
  <si>
    <t>51977b</t>
  </si>
  <si>
    <t>61977b</t>
  </si>
  <si>
    <t>71977b</t>
  </si>
  <si>
    <t>81977b</t>
  </si>
  <si>
    <t>91977b</t>
  </si>
  <si>
    <t>Ý HÀO: Biết tự xử, đứng vững thì không lầm lỗi.</t>
  </si>
  <si>
    <t>Ý HÀO: Cầu may mà thắng thì sẽ thất bại.</t>
  </si>
  <si>
    <t>Ý HÀO: Sánh vai với bên ngoài thật đáng cấp trên mình, vừa ngay vừa tốt.</t>
  </si>
  <si>
    <t>Ý HÀO: Tài nhỏ không cứu được khốn ngay lúc đầu, nhưng sau sẽ gặp nhau.</t>
  </si>
  <si>
    <t>Ý HÀO: Tự tu, giữ điều thiện dù chỉ một mình.</t>
  </si>
  <si>
    <t>Ý HÀO: Có dân đồng tâm hiệp lực thì cách mệnh duy tân được.</t>
  </si>
  <si>
    <t>Ý HÀO: Làm lớn mà dùng người hỏng, để quốc gia đổ ụp.</t>
  </si>
  <si>
    <t>Ý HÀO: Cứ theo vật dục bừa bãi là nguy.</t>
  </si>
  <si>
    <t>Ý HÀO: Thời nên ngừng thì ngừng, không vọng động.</t>
  </si>
  <si>
    <t>Ý HÀO: Gặp bạo mà được yên lành.</t>
  </si>
  <si>
    <t>Ý HÀO: Cốt giữ đạo, chẳng tiến cẩu thả được.</t>
  </si>
  <si>
    <t>Ý HÀO: Tuy gặp cấp trên không xứng đáng, nhưng cũng tiến lên thì tốt.</t>
  </si>
  <si>
    <t>Ý HÀO: Được quán trọ tử tế, để lo chuyện thiên hạ.</t>
  </si>
  <si>
    <t>Ý HÀO: Có công thu hoạch được nhiều.</t>
  </si>
  <si>
    <t>Ý HÀO: Tuyệt giao với bọn tà nịnh, để giữ một lòng trung nên hưởng phúc.</t>
  </si>
  <si>
    <t>MHC: Vị cao ở Trung Ương, tuy gặp cấp trên hôn ám, ngờ ghét, mà vẫn giữ lòng thực để tìm cách chuyển hóa.</t>
  </si>
  <si>
    <t>MHC: Văn làm đẹp nước, tài cứu được đời, trên ban vinh hiển, dưới dân mến phục, đức nghiệp cao, lâu bền.</t>
  </si>
  <si>
    <t>MHC: Đức lớn, biện pháp hay vẫn khiêm tốn, công danh hiển đạt, có thể giữ chức Thái sử, Ngự sử (ngày xưa).</t>
  </si>
  <si>
    <t>MHC: Công thành rủ xuống cả một thời đại.</t>
  </si>
  <si>
    <t>MHC: Đương thời hoán, biết cơ biến để cứu vớt thì phục hưng được, trước gian khổ, sau dễ dàng.</t>
  </si>
  <si>
    <t>121963b</t>
  </si>
  <si>
    <t>11964b</t>
  </si>
  <si>
    <t>21964b</t>
  </si>
  <si>
    <t>31964b</t>
  </si>
  <si>
    <t>41964b</t>
  </si>
  <si>
    <t>51964b</t>
  </si>
  <si>
    <t>61964b</t>
  </si>
  <si>
    <t>71964b</t>
  </si>
  <si>
    <t>81964b</t>
  </si>
  <si>
    <t>91964b</t>
  </si>
  <si>
    <t>42025</t>
  </si>
  <si>
    <t>52025</t>
  </si>
  <si>
    <t>62025</t>
  </si>
  <si>
    <t>72025</t>
  </si>
  <si>
    <t>82025</t>
  </si>
  <si>
    <t>92025</t>
  </si>
  <si>
    <t>102025</t>
  </si>
  <si>
    <t>112025</t>
  </si>
  <si>
    <t>122025</t>
  </si>
  <si>
    <t>12026</t>
  </si>
  <si>
    <t>22026</t>
  </si>
  <si>
    <t>32026</t>
  </si>
  <si>
    <t>42026</t>
  </si>
  <si>
    <t>52026</t>
  </si>
  <si>
    <t>62026</t>
  </si>
  <si>
    <t>72026</t>
  </si>
  <si>
    <t>Bị hớt mũi (bị hào 6 làm tổn) khoét chân (bị hào 4 làm tổn) khốn khổ nơi dây đỏ buộc ấn (giúp cho 2 hào) thôi cứ thủng thẳng rồi cũng được vui lòng (sẽ gặp hào 2) hiện giờ hãy cứ dùng việc tế lễ là có lợi (cảm đến thần linh).</t>
  </si>
  <si>
    <t>91946</t>
  </si>
  <si>
    <t>101946</t>
  </si>
  <si>
    <t>111946</t>
  </si>
  <si>
    <t>42017</t>
  </si>
  <si>
    <t>52017</t>
  </si>
  <si>
    <t>62017</t>
  </si>
  <si>
    <t>72017</t>
  </si>
  <si>
    <t>QC: Nên lui bước. Không được an ổn, bị điều tiếng, có thể bị giam giữ.</t>
  </si>
  <si>
    <t>MHC: Tài cao đức trọng, đem nước đến chỗ an vui như ngồi bàn thạch, phúc trạch dồi dào.</t>
  </si>
  <si>
    <t>NT: Biến thông có lợi. Duy kẻ sĩ hèn mọn và Nữ mạng không hợp.</t>
  </si>
  <si>
    <t>NT: Được người đề cử, mưu vọng toại ý.</t>
  </si>
  <si>
    <t>NT: Có phúc, lợi.</t>
  </si>
  <si>
    <t>NT: Bị gian tà âm mưu vây quanh làm hại.</t>
  </si>
  <si>
    <t>NT: Nhân tình hòa hợp, mưu tính thành việc, có lợi.</t>
  </si>
  <si>
    <t>NT: Thủ cựu thì tốt, chỉ có người già và bệnh nhân là xấu.</t>
  </si>
  <si>
    <t>NT: Nên thủ thường để tránh tai hại. Người mất chôn táng nơi nghĩa địa xa.</t>
  </si>
  <si>
    <t>NT: Gặp bạn hiểu biết, việc dễ thành.</t>
  </si>
  <si>
    <t>NT: Cùng bọn, tài lợi tăng tiến.</t>
  </si>
  <si>
    <t>NT: Nên thủ cựu, phòng có việc liên quan lôi thôi.</t>
  </si>
  <si>
    <t>MKH: Thanh cao khác người, ăn ở đạm bạc, không theo phàm tục.</t>
  </si>
  <si>
    <t>MHC: Có đức nhu thuận, tụ tài làm cho nước vững bền, dân sinh thỏa mãn yên vui.</t>
  </si>
  <si>
    <t>MHC: Chính đại, nhưng giữ đạo, đợi thời không đỗ đạt sớm, muộn tuổi thành việc lớn.</t>
  </si>
  <si>
    <t>MHC: Tuy bị che, lấp nhưng có bạn đồng đức hiệp lực, nên cũng thành công nghiệp, phúc trạch dồi dào.</t>
  </si>
  <si>
    <t>MHC: Tài đức đủ để dùng vào việc đời hoặc để cung chức võ bị, lập công ở phương ngoài, hoạt động nhiều gặp khó nhưng rồi hóa dễ.</t>
  </si>
  <si>
    <t>112019</t>
  </si>
  <si>
    <t>122019</t>
  </si>
  <si>
    <t>12020</t>
  </si>
  <si>
    <t>22020</t>
  </si>
  <si>
    <t>32020</t>
  </si>
  <si>
    <t>42020</t>
  </si>
  <si>
    <t>52020</t>
  </si>
  <si>
    <t>62020</t>
  </si>
  <si>
    <t>Hòa vui, tốt.</t>
  </si>
  <si>
    <t>Binh quyền cũng được dự phần chính trung.</t>
  </si>
  <si>
    <t>Trước sau ngày tháng miên trường êm trôi.</t>
  </si>
  <si>
    <t>MHC: Lánh tà, gần hiền, nhường giỏi, đo đức để lập công lâu dài.</t>
  </si>
  <si>
    <t>MHC: Giải tán bè đảng mình để hòa với đảng lớn, lập công phi thường.</t>
  </si>
  <si>
    <t>MHC: Nguyên thủ không quên hiến pháp, người cộng tác không quên thừa thuận tiết độ, phúc trạch được lâu bền.</t>
  </si>
  <si>
    <t>Ý HÀO: Thành tựu được ở mình, nhưng chưa được ở người.</t>
  </si>
  <si>
    <t>Ý HÀO: May gặp, được an hưởng lộc vị.</t>
  </si>
  <si>
    <t>Ý HÀO: Có đức mà không gặp cấp trên biết cho.</t>
  </si>
  <si>
    <t>Ý HÀO: Có đức mà bị người trên che lấp, cứ giữ chí thành.</t>
  </si>
  <si>
    <t>Ý HÀO: Lữ khách được an lành.</t>
  </si>
  <si>
    <t>Ý HÀO: Đi đúng đường của người hiền làm việc nước.</t>
  </si>
  <si>
    <t>Ý HÀO: Thành thực nhưng không nịnh bợ, nên không lầm lỗi.</t>
  </si>
  <si>
    <t>Ý HÀO: Có đất căn cứ, nên cứu được lìa tan.</t>
  </si>
  <si>
    <t>Ý HÀO: Thời đen tối mà thủ kỹ giữ mình quá cũng không hay.</t>
  </si>
  <si>
    <t>Ý HÀO: Cùng đức tính giúp nhau nên việc.</t>
  </si>
  <si>
    <t>Ý HÀO: Hết phận mình đối với trên thì ít lỗi.</t>
  </si>
  <si>
    <t>Ý HÀO: Có sở đắc đấy nhưng chưa được dùng, nên hãy giữ gìn và đợi.</t>
  </si>
  <si>
    <t>Ý HÀO: Nên giữ phận dưới, đừng vội thân với trên.</t>
  </si>
  <si>
    <t>NT: Chẳng hiểu nhân tình, cứ nhơn nhơn ngoài đường. Tĩnh thì đỡ xấu.</t>
  </si>
  <si>
    <t>NT: Thủ phận thì hơn.</t>
  </si>
  <si>
    <t>NT: Kiện tụng lôi thôi. Phòng bệnh chân.</t>
  </si>
  <si>
    <t>NT: Tai bay vạ gió, chân tay bị đau. Số tốt có người đem ngựa xe đến.</t>
  </si>
  <si>
    <t>NT: Lo toan được việc, thành gia thất, tăng ni trụ trì, người già kém thọ.</t>
  </si>
  <si>
    <t>NT: Nên thủ phận an thân.</t>
  </si>
  <si>
    <t>NT: Hôn nhân thành, kinh doanh được.</t>
  </si>
  <si>
    <t>NT: Cũng có đại công tác, đại lợi.</t>
  </si>
  <si>
    <t>NT: Lo cái họa làm liều.</t>
  </si>
  <si>
    <t>NT: Kết cấu với tiểu nhân, bị vu tội lây. Đại để trước xấu sau mới tốt.</t>
  </si>
  <si>
    <t>NT: Kinh doanh xứng ý.</t>
  </si>
  <si>
    <t>NT: Có sự kinh sợ, tang phục.</t>
  </si>
  <si>
    <t>NT: Nên cẩn thủ, đừng làm bừa (làm đại).</t>
  </si>
  <si>
    <t>NT: Trước lo sợ, sau vui mừng.</t>
  </si>
  <si>
    <t>nguyên cát.</t>
  </si>
  <si>
    <t>ở giữa ba quân nên tốt.</t>
  </si>
  <si>
    <t>NT: Có việc tu tạo, đổi dời vui vẻ. Kiện tụng có thể thân bày phải trái được.</t>
  </si>
  <si>
    <t>NT: Kiện tụng, bị đòn, hoặc bệnh ngứa lở, trĩ, hoặc tật ách ở tai, chân, khó đi.</t>
  </si>
  <si>
    <t>NT: Tranh tụng, thị phi. Người già tổn thọ.</t>
  </si>
  <si>
    <t>NT: Không theo đường chính, nên có tai họa, thật là Quân tử thì mới thoát.</t>
  </si>
  <si>
    <t>71934b</t>
  </si>
  <si>
    <t>81934b</t>
  </si>
  <si>
    <t>91934b</t>
  </si>
  <si>
    <t>101934b</t>
  </si>
  <si>
    <t>MHC: Tuy có người trên giúp ta, cũng không xong. Dù chức vị nhỏ, cũng hay trắc trở.</t>
  </si>
  <si>
    <t>MHC: Gặp người trên, được như ý. Nhưng bầy nô bộc tiểu nhân nói xấu, cứ từ từ đừng nôn nóng.</t>
  </si>
  <si>
    <t>MHC: Là kẻ sĩ cương quyết, sửa trị không kiêng nể, có điều sai, nhưng rồi lại được sửa.</t>
  </si>
  <si>
    <t>MHC: Uốn lại cái cong, đem lại chỗ ngay, ở trên tới với dưới được, nhưng vị chỉ là chức huấn giáo thôi.</t>
  </si>
  <si>
    <t>MHC: Tiến đức tu nghiệp kịp thời, là bậc minh triết.</t>
  </si>
  <si>
    <t>MHC: Tài nhỏ, chí cương, công danh nhỏ thôi.</t>
  </si>
  <si>
    <t>MHC: Danh cao trọng vọng, đại quý hiển.</t>
  </si>
  <si>
    <t>MHC: Quý nhân biệt lập, khác người thường.</t>
  </si>
  <si>
    <t>MHC: Tuy sửa đổi theo điều thiện, nhưng chưa được là quý nhân, lúc tiến lúc thoái, hoặc thị hoặc phi.</t>
  </si>
  <si>
    <t>MHC: Đức đủ để cầu tránh được tai vạ, hưởng phú quý, phúc trạch.</t>
  </si>
  <si>
    <t>MHC: Có đủ học vấn tài đức, để làm việc lớn. Chữ mã, chữ vệ gợi ý chức chỉ huy quân xa, quân mã, vệ binh.v.v...</t>
  </si>
  <si>
    <t>MHC: Sửa lỗi, bỏ những thèm khát, thì có thể làm việc quy mô nhỏ.</t>
  </si>
  <si>
    <t>MHC: Hăng hái, lập công giúp đời, nhưng thường bạo mạnh quá, thành thương tổn có khi nguy hiểm nữa.</t>
  </si>
  <si>
    <t>MHC: Không đến nổi chìm đắm, cũng bảo vệ sinh tồn, nên thân và nhà không đến nỗi suy sụp.</t>
  </si>
  <si>
    <t>Chẳng làm ích thêm nữa (đến cùng rồi còn gì) hoặc đánh đuổi đi (thì có oán), lập tâm không theo đạo hằng thì xấu.</t>
  </si>
  <si>
    <t>Lòng thành dâng lễ quỷ thần cảm thông.</t>
  </si>
  <si>
    <t>Nhưng không chắp nhặt mới là đạo trung.</t>
  </si>
  <si>
    <t>Cạnh tranh thôi cũng chán chường thì thôi.</t>
  </si>
  <si>
    <t>Đạm nhiên lùi bước, việc còn lao đao.</t>
  </si>
  <si>
    <t>Mới giữ được an ninh.</t>
  </si>
  <si>
    <t>Ba ngày mây rút lại quang ánh trời.</t>
  </si>
  <si>
    <t>Chăm lo chức vụ, kêu than tắt dần.</t>
  </si>
  <si>
    <t>122015b</t>
  </si>
  <si>
    <t>12016b</t>
  </si>
  <si>
    <t>MHC: Tri cơ tiến thoái. Hoặc vai vế làm to, mà có điều hối không kịp.</t>
  </si>
  <si>
    <t>MHC: Cũng hố để người chê cười.</t>
  </si>
  <si>
    <t>MHC: Minh triết giữ được thân, dũng thoái thoát được nạn. Hoặc có hiền thê giúp sức, hoặc có nô bộc hết lòng.</t>
  </si>
  <si>
    <t>MHC: Cũng là bậc Quân tử nhưng coi việc thiên hạ không đáng làm, nên thiếu trì trọng để xét biến, coi người thiên hạ không ai đáng sợ, nên thiếu thong dong để tường cơ, vì vậy dù ngay thẳng cũng bị nguy.</t>
  </si>
  <si>
    <t>MKH: Quê mùa, thông đạt nhân tình, khốn khổ giữ tiết, chẳng dám làm gì.</t>
  </si>
  <si>
    <t>MKH: Được tôn về đức, trọng về tài, một đời thanh cao, không tai không hại.</t>
  </si>
  <si>
    <t xml:space="preserve">Nam sơn, được đá ngọc lành              </t>
  </si>
  <si>
    <t>Giàu sang, mặt kiêu đầy</t>
  </si>
  <si>
    <t>Xe ngựa chạy Tây Đông,</t>
  </si>
  <si>
    <t xml:space="preserve">Im lâu được lúc vang danh,      </t>
  </si>
  <si>
    <t>Hoán là Tán (tiêu tan, không tụ một chỗ).</t>
  </si>
  <si>
    <t>Ý HÀO: Cảm phục được lòng người nên mọi tai họa đều hết.</t>
  </si>
  <si>
    <t>Ý HÀO: Tôn kính người trên, được toại ý.</t>
  </si>
  <si>
    <t>Ý HÀO: Thời đến, bầy tiểu nhân cũng tiến.</t>
  </si>
  <si>
    <t>Ý HÀO: Có cơ hội ngộ.</t>
  </si>
  <si>
    <t>Ý HÀO: Biết lấy điều nghĩa mà chế tài cái thế lực.</t>
  </si>
  <si>
    <t>Ý HÀO: Chức vị lớn mà biết dẹp bớt sự kiêu mãn của mình thì đỡ lầm lỗi.</t>
  </si>
  <si>
    <t>Ý HÀO: Làm đến đâu được đến đấy, mà vẫn nhũn.</t>
  </si>
  <si>
    <t>Ý HÀO: Có công đem vui đến, lại bảo cho biết cách giữ gìn lấy sự vui mừng.</t>
  </si>
  <si>
    <t>Ý HÀO: Đạo tùy, dù có đi đến chỗ nguy, nhưng cứ thành thực chính đáng thì không lỗi gì.</t>
  </si>
  <si>
    <t>Ý HÀO: Cấp cao sửa tệ tục mà cứ dùng dằng mãi sau không sửa được.</t>
  </si>
  <si>
    <t>Ý HÀO: Thành thực đối với người, bổ khuyết cho họ.</t>
  </si>
  <si>
    <t>Ý HÀO: Nghĩa (quân thần) buổi thịnh thời.</t>
  </si>
  <si>
    <t>Ý HÀO: Có quyền dùng hình phạt, mà biết khéo dùng.</t>
  </si>
  <si>
    <t>Ý HÀO: Cầu nhau thương mến nhau.</t>
  </si>
  <si>
    <t>Ý HÀO: Âm họa sát người rồi.</t>
  </si>
  <si>
    <t>Ý HÀO: Đẹp ở chỗ không ám muội giữa đám tiểu nhân.</t>
  </si>
  <si>
    <t>Ý HÀO: Giữ chính thì ít lỗi lầm.</t>
  </si>
  <si>
    <t>61943</t>
  </si>
  <si>
    <t>71943</t>
  </si>
  <si>
    <t>MKH: Nhu nhược hôn ám, quyền ở tay người khác. Họ biết phụ lực vào với đại nhân thì đạt chí được phần nào mà trước khó sau dễ.</t>
  </si>
  <si>
    <t>MKH: Thì chí mê lượng hẹp, bỏ gốc theo ngọn, tầm thường phúc mỏng.</t>
  </si>
  <si>
    <t>MKH: Cũng điềm đạm dưỡng tính, bình sinh an vui.</t>
  </si>
  <si>
    <t>NT: Phòng bị trộm cướp bóc lột. Đi thuyền phòng sóng gió, chìm đắm.</t>
  </si>
  <si>
    <t>NT: Bình an vô sự.</t>
  </si>
  <si>
    <t>NT: Kiện tụng, tù ngục, xấu nữa thì gia phá thân vong.</t>
  </si>
  <si>
    <t>NT: Trì thủ thân gia. Đại để gặp gian nan, lùi bước vẫn có công, cẩn hậu vẫn an lành. Phòng kẻ tiểu nhân hãm hại.</t>
  </si>
  <si>
    <t>NT: An cư lạc nghiệp, hoặc xây dựng cung thất, hoặc cư ngụ nơi xa, tránh được tai họa.</t>
  </si>
  <si>
    <t>MHC: Dù trước cô đơn sau không cô đơn, trước khốn đốn sau không khốn đốn. Ở nơi xóm làng cũng là người hiền sĩ, ở nơi hang núi, vẫn giữ được tiết nghĩa của bậc nữ lưu, của kẻ sĩ chịu nghèo.</t>
  </si>
  <si>
    <t>MHC: Là bậc đại hiền, đại lượng bao dung được mọi việc, giữ hòa khí với mọi người, trung hiếu vẹn toàn.</t>
  </si>
  <si>
    <t>NT: Bị tổn phá hoặc đau chân. Xấu hơn kém thọ.</t>
  </si>
  <si>
    <t>Ý HÀO: Nếu vui thỏa ý thì bị đắm đuối.</t>
  </si>
  <si>
    <t>Ý HÀO: Còn lòng thành dùng người hiền, nên có kết quả.</t>
  </si>
  <si>
    <t>Ý HÀO: Dùng được người tài trị nước, có danh dự.</t>
  </si>
  <si>
    <t>Ý HÀO: Ở cho hết đạo của nguyên thủ, thong dong mà việc thành.</t>
  </si>
  <si>
    <t>Ý HÀO: Bậc nguyên thủ xét kỹ cách sinh hoạt để trị nước, thì không hổ thẹn với chức vụ.</t>
  </si>
  <si>
    <t>Ý HÀO: Trị dân phòng kẻ ngoan cố.</t>
  </si>
  <si>
    <t>Ý HÀO: Lấy đức tiết kiệm mà trị nước.</t>
  </si>
  <si>
    <t>Ý HÀO: Đem đám đông ra quy thiện, được lợi lớn.</t>
  </si>
  <si>
    <t>MKH: Cũng là người trung chính, không ai ghen ghét.</t>
  </si>
  <si>
    <t>MKH: Cũng khởi gia, được làng xóm trọng vọng.</t>
  </si>
  <si>
    <t>MKH: Cũng có phúc.</t>
  </si>
  <si>
    <t>MKH: Cũng là kẻ sĩ, có danh có thọ.</t>
  </si>
  <si>
    <t>MKH: Giàu có lớn.</t>
  </si>
  <si>
    <t>MKH: Cục mịch quá, mà vẫn thiếu thốn.</t>
  </si>
  <si>
    <t>MKH: Đứng đầu đám đông, dựa vào phú hào, được cơm no áo ấm.</t>
  </si>
  <si>
    <t>MKH: Tuy không có cách quý, nhưng cũng có ruộng vườn to tát.</t>
  </si>
  <si>
    <t>MKH: Cũng có phúc, tai không, mừng đến.</t>
  </si>
  <si>
    <t>MKH: Chí nhỏ, lợi nhỏ, có việc mừng nhỏ.</t>
  </si>
  <si>
    <t>MKH: Bình sinh tân khổ, được người giúp đỡ.</t>
  </si>
  <si>
    <t>MKH: Hoặc vợ già, con keo kiệt, thọ mỏng, tài xoàng.</t>
  </si>
  <si>
    <t>MKH: Tài nhỏ, giải được ách, bình an.</t>
  </si>
  <si>
    <t xml:space="preserve">Cúng lễ dù giỏ trống không,          </t>
  </si>
  <si>
    <t xml:space="preserve">Hiền hòa, trung chính khiêm nhường       </t>
  </si>
  <si>
    <t xml:space="preserve">Người gãy cầu.   </t>
  </si>
  <si>
    <t xml:space="preserve">Sấm vang mà chẳng thấy mưa,   </t>
  </si>
  <si>
    <t xml:space="preserve">Trị an nên trị loạn,   </t>
  </si>
  <si>
    <t xml:space="preserve">Đuôi ướt cứ loanh quanh. </t>
  </si>
  <si>
    <t xml:space="preserve">Sẻ quạ đương bày trận, </t>
  </si>
  <si>
    <t>Cùng trời chiếc nhạn tung.</t>
  </si>
  <si>
    <t>Hoàn cầu hội mới mở thời văn minh.</t>
  </si>
  <si>
    <t>Tiền đồ chẳng ngại trời cho chu tuyền.</t>
  </si>
  <si>
    <t>MKH: Chí hẹp hòi, việc làm thì vất vả, nhờ cậy vào kẻ mạnh thì phúc trạch nhỏ, không cho hơn gì.</t>
  </si>
  <si>
    <t>MKH: Đẹp nhưng không ngon, thương thân phá tổ, tính việc nhỏ thôi, hoặc có tật chân tay.</t>
  </si>
  <si>
    <t>MKH: Rời tổ, đi xa lập nghiệp, động làm gì là có hối hận.</t>
  </si>
  <si>
    <t>MKH: Hay gây hấn, chọc hờn, kiêu hãnh, ngỗ ngược không ai chịu nổi.</t>
  </si>
  <si>
    <t>GS: Đỗ đạt, được tiến cử.</t>
  </si>
  <si>
    <t>GS: Tâm đầu ý hợp, nên danh.</t>
  </si>
  <si>
    <t>GS: Tiêu biểu mà khó thành danh.</t>
  </si>
  <si>
    <t>GS: Trước vất vả, sau mới gặp dịp.</t>
  </si>
  <si>
    <t xml:space="preserve">Hành quân ở lại sau.  </t>
  </si>
  <si>
    <t>111998</t>
  </si>
  <si>
    <t>121998</t>
  </si>
  <si>
    <t>11999</t>
  </si>
  <si>
    <t>21999</t>
  </si>
  <si>
    <t>21909b</t>
  </si>
  <si>
    <t>31909b</t>
  </si>
  <si>
    <t>41909b</t>
  </si>
  <si>
    <t>NT: Phòng đắm đuối. Chỉ có tăng ni ẩn dật là yên ổn.</t>
  </si>
  <si>
    <t>QC: Phòng khiển trách, truất giáng.</t>
  </si>
  <si>
    <t>GS: Phòng khiển trách, truất giáng.</t>
  </si>
  <si>
    <t>GS: Phòng thiệt hại, phòng nguy.</t>
  </si>
  <si>
    <t>QC: Phòng thiệt hại, phòng nguy.</t>
  </si>
  <si>
    <t>QC: Mất tiếng vì làm liều, thất bại.</t>
  </si>
  <si>
    <t>Rồng còn ẩn dưới thấp, đừng dùng gì vội.</t>
  </si>
  <si>
    <t>112022</t>
  </si>
  <si>
    <t>122022</t>
  </si>
  <si>
    <t>12023</t>
  </si>
  <si>
    <t>22023</t>
  </si>
  <si>
    <t>32023</t>
  </si>
  <si>
    <t>42023</t>
  </si>
  <si>
    <t>52023</t>
  </si>
  <si>
    <t>QC: Phòng dèm pha trách cứ.</t>
  </si>
  <si>
    <t>QC: Thoái nhàn.</t>
  </si>
  <si>
    <t xml:space="preserve">Trong gia đạo, biết đề phòng        </t>
  </si>
  <si>
    <t xml:space="preserve">Bò hai đuôi, chuột miệng dài         </t>
  </si>
  <si>
    <t xml:space="preserve">Bỏ nơi kia, đến nơi này              </t>
  </si>
  <si>
    <t xml:space="preserve">Hợp tan, họa hoạn nên phòng         </t>
  </si>
  <si>
    <t xml:space="preserve">Sợ lo, tiếng sấm nổ vang          </t>
  </si>
  <si>
    <t xml:space="preserve">Lẻ hồng bay tít dặm ngoài,      </t>
  </si>
  <si>
    <t xml:space="preserve">Tiến đi thời vẫn truân chuyên,            </t>
  </si>
  <si>
    <t>12033b</t>
  </si>
  <si>
    <t>22033b</t>
  </si>
  <si>
    <t xml:space="preserve">             Gió xuân đào lý ấm êm,</t>
  </si>
  <si>
    <t xml:space="preserve">Đương yên sao bỗng lo âu,    </t>
  </si>
  <si>
    <t xml:space="preserve">Trên ra mệnh lệnh dưới hành,       </t>
  </si>
  <si>
    <t xml:space="preserve">Mấy khi chủ khách tâm đồng,         </t>
  </si>
  <si>
    <t xml:space="preserve">Lộc còn cách mấy trùng san,         </t>
  </si>
  <si>
    <t xml:space="preserve">Tin nhà từ độ đi Nam,                 </t>
  </si>
  <si>
    <t>Than van rồi cười nói,</t>
  </si>
  <si>
    <t xml:space="preserve">Lộc tài kiệm ước nên thừa,         </t>
  </si>
  <si>
    <t>MHC: Tìm người đồng đạo đồng khí để tiến tu, không làm điều gì để hối tiếc.</t>
  </si>
  <si>
    <t>MHC: Nếu có hóa công nguyên khí thì có tạo tác nhà cửa.</t>
  </si>
  <si>
    <t>MHC: Nghiêm chỉnh giữ uy, quả quyết giữ nghĩa. Nhân tâm nể sợ thì mới tốt về sau.</t>
  </si>
  <si>
    <t>MHC: Tính người mẫn tiệp, trước bị người ngược đãi, sau hợp được và tính việc gì cũng thành.</t>
  </si>
  <si>
    <t>MHC: Biết thời cơ, được người tán trợ, hoặc được vào nội hàn, nội xá, an lạc tự tại.</t>
  </si>
  <si>
    <t>MHC: Hàn vi mà trở nên phú quý, phải cẩn mật, kẻo giặc cướp đến.</t>
  </si>
  <si>
    <t>QC: Đồng liêu bất hòa, bị lỗi.</t>
  </si>
  <si>
    <t>QC: Khắc phục gian nan, phòng kẻ ganh tỵ.</t>
  </si>
  <si>
    <t>QC: Xin về hưu.</t>
  </si>
  <si>
    <t>QC: Phòng chức giáng.</t>
  </si>
  <si>
    <t>QC: Làm nổi trọng trách.</t>
  </si>
  <si>
    <t>QC: Được tiến cử vinh hiển.</t>
  </si>
  <si>
    <t>QC: Có chủ trương, nên cẩn trọng.</t>
  </si>
  <si>
    <t>QC: Hay dèm pha, nịnh nọt.</t>
  </si>
  <si>
    <t>QC: Tiến thoái vô định.</t>
  </si>
  <si>
    <t>QC: Nhỏ, lại hay rắc rối.</t>
  </si>
  <si>
    <t>QC: Được khen tặng hay huy chương.</t>
  </si>
  <si>
    <t>QC: Khó ổn định.</t>
  </si>
  <si>
    <t>QC: Lợi cho quân, hại cho ấp.</t>
  </si>
  <si>
    <t>QC: Coi về xe ngựa.</t>
  </si>
  <si>
    <t>QC: Nên lui bước.</t>
  </si>
  <si>
    <t>QC: Phòng trích giáng.</t>
  </si>
  <si>
    <t>QC: Có cái lo về chức phận.</t>
  </si>
  <si>
    <t>QC: Hoạn nạn, tiến thoái đều khó tránh.</t>
  </si>
  <si>
    <t>QC: Có thăng chuyển.</t>
  </si>
  <si>
    <t>QC: Nghiêm, ít khoan thứ.</t>
  </si>
  <si>
    <t>QC: Phòng kẻ xu nịnh ngăn bước.</t>
  </si>
  <si>
    <t>QC: Trở về Trung Ương.</t>
  </si>
  <si>
    <t>QC: Địa vị thấp, gian nan.</t>
  </si>
  <si>
    <t>QC: Phòng thoái.</t>
  </si>
  <si>
    <t>QC: Vị cao, gần nguyên thủ.</t>
  </si>
  <si>
    <t>QC: Được trên yêu dưới kính.</t>
  </si>
  <si>
    <t>QC: Nên từ.</t>
  </si>
  <si>
    <t>MHC: Có uy quyền để chinh phạt làm cho dân an nước vững.</t>
  </si>
  <si>
    <t>MHC: Bình dị gần dân, nhiều người kính mến, gia đạo hưng long. Nữ mạng thì vượng chồng, lợi con, công to nội trợ.</t>
  </si>
  <si>
    <t>MHC: Người trung nghĩa, sửa được lỗi trên, đổi được tục dưới.</t>
  </si>
  <si>
    <t>MHC: Kiệt lực vì trung hiếu.</t>
  </si>
  <si>
    <t>MHC: Đức cao vọng trọng, trừ tà giúp thiện, trên vun đức trị dưới sửa tục dân, thành một bậc Nguyên Lão của thời đại.</t>
  </si>
  <si>
    <t>NT: Kinh doanh đắc lợi, đại để nên châm chước cho hợp với thời nghi.</t>
  </si>
  <si>
    <t>NT: Nhiều việc bôn tẩu vất vả, điều nọ tiếng kia, hoặc sinh ám tật, tổn thương da thịt.</t>
  </si>
  <si>
    <t>NT: Được đề cử, kinh doanh trôi chảy. Tuy gặp tri kỷ, cũng đừng cậy thế.</t>
  </si>
  <si>
    <t>NT: Không toại nguyện, dưới ghét, trên ngờ.</t>
  </si>
  <si>
    <t>NT: Hoặc lấy vợ đẻ con, hoặc có con nuôi. Hoặc giới thiệu đồ đệ.</t>
  </si>
  <si>
    <t>NT: Hưởng lợi tức.</t>
  </si>
  <si>
    <t>NT: Tất tả ngược xuôi. Tĩnh thì hơn.</t>
  </si>
  <si>
    <t>Ý HÀO: Ở giữa hoạn nạn mà vẫn giữ được chí ngay.</t>
  </si>
  <si>
    <t>MHC: Tài đức cao, có chí phục vụ, nhưng tiếc rằng mưu chẳng được dùng, việc bị trở ngại ở quyền khu trên, nên lòng chẳng thỏa mãn, tuy không đạt chí cho đời, cũng nêu gương tốt về sau.</t>
  </si>
  <si>
    <t>NT: Thành thực nên người cảm phục, kinh doanh được việc.</t>
  </si>
  <si>
    <t>NT: Không thông thạo, có dự tính đáng làm lại không làm, đáng đi ra ngoài thì cứ ru rú ở nhà, đại khái nên hoạt động, không nên im lìm.</t>
  </si>
  <si>
    <t>NT: Được lợi, hoặc sanh con, duy người già có ám tật.</t>
  </si>
  <si>
    <t>NT: Trước khó sau dễ, có thể có tang phục.</t>
  </si>
  <si>
    <t>NT: Cứ an thường thì toại ý, nếu vọng động sẽ khốn.</t>
  </si>
  <si>
    <t>MKH: Nhu nhược, phúc nhỏ, thọ ít.</t>
  </si>
  <si>
    <t>MKH: Cũng là người óc sáng, chí rộng, biết xa, lo sâu, điều được mất mặc cho tự nhiên, tiến ngừng đều toại chí.</t>
  </si>
  <si>
    <t>MKH: Khó gặp đồng chí, lo lắng, gian nan, bôn tẩu.</t>
  </si>
  <si>
    <t>MKH: Cũng có cương, có nhu, đức nghiệp đều tốt.</t>
  </si>
  <si>
    <t>MKH: Được nhờ âm công tổ nghiệp hưởng thụ, không khó nhọc gì, ra ngoài cũng gặp tri kỷ, nhưng phòng xương thịt bị cắn đứt.</t>
  </si>
  <si>
    <t>MKH: Thân gia lúc khốn đốn có lương bằng giúp sức, trước kiển sau thái.</t>
  </si>
  <si>
    <t>MKH: Cũng là người thành tín, từ huệ, đức nghiệp lớn, phúc trạch nhiều.</t>
  </si>
  <si>
    <t>MKH: Cũng xuất chúng, nơi làng nước cảnh ngưỡng mình, thân vinh, nhà vượng.</t>
  </si>
  <si>
    <t>MKH: Cũng nhân hậu, có lòng làm ơn huệ cho người khác, nên hưởng phúc, là tăng đạo thì thông tuệ, đi buôn bán cũng tử tế.</t>
  </si>
  <si>
    <t>MKH: Nhút nhát, không quả quyết, thiên lệch không hợp đạo trung, ưa thí những ơn huệ nhỏ để mang tai họa.</t>
  </si>
  <si>
    <t>MKH: Cũng có học vấn độ lượng tuy không vinh hiển, nhưng cũng là phú hữu.</t>
  </si>
  <si>
    <t>MKH: Cũng phản tỉnh luôn, chẳng vinh hoa thì cũng giữ vững được gia nghiệp.</t>
  </si>
  <si>
    <t>QC: Không tài cứu nguy, sửa lệch.</t>
  </si>
  <si>
    <t>QC: Được hưởng lộc tế lễ.</t>
  </si>
  <si>
    <t>QC: Vị khó thay đổi.</t>
  </si>
  <si>
    <t>QC: Nói thẳng, hay bị xuyên tạc sự thực, trước xấu, sau lành.</t>
  </si>
  <si>
    <t>QC: Có thay đổi, hoặc sang ngành ngôn luận, sử quán v.v...</t>
  </si>
  <si>
    <t>QC: Làm trưởng, cầm quyền bính, hoặc được phong Tướng, dự mưu quốc sự.</t>
  </si>
  <si>
    <t>QC: Tận tâm với chức vụ nên được thăng mau.</t>
  </si>
  <si>
    <t>QC: Trước nghịch sau thuận.</t>
  </si>
  <si>
    <t>MKH: Cũng giữ đạo, lập thân, biết tiến thủ, nghề nghiệp biết canh tân.</t>
  </si>
  <si>
    <t>MKH: Trước khốn sau yên, hoặc cốt nhục bị hình thương.</t>
  </si>
  <si>
    <t>BẢNG QUY ĐỔI THÁNG SINH</t>
  </si>
  <si>
    <t>51949</t>
  </si>
  <si>
    <t>61949</t>
  </si>
  <si>
    <t>71949</t>
  </si>
  <si>
    <t>81949</t>
  </si>
  <si>
    <t>GS: Được tiến cử, thăng chuyển.</t>
  </si>
  <si>
    <t>MKH: Quyền vào tay người khác, hoặc gặp vợ hung hãn, hại gia đạo.</t>
  </si>
  <si>
    <t>111934b</t>
  </si>
  <si>
    <t>121934b</t>
  </si>
  <si>
    <t>11935b</t>
  </si>
  <si>
    <t>21935b</t>
  </si>
  <si>
    <t>31935b</t>
  </si>
  <si>
    <t>41935b</t>
  </si>
  <si>
    <t>51935b</t>
  </si>
  <si>
    <t>61935b</t>
  </si>
  <si>
    <t>71935b</t>
  </si>
  <si>
    <t>121903</t>
  </si>
  <si>
    <t>11904</t>
  </si>
  <si>
    <t>21904</t>
  </si>
  <si>
    <t>31904</t>
  </si>
  <si>
    <t>41904</t>
  </si>
  <si>
    <t>51904</t>
  </si>
  <si>
    <t>61904</t>
  </si>
  <si>
    <t>71904</t>
  </si>
  <si>
    <t>81904</t>
  </si>
  <si>
    <t>91904</t>
  </si>
  <si>
    <t>101904</t>
  </si>
  <si>
    <t>111904</t>
  </si>
  <si>
    <t>121904</t>
  </si>
  <si>
    <t>102017</t>
  </si>
  <si>
    <t>112017</t>
  </si>
  <si>
    <t>122017</t>
  </si>
  <si>
    <t>12018</t>
  </si>
  <si>
    <t>22018</t>
  </si>
  <si>
    <t>32018</t>
  </si>
  <si>
    <t>42018</t>
  </si>
  <si>
    <t>MKH: Cũng là kẻ sĩ trung hậu, dấu tài ẩn danh, biết người, biết ta, tử tế.</t>
  </si>
  <si>
    <t>NT: Trước mất sau được, trước giận sau lành. Đề phòng hao tổn lục súc và lo lắng.</t>
  </si>
  <si>
    <t>NT: Kinh doanh trở trệ. Số xấu khó thọ.</t>
  </si>
  <si>
    <t>Thuyền bị nước thẩm lậu, phải có giẻ để trám chỗ lủng, suốt ngày lưu ý (lên đến quẻ Khảm rồi).</t>
  </si>
  <si>
    <t>91909</t>
  </si>
  <si>
    <t>101909</t>
  </si>
  <si>
    <t>111909</t>
  </si>
  <si>
    <t>121909</t>
  </si>
  <si>
    <t>Người nhà có vẻ nghiêm ngặt, tuy ăn năn lo nguy (sợ thương ân) nhưng mà tốt, chứ như đàn bà con trẻ luông tuồng thì sau hối thẹn.</t>
  </si>
  <si>
    <t>Tư tài mất hết, nhỏ hầu bỏ đi.</t>
  </si>
  <si>
    <t>Lòng bao thắc mắc, mưu đồ âm u.</t>
  </si>
  <si>
    <t>MKH: Tham lam không chán, xu phụ quyền thế, hoặc kỹ nghệ lập thân, hoặc chán đời.</t>
  </si>
  <si>
    <t>MKH: Cũng bình sinh được an vui, chuyển bĩ thành thái, nghiệp nhà phong hậu.</t>
  </si>
  <si>
    <t>MKH: Ngang ngạnh ngông cuồng, không đạt kết quả gì.</t>
  </si>
  <si>
    <t>MKH: Quỷ quyệt, xâu dân mọt nước.</t>
  </si>
  <si>
    <t>MKH: Cũng được thóc lúa đầy đủ, làng xóm yên lành.</t>
  </si>
  <si>
    <t>MKH: Cũng là người tự lập, trước khuê ly, sau tương ngộ.</t>
  </si>
  <si>
    <t>MKH: Cũng được người giúp sức, bình sinh an vui, được vui mừng về hôn nhân hay tử tức.</t>
  </si>
  <si>
    <t>MKH: Không lánh ác, gần thiện, nên công nghiệp hẹp hòi.</t>
  </si>
  <si>
    <t xml:space="preserve">Thiên thời địa lợi hanh thông,       </t>
  </si>
  <si>
    <t xml:space="preserve">Dưới trên giữ Tín đừng sai,       </t>
  </si>
  <si>
    <t>NT: Buôn bán có lợi. Người cô quả gặp thân nhân.</t>
  </si>
  <si>
    <t>Theo-Ghét</t>
  </si>
  <si>
    <t xml:space="preserve">Chúng theo, </t>
  </si>
  <si>
    <t xml:space="preserve">Chúng ghét, </t>
  </si>
  <si>
    <t>chẳng kêu gọi ai được nữa, sau xấu.</t>
  </si>
  <si>
    <t>MKH: Trái nghĩa, mất tin cậy, thân và nhà bị phá tổn.</t>
  </si>
  <si>
    <t>MKH: Hung bạo quá, nên họa hại luôn.</t>
  </si>
  <si>
    <t>MKH: Tài nhược chí đoản, nghèo khó mãi.</t>
  </si>
  <si>
    <t>MKH: Thương thân, tổn tài, hình thê.</t>
  </si>
  <si>
    <t>MHC: Thong dong xem thời liệu biến để canh cải những tệ hại cũ khiến quần chúng hợp sức và đời sau ngưỡng mộ.</t>
  </si>
  <si>
    <t>Tiểu nhân ám muội đau lòng bác lư.</t>
  </si>
  <si>
    <t>NT: Chuyên vụ lợi bị oán trách, hình khắc tổn thương thê thảm.</t>
  </si>
  <si>
    <t>NT: Không kẻ giúp, kinh doanh khó.</t>
  </si>
  <si>
    <t>NT: Phòng lo sợ, tang phục. Chỉ người buôn bán tiến hành có lợi.</t>
  </si>
  <si>
    <t>Chiều tà đã xuống, lộ trình còn xa.</t>
  </si>
  <si>
    <t>Sợ rằng đeo nhục khổ phiền thân tâm.</t>
  </si>
  <si>
    <t xml:space="preserve">Quẫn bách thu đông khoảng, </t>
  </si>
  <si>
    <t>Thấy hùm cũng chớ kinh.</t>
  </si>
  <si>
    <t>Thì đời mới có tiến trình phong quang.</t>
  </si>
  <si>
    <t>Xưa buồn, nay gặp trâu bò lại vui.</t>
  </si>
  <si>
    <t>Quay đầu chỉ thấy thân cô mộng tàn.</t>
  </si>
  <si>
    <t>Anh hùng đồ điếu lập công phi thường.</t>
  </si>
  <si>
    <t>Cửa nhà huyên náo tâm tình ngẩn ngơ.</t>
  </si>
  <si>
    <t xml:space="preserve">Chân thành ai thích phù hoa, </t>
  </si>
  <si>
    <t>Gặp ngày Tý Sửu người hiền giúp cho.</t>
  </si>
  <si>
    <t>Mái chèo thuận với thu phong đi về.</t>
  </si>
  <si>
    <t>Việc đời chưa thuận, lạc cùng sinh bi.</t>
  </si>
  <si>
    <t xml:space="preserve">Yêu một người, ghét một người       </t>
  </si>
  <si>
    <t xml:space="preserve">Cao minh, khoan hậu thành to  </t>
  </si>
  <si>
    <t>Vốn mềm phải cứng cho oai việc làm.</t>
  </si>
  <si>
    <t xml:space="preserve">Làm gì ai cũng biết thừa,          </t>
  </si>
  <si>
    <t>Lộc tự trên trời xuống,    (Lộc tòng thiên thượng chi)</t>
  </si>
  <si>
    <t>Hai voi chật cửa theo      (Nhị tượng mãn môn lan)</t>
  </si>
  <si>
    <t xml:space="preserve">Việc trong năm Tý Ngọ,   (Tý Ngọ niên trung sự)  </t>
  </si>
  <si>
    <t>Lập gốc trước chờ heo.    (Phùng chư tiên lập căn)</t>
  </si>
  <si>
    <t>Vượt qua tổ ông (hào 3, hào 4) gặp tổ bà (hào 5). Chẳng kịp ngang vua, làm đúng phận bầy tôi, không lỗi gì.</t>
  </si>
  <si>
    <t>Cảm cái đùi vế (càng xa chân, không đi được), cứ cố theo người (hào 4) vậy tiến đi là hối thẹn.</t>
  </si>
  <si>
    <t>Giữ chính thì tốt, mất cả hối tiếc, đi lại bối rối (cảm tính) theo tư tưởng của anh chỉ vì bọn mà thôi.</t>
  </si>
  <si>
    <t>Cảm đám thịt ở lưng (trái với tim nên vô tư) không hối hận gì.</t>
  </si>
  <si>
    <t>22047b</t>
  </si>
  <si>
    <t>32047b</t>
  </si>
  <si>
    <t>42047b</t>
  </si>
  <si>
    <t>52047b</t>
  </si>
  <si>
    <t>62047b</t>
  </si>
  <si>
    <t>NT: Họa đi phúc sắp lại, kẻ thù lùi dần. Ruộng vườn thâu hoạch. Lo hóa mừng, mất thành được. Số xấu tổn vong hình khắc.</t>
  </si>
  <si>
    <t>41978b</t>
  </si>
  <si>
    <t>51978b</t>
  </si>
  <si>
    <t>Tấm thân an tĩnh, niềm vui thái hòa.</t>
  </si>
  <si>
    <t>Một còn một mất biết đâu mà lường.</t>
  </si>
  <si>
    <t>Tài trai lỗi lạc nhòm khinh sự thường.</t>
  </si>
  <si>
    <t xml:space="preserve">Chỉ, hành chưa quyết một bề    </t>
  </si>
  <si>
    <t xml:space="preserve">Cây ngay bóng thẳng xét mình,       </t>
  </si>
  <si>
    <t>Cửa nhà ám muội sinh,</t>
  </si>
  <si>
    <t xml:space="preserve">Trước khó sau dễ mới hay,          </t>
  </si>
  <si>
    <t xml:space="preserve">Bỏ xe đi bộ tỏ ra kiệm cần.    </t>
  </si>
  <si>
    <t xml:space="preserve">Bắc rất tốt, Nam lôi thôi        </t>
  </si>
  <si>
    <t xml:space="preserve">Lòng muốn nhanh, sự chẳng nhanh,  </t>
  </si>
  <si>
    <t>Tiếng vang chó sủa, thôi đừng đi qua.</t>
  </si>
  <si>
    <t>Thừa thế hại người, chính mình hại</t>
  </si>
  <si>
    <t>Đông Nam gặp bạn mái chèo bồng châu.</t>
  </si>
  <si>
    <t>Xuân sang trồng trúc cho tươi cảnh vườn.</t>
  </si>
  <si>
    <t>Tương lai rực rỡ, khác ngày xa xưa.</t>
  </si>
  <si>
    <t>Ruộng có chim muông nên mới nói chuyện săn bắt, không lỗi gì. Con lớn cầm quân, nếu để con em thì xe chở đầy xác, dù chính cũng xấu (chim muông là giặc. Con lớn là hào 2 đáng vị, con em là hào 4, hào 3).</t>
  </si>
  <si>
    <t>22002b</t>
  </si>
  <si>
    <t>32002b</t>
  </si>
  <si>
    <t>42002b</t>
  </si>
  <si>
    <t>52002b</t>
  </si>
  <si>
    <t>62002b</t>
  </si>
  <si>
    <t>72002b</t>
  </si>
  <si>
    <t>82002b</t>
  </si>
  <si>
    <t>92002b</t>
  </si>
  <si>
    <t>102002b</t>
  </si>
  <si>
    <t>112002b</t>
  </si>
  <si>
    <t>122002b</t>
  </si>
  <si>
    <t>12003b</t>
  </si>
  <si>
    <t>22003b</t>
  </si>
  <si>
    <t>32003b</t>
  </si>
  <si>
    <t>42003b</t>
  </si>
  <si>
    <t>52003b</t>
  </si>
  <si>
    <t>62003b</t>
  </si>
  <si>
    <t>72003b</t>
  </si>
  <si>
    <t>32017b</t>
  </si>
  <si>
    <t>42017b</t>
  </si>
  <si>
    <t>52017b</t>
  </si>
  <si>
    <t>62017b</t>
  </si>
  <si>
    <t>72017b</t>
  </si>
  <si>
    <t>Lâu ngày tự sáng, đâu còn chờ ai.</t>
  </si>
  <si>
    <t>Số ngày trong tháng</t>
  </si>
  <si>
    <t>121981</t>
  </si>
  <si>
    <t>11982</t>
  </si>
  <si>
    <t>21982</t>
  </si>
  <si>
    <t>31982</t>
  </si>
  <si>
    <t>41982</t>
  </si>
  <si>
    <t>62008b</t>
  </si>
  <si>
    <t>72008b</t>
  </si>
  <si>
    <t>82008b</t>
  </si>
  <si>
    <t>92008b</t>
  </si>
  <si>
    <t>NT: Không hiểu việc, không biết gió chiều nào che chiều ấy. Số xấu có thể nguy tới thân.</t>
  </si>
  <si>
    <t>101976b</t>
  </si>
  <si>
    <t>MHC: Công danh phát đạt từ lúc thanh niên, tiếng tăm lừng khắp, phúc lộc dồi dào.</t>
  </si>
  <si>
    <t>MHC: Biết đem cong về ngay, đem quá về vừa, thẩm xét kỹ càng, tuổi thanh niên khó phát đạt, đến muộn tuổi thành công.</t>
  </si>
  <si>
    <t>MHC: Nghĩ tròn, lo xa, việc không khinh động, phép chẳng đổi bừa, giữ trọn vẹn thời Ký Tế, hưởng phúc lớn bền mãi.</t>
  </si>
  <si>
    <t>MHC: Cầu hiền để giúp việc chính trị, gặp người ủy thác được, sự nghiệp rực rỡ đương thời.</t>
  </si>
  <si>
    <t xml:space="preserve">Hiểm như đáy biển mò châu,      </t>
  </si>
  <si>
    <t xml:space="preserve">Trăng đoài lặng, khách hồn lìa,   </t>
  </si>
  <si>
    <t xml:space="preserve">Ở yên, lánh vẫn hơn.        </t>
  </si>
  <si>
    <t xml:space="preserve">Xe đi ngàn dặm,  </t>
  </si>
  <si>
    <t>Lý là lễ (trật tự, pháp độ thiên nhiên).</t>
  </si>
  <si>
    <t>TSN-&gt; hết năm trước năm sinhAL</t>
  </si>
  <si>
    <t>Tháng sinh (ÂL)</t>
  </si>
  <si>
    <t>Còn lại:</t>
  </si>
  <si>
    <t>Năm sinh (ÂL)</t>
  </si>
  <si>
    <t>Giới tính</t>
  </si>
  <si>
    <t>Tháng ÂL của năm AL</t>
  </si>
  <si>
    <t>Ngày DL Mốc:</t>
  </si>
  <si>
    <t>:</t>
  </si>
  <si>
    <t>là ngày 0, tức ngày 1 tính từ 1/1/1901</t>
  </si>
  <si>
    <t>Khiêm nhường có tiếng, dùng việc hành quân có lợi ích chinh phục được ấp nước mình thôi.</t>
  </si>
  <si>
    <t>Tin ở điều lành, tốt.</t>
  </si>
  <si>
    <t>NT: Dời chổ hiểm đến nơi an. Kiện tụng hết, tật ách khỏi, ở tối ra sáng. Số xấu thì có tai ương, khóc ra máu.</t>
  </si>
  <si>
    <t>Đường đời đi đến bước này mà kinh...</t>
  </si>
  <si>
    <t>Xảy khi hoạn nạn đều cùng thương nhau.</t>
  </si>
  <si>
    <t>Nhưng còn nghi hoặc thành công với đời.</t>
  </si>
  <si>
    <t>Biết đâu không kẻ cạn tình đong đưa.</t>
  </si>
  <si>
    <t>Càn1</t>
  </si>
  <si>
    <t>Khôn1</t>
  </si>
  <si>
    <t>Ngựa bay (Ngọ) đổi tốt, án tuyền thân danh.</t>
  </si>
  <si>
    <t>Yên cương roi ngựa, dặm ngàn quản chi.</t>
  </si>
  <si>
    <t>Tai vạc đương thay đổi, nên đường đi còn bị kẹt, có mỡ chim trĩ mà chẳng ăn được (nhưng âm dương hòa). Sắp sửa mưa (hào 6 âm ứng với hào 3 dương) thì hết ăn năn, sau tốt lành.</t>
  </si>
  <si>
    <t>Tai vạc màu vàng (hào 5 cư trung) cái đòn khiêng bằng kim khí, giữ chính bền thì ích lợi.</t>
  </si>
  <si>
    <t>Cái đòn khiêng đỉnh bằng ngọc (chất cương mà hòa nhuận) điều tốt lớn lắm, không có gì là chẳng lợi.</t>
  </si>
  <si>
    <t>Sấm tới, nguy (sợ hào 1 dương nó bức) tưởng chừng mất của (hoảng sợ thế) lên trên chín gò cao, chớ đuổi theo đâu, bảy ngày sẽ được thấy.</t>
  </si>
  <si>
    <t>Sấm phệt xuống bùn (kẹt vào giữa bốn hào âm, hào 4 dương bị chìm nghỉm, sấm không nổ vang được).</t>
  </si>
  <si>
    <t>61978b</t>
  </si>
  <si>
    <t>71978b</t>
  </si>
  <si>
    <t>81978b</t>
  </si>
  <si>
    <t>91978b</t>
  </si>
  <si>
    <t>101978b</t>
  </si>
  <si>
    <t>111978b</t>
  </si>
  <si>
    <t>121978b</t>
  </si>
  <si>
    <t>11979b</t>
  </si>
  <si>
    <t>21979b</t>
  </si>
  <si>
    <t>31979b</t>
  </si>
  <si>
    <t>41979b</t>
  </si>
  <si>
    <t>51979b</t>
  </si>
  <si>
    <t>61979b</t>
  </si>
  <si>
    <t>Cái vạc đảo chân lên, ích lợi là tống được ra những đồ cặn bã (cũng ích lợi) như được thêm vợ bé để sinh con, không lỗi gì.</t>
  </si>
  <si>
    <t>Vạc đã chứa đầy (thức ăn), kẻ hờn ta (hào 1) có lòng ghen ghét, nhưng chẳng tới gần được ta, nên vẫn tốt.</t>
  </si>
  <si>
    <t xml:space="preserve">Ghét ta nó chỉ ba hoa làm gì ?.    </t>
  </si>
  <si>
    <t>Nguyệt lệnh tháng sinh ÂL :</t>
  </si>
  <si>
    <t>HC :</t>
  </si>
  <si>
    <t>ở quẻ chính tiên thiên</t>
  </si>
  <si>
    <t>ở quẻ chính hậu thiên</t>
  </si>
  <si>
    <t>ở quẻ hỗ tiên thiên</t>
  </si>
  <si>
    <t>ở quẻ hỗ hậu thiên</t>
  </si>
  <si>
    <t>Ứng hào:</t>
  </si>
  <si>
    <t>Hào ứng :</t>
  </si>
  <si>
    <t>Số dương</t>
  </si>
  <si>
    <t>Số âm</t>
  </si>
  <si>
    <t>Hóa Công :</t>
  </si>
  <si>
    <t>Địa Nguyên khí :</t>
  </si>
  <si>
    <t>Thiên Nguyên khí :</t>
  </si>
  <si>
    <t>Nạp giáp :</t>
  </si>
  <si>
    <t>Nạp giáp</t>
  </si>
  <si>
    <t>NT: Kinh doanh có kế hoạch, tiền của ngày tăng tiến. Vận xấu có tang phục.</t>
  </si>
  <si>
    <t>111985b</t>
  </si>
  <si>
    <t>121985b</t>
  </si>
  <si>
    <t>11986b</t>
  </si>
  <si>
    <t>21986b</t>
  </si>
  <si>
    <t>31986b</t>
  </si>
  <si>
    <t>41986b</t>
  </si>
  <si>
    <t>51986b</t>
  </si>
  <si>
    <t>61986b</t>
  </si>
  <si>
    <t>71986b</t>
  </si>
  <si>
    <t>81986b</t>
  </si>
  <si>
    <t>91986b</t>
  </si>
  <si>
    <t>101986b</t>
  </si>
  <si>
    <t>111986b</t>
  </si>
  <si>
    <t>121986b</t>
  </si>
  <si>
    <t>11987b</t>
  </si>
  <si>
    <t>21987b</t>
  </si>
  <si>
    <t>31987b</t>
  </si>
  <si>
    <t>41987b</t>
  </si>
  <si>
    <t>51987b</t>
  </si>
  <si>
    <t>61987b</t>
  </si>
  <si>
    <t>71987b</t>
  </si>
  <si>
    <t>81987b</t>
  </si>
  <si>
    <t>91987b</t>
  </si>
  <si>
    <t>101987b</t>
  </si>
  <si>
    <t>111987b</t>
  </si>
  <si>
    <t>121987b</t>
  </si>
  <si>
    <t>11988b</t>
  </si>
  <si>
    <t>21988b</t>
  </si>
  <si>
    <t>31988b</t>
  </si>
  <si>
    <t>41988b</t>
  </si>
  <si>
    <t>51988b</t>
  </si>
  <si>
    <t>61988b</t>
  </si>
  <si>
    <t>122036</t>
  </si>
  <si>
    <t>12037</t>
  </si>
  <si>
    <t>22037</t>
  </si>
  <si>
    <t>32037</t>
  </si>
  <si>
    <t>42037</t>
  </si>
  <si>
    <t>52037</t>
  </si>
  <si>
    <t>62037</t>
  </si>
  <si>
    <t>112046</t>
  </si>
  <si>
    <t>122046</t>
  </si>
  <si>
    <t>GS: Tiến thủ, nên danh.</t>
  </si>
  <si>
    <t>GS: Đỗ cao.</t>
  </si>
  <si>
    <t>QC: Thăng tiến.</t>
  </si>
  <si>
    <t>Chim hạc mẹ gáy ở trong bóng rợp, con nó gáy họa theo, ta có rượu ngon, ta cùng mày chia nhau.</t>
  </si>
  <si>
    <t>Giữ niềm chung thủy bàn hoàn ngại lâu.</t>
  </si>
  <si>
    <t>Sang xuân Đông Bắc gặp người tri âm.</t>
  </si>
  <si>
    <t>Cầu trời đem họa đổi ra cát tường.</t>
  </si>
  <si>
    <t>Giữ mình yên thẳng, ngoài càng thơm danh.</t>
  </si>
  <si>
    <t>Xuân sang phúc lộc kỳ.</t>
  </si>
  <si>
    <t>Bỗng nhiên vận đến, lộc ngôi đường hoàng.</t>
  </si>
  <si>
    <t>Xa lời xiểm nịnh, gương hiền sáng tươi.</t>
  </si>
  <si>
    <t>Lo gì chẳng lộc vinh.</t>
  </si>
  <si>
    <t>100111</t>
  </si>
  <si>
    <t>100011</t>
  </si>
  <si>
    <t>52001b</t>
  </si>
  <si>
    <t>62001b</t>
  </si>
  <si>
    <t>72001b</t>
  </si>
  <si>
    <t>82001b</t>
  </si>
  <si>
    <t>92001b</t>
  </si>
  <si>
    <t xml:space="preserve">Tin qua người lại vui mừng,         </t>
  </si>
  <si>
    <t xml:space="preserve">Ca buồn, hoa rụng, cành trơ         </t>
  </si>
  <si>
    <t xml:space="preserve">Chưa về, chưa thấy dê hầu (Mùi Thân) </t>
  </si>
  <si>
    <t xml:space="preserve">Nhà cao, trâu thấp, đều lo             </t>
  </si>
  <si>
    <t>GS: Sống trong sạch, nên tiến thủ không lem nhem.</t>
  </si>
  <si>
    <t>Ý HÀO: Vô tài, vô vị mà tụ họp thiên hạ, chỉ thêm lo sợ.</t>
  </si>
  <si>
    <t>Ý HÀO: Chỉ biết lên mà không biết ngừng.</t>
  </si>
  <si>
    <t>Ý HÀO: Không có tài cứu khốn, nên phản tỉnh.</t>
  </si>
  <si>
    <t>Ý HÀO: Đức trạch đã phổ biến, nên giữ gốc mãi.</t>
  </si>
  <si>
    <t>Ý HÀO: Cách mệnh đã thành hình. Giữ chính đạo.</t>
  </si>
  <si>
    <t>Ý HÀO: Đức đẹp, công thành.</t>
  </si>
  <si>
    <t>Ý HÀO: Vô tài nên chịu tai hung vậy.</t>
  </si>
  <si>
    <t>Ý HÀO: Ngừng lại ở mức chí thiện.</t>
  </si>
  <si>
    <t xml:space="preserve">Cành khô tươi dần dần.   </t>
  </si>
  <si>
    <t>Muôn điều cần chuyên nhất,</t>
  </si>
  <si>
    <t>Vật không nhốt,</t>
  </si>
  <si>
    <t>Đề phòng có ám nhân.</t>
  </si>
  <si>
    <t>Cổng sâu nên đóng kỹ,</t>
  </si>
  <si>
    <t>Đi đâu nên thận trọng,</t>
  </si>
  <si>
    <t>Tùy nghi biến chuyển chớ ương mà rầy.</t>
  </si>
  <si>
    <t>Vận thái dễ truân tai.</t>
  </si>
  <si>
    <t>Lợi nhỏ tìm Tây Bắc,</t>
  </si>
  <si>
    <t>Thuyền nhỏ phòng chìm đắm,</t>
  </si>
  <si>
    <t xml:space="preserve">Cây thu sợ héo tàn.                 </t>
  </si>
  <si>
    <t>Chợ người đi đã khắp,</t>
  </si>
  <si>
    <t xml:space="preserve">Có công, lộc vị đâu nào ?       </t>
  </si>
  <si>
    <t xml:space="preserve">       Lui về một bước cũng hay, </t>
  </si>
  <si>
    <t xml:space="preserve">Vào dễ ra khó lần khân,           </t>
  </si>
  <si>
    <t>Không qua, ngồi đó vậy</t>
  </si>
  <si>
    <t xml:space="preserve">Bánh lăn ngàn dặm tiến,   </t>
  </si>
  <si>
    <t>Chớ khua trống Ngọ thời.</t>
  </si>
  <si>
    <t>Cánh buồm nghìn dặm nhẹ,</t>
  </si>
  <si>
    <t xml:space="preserve">Ba đào lặng, chẳng kinh.    </t>
  </si>
  <si>
    <t>GS: Tiến thủ gian nan.</t>
  </si>
  <si>
    <t>Ý HÀO: Người có phận sự đã bắt đầu tiến bước, trước khó khăn sau đi được.</t>
  </si>
  <si>
    <t>Ý HÀO: Người đi kiện, nhờ còn biết điều, nên tốt lành.</t>
  </si>
  <si>
    <t>Ý HÀO: Điều binh khiển tướng giỏi, thành công.</t>
  </si>
  <si>
    <t>21946</t>
  </si>
  <si>
    <t>31946</t>
  </si>
  <si>
    <t>41946</t>
  </si>
  <si>
    <t>51946</t>
  </si>
  <si>
    <t>61946</t>
  </si>
  <si>
    <t>GS: Hẹn ngày thành danh.</t>
  </si>
  <si>
    <t>Ngọn đèn ra gió, đường đời hỏi chi ?</t>
  </si>
  <si>
    <t>Gặp dịp sẽ hay hơn.</t>
  </si>
  <si>
    <t>41981</t>
  </si>
  <si>
    <t>51981</t>
  </si>
  <si>
    <t>Trái lẽ thường, ở chính thì tốt, chẳng thể vượt sông lớn (gian nan).</t>
  </si>
  <si>
    <t>Lót dưới dùng cỏ mao trắng, không lỗi. (Tỏ ý rất cẩn thận).</t>
  </si>
  <si>
    <t>101954</t>
  </si>
  <si>
    <t>11962b</t>
  </si>
  <si>
    <t>21962b</t>
  </si>
  <si>
    <t>31962b</t>
  </si>
  <si>
    <t>41962b</t>
  </si>
  <si>
    <t>51962b</t>
  </si>
  <si>
    <t>Nhiều người dựa ý, hóa ra lỗi lầm.</t>
  </si>
  <si>
    <t>Gặp nguy, lỗi nhẹ, làm càn, tai ương.</t>
  </si>
  <si>
    <t>Sự cơ để mất, ai còn mến thương.</t>
  </si>
  <si>
    <t xml:space="preserve">Quả nhiên giữ chính rồi tương ngộ, </t>
  </si>
  <si>
    <t>Hầu thỏ ngưu sà lại phát huy.</t>
  </si>
  <si>
    <t>Có người tin (hào 4) mà không tới trót, bèn loạn mất cuộc tụ hợp của mày (với hào 4). Nếu kêu gọi thì một nhóm đều cười (2 hào âm). Đừng lo, cứ tiến đi, không lỗi gì.</t>
  </si>
  <si>
    <t>Dẫn (hào 3 cùng lên hội với hào 5) thì tốt, không lỗi gì; tin nhau bèn như dùng lễ tế thược (nhỏ mọn mà cảm được thần).</t>
  </si>
  <si>
    <t xml:space="preserve">Trong ngoài buồn tủi mặt hoa,          </t>
  </si>
  <si>
    <t>Tụ hợp như, than thở như (bị hào 4, hào 5 chê) không lợi đâu; vậy đi lên (với hào 6) không lỗi gì, chút đỉnh hối thẹn thôi (vì cùng là âm cả).</t>
  </si>
  <si>
    <t>GS: Nên tri cơ, tùy hoàn cảnh mà tiến thoái.</t>
  </si>
  <si>
    <t>Cương không đi quá, đạo trung rõ ràng.</t>
  </si>
  <si>
    <t>71968b</t>
  </si>
  <si>
    <t>81968b</t>
  </si>
  <si>
    <t>91968b</t>
  </si>
  <si>
    <t>101968b</t>
  </si>
  <si>
    <t>111968b</t>
  </si>
  <si>
    <t>121968b</t>
  </si>
  <si>
    <t>11969b</t>
  </si>
  <si>
    <t>21969b</t>
  </si>
  <si>
    <t>31969b</t>
  </si>
  <si>
    <t>Coi chừng cát hóa hung.</t>
  </si>
  <si>
    <t>Đều phường láo khoét, phòng cơ hại mình.</t>
  </si>
  <si>
    <t>Đồng tâm hợp chí, việc gì chẳng nên.</t>
  </si>
  <si>
    <t>(Tháng-1)s</t>
  </si>
  <si>
    <t>Ngàys</t>
  </si>
  <si>
    <t>Nhuận</t>
  </si>
  <si>
    <t xml:space="preserve">    NĂM SINH</t>
  </si>
  <si>
    <t>Ngày sinh DL</t>
  </si>
  <si>
    <t>111984</t>
  </si>
  <si>
    <t>QC: Nên danh nên giá.</t>
  </si>
  <si>
    <t>QC: Được tuyển dụng vào Phủ Nội.</t>
  </si>
  <si>
    <t>QC: Ngồi chính vị.</t>
  </si>
  <si>
    <t>51924</t>
  </si>
  <si>
    <t>61924</t>
  </si>
  <si>
    <t>71924</t>
  </si>
  <si>
    <t>81924</t>
  </si>
  <si>
    <t>91924</t>
  </si>
  <si>
    <t>101924</t>
  </si>
  <si>
    <t>111924</t>
  </si>
  <si>
    <t>121924</t>
  </si>
  <si>
    <t>11925</t>
  </si>
  <si>
    <t>21925</t>
  </si>
  <si>
    <t>31925</t>
  </si>
  <si>
    <t>41925</t>
  </si>
  <si>
    <t>Sấm tới làm lo ngay ngáy, sau cười nói sằng sặc.</t>
  </si>
  <si>
    <t>Cùm gông sừng con nghé, tốt nhất (để nghé khỏi chạy nhảy, hại sức).</t>
  </si>
  <si>
    <t>Khảm có chổ hiểm, cầu việc nhỏ thì được.</t>
  </si>
  <si>
    <t>Xỏ giày lầm lộn, kính đấy thì không lỗi.</t>
  </si>
  <si>
    <t>Văn minh, được sắc vàng (cư trung) rất tốt.</t>
  </si>
  <si>
    <t>81923b</t>
  </si>
  <si>
    <t>91923b</t>
  </si>
  <si>
    <t>101923b</t>
  </si>
  <si>
    <t>111923b</t>
  </si>
  <si>
    <t>121923b</t>
  </si>
  <si>
    <t>QC: Phúc lộc, già thọ. Việc lớn khó tiến thủ, việc nhỏ tốt.</t>
  </si>
  <si>
    <t>82037</t>
  </si>
  <si>
    <t>92037</t>
  </si>
  <si>
    <t>102037</t>
  </si>
  <si>
    <t>112037</t>
  </si>
  <si>
    <t>122037</t>
  </si>
  <si>
    <t>12038</t>
  </si>
  <si>
    <t>111913</t>
  </si>
  <si>
    <t>121913</t>
  </si>
  <si>
    <t>11914</t>
  </si>
  <si>
    <t>21914</t>
  </si>
  <si>
    <t>31914</t>
  </si>
  <si>
    <t>41914</t>
  </si>
  <si>
    <t>51914</t>
  </si>
  <si>
    <t>61914</t>
  </si>
  <si>
    <t>71914</t>
  </si>
  <si>
    <t>81914</t>
  </si>
  <si>
    <t>11918b</t>
  </si>
  <si>
    <t>Chạy nhiều, ngồi đó buồn liền hóa vui.</t>
  </si>
  <si>
    <t>Công nhiên xử sự có ngày thành công.</t>
  </si>
  <si>
    <t>Tín thành, sáng suốt nên công, sợ gì.</t>
  </si>
  <si>
    <t>Hy sinh làm thiện, phúc bền, hanh thông.</t>
  </si>
  <si>
    <t>71945b</t>
  </si>
  <si>
    <t>81945b</t>
  </si>
  <si>
    <t>91945b</t>
  </si>
  <si>
    <t>101945b</t>
  </si>
  <si>
    <t>111945b</t>
  </si>
  <si>
    <t>121945b</t>
  </si>
  <si>
    <t>11946b</t>
  </si>
  <si>
    <t>21946b</t>
  </si>
  <si>
    <t>31946b</t>
  </si>
  <si>
    <t>41946b</t>
  </si>
  <si>
    <t>51946b</t>
  </si>
  <si>
    <t>52030</t>
  </si>
  <si>
    <t>62030</t>
  </si>
  <si>
    <t>72030</t>
  </si>
  <si>
    <t>82030</t>
  </si>
  <si>
    <t>92030</t>
  </si>
  <si>
    <t>102030</t>
  </si>
  <si>
    <t>112030</t>
  </si>
  <si>
    <t>MHC: Chí lớn cương quyết, sắp đặt hơn người, trước gian truân, sau nhàn lạc.</t>
  </si>
  <si>
    <t>MHC: Tâm quảng đại, có tài đức, giàu sang.</t>
  </si>
  <si>
    <t>MHC: Làm lớn mà vẫn khiêm nhường, trời cũng thương, phú quý lâu bền.</t>
  </si>
  <si>
    <t>Chủ trương có thay đổi, giữ chính thì tốt, ra ngoài cửa (vô tư) để giao thiệp thì có công.</t>
  </si>
  <si>
    <t>Đi lên thì vất vả, ở lại thì được khen.</t>
  </si>
  <si>
    <t>Tiến đi thì vất vả, quay trở lại thì hơn.</t>
  </si>
  <si>
    <t>NT: Tối ở nhà, sáng ở chợ, buồn vui phức tạp, hoặc xấu hổ về việc phu nhân. Hào này nữ mệnh thì tốt, nam mệnh xấu.</t>
  </si>
  <si>
    <t>Giữ bề trong trắng, tiến đi, không lỗi.</t>
  </si>
  <si>
    <t>122035</t>
  </si>
  <si>
    <t>12036</t>
  </si>
  <si>
    <t>22036</t>
  </si>
  <si>
    <t>Thấy kẻ (hào 2) kéo xe mình lùi lại, con trâu (hào 4) ngăn trước. Người này (hào 3) như bị trổ mặt cắt mũi. Tuy không trước, nhưng rồi có sau (sẽ được gặp hào 6 ứng).</t>
  </si>
  <si>
    <t>Rau nghiện lục đấy (rau mã xỉ hay rau sam, tức hào 6 âm tiểu nhân), nếu quyết quyết, cứ đạo trung mà đi (đừng cảm tình với hào 6) thì không lỗi gì.</t>
  </si>
  <si>
    <t>Không kêu khóc ai được (tiểu nhân hết thời rồi), kết cục là xấu.</t>
  </si>
  <si>
    <t>Buộc nó vào cái dây hãm (dây phanh) bằng kim khí thì đạo chính (của Quân tử) mới được tốt lành, nếu để cho nó tiến lên, thấy xấu ngay, con heo gầy yếu mà tin chắc rằng nó sẽ nhảy nhót (tiểu nhân mà thả lỏng thì sẽ làm càn).</t>
  </si>
  <si>
    <t>QC: Bị hành xích, biếm phạt.</t>
  </si>
  <si>
    <t>QC: Bị biếm phạt, khó tiến.</t>
  </si>
  <si>
    <t>GS: Bị biếm phạt, khó tiến.</t>
  </si>
  <si>
    <t>82034</t>
  </si>
  <si>
    <t>111939</t>
  </si>
  <si>
    <t>Cầu người hòa vui về với mình, xấu (Hào 3 bất trung bất chính, lại ở giữa  4 hào dương khác nào 1 gái ở giữa 4 thằng trai).</t>
  </si>
  <si>
    <t>MHC: Người có danh dự, dời tổ đi lập nghiệp bên ngoài, bỏ gần theo xa, chí để vào việc công, đừng tư kỷ thì hưởng phúc.</t>
  </si>
  <si>
    <t>MHC: Khoan dung, chí công vô tư.</t>
  </si>
  <si>
    <t>MHC: Tài đức chưa đắc dụng, thừa của mà thiếu danh.</t>
  </si>
  <si>
    <t>MHC: Biết lẽ khiêm cung, vượt đường nguy nan, trên tin, dưới cậy, giữ được đất đai, tu dưỡng an nhàn.</t>
  </si>
  <si>
    <t>MHC: Được dựa thế lực, nhưng chỉ thành việc nhỏ.</t>
  </si>
  <si>
    <t>MHC: Tài to đức lớn, giải quyết đại sự.</t>
  </si>
  <si>
    <t>MHC: Dũng tiến, quyết tâm làm; trải bao gian nan, lập được công trạng, đúng đạo nghĩa của tiền nhân, để lại quy mô cho con cháu.</t>
  </si>
  <si>
    <t>MHC: Tài cao đức trọng, kính trên thương dưới, bài xích những lời dèm pha, đó là bậc đại quý.</t>
  </si>
  <si>
    <t>MHC: Tính mẫn tiệp, dĩnh ngộ, tập khoa tiểu nhi, kế sống qua ngày.</t>
  </si>
  <si>
    <t>MKH: Không được nhờ tổ nghiệp gặp khó không nản, vinh không kiêu.</t>
  </si>
  <si>
    <t>MKH: Cũng là người công bằng chính trực, biết tùy thời, xóm làng kính nể.</t>
  </si>
  <si>
    <t>MKH: Dù có lợi danh cũng nhỏ hẹp.</t>
  </si>
  <si>
    <t>MKH: Tầm thường, nhu nhược hoặc tật chân.</t>
  </si>
  <si>
    <t>MKH: Vất vả bôn ba dựa thế phú hào.</t>
  </si>
  <si>
    <t>MKH: Chân chẳng đứng yên, việc không nhất định, hoặc tiểu nhân làm hại, hoặc chính mình sinh chuyện tiểu tiết vụn vặt.</t>
  </si>
  <si>
    <t>MKH: Tu tỉnh, không cần văn hoa, vui với đạo.</t>
  </si>
  <si>
    <t>Ý HÀO: Được vị Nguyên thủ xứng đáng, làm việc vừa chính vừa tốt.</t>
  </si>
  <si>
    <t>Ý HÀO: Đồng đạo cùng đi.</t>
  </si>
  <si>
    <t>Ý HÀO: Người ẩn dật tự cao.</t>
  </si>
  <si>
    <t>Ý HÀO: Có đức cương trung, giữ được nghiệp lớn.</t>
  </si>
  <si>
    <t>Ý HÀO: Cương mà không gặp được ai, cũng nguy.</t>
  </si>
  <si>
    <t>MHC: Tài đức quảng đại, không những lập được nghiệp nhà mà dựng được quốc thể, hưởng phú quý.</t>
  </si>
  <si>
    <t>MHC: Đức vọng làm cho người tin, ngay thẳng làm cho người hết bạo ngược, nhỏ khó phát triển, lớn lên thành đạt lớn.</t>
  </si>
  <si>
    <t>MHC: Tính khôn, khéo xử nghịch cảnh thấy hiểm trở thì ngừng lại, trước khó sau gặp.</t>
  </si>
  <si>
    <t>MHC: Liệu sự giao thiệp thân sơ như thế nào rồi hãy cầu, đo thời thế nên chăng ra sao rồi hãy làm, thì mới đạt được chí, toại được ý, thành quý nhân được.</t>
  </si>
  <si>
    <t>MHC: Trước làm nhỏ sau làm lớn, trước khó sau dễ.</t>
  </si>
  <si>
    <t>Cởi bỏ ngón chân cái của mày đi (bảo hào 4 bỏ hào 1 đi) thì bạn mới đến mà tin tưởng đó.</t>
  </si>
  <si>
    <t>Người Quân tử chỉ có cách giải tán chúng (3 hào âm tiểu nhân) thì mới tốt; có điều chứng minh ở chỗ nhìn vào bọn tiểu nhân (xem chúng chịu lui hay không).</t>
  </si>
  <si>
    <t>Ý HÀO: Phận nhỏ nhưng không làm hại điều thiện thì vẫn tốt lành.</t>
  </si>
  <si>
    <t>Ý HÀO: Có sánh vai với người, nhưng không tốt.</t>
  </si>
  <si>
    <t>Ý HÀO: Làm thành việc lớn.</t>
  </si>
  <si>
    <t>Ý HÀO: Danh dự lên cao mà vẫn giữ đức chính.</t>
  </si>
  <si>
    <t>Ý HÀO: Giữ trung chánh, gặp cơ hội.</t>
  </si>
  <si>
    <t>Ý HÀO: Mất đường lối chữ Tùy.</t>
  </si>
  <si>
    <t>NT: Hôn nhân thành, khỏi nguy đến an, mưu tính trước nghịch sau thuận.</t>
  </si>
  <si>
    <t>NT: Phòng bè gian oán hờn.</t>
  </si>
  <si>
    <t>MHC: Quân tử, một mình giữ được điều thiện, phúc trạch rộng lớn.</t>
  </si>
  <si>
    <t>MHC: Chí thành, việc dương thì cảm được nguyên thủ, việc âm thì cảm được thần linh công to danh hiển.</t>
  </si>
  <si>
    <t>MHC: Tuy thành danh sớm nhưng muộn mới được hưởng lộc.</t>
  </si>
  <si>
    <t>12012b</t>
  </si>
  <si>
    <t>22012b</t>
  </si>
  <si>
    <t>32012b</t>
  </si>
  <si>
    <t>42012b</t>
  </si>
  <si>
    <t>52012b</t>
  </si>
  <si>
    <t>62012b</t>
  </si>
  <si>
    <t>72012b</t>
  </si>
  <si>
    <t>82012b</t>
  </si>
  <si>
    <t>92012b</t>
  </si>
  <si>
    <t>102012b</t>
  </si>
  <si>
    <t>112012b</t>
  </si>
  <si>
    <t>122012b</t>
  </si>
  <si>
    <t>12013b</t>
  </si>
  <si>
    <t>22013b</t>
  </si>
  <si>
    <t>32013b</t>
  </si>
  <si>
    <t>42013b</t>
  </si>
  <si>
    <t>52013b</t>
  </si>
  <si>
    <t>62013b</t>
  </si>
  <si>
    <t>72013b</t>
  </si>
  <si>
    <t>82013b</t>
  </si>
  <si>
    <t>92013b</t>
  </si>
  <si>
    <t>Phục</t>
  </si>
  <si>
    <t>Phục1</t>
  </si>
  <si>
    <t>Di</t>
  </si>
  <si>
    <t>Di1</t>
  </si>
  <si>
    <t>Truân</t>
  </si>
  <si>
    <t>Truân1</t>
  </si>
  <si>
    <t>Ích</t>
  </si>
  <si>
    <t>Ích1</t>
  </si>
  <si>
    <t>MKH: Lúc chăm lúc lười, thiếu thận trọng và động tác nóng nảy.</t>
  </si>
  <si>
    <t>Chẳng kiện nổi đâu (hào 5 mạnh). Về mà trốn. Người ấp hắn chỉ có ba trăm nóc nhà, không tai vạ gì.</t>
  </si>
  <si>
    <t>Ý HÀO: Việc chinh phạt đem lại sự chính đáng.</t>
  </si>
  <si>
    <t>Ý HÀO: Nói cách cảm người.</t>
  </si>
  <si>
    <t>Ý HÀO: Chỉ tạo động, lên không biết cố thủ, thế là không đúng đạo hằng.</t>
  </si>
  <si>
    <t>Ý HÀO: Ẩn tránh mà thân khoan thai là hay.</t>
  </si>
  <si>
    <t>Nết ngay ai ghét, phúc lành tự nhiên.</t>
  </si>
  <si>
    <t>Đông Nam tin tốt, dần dần mừng vui.</t>
  </si>
  <si>
    <t>Tiết khí &amp; Ngày giờ vào</t>
  </si>
  <si>
    <t>tiết khí ở Hà Nội</t>
  </si>
  <si>
    <t>11905</t>
  </si>
  <si>
    <t>21905</t>
  </si>
  <si>
    <t>31905</t>
  </si>
  <si>
    <t>41905</t>
  </si>
  <si>
    <t>41966</t>
  </si>
  <si>
    <t>51966</t>
  </si>
  <si>
    <t>61966</t>
  </si>
  <si>
    <t>71966</t>
  </si>
  <si>
    <t>81966</t>
  </si>
  <si>
    <t>91966</t>
  </si>
  <si>
    <t>101966</t>
  </si>
  <si>
    <t>111966</t>
  </si>
  <si>
    <t>121966</t>
  </si>
  <si>
    <t>11967</t>
  </si>
  <si>
    <t>21967</t>
  </si>
  <si>
    <t>NT: Có lo, đau chân tay.</t>
  </si>
  <si>
    <t>QC: Vất vả vì chức vụ nên được tin yêu.</t>
  </si>
  <si>
    <t>QC: Được lựa chọn, tu nghiệp tiến bộ.</t>
  </si>
  <si>
    <t>QC: Là giáo giới, văn giới, pháp luật gia.</t>
  </si>
  <si>
    <t>QC: Bị dèm pha, biện minh được.</t>
  </si>
  <si>
    <t>QC: Tận tâm chức vụ, hanh thông.</t>
  </si>
  <si>
    <t>QC: Có chuyển ngạch.</t>
  </si>
  <si>
    <t>QC: Nếu đương nghỉ thì được phục chức.</t>
  </si>
  <si>
    <t>QC: Thực hiện được đường lối, gặp dịp, thăng tiến.</t>
  </si>
  <si>
    <t>QC: Hiệp lực với đồng liêu, tiến.</t>
  </si>
  <si>
    <t>QC: Chờ bổ nhiệm, đương tại chức bị dèm pha.</t>
  </si>
  <si>
    <t>QC: Vào nội vụ, thăng chuyển.</t>
  </si>
  <si>
    <t>QC: Tri cơ, lui ngay, chớ tham lộc vị.</t>
  </si>
  <si>
    <t>QC: Giữ chức châu quận, gần dân.</t>
  </si>
  <si>
    <t>QC: Thắc mắc, đợi ân sủng. Có việc phải trình bày để khỏi lỗi.</t>
  </si>
  <si>
    <t>QC: Có thay đổi để làm việc chánh đáng.</t>
  </si>
  <si>
    <t>Chỉ gặp cái sừng của mình (hào 6 cương mà ở trên cùng) xấu thẹn, không trách lỗi ai được (tự mình cô lập).</t>
  </si>
  <si>
    <t>Việc kiện, đây lành nhất. (hào 5 trung chính, án xử công minh).</t>
  </si>
  <si>
    <t>Ghi chú</t>
  </si>
  <si>
    <t>MHC: Quý hiển, phúc trạch lớn, ngôn hành đều có thực tâm. (Chữ Nội ngày xưa gợi ý nội hàn, nội xá, ngày nay nội vụ, nội trú…).</t>
  </si>
  <si>
    <t>GS: Gặp quý nhân và có vui mừng.</t>
  </si>
  <si>
    <t>NT: Gặp quý nhân và có vui mừng.</t>
  </si>
  <si>
    <t>QC: Số xấu thì xảy việc kiện tụng do người nhà cố chấp. Hoặc đề phòng kẻ dưới xâm nhờn. An thường thủ phận thì không lỗi.</t>
  </si>
  <si>
    <t>MHC: Có tài đức, không xiểm nịnh. Dễ giữ chức ngôn luận, giảng viên, thông tin v.v...</t>
  </si>
  <si>
    <t>MHC: Siêng năng đức nghiệp. Mẫn tiệp danh cao.</t>
  </si>
  <si>
    <t>MHC: Tài nhỏ, tính bất định, không thân cận người Quân tử. Nữ mệnh: Lấy chồng quý hiển, được con thứ giúp đỡ.</t>
  </si>
  <si>
    <t>MHC: Cương quyết, trung chính nhưng khó gặp tri kỷ, sửa chữa đổ nát, đời rất ngưỡng vọng.</t>
  </si>
  <si>
    <t>MHC: Tiến đức hành đạo, lấy nhân mà đổi được bạo, thi hành được chí hướng, thành công.</t>
  </si>
  <si>
    <t>MHC: Tài sơ đức mỏng, chức nhỏ an phận, mà sau cũng có điều hối thẹn. Hoặc nhờ được quý bà nào giúp đỡ, hoặc được vợ giàu. Nữ mệnh: Được phúc thọ.</t>
  </si>
  <si>
    <t>MHC: Người lớn, làm việc hình phạt lớn. Hoặc nhỏ nhất, cũng làm chức có quyền hình phạt người.</t>
  </si>
  <si>
    <t>MHC: Văn chương học vấn sáng sủa giúp nước.</t>
  </si>
  <si>
    <t>MHC: Người giàu sang trung trực bị dèm pha.</t>
  </si>
  <si>
    <t>MHC: Ngay thẳng, không kiêu, lập công hưởng phúc.</t>
  </si>
  <si>
    <t>MHC: Vừa ngay thẳng, vừa hiếu thuận, chẳng kể công mà công đến, phú quý tự nhiên, bình sinh an nhàn.</t>
  </si>
  <si>
    <t>MHC: Tri cơ, minh mẫn, biết tiến thoái, hoặc treo ấn từ quan.</t>
  </si>
  <si>
    <t>MKH: Không có người che chở, trơ trọi, ít họ bạn, hay bị dèm pha, oán trách, trước trở ngại, sau mới thuận tiện.</t>
  </si>
  <si>
    <t>MKH: Không làm Quan chức cũng có tư tài phong túc, nhà cửa hoa lệ, đồng bộc xúm xít, phúc dày.</t>
  </si>
  <si>
    <t>MKH: Thì làm việc quy mô nhỏ thôi, hoặc làm thầy thuốc, thầy số, tăng ni, tâm sự đa đoan bất nhất.</t>
  </si>
  <si>
    <t>MKH: Cũng là người kết giao vui vẻ.</t>
  </si>
  <si>
    <t>MKH: Lìa nhà, độc lực kinh doanh, buổi đầu thất chí, an tĩnh lâu lâu, muộn sau toại nguyện.</t>
  </si>
  <si>
    <t>MKH: Bỏ tổ nghiệp, bỏ văn theo võ, tự cao tự đại, chẳng hợp tính với ai, hình khắc vợ con, xử sự lầm lỡ.</t>
  </si>
  <si>
    <t xml:space="preserve">Lên mây, nỏ mất tiêu.         </t>
  </si>
  <si>
    <t>GS: Bài thi bị bỏ lại, được xét lại.</t>
  </si>
  <si>
    <t>GS: Lợi thi đại học, lên cao được vào Hàn lâm.</t>
  </si>
  <si>
    <t>GS: Phòng trích giáng nhục nhã, dù đã đỗ đạt.</t>
  </si>
  <si>
    <t>Ý HÀO: Cương không gặp ai hết.</t>
  </si>
  <si>
    <t>51905</t>
  </si>
  <si>
    <t>61905</t>
  </si>
  <si>
    <t>71905</t>
  </si>
  <si>
    <t>81905</t>
  </si>
  <si>
    <t>91905</t>
  </si>
  <si>
    <t>101905</t>
  </si>
  <si>
    <t>111905</t>
  </si>
  <si>
    <t>121905</t>
  </si>
  <si>
    <t>11906</t>
  </si>
  <si>
    <t>21906</t>
  </si>
  <si>
    <t>31906</t>
  </si>
  <si>
    <t>41906</t>
  </si>
  <si>
    <t>51906</t>
  </si>
  <si>
    <t>61906</t>
  </si>
  <si>
    <t>71906</t>
  </si>
  <si>
    <t>81906</t>
  </si>
  <si>
    <t>91906</t>
  </si>
  <si>
    <t>101906</t>
  </si>
  <si>
    <t>111906</t>
  </si>
  <si>
    <t>121906</t>
  </si>
  <si>
    <t>11907</t>
  </si>
  <si>
    <t>21907</t>
  </si>
  <si>
    <t>31907</t>
  </si>
  <si>
    <t>Gió mây gặp gỡ thiên niên thái hòa.</t>
  </si>
  <si>
    <t>Chẳng tự bành trướng (thế mình) không lỗi gì.</t>
  </si>
  <si>
    <t>Chỉ xuất thanh vân lộ.)</t>
  </si>
  <si>
    <t>(Nhược ngộ Thảo đầu nhân,</t>
  </si>
  <si>
    <t>Rắn bò, ngựa mén rừng thu dễ nào.</t>
  </si>
  <si>
    <t>Danh thơm lừng khắp, bạc vàng nào hơn.</t>
  </si>
  <si>
    <t>Công hầu cũng mặc, về mà tiêu dao.</t>
  </si>
  <si>
    <t>GS: Công danh thành tựu.</t>
  </si>
  <si>
    <t>GS: Được lựa chọn vui mừng.</t>
  </si>
  <si>
    <t>GS: Tài vượt người, đỗ ưu.</t>
  </si>
  <si>
    <t>GS: Thành danh, nêu cao pháp luật.</t>
  </si>
  <si>
    <t>GS: Nội tháng có vui mừng.</t>
  </si>
  <si>
    <t>GS: Gặp nhiều dịp may, thi bằng nhỏ.</t>
  </si>
  <si>
    <t>MHC: Cũng phong trần, quý mà không có ngôi, cao mà chẳng có dân, thêm thù oán.</t>
  </si>
  <si>
    <t>MHC: Quá cương, không biết hạ mình xuống với người, lấy thế hiếp người, nên bị đời ghét.</t>
  </si>
  <si>
    <t>MHC: Giao thiệp trên với người quyền quý dưới với phú hào, tuy chẳng làm được việc gì lớn nhưng cũng an vững được chức nghiệp của mình.</t>
  </si>
  <si>
    <t>MHC: Nắn cái thiên lệch để về với chính, bớt thái quá để tới trung dung, chỉ lo việc lớn, trên vì nước dưới vì dân.</t>
  </si>
  <si>
    <t>MHC: Tuy ngồi địa vị, ăn lộc nước, mà chẳng biết cách chế độ để tổn tài hại dân, buồn thảm.</t>
  </si>
  <si>
    <t>MHC: Không cha anh, không thầy bạn, đức nghiệp chẳng thành, cử chỉ bất định, dù có giàu sang, cũng là hạng bê bối.</t>
  </si>
  <si>
    <t>MHC: Phòng bị đủ cả, đức cương quyết làm người phục, lòng sáng suốt giữ được thân.</t>
  </si>
  <si>
    <t>MHC: Có tài nhưng vội thì khó thành công. Lớn thì làm Tướng Súy, nhỏ làm quản đốc.</t>
  </si>
  <si>
    <t>MHC: Tài vụng, một mình không đủ làm, phải dựa vào người để múa may cổ vũ mới hay được.</t>
  </si>
  <si>
    <t>NT: Vượt kỷ phận, bị lôi thôi, hoặc trượt cẳng đau.</t>
  </si>
  <si>
    <t>QC: Có quyền binh tướng súy ở bên trong.</t>
  </si>
  <si>
    <t>11918</t>
  </si>
  <si>
    <t>21918</t>
  </si>
  <si>
    <t>31918</t>
  </si>
  <si>
    <t>41918</t>
  </si>
  <si>
    <t>51918</t>
  </si>
  <si>
    <t>QC: Mất chức thì được phục hồi. Chờ việc thì được bổ.</t>
  </si>
  <si>
    <t>Tự tin (thong dong chờ thời) như khi uống rượu, không lỗi gì, nhưng nếu (để rượu) ướt cả đầu (đi quá trớn) thì tự tin là đánh mất lẽ phải rồi.</t>
  </si>
  <si>
    <t>NT: Cương quá nên hỏng việc. Ngoài 50 tuổi gặp hào này chẳng thọ bao lâu nữa.</t>
  </si>
  <si>
    <t>32007</t>
  </si>
  <si>
    <t>42007</t>
  </si>
  <si>
    <t>52007</t>
  </si>
  <si>
    <t>62007</t>
  </si>
  <si>
    <t>72007</t>
  </si>
  <si>
    <t>82007</t>
  </si>
  <si>
    <t>92007</t>
  </si>
  <si>
    <t>102007</t>
  </si>
  <si>
    <t>112007</t>
  </si>
  <si>
    <t>122007</t>
  </si>
  <si>
    <t>12008</t>
  </si>
  <si>
    <t>22008</t>
  </si>
  <si>
    <t>32008</t>
  </si>
  <si>
    <t>42008</t>
  </si>
  <si>
    <t>52008</t>
  </si>
  <si>
    <t>62008</t>
  </si>
  <si>
    <t>72008</t>
  </si>
  <si>
    <t>82008</t>
  </si>
  <si>
    <t>92008</t>
  </si>
  <si>
    <t>102008</t>
  </si>
  <si>
    <t>112008</t>
  </si>
  <si>
    <t>122008</t>
  </si>
  <si>
    <t>12009</t>
  </si>
  <si>
    <t>22009</t>
  </si>
  <si>
    <t>32009</t>
  </si>
  <si>
    <t>NT: Mọi việc được thuận hòa.</t>
  </si>
  <si>
    <t>Chẳng giữ được đức hằng, có khi bị đeo xấu hổ, dù chính cũng xấu thẹn.</t>
  </si>
  <si>
    <t>Giữ đức theo đạo hằng, thế là chính bền, nhưng đàn bà thì tốt, đàn ông thì xấu.</t>
  </si>
  <si>
    <t>Làm chấn động đạo hằng, xấu.</t>
  </si>
  <si>
    <t>V.Vọng</t>
  </si>
  <si>
    <t>V.Vọng1</t>
  </si>
  <si>
    <t>Cấu</t>
  </si>
  <si>
    <t>Cấu1</t>
  </si>
  <si>
    <t>Đ.Quá</t>
  </si>
  <si>
    <t>Đ.Quá1</t>
  </si>
  <si>
    <t>Đỉnh</t>
  </si>
  <si>
    <t>Đỉnh1</t>
  </si>
  <si>
    <t>Hằng</t>
  </si>
  <si>
    <t>11900</t>
  </si>
  <si>
    <t>21900</t>
  </si>
  <si>
    <t>Đợi ở nơi đất rộng xa. Giữ nết hằng thì có lợi, không lỗi gì.</t>
  </si>
  <si>
    <t>91987</t>
  </si>
  <si>
    <t>101987</t>
  </si>
  <si>
    <t>111943</t>
  </si>
  <si>
    <t>121943</t>
  </si>
  <si>
    <t>11944</t>
  </si>
  <si>
    <t>21944</t>
  </si>
  <si>
    <t>31944</t>
  </si>
  <si>
    <t>QC: Thăng chuyển, giữ chức trông coi tế lễ (hoặc giám sát ngày nay).</t>
  </si>
  <si>
    <t>QC: Lớn, lộc nước hưởng đời.</t>
  </si>
  <si>
    <t>QC: Được huy chương, thăng thưởng.</t>
  </si>
  <si>
    <t>QC: Hoặc ra chấp chính, hoặc có tên tuổi.</t>
  </si>
  <si>
    <t>QC: Vinh thăng.</t>
  </si>
  <si>
    <t>QC: Trên mến dưới kính, lên chức.</t>
  </si>
  <si>
    <t>Ý HÀO: Mất ít mà được nhiều.</t>
  </si>
  <si>
    <t>Ý HÀO: Có công nghĩa cả, lại biết hóa thiện nữa.</t>
  </si>
  <si>
    <t>MHC: Cũng chỉ kinh doanh việc nhỏ, tham vọng lớn sẽ bị tổn hại.</t>
  </si>
  <si>
    <t>MHC: Tự ý, tự tôn, coi đời như chẳng có ai, mưu kế không thành, mà tính cường bạo đã đem họa đến.</t>
  </si>
  <si>
    <t>MHC: Dù lo nghĩ, vẫn vững vàng, vãn hồi được vận cũ để hưởng phúc yên lành.</t>
  </si>
  <si>
    <t>MHC: Dù được quý nhân đùm bọc, hoặc có chức phận nhỏ nhưng cũng chỉ có tiếng không miếng. Chỉ có tăng ni là tốt.</t>
  </si>
  <si>
    <t>MKH: Cũng bình bình chẳng xấu, già không tật bệnh, sống lâu, tiếng trong sạch.</t>
  </si>
  <si>
    <t>MKH: Chăn nuôi trâu bò có lợi.</t>
  </si>
  <si>
    <t>MKH: Cũng là người ổn thực, phong lưu, đời ít tai nạn.</t>
  </si>
  <si>
    <t>MKH: Cũng là đoan chính buồn vui bất thường, được mẹ hiền, hoặc âm quý nhân giúp.</t>
  </si>
  <si>
    <t>MKH: Đắc chí hoành hành, nghịch trên nạt dưới, chỉ làm quân nhân thì lập được chút công lao.</t>
  </si>
  <si>
    <t>MKH: Thì cũng thanh nhàn hưởng phúc.</t>
  </si>
  <si>
    <t>MKH: Cũng hiểu nhân tình, nhiều người giúp mình, ở nơi ngõ hẻm, chẳng quan tâm đến vinh nhục.</t>
  </si>
  <si>
    <t>MKH: Cha con cùng gian tân, vợ chồng cùng trong sạch. Được làng xóm kính mến.</t>
  </si>
  <si>
    <t>Chiếc thuyền lui tới sóng dềnh to.</t>
  </si>
  <si>
    <t>Đất sinh cây kỷ buổi đương thì.</t>
  </si>
  <si>
    <t xml:space="preserve">Đi tập tễnh, ở không an          </t>
  </si>
  <si>
    <t xml:space="preserve">Nên chăng ta cứ ý ta,           </t>
  </si>
  <si>
    <t xml:space="preserve">Tiểu nhân gặp dịp sắp to,       </t>
  </si>
  <si>
    <t xml:space="preserve">Trăng tròn hoa lại nở ra,       </t>
  </si>
  <si>
    <t xml:space="preserve">Dưới trên tụ họp vui thay,           </t>
  </si>
  <si>
    <t>Mây tan trăng tỏ, tai qua phúc thành.</t>
  </si>
  <si>
    <t>32040b</t>
  </si>
  <si>
    <t xml:space="preserve">Chẳng cam thua sức kém tài,         </t>
  </si>
  <si>
    <t>MKH: Thiên lệch, hay ăn uống rượu chè, vào phục vụ nhà sang, hoặc làm nghề bói toán đủ ăn đủ mặc, nhưng không thành sự nghiệp gì lớn lao.</t>
  </si>
  <si>
    <t>MKH: Ít học, vô danh, có tật nguyền.</t>
  </si>
  <si>
    <t>MKH: Cũng trung hậu, xử sự đúng phép, biết cải cách những tục cũ để xây dựng quy mô mới tốt đẹp.</t>
  </si>
  <si>
    <t>MKH: Cũng đốc thực, tư cơ phong hậu, có kẻ ghét.</t>
  </si>
  <si>
    <t>Mệnh tươi, tai họa sạch</t>
  </si>
  <si>
    <t xml:space="preserve">Đường đi dù tiến chưa yên,       </t>
  </si>
  <si>
    <t>GS: Kết bạn đồng đạo, ích lợi, tiến tới.</t>
  </si>
  <si>
    <t>GS: Thành danh, tuyển nhập, cải trật.</t>
  </si>
  <si>
    <t>GS: Giận đời, ngược thế.</t>
  </si>
  <si>
    <t>GS: Tiến thủ được, đỗ bét cao học.</t>
  </si>
  <si>
    <t>GS: Khó gặp dịp tiến thân.</t>
  </si>
  <si>
    <t>GS: Được vào trường thi, nhưng có biến ở thê thiếp.</t>
  </si>
  <si>
    <t>GS: Khó gặp dịp may, hãy tu dưỡng.</t>
  </si>
  <si>
    <t>GS: Phải thi lại đến ba lần.</t>
  </si>
  <si>
    <t>GS: Lo phế nghiệp.</t>
  </si>
  <si>
    <t>GS: Bị ngăn trở.</t>
  </si>
  <si>
    <t>GS: Khốn khổ đợi thời.</t>
  </si>
  <si>
    <t>GS: Lên cao.</t>
  </si>
  <si>
    <t>GS: Văn chương nổi tiếng ở Quốc học.</t>
  </si>
  <si>
    <t>GS: Đứng đầu sổ, nên danh.</t>
  </si>
  <si>
    <t>GS: Được đề cử, làm nhỏ.</t>
  </si>
  <si>
    <t>GS: Lợi nhỏ.</t>
  </si>
  <si>
    <t>GS: Tiến thủ khó.</t>
  </si>
  <si>
    <t>GS: Khó tiến thủ.</t>
  </si>
  <si>
    <t>GS: Tiến liều bị nhục.</t>
  </si>
  <si>
    <t>GS: Mất tiếng.</t>
  </si>
  <si>
    <t>GS: Khó gặp tri kỷ.</t>
  </si>
  <si>
    <t>GS: Được lên cao.</t>
  </si>
  <si>
    <t>GS: Thi bằng trung cấp hoặc được vào Đại học.</t>
  </si>
  <si>
    <t>GS: Chưa vững đạo đức.</t>
  </si>
  <si>
    <t>GS: Trước nghịch, sau thuận.</t>
  </si>
  <si>
    <t>GS: Được tiến cử, lợi danh có đủ.</t>
  </si>
  <si>
    <t>GS: Được tiến cử lên cao.</t>
  </si>
  <si>
    <t>GS: Đỗ cao khoa.</t>
  </si>
  <si>
    <t>GS: Nhờ một lời nói trúng đại nhân mà khoa danh thành tựu.</t>
  </si>
  <si>
    <t>GS: Sau mới thành.</t>
  </si>
  <si>
    <t>GS: Đỗ cao thành danh.</t>
  </si>
  <si>
    <t>GS: Nên danh.</t>
  </si>
  <si>
    <t>GS: Buồn vì bị mất, bị đoạt.</t>
  </si>
  <si>
    <t>MKH: Tâm không nhất định, tà chính lẫn lộn, không thu xếp được việc nhà, không sửa trị được cái lầm của cha, gian nan cô lập, buồn bực quanh năm.</t>
  </si>
  <si>
    <t>MKH: Cũng no ấm có thừa, là kẻ sĩ ở ẩn nơi sơn lâm, hoặc tiêu dao nơi giang hồ.</t>
  </si>
  <si>
    <t>MKH: Có học vấn mà không danh lợi, ở chốn sơn lâm, tiền của đủ dùng, phúc trạch vững, giữ tĩnh đạm, phòng mục tật.</t>
  </si>
  <si>
    <t xml:space="preserve">Đức tin trên dưới một lòng,           </t>
  </si>
  <si>
    <t xml:space="preserve">Mưa rồi, trên dưới cảm thông         </t>
  </si>
  <si>
    <t xml:space="preserve">Nơi này dù chửa an tâm,      </t>
  </si>
  <si>
    <t>MHC: Công minh chính đại lập công huân lớn nhất đời, trên dưới đều mến phục.</t>
  </si>
  <si>
    <t>MHC: Cẩn hậu nhưng thiếu quả quyết, không lập được sự nghiệp đối với quốc gia, nhưng bề tu dưỡng cũng đẹp đẽ.</t>
  </si>
  <si>
    <t>MHC: Mưu cao chí lớn, làm được cuộc cách mệnh hợp lý hợp tình. Chữ mệnh là triệu chứng thọ mệnh.</t>
  </si>
  <si>
    <t>MHC: Làm lớn dùng người bậy bị lụy to.</t>
  </si>
  <si>
    <t>MHC: Tiết dục không đến nỗi đam mê, tuy không trình bày được sự nghiệp quảng đại, cũng duy trì được tư thế.</t>
  </si>
  <si>
    <t>MHC: Tàng tu cẩn hậu, tuy không hóa thiện được cả thiên hạ, nhưng riêng mình vẫn giữ được điều thiện, không cứu được thời thì cũng tránh được lầm lỗi.</t>
  </si>
  <si>
    <t>NT: Kinh doanh hoạch lợi.</t>
  </si>
  <si>
    <t>NT: Kinh doanh trở trệ. Có bệnh thì khỏi, sinh nở nuôi được.</t>
  </si>
  <si>
    <t>NT: Kinh doanh thật thà. Có tang phục bên ngoại.</t>
  </si>
  <si>
    <t>NT: Cẩn thận, giữ luật pháp, được an toàn hoặc tu tạo cung thất.</t>
  </si>
  <si>
    <t>NT: Cứ mê nên khổ, tĩnh, lặng lẽ thì an lành, xáo động thì nguy.</t>
  </si>
  <si>
    <t>NT: Phòng tù ngục.</t>
  </si>
  <si>
    <t>NT: Kinh doanh đắc lợi.</t>
  </si>
  <si>
    <t>NT: Kinh doanh đắc lợi, gia nghiệp tăng trưởng.</t>
  </si>
  <si>
    <t>NT: Vượt phận, trái nghĩa, thị phi tranh tụng, tiến thoái không thi thố được gì.</t>
  </si>
  <si>
    <t>NT: Trước dễ sau khó. Già quẫn kém thọ.</t>
  </si>
  <si>
    <t>MKH: Tùy đường đi mà đánh xe, an bần lạc đạo.</t>
  </si>
  <si>
    <t>MKH: Cũng bình dị, cử chỉ đúng mức, được tri kỷ giúp đỡ, không cùng quẫn.</t>
  </si>
  <si>
    <t>MKH: Thì chỉ khéo việc người, vụng việc mình, tiến thoái khó thành, cơm áo lo toan, phúc kém.</t>
  </si>
  <si>
    <t>Ý HÀO: Cấp dưới ca tụng sự nghiệp của người trên để tỏ đạo thuận tòng.</t>
  </si>
  <si>
    <t>Ý HÀO: Bọn âm (tiểu nhân) gần kề, đến với họ một cách thân thiện.</t>
  </si>
  <si>
    <t>Ý HÀO: Chí thấp, không nhìn xa được.</t>
  </si>
  <si>
    <t>Ý HÀO: Trang sức cho người để chấn tác việc làm.</t>
  </si>
  <si>
    <t>Ý HÀO: Cái họa tiểu nhân càng gần.</t>
  </si>
  <si>
    <t>Ý HÀO: Người trở lại thiện là người thiện như mình.</t>
  </si>
  <si>
    <t>Ý HÀO: Lòng công bằng, việc làm ích lợi.</t>
  </si>
  <si>
    <t>MHC: Cương nhu giúp nhau, mạnh khoan vừa đúng, vừa hồn nhiên, không đa sự nhiễu dân, tai nạn khỏi, phúc trạch dày.</t>
  </si>
  <si>
    <t>MHC: Không vì mình mà tùy cơ ứng biến giúp người, nên công rõ, danh thơm.</t>
  </si>
  <si>
    <t>MHC: Làm việc lớn, lập công to, lượng đồ dài lâu chu tất vẹn toàn.</t>
  </si>
  <si>
    <t xml:space="preserve">Giao tình chẳng nể xách yêu,          </t>
  </si>
  <si>
    <t xml:space="preserve">Giúp nhau đổi dở thành hay,         </t>
  </si>
  <si>
    <t xml:space="preserve">Gặp Ba là chuyện sinh nghi,     </t>
  </si>
  <si>
    <t xml:space="preserve">Hỏi hoa trong tuyết lạnh tình, </t>
  </si>
  <si>
    <t>MKH: Chạy chọt, quỷ quyệt, thường đeo vạ.</t>
  </si>
  <si>
    <t>MKH: Vọng động, dù cùng đi với người Quân tử cũng vẫn gian nan.</t>
  </si>
  <si>
    <t xml:space="preserve">Đốt đuốc, chạy khắp Tây Đông,          </t>
  </si>
  <si>
    <t>Ra tâm cầu vọng tự nhiên dễ dàng.</t>
  </si>
  <si>
    <t xml:space="preserve">Lui về thì được an thân,            </t>
  </si>
  <si>
    <t>Đầu đuôi yếu hiển nhiên.</t>
  </si>
  <si>
    <t>Một người hai lòng.</t>
  </si>
  <si>
    <t>Một việc hay nghĩa,</t>
  </si>
  <si>
    <t>Nên đề phòng cẩn mật,</t>
  </si>
  <si>
    <t xml:space="preserve">Tựa lầu, ý những lo buồn           </t>
  </si>
  <si>
    <t>Bờ sông thư đến, thu trời trăng lên.</t>
  </si>
  <si>
    <t xml:space="preserve">Bám rồng có phận làm nên,        </t>
  </si>
  <si>
    <t xml:space="preserve">Đứng lâu đi vội đã siêu,              </t>
  </si>
  <si>
    <t>NT: Ruộng vườn lợi tức tăng tiến, nhiều dịp vui mừng, con cháu đề huề.</t>
  </si>
  <si>
    <t>NT: Có sự nghi kỵ, đấu tranh, trong vinh có nhục.</t>
  </si>
  <si>
    <t>NT: An phận, đau mắt.</t>
  </si>
  <si>
    <t>NT: Được đề cử, xấu biến thành tốt.</t>
  </si>
  <si>
    <t>NT: Lười, chỉ phè phỡn. Tổn hại. Đau chân.</t>
  </si>
  <si>
    <t>NT: Cùng người hòa hợp. Kinh doanh toại ý, nhưng biến quẻ Quy Muội phàm việc nên xét kỹ rồi hãy làm.</t>
  </si>
  <si>
    <t>NT: Ra ngoài buôn bán lớn.</t>
  </si>
  <si>
    <t>NT: Buôn bán có lời.</t>
  </si>
  <si>
    <t>NT: Gian nan, hình khắc, kiện tụng.</t>
  </si>
  <si>
    <t>NT: Hay kiến thiết tu tạo, hay cố chấp, có khi rơi vào bọn gian nịnh để rồi hối thẹn.</t>
  </si>
  <si>
    <t>MKH: Cũng cán biện được như ý, sáng nghiệp duy tân.</t>
  </si>
  <si>
    <t>MKH: Cố chấp mê muội, lỡ việc hoặc điếc què, hoặc sinh nhai nghề chăn nuôi.</t>
  </si>
  <si>
    <t>MKH: Cầu danh vọng lợi mà mất cơ hội, cô lập, kém về nô bộc.</t>
  </si>
  <si>
    <t>MKH: Tài chí thiếu đức, không hỏng việc nước thì cũng hại việc nhà.</t>
  </si>
  <si>
    <t>MKH: Cũng thành thực, được lòng người, việc trôi chảy, gia nghiệp vượng.</t>
  </si>
  <si>
    <t>MKH: Trước khó sau dễ, nhờ nơi quyền thế, sau mới thành được.</t>
  </si>
  <si>
    <t>MKH: Trù tính được, nhưng không gặp cơ hội, ngoài thì khả quan, trong thì buồn.</t>
  </si>
  <si>
    <t xml:space="preserve">Cái cơn ác mộng còn dài,             </t>
  </si>
  <si>
    <t>MHC: Dù có lợi danh, vẫn cứ nơm nớp lo buồn, khư khư không sao thoát được những trần ai lận đận.</t>
  </si>
  <si>
    <t>MHC: Được hưởng tổ nghiệp, hoặc giữ được cơ nghiệp ruộng vườn rồi nhờ sức người mà thành công.</t>
  </si>
  <si>
    <t>MHC: Tài sơ đức mỏng, dân chúng không phục.</t>
  </si>
  <si>
    <t>Ý HÀO: Ẩn tránh khéo thì thoát nạn.</t>
  </si>
  <si>
    <t>Ý HÀO: Tiến liều là khốn.</t>
  </si>
  <si>
    <t>Ý HÀO: Nhờ có đức, dù bị ngăn, sau vẫn tốt.</t>
  </si>
  <si>
    <t>Ý HÀO: Biết cơ nên tránh sự tổn thương.</t>
  </si>
  <si>
    <t>Ý HÀO: Chính được gia đạo thì chẳng thất thố gì.</t>
  </si>
  <si>
    <t>Ý HÀO: Mất ứng viện mà rồi lại được.</t>
  </si>
  <si>
    <t>Ý HÀO: Thời không tiến được thì nên ngưng lại.</t>
  </si>
  <si>
    <t>Ý HÀO: Có đức, giúp nhau để không mắc lỗi.</t>
  </si>
  <si>
    <t>Ý HÀO: Nói sự tốt đẹp của đạo bè bạn.</t>
  </si>
  <si>
    <t>Ý HÀO: Có nhiều việc lớn để làm và việc làm có nhiều điều thiện.</t>
  </si>
  <si>
    <t>Ý HÀO: Liệu không thắng nổi mà đi đụng kẻ tiểu nhân thì khó tránh nguy biến.</t>
  </si>
  <si>
    <t>Ý HÀO: Răn tiểu nhân nên tự thủ.</t>
  </si>
  <si>
    <t>MHC: Hoặc có chuyên khoa nhi đồng hoặc đỗ khôi khoa. Phú quý song toàn.</t>
  </si>
  <si>
    <t>MHC: Tài lớn, dựng nền hòa bình, cải cách, đuổi tà lập chính.</t>
  </si>
  <si>
    <t>MHC: Là giường cột của đất nước, công huân lớn.</t>
  </si>
  <si>
    <t>Một người không cẳng đứng.</t>
  </si>
  <si>
    <t>Nghìn dặm đuổi đến đâu,</t>
  </si>
  <si>
    <t xml:space="preserve">Có cẳng lại không đầu.          </t>
  </si>
  <si>
    <t>Kinh nạn lụt nguy thôi.</t>
  </si>
  <si>
    <t xml:space="preserve">Bờ sông trút hết nước, </t>
  </si>
  <si>
    <t xml:space="preserve">Chinh phạt bắt được tụi gian,           </t>
  </si>
  <si>
    <t>Giờ nên lấy vợ coi là hoàng kim.</t>
  </si>
  <si>
    <t>Lưỡi suông cảm không lỗi,</t>
  </si>
  <si>
    <t>Tiếc cũng qua rồi.</t>
  </si>
  <si>
    <t>Thư đâu vừa đến,</t>
  </si>
  <si>
    <t xml:space="preserve">Đạo trung ai chẳng nghe theo,       </t>
  </si>
  <si>
    <t>M.</t>
  </si>
  <si>
    <t xml:space="preserve">Tiến lên chẳng ổn chi đâu,         </t>
  </si>
  <si>
    <t xml:space="preserve">Hình phạt mới phá được ngu,       </t>
  </si>
  <si>
    <t>110011</t>
  </si>
  <si>
    <t>110101</t>
  </si>
  <si>
    <t>110001</t>
  </si>
  <si>
    <t>110110</t>
  </si>
  <si>
    <t>22022</t>
  </si>
  <si>
    <t>Sấm làm rụng rời, thấy sấm thì đi tránh thì không tai họa.</t>
  </si>
  <si>
    <t>92047</t>
  </si>
  <si>
    <t>102047</t>
  </si>
  <si>
    <t>112047</t>
  </si>
  <si>
    <t>122047</t>
  </si>
  <si>
    <t>12048</t>
  </si>
  <si>
    <t>22048</t>
  </si>
  <si>
    <t>32048</t>
  </si>
  <si>
    <t>42048</t>
  </si>
  <si>
    <t>52048</t>
  </si>
  <si>
    <t>62048</t>
  </si>
  <si>
    <t>72048</t>
  </si>
  <si>
    <t>82048</t>
  </si>
  <si>
    <t>92048</t>
  </si>
  <si>
    <t>102048</t>
  </si>
  <si>
    <t>112048</t>
  </si>
  <si>
    <t>122048</t>
  </si>
  <si>
    <t>12049</t>
  </si>
  <si>
    <t>22049</t>
  </si>
  <si>
    <t>32049</t>
  </si>
  <si>
    <t>42049</t>
  </si>
  <si>
    <t>52049</t>
  </si>
  <si>
    <t>62049</t>
  </si>
  <si>
    <t>72049</t>
  </si>
  <si>
    <t>82049</t>
  </si>
  <si>
    <t>92049</t>
  </si>
  <si>
    <t>102049</t>
  </si>
  <si>
    <t>112049</t>
  </si>
  <si>
    <t>122049</t>
  </si>
  <si>
    <t>12050</t>
  </si>
  <si>
    <t>22050</t>
  </si>
  <si>
    <t>32050</t>
  </si>
  <si>
    <t>42050</t>
  </si>
  <si>
    <t>52050</t>
  </si>
  <si>
    <t>62050</t>
  </si>
  <si>
    <t>72050</t>
  </si>
  <si>
    <t>82050</t>
  </si>
  <si>
    <t xml:space="preserve">    THÁNG SINH</t>
  </si>
  <si>
    <t>Tương ứng CHI:</t>
  </si>
  <si>
    <t>Mậu Dần :</t>
  </si>
  <si>
    <t>Đến hết năm</t>
  </si>
  <si>
    <t>Nhuận tháng 2</t>
  </si>
  <si>
    <t>NT: Nhiều việc vui mừng. Nếu thất đức thì bị giảm nhiều.</t>
  </si>
  <si>
    <t>GS: Thăng chuyển.</t>
  </si>
  <si>
    <t>NT: Có mừng, thêm trâu bò của cải.</t>
  </si>
  <si>
    <t>NT: Phòng thất lạc, tai bay vạ gió. Số xấu khó trường thọ.</t>
  </si>
  <si>
    <t>QC: Phòng thất lạc, tai bay vạ gió.</t>
  </si>
  <si>
    <t>GS: Phòng thất lạc, tai bay vạ gió.</t>
  </si>
  <si>
    <t>QC: Mọi sự không nên nóng nẩy làm liều, phải suy xét đắn đo thì mới tránh được tai nạn.</t>
  </si>
  <si>
    <t>GS: Mọi sự không nên nóng nẩy làm liều, phải suy xét đắn đo thì mới tránh được tai nạn.</t>
  </si>
  <si>
    <t>NT: Mọi sự không nên nóng nẩy làm liều, phải suy xét đắn đo thì mới tránh được tai nạn.</t>
  </si>
  <si>
    <t xml:space="preserve">Phận gái đều ngôi chính,       </t>
  </si>
  <si>
    <t>Thập, Bát, Tử xuân kinh. (?!)</t>
  </si>
  <si>
    <t>Sao cho hợp lý tùy nghi là làm.             Còn phương Tây Bắc đừng nhằm mà nguy.</t>
  </si>
  <si>
    <t xml:space="preserve">Ngàn năm gặp hội tao phùng,     </t>
  </si>
  <si>
    <t xml:space="preserve">Công danh chỉ ngón là thành,       </t>
  </si>
  <si>
    <t xml:space="preserve">Ba chân Đỉnh đứng vững vàng,      </t>
  </si>
  <si>
    <t>Bên sông lối chửa thông.</t>
  </si>
  <si>
    <t xml:space="preserve">Mưa khói kín mịt mùng, </t>
  </si>
  <si>
    <t>Đường đi người chưa tới,</t>
  </si>
  <si>
    <t xml:space="preserve">Ghê hồn đao lửa kinh nguy,                         </t>
  </si>
  <si>
    <t xml:space="preserve">Ngọc trong bụi, vàng trong bùn,  </t>
  </si>
  <si>
    <t>Tiền trình mở rộng cát hanh có thừa.</t>
  </si>
  <si>
    <t>Muôn điều phải tính đường dài viễn chinh.</t>
  </si>
  <si>
    <t>Gió đông tin đến, sắc xuân leo lầu.</t>
  </si>
  <si>
    <t>Nhạn đàn phân tán, hồng bay cả cười.</t>
  </si>
  <si>
    <t>Bại mà công đấy, vợ hầu sinh con.</t>
  </si>
  <si>
    <t>Chờ khi hết chuyện, ăn năn thì già.</t>
  </si>
  <si>
    <t>MKH: Dù có muốn phú quý, rút cục không thành vì tính đa nghi.</t>
  </si>
  <si>
    <t>81986</t>
  </si>
  <si>
    <t>91986</t>
  </si>
  <si>
    <t>101986</t>
  </si>
  <si>
    <t>111986</t>
  </si>
  <si>
    <t>121986</t>
  </si>
  <si>
    <t>11987</t>
  </si>
  <si>
    <t>92013</t>
  </si>
  <si>
    <t>102013</t>
  </si>
  <si>
    <t>112013</t>
  </si>
  <si>
    <t>122013</t>
  </si>
  <si>
    <t>12014</t>
  </si>
  <si>
    <t>22014</t>
  </si>
  <si>
    <t>32014</t>
  </si>
  <si>
    <t>42014</t>
  </si>
  <si>
    <t>52014</t>
  </si>
  <si>
    <t>62014</t>
  </si>
  <si>
    <t>Bao gồm thừa thuận (3 hào dương); người nhỏ thì được tốt, người lớn thì đành bĩ để giữ đạo hanh thông.</t>
  </si>
  <si>
    <t>NT: Hoạch lợi. Bệnh khỏi. Nạn giải.</t>
  </si>
  <si>
    <t>GS: Tuy ngòi bút vẫy vùng nhưng rút cục khó tránh tổn hại buồn phiền.</t>
  </si>
  <si>
    <t>101976</t>
  </si>
  <si>
    <t>111976</t>
  </si>
  <si>
    <t>121976</t>
  </si>
  <si>
    <t>11977</t>
  </si>
  <si>
    <t>Giảm bớt nết xấu của mình (âm nhu), khiến làm cho nhanh thì có mừng, không lỗi.</t>
  </si>
  <si>
    <t>Lợi dụng làm việc lớn, tốt nhất không lỗi gì.</t>
  </si>
  <si>
    <t>41973</t>
  </si>
  <si>
    <t xml:space="preserve">      Sắc xuân hương lạ gió bay,</t>
  </si>
  <si>
    <t xml:space="preserve">Đường đi hiểm trở thì thôi,        </t>
  </si>
  <si>
    <t>Niềm vui cũng phải có chừng,</t>
  </si>
  <si>
    <t xml:space="preserve">Non cao xứ đẹp vui cùng,            </t>
  </si>
  <si>
    <t xml:space="preserve">Mưa, bùn, đêm, gió lay hoa         </t>
  </si>
  <si>
    <t>Đừng than thở nữa, hồn hòa mộng bay.</t>
  </si>
  <si>
    <t>42009</t>
  </si>
  <si>
    <t>52009</t>
  </si>
  <si>
    <t>62009</t>
  </si>
  <si>
    <t>72009</t>
  </si>
  <si>
    <t>82009</t>
  </si>
  <si>
    <t>92009</t>
  </si>
  <si>
    <t>102009</t>
  </si>
  <si>
    <t>112009</t>
  </si>
  <si>
    <t>Than thở, khóc chảy nước mắt, nước mũi, mà không biết lỗi tại ai.</t>
  </si>
  <si>
    <t>Thuận tình đi lên, tốt lớn lắm.</t>
  </si>
  <si>
    <t>GS: Đỗ đạt.</t>
  </si>
  <si>
    <t>81915b</t>
  </si>
  <si>
    <t>91915b</t>
  </si>
  <si>
    <t>101915b</t>
  </si>
  <si>
    <t>111915b</t>
  </si>
  <si>
    <t>121915b</t>
  </si>
  <si>
    <t>11916b</t>
  </si>
  <si>
    <t>21916b</t>
  </si>
  <si>
    <t>31916b</t>
  </si>
  <si>
    <t>41916b</t>
  </si>
  <si>
    <t>51916b</t>
  </si>
  <si>
    <t>Nửa đường chưa gọn việc,</t>
  </si>
  <si>
    <t xml:space="preserve">Chẳng nên ham rượu dưới hoa,  </t>
  </si>
  <si>
    <t xml:space="preserve">Đồng Mông có ứng bên đông,         </t>
  </si>
  <si>
    <t>Muốn nên danh và lợi,</t>
  </si>
  <si>
    <t>Chuyến đi mừng sẽ thu này vẻ vang.</t>
  </si>
  <si>
    <t xml:space="preserve">        Chiếc roi cầm sẵn trên tay,</t>
  </si>
  <si>
    <t xml:space="preserve">Nhu cầu nay thỏa mãn rồi,      </t>
  </si>
  <si>
    <t>Lui về thủ thuận, sở cầu rồi nên.</t>
  </si>
  <si>
    <t>Cửa đóng then cài,</t>
  </si>
  <si>
    <t>Nghĩ đi nghĩ lại,</t>
  </si>
  <si>
    <t>Mới được lâu dài.</t>
  </si>
  <si>
    <t>Hoa đào nở đúng lúc,</t>
  </si>
  <si>
    <t>NT: Trước khó sau dễ, già tổn thọ, nhỏ khó nuôi. Người tận số có triệu chứng đem chôn trên gò cao. Sinh tháng 1 là đại phú quý.</t>
  </si>
  <si>
    <t xml:space="preserve">Gò cao, ngán chó sủa uôm            </t>
  </si>
  <si>
    <t>Quy Muội là Đại, là bất chính thức (không căng trì tế nhị, xử sự đại đi cho xong việc, sau sẽ làm cứ hối, cần phải kiểm thảo).</t>
  </si>
  <si>
    <t>Gả em gái mà cho làm phận đệ thiếp, thọt mà hay đi (hào 1 không có chính ứng), cứ đi, tốt.</t>
  </si>
  <si>
    <t xml:space="preserve">Tiến bừa làm đại chưa vui,          </t>
  </si>
  <si>
    <t>Đừng hiềm danh lợi muộn,</t>
  </si>
  <si>
    <t>Lời ngay cùng lẽ phải,</t>
  </si>
  <si>
    <t>Nên không hối hận gì.</t>
  </si>
  <si>
    <t>Lui tới chầu cao, sau có lối</t>
  </si>
  <si>
    <t xml:space="preserve">Ôm cần đợi cá bên sông,         </t>
  </si>
  <si>
    <t>Giếng sửa lại, không lỗi gì.</t>
  </si>
  <si>
    <t xml:space="preserve">Có công mà chẳng cậy tài,              </t>
  </si>
  <si>
    <t>MHC: Tham công tiếc lợi, mưu đồ lớn, dám làm, chẳng cần ngó đến danh phận hay đạo lý, nên có thể nhảy ngồi vị lớn, đoạt lợi cầu may.</t>
  </si>
  <si>
    <t>MHC: Bậc đại nhân, được ân sủng, hưởng thọ, hoặc lập công to với đất nước, hoặc thừa ơn tổ phụ.</t>
  </si>
  <si>
    <t>QC: Đồng liêu bất hòa, trước tiến chức sau lùi.</t>
  </si>
  <si>
    <t>12011</t>
  </si>
  <si>
    <t>22011</t>
  </si>
  <si>
    <t>32011</t>
  </si>
  <si>
    <t>42011</t>
  </si>
  <si>
    <t>52011</t>
  </si>
  <si>
    <t>62011</t>
  </si>
  <si>
    <t>72011</t>
  </si>
  <si>
    <t>82011</t>
  </si>
  <si>
    <t>92011</t>
  </si>
  <si>
    <t>102011</t>
  </si>
  <si>
    <t>112011</t>
  </si>
  <si>
    <t>122011</t>
  </si>
  <si>
    <t>12012</t>
  </si>
  <si>
    <t>22012</t>
  </si>
  <si>
    <t>32012</t>
  </si>
  <si>
    <t>42012</t>
  </si>
  <si>
    <t>52012</t>
  </si>
  <si>
    <t>62012</t>
  </si>
  <si>
    <t>72012</t>
  </si>
  <si>
    <t>82012</t>
  </si>
  <si>
    <t>92012</t>
  </si>
  <si>
    <t>102012</t>
  </si>
  <si>
    <t>72020</t>
  </si>
  <si>
    <t>82020</t>
  </si>
  <si>
    <t>92020</t>
  </si>
  <si>
    <t>102020</t>
  </si>
  <si>
    <t>112020</t>
  </si>
  <si>
    <t>122020</t>
  </si>
  <si>
    <t>12021</t>
  </si>
  <si>
    <t>22021</t>
  </si>
  <si>
    <t>32021</t>
  </si>
  <si>
    <t>42021</t>
  </si>
  <si>
    <t>52021</t>
  </si>
  <si>
    <t>Thôi hết bĩ, đại nhân tốt. Nhưng lo mất lo mất (phải giữ vững như) ràng buộc vào ngùm rễ dâu.</t>
  </si>
  <si>
    <t>MKH: Cũng là người cẩn hậu phát thực no cơm ấm áo.</t>
  </si>
  <si>
    <t>Nghìn dặm xe triển bánh,</t>
  </si>
  <si>
    <t xml:space="preserve">Bước đi từng gian nan.    </t>
  </si>
  <si>
    <t>Càng lúc chưa tin thực,</t>
  </si>
  <si>
    <t xml:space="preserve">Lẽ đời lo ngại nhiễu phiền,            </t>
  </si>
  <si>
    <t>Tiếng sấm vang lừng bao biến hóa,</t>
  </si>
  <si>
    <t xml:space="preserve">Động nhiều tĩnh lại thì yên,        </t>
  </si>
  <si>
    <t>Cá không muốn đớp, thuyền về cho xong.</t>
  </si>
  <si>
    <t>62010</t>
  </si>
  <si>
    <t>72010</t>
  </si>
  <si>
    <t>82010</t>
  </si>
  <si>
    <t>92010</t>
  </si>
  <si>
    <t>102010</t>
  </si>
  <si>
    <t>112010</t>
  </si>
  <si>
    <t>122010</t>
  </si>
  <si>
    <t>HẬU VẬN :</t>
  </si>
  <si>
    <t xml:space="preserve">Từ đầu ngựa chạy không mang lỗi, </t>
  </si>
  <si>
    <t>Đại nhân cùng gặp hết liền gian nguy.</t>
  </si>
  <si>
    <t>Thể cách</t>
  </si>
  <si>
    <t>Tới lui càng mệt, cá đâu buông mồi ?</t>
  </si>
  <si>
    <t>Ấy là ngăn được họa không đến gần.</t>
  </si>
  <si>
    <t>Quyết tâm rũ sạch, đâu còn ngại lo.</t>
  </si>
  <si>
    <t>MHC: Thì học rộng nghĩ nhiều, lòng an tĩnh không nôn nao về danh lợi.</t>
  </si>
  <si>
    <t>MHC: Tuổi nhỏ được học hành, lớn lập được công danh.</t>
  </si>
  <si>
    <t xml:space="preserve">Trăng tròn nhan sắc y nhiên,    </t>
  </si>
  <si>
    <t>MHC: Làm tướng lãnh ra trận lập được công, nhưng quân sĩ chết nhiều. Hoặc chức vị cao thì hay vượt quyền tiếm vị. Hoặc ở thế chênh vênh thì tác uy tác hại.</t>
  </si>
  <si>
    <t>61972</t>
  </si>
  <si>
    <t>71972</t>
  </si>
  <si>
    <t>61941b</t>
  </si>
  <si>
    <t>71941b</t>
  </si>
  <si>
    <t>Tiến lùi do dự, chỉ lợi cho đạo chính của người vũ dũng (âm lợi cho dương để điều hòa).</t>
  </si>
  <si>
    <t>Tốn thuận như nép xuống dưới giường, mất cả tiền của và đồ phòng thân, ngoan cố càng xấu.</t>
  </si>
  <si>
    <t>MHC: Tuy ngôi quý đấy, nhưng chẳng có chính vị gì và danh nghĩa gì. Nếu biết khiêm nhường, tự răn giới thì giàu sang còn có thể bền.</t>
  </si>
  <si>
    <t>Phát tài dưới núi, nhẹ buồm trên sông.</t>
  </si>
  <si>
    <t>MHC: Có tài xuất chúng, giao thiệp giỏi, gặp bạn hay, giúp dẹp loạn thành trị, chuyển giận thành hòa. Nữ mạng thành bà lớn.</t>
  </si>
  <si>
    <t xml:space="preserve">Tuần hoàn bĩ thái luật trời,             </t>
  </si>
  <si>
    <t>Có lộc mà cũng không màng lộc,</t>
  </si>
  <si>
    <t xml:space="preserve">          Chí người quân tử bền sao, </t>
  </si>
  <si>
    <t>Kiển xong vận lại thông.</t>
  </si>
  <si>
    <t>Trăm việc tốt vô cùng.</t>
  </si>
  <si>
    <t xml:space="preserve">Thời đại thịnh, sắp tới nơi          </t>
  </si>
  <si>
    <t>Việc làm suông sẻ, thời này hanh thông.</t>
  </si>
  <si>
    <t xml:space="preserve">Quyền uy cờ đã đến tay,             </t>
  </si>
  <si>
    <t xml:space="preserve">Nhân tình trục trặc khó tin,        </t>
  </si>
  <si>
    <t>Uốn lưng để phụng hành.</t>
  </si>
  <si>
    <t>đặc biệt được tốt về sau, muôn dân đều phục.</t>
  </si>
  <si>
    <t>trí lớn làm nên.</t>
  </si>
  <si>
    <t>được gần gũi công khai.</t>
  </si>
  <si>
    <t>hợp với chí trên.</t>
  </si>
  <si>
    <t>lợi về chính bền.</t>
  </si>
  <si>
    <t>người lớn được xe, kẻ nhỏ tan nhà.</t>
  </si>
  <si>
    <t>Hết ăn năn rồi có đức chí thành, sửa đổi những mệnh lệnh phương pháp cũ thì tốt.</t>
  </si>
  <si>
    <t>MHC:</t>
  </si>
  <si>
    <t>MKH:</t>
  </si>
  <si>
    <t>Thơ:</t>
  </si>
  <si>
    <t>Lược nghĩa:</t>
  </si>
  <si>
    <t>QC:</t>
  </si>
  <si>
    <t>GS:</t>
  </si>
  <si>
    <t>NT:</t>
  </si>
  <si>
    <t>Giữ chính, nên tốt.</t>
  </si>
  <si>
    <t>71918</t>
  </si>
  <si>
    <t>81918</t>
  </si>
  <si>
    <t>91918</t>
  </si>
  <si>
    <t>101918</t>
  </si>
  <si>
    <t>111918</t>
  </si>
  <si>
    <t>121918</t>
  </si>
  <si>
    <t>11919</t>
  </si>
  <si>
    <t>Ẩn tránh mà khoan thai, không có gì là không lợi.</t>
  </si>
  <si>
    <t>Phải cậy nhờ gió đông.</t>
  </si>
  <si>
    <t xml:space="preserve">Đức to, phù tá công huân              </t>
  </si>
  <si>
    <t>Sao mà đường trời hanh thông thế !</t>
  </si>
  <si>
    <t>Di là Dưỡng (nuôi). Lại sanh tháng tháng 2 đến tháng 8 là cách công danh phú quý.</t>
  </si>
  <si>
    <t>Bỏ con rùa thiêng của mày (Rùa không ăn) nhòm ta mà thõng cả cằm mép (tỏ ý muốn ăn), thế là xấu.</t>
  </si>
  <si>
    <t>Tuổi</t>
  </si>
  <si>
    <t>111976b</t>
  </si>
  <si>
    <t>121976b</t>
  </si>
  <si>
    <t>11977b</t>
  </si>
  <si>
    <t>21977b</t>
  </si>
  <si>
    <t>31977b</t>
  </si>
  <si>
    <t>41977b</t>
  </si>
  <si>
    <t>Đợi ở nơi đổ máu, nhưng thoát khỏi hang hiểm.</t>
  </si>
  <si>
    <t>NT: Lội suối trèo đèo, kinh doanh khó khăn. Số xấu lo cho bản mệnh.</t>
  </si>
  <si>
    <t>MHC: Thuận lẽ thì tiến, biết cơ thì ngừng, kẻ tầm thường không lách được vào đâu mà nói. Trên dưới vừa lòng.</t>
  </si>
  <si>
    <t>MHC: Giữ đức, chất thực không phù hoa. Đạt chí hướng thì cả thiên hạ sẽ tốt lành, không lộng quyền trên, không hại dân.</t>
  </si>
  <si>
    <t>Trang sức ngón chân, bỏ xe mà đi bộ.</t>
  </si>
  <si>
    <t>Được kẻ đối thủ (Hào 6 ứng) hoặc múa may, hoặc rụng rời, hoặc khóc lóc, hoặc hát vang (Tư cách hoảng hốt bất định).</t>
  </si>
  <si>
    <t>Tiếng chim bay lên trời (mà không thấy hình) cố chấp thì xấu, (hết thời tin rồi mà cứ tin thì hỏng).</t>
  </si>
  <si>
    <t>QC: Thân nguy. (Rất xấu cho người đã có chức phận)</t>
  </si>
  <si>
    <t>GS: Đỗ khôi khoa. (Đi thi thì lại rất tốt)</t>
  </si>
  <si>
    <t xml:space="preserve">Đừng buồn việc quá chờ lâu,  </t>
  </si>
  <si>
    <t xml:space="preserve">Thật là hiểm trở, nên dè dặt luôn. </t>
  </si>
  <si>
    <t>Đồng Nhân là Thân (tìm bạn đồng tâm đồng lực).</t>
  </si>
  <si>
    <t>Lâm là Đại (lớn tức người trên đến với người dưới).</t>
  </si>
  <si>
    <t>Quan là quan sát (xem xét kiểm thảo).</t>
  </si>
  <si>
    <t>Bí là sức (trang sức, làm cảnh đẹp thêm).</t>
  </si>
  <si>
    <t>Phục là Phản (trở lại).</t>
  </si>
  <si>
    <t>Đại súc là Tụ (tích trữ sức lớn để chờ thời).</t>
  </si>
  <si>
    <t>Khảm là Hãm (hiểm, mắc kẹt, linh lạc, gian nan).</t>
  </si>
  <si>
    <t>Ly là Lệ (sáng đẹp, văn minh).</t>
  </si>
  <si>
    <t>Hàm là Cảm (giao cảm, cảm thông, cảm động).</t>
  </si>
  <si>
    <t>Độn là Thoái (lùi về, ở ẩn).</t>
  </si>
  <si>
    <t>Tấn là Tiến (tiến bước, thời vận đến).</t>
  </si>
  <si>
    <t>Gia Nhân là Đồng (cùng với người nhà hòa thuận vui vẻ).</t>
  </si>
  <si>
    <t>Khuê là Vi, Bội (trái ngược nhau, khác nhau).</t>
  </si>
  <si>
    <t>Kiển là Nan (gian nan, vất vả).</t>
  </si>
  <si>
    <t>Ý HÀO: Không đề phòng tất họa sẽ đến.</t>
  </si>
  <si>
    <t>Ý HÀO: Bảo đạo làm tướng, hành quân.</t>
  </si>
  <si>
    <t>Ý HÀO: Tài không đủ làm, phải dựa người thì nên việc.</t>
  </si>
  <si>
    <t>Ý HÀO: Tả trạng thái tiến lên thì sợ phiền lụy, nhưng theo thì có đường lối.</t>
  </si>
  <si>
    <t>Ý HÀO: Làm đúng đạo thầy thì tốt.</t>
  </si>
  <si>
    <t>MKH: Làm tăng đạo, khoác áo lông chim không màng danh lợi, không làm phe cánh, khó hưởng giàu sang.</t>
  </si>
  <si>
    <t>MKH: Có khổ mệt óc, nghĩ nhiều chỉ quẩn.</t>
  </si>
  <si>
    <t>MKH: Khó hợp với nhân tình, đường đi gian nan, từng bước gai góc rồi mới nên.</t>
  </si>
  <si>
    <t>Mộc biên người ấy gặp (?!)</t>
  </si>
  <si>
    <t>Cửa ngoài gặp bạn nên công rõ ràng.</t>
  </si>
  <si>
    <t>Về nhà hưởng phúc, bên sông gió lành.</t>
  </si>
  <si>
    <t>Gia đình tươi sáng, tin vời bên sông.</t>
  </si>
  <si>
    <t>Khi thêm sức mạnh, thành công đến liền.</t>
  </si>
  <si>
    <t>31973</t>
  </si>
  <si>
    <t>82037b</t>
  </si>
  <si>
    <t>92037b</t>
  </si>
  <si>
    <t>12024</t>
  </si>
  <si>
    <t>22024</t>
  </si>
  <si>
    <t>32024</t>
  </si>
  <si>
    <t>42024</t>
  </si>
  <si>
    <t>T.Phu1</t>
  </si>
  <si>
    <t>Q.Muội</t>
  </si>
  <si>
    <t>Q.Muội1</t>
  </si>
  <si>
    <t>Khuể1</t>
  </si>
  <si>
    <t>Đoài1</t>
  </si>
  <si>
    <t>Lý1</t>
  </si>
  <si>
    <t>Đ.Nhân</t>
  </si>
  <si>
    <t>Đ.Nhân1</t>
  </si>
  <si>
    <t>NT: Mọi người doanh mưu phí lực.</t>
  </si>
  <si>
    <t>Thể cách :</t>
  </si>
  <si>
    <t>hào</t>
  </si>
  <si>
    <t>mùa Xuân</t>
  </si>
  <si>
    <t>mùa Hạ</t>
  </si>
  <si>
    <t>mùa Thu</t>
  </si>
  <si>
    <t>mùa Đông</t>
  </si>
  <si>
    <t>Yểm trợ :</t>
  </si>
  <si>
    <t>(Đang cập nhật)</t>
  </si>
  <si>
    <t>011011</t>
  </si>
  <si>
    <t>011101</t>
  </si>
  <si>
    <t>011001</t>
  </si>
  <si>
    <t>011110</t>
  </si>
  <si>
    <t>011010</t>
  </si>
  <si>
    <t>011100</t>
  </si>
  <si>
    <t>011000</t>
  </si>
  <si>
    <t>101111</t>
  </si>
  <si>
    <t>101011</t>
  </si>
  <si>
    <t>101101</t>
  </si>
  <si>
    <t>61911</t>
  </si>
  <si>
    <t>92000b</t>
  </si>
  <si>
    <t>102000b</t>
  </si>
  <si>
    <t>112000b</t>
  </si>
  <si>
    <t>122000b</t>
  </si>
  <si>
    <t>12001b</t>
  </si>
  <si>
    <t>22001b</t>
  </si>
  <si>
    <t>32001b</t>
  </si>
  <si>
    <t>42001b</t>
  </si>
  <si>
    <t>NT: Nên thủ phận, nghĩ kỹ đừng vọng động mà rắc rối. Nữ mệnh tốt, hưng gia được.</t>
  </si>
  <si>
    <t>21973</t>
  </si>
  <si>
    <t>MHC: Người rất ngay thẳng, công bằng, chăm lo đường học vấn và việc thực hiện, nên khó đến đâu cũng hóa ra dễ.</t>
  </si>
  <si>
    <t>Canh</t>
  </si>
  <si>
    <t>Tân</t>
  </si>
  <si>
    <t>Nhâm</t>
  </si>
  <si>
    <t>81969b</t>
  </si>
  <si>
    <t>91969b</t>
  </si>
  <si>
    <t>101969b</t>
  </si>
  <si>
    <t>111969b</t>
  </si>
  <si>
    <t>121969b</t>
  </si>
  <si>
    <t>11970b</t>
  </si>
  <si>
    <t>21970b</t>
  </si>
  <si>
    <t>31970b</t>
  </si>
  <si>
    <t>41970b</t>
  </si>
  <si>
    <t>51970b</t>
  </si>
  <si>
    <t>82044</t>
  </si>
  <si>
    <t>Dèm pha lắm chuyện, giữ gìn họa lây.</t>
  </si>
  <si>
    <t>Nhưng đừng hờ hững, lỡ rồi xảy nguy.</t>
  </si>
  <si>
    <t>NT: Lo toan khéo, thu hoạch lợi tức. Nữ mệnh thì là đức phụ.</t>
  </si>
  <si>
    <t>Hàm súc điều tốt đẹp thì có thể bền được. Hoặc đi theo việc nhà Vua (việc nhà nước) không cần thành công lấy cho mình thì sau có kết quả mỹ mãn.</t>
  </si>
  <si>
    <t>42016</t>
  </si>
  <si>
    <t>52016</t>
  </si>
  <si>
    <t>62016</t>
  </si>
  <si>
    <t>Ẩn tránh cái ưa thích của mình (hào 1 ứng) người Quân tử thì tốt (vì bỏ được), kẻ tiểu nhân không làm được.</t>
  </si>
  <si>
    <t xml:space="preserve">Phiêu phiêu ngoại vật là tiên,       </t>
  </si>
  <si>
    <t>Chẳng kiện nổi ai. Trở lại mệnh trời, thay đổi yên theo điều chính thì tốt.</t>
  </si>
  <si>
    <t>NT: Kinh doanh vượt người, hòa hợp. Nữ mệnh tiền tài nhà cửa thăng tiến có phước.</t>
  </si>
  <si>
    <t xml:space="preserve">GS: Thấy cơ hội thì tiến được. </t>
  </si>
  <si>
    <t>QC: Có thăng chuyển, đạt được.</t>
  </si>
  <si>
    <t>GS: Có thăng chuyển, đạt được.</t>
  </si>
  <si>
    <t>QC: Thoái bộ, khó tiến.</t>
  </si>
  <si>
    <t xml:space="preserve">Hội kỳ, ba khách đến       </t>
  </si>
  <si>
    <t>Trung Phu là Tín (chí thành, hòa hoãn, thong thả).</t>
  </si>
  <si>
    <t>Tiểu Quá (cái nhỏ đi quá một chút, bất hòa).</t>
  </si>
  <si>
    <t>Gần xa bốn biển đã truyền danh thơm.</t>
  </si>
  <si>
    <t xml:space="preserve">Đá vàng còn sợ tối đen,             </t>
  </si>
  <si>
    <t xml:space="preserve">Có đức ngồi vị cao sang,              </t>
  </si>
  <si>
    <t xml:space="preserve">Việc đời bẩn gót bôn ba,         </t>
  </si>
  <si>
    <t xml:space="preserve">Việc dù có đẹp nữa chăng,         </t>
  </si>
  <si>
    <t xml:space="preserve">Một lòng trung hậu đến nơi,         </t>
  </si>
  <si>
    <t xml:space="preserve">Vuông tròn sự đã chu toàn,      </t>
  </si>
  <si>
    <t xml:space="preserve">Lưỡng long tranh châu,         </t>
  </si>
  <si>
    <t xml:space="preserve">Hàm lâm dù tốt chưa mừng,       </t>
  </si>
  <si>
    <t>Bĩ hoan lẫn lộn, ai cùng biết cho.</t>
  </si>
  <si>
    <t>Xét thực thì tiến, khó đi thì lùi.</t>
  </si>
  <si>
    <t>Trong lòng, dưới mắt sự tình không sai.</t>
  </si>
  <si>
    <t xml:space="preserve">Lòng ngay thẳng, sự phân minh      </t>
  </si>
  <si>
    <t xml:space="preserve">Tới lui chậm chạp bất thường,           </t>
  </si>
  <si>
    <t xml:space="preserve">Ngục tù phép tắc có minh,         </t>
  </si>
  <si>
    <t>21943</t>
  </si>
  <si>
    <t>31943</t>
  </si>
  <si>
    <t>41943</t>
  </si>
  <si>
    <t>51943</t>
  </si>
  <si>
    <t>Bĩ là tắc (Bế tắc, mắc kẹt). Được quẻ, 3 hào trên là đạo quân tử thì tốt, 3 hào dưới là đạo tiểu nhân thì xấu.</t>
  </si>
  <si>
    <t>11963</t>
  </si>
  <si>
    <t>21963</t>
  </si>
  <si>
    <t>31963</t>
  </si>
  <si>
    <t>Nhấp chuột vào ô họ tên mầu vàng để xem thể cách người khác trong bảng nhập liệu</t>
  </si>
  <si>
    <t>Hào NĐ :</t>
  </si>
  <si>
    <t>NT: Thâu lợi, tụng giải, bệnh khỏi.</t>
  </si>
  <si>
    <t>MHC: Tùy cơ đi hay ngừng, tiến đức tu nghiệp, thực hiện đường lối đúng thời. Người có chí học thì nên danh khoa bảng.</t>
  </si>
  <si>
    <t>MHC: Tuy được ngồi địa vị hưởng lộc tốt lành nhưng mưu tính việc lớn chưa thành, không vác nặng đi xa được, chỉ nên tính việc lợi ích nhỏ mà thôi.</t>
  </si>
  <si>
    <t>Cáng đáng việc đổ nát của mẹ, không thể cố chấp được.</t>
  </si>
  <si>
    <t>Kéo dài việc đổ nát của cha, cứ thế, thấy xấu thẹn.</t>
  </si>
  <si>
    <t>Cáng đáng việc đổ nát của cha, được danh dự.</t>
  </si>
  <si>
    <t>72047b</t>
  </si>
  <si>
    <t>82047b</t>
  </si>
  <si>
    <t>92047b</t>
  </si>
  <si>
    <t>102047b</t>
  </si>
  <si>
    <t>112047b</t>
  </si>
  <si>
    <t>122047b</t>
  </si>
  <si>
    <t>MHC: Học vấn đầy đủ, thành một tiêu biểu của thời đại và suốt đời vinh lộc chứa chan.</t>
  </si>
  <si>
    <t>NT: Ở yên, tự túc là hơn, mưu việc gì nên xét kỹ. Số xấu: sống quạnh hiu.</t>
  </si>
  <si>
    <t>NT: Được qua nơi tôn quý. Nếu không hợp cục đắc vị thì đề phòng bậc tôn trưởng bị tổn thiệt, ngôn ngữ mếch lòng, có hại.</t>
  </si>
  <si>
    <t>22042</t>
  </si>
  <si>
    <t>32042</t>
  </si>
  <si>
    <t>42042</t>
  </si>
  <si>
    <t>52042</t>
  </si>
  <si>
    <t>62042</t>
  </si>
  <si>
    <t>72042</t>
  </si>
  <si>
    <t>82042</t>
  </si>
  <si>
    <t>92042</t>
  </si>
  <si>
    <t>102042</t>
  </si>
  <si>
    <t>112042</t>
  </si>
  <si>
    <t>122042</t>
  </si>
  <si>
    <t>12043</t>
  </si>
  <si>
    <t>22043</t>
  </si>
  <si>
    <t>32043</t>
  </si>
  <si>
    <t>42043</t>
  </si>
  <si>
    <t>52043</t>
  </si>
  <si>
    <t>62043</t>
  </si>
  <si>
    <t>72043</t>
  </si>
  <si>
    <t>82043</t>
  </si>
  <si>
    <t>92043</t>
  </si>
  <si>
    <t>102043</t>
  </si>
  <si>
    <t>112043</t>
  </si>
  <si>
    <t>122043</t>
  </si>
  <si>
    <t>12044</t>
  </si>
  <si>
    <t>22044</t>
  </si>
  <si>
    <t>32044</t>
  </si>
  <si>
    <t>42044</t>
  </si>
  <si>
    <t>52044</t>
  </si>
  <si>
    <t>62044</t>
  </si>
  <si>
    <t>72044</t>
  </si>
  <si>
    <t>GS: Chờ thời.</t>
  </si>
  <si>
    <t>MHC: Lòng để ở thiên hạ, chí đẹp để ở lớp cùng dân, lập công huân, hưởng phú quý.</t>
  </si>
  <si>
    <t>MHC: Tham tài, tổn vật, cầu danh lấy lợi, phải lập tâm theo đạo hằng thì may còn đỡ tai họa.</t>
  </si>
  <si>
    <t>MHC: Tuy phú quý, nhưng cậy thế áp người lộng quyền giựt của, ám hại người lành, sau ắt khó tránh tai họa.</t>
  </si>
  <si>
    <t>MHC: Trên tôn pháp luật, dưới tu tỉnh đạo đức. Cải tiến văn hóa cho tốt đẹp.</t>
  </si>
  <si>
    <t>MHC: Phú quý đến ngọc đường, Nữ mạng là tiết phụ, đức phụ.</t>
  </si>
  <si>
    <t>MHC: Đề phòng họa hoạn, nên có uy tín nơi hàng xóm và giữ được thân, bảo vệ được nhà.</t>
  </si>
  <si>
    <t>MHC: Phong độ cao, tiết khí vững, làm biểu tượng người lớn cho thời đại, phúc trạch thâm hậu.</t>
  </si>
  <si>
    <t>MHC: Hoặc làm nghi biểu một thời hay sư biểu cho bốn phương, xa gần đều kính phục.</t>
  </si>
  <si>
    <t>Bị ngăn ở bắp chân mình, chứ không cứu được cái dở cứ phải theo người (hào 2 âm phải theo hào 3 dương) nên lòng chẳng hả hê.</t>
  </si>
  <si>
    <t>Chim hồng tiến dần đến mé bờ nước, kẻ tiểu tử cho là nguy, có chuyện nhưng không lỗi gì.</t>
  </si>
  <si>
    <t>Vô tâm mà được bao la nắm quyền.</t>
  </si>
  <si>
    <t>Nhưng điều lợi lộc tùy duyên có nhiều.</t>
  </si>
  <si>
    <t xml:space="preserve">Hoa nở mừng nơi trú, </t>
  </si>
  <si>
    <t>Hồng tâm điểm trúng rồi.</t>
  </si>
  <si>
    <t>Con thuyền trăng chiếu, âm thầm quê ta.</t>
  </si>
  <si>
    <t>Mấy hồi kinh hãi tri âm giúp liền.</t>
  </si>
  <si>
    <t>Chẳng ra khỏi cửa và sân thì xấu (Cư trung lại có ứng đồng đức thì nên lưu thông đừng bắt chước hào sơ, ngồi nhà).</t>
  </si>
  <si>
    <t>CànNữtrướcĐC</t>
  </si>
  <si>
    <t>CànNữtrướcĐC1</t>
  </si>
  <si>
    <t>KhônNamtrướcĐC</t>
  </si>
  <si>
    <t>KhônNamtrướcĐC1</t>
  </si>
  <si>
    <t>KhônNamsauĐC</t>
  </si>
  <si>
    <t>KhônNamsauĐC1</t>
  </si>
  <si>
    <t>Dương 6</t>
  </si>
  <si>
    <t>Âm 6</t>
  </si>
  <si>
    <t>61946b</t>
  </si>
  <si>
    <t>71946b</t>
  </si>
  <si>
    <t>81946b</t>
  </si>
  <si>
    <t>91946b</t>
  </si>
  <si>
    <t>101946b</t>
  </si>
  <si>
    <t>111946b</t>
  </si>
  <si>
    <t>121946b</t>
  </si>
  <si>
    <t>11947b</t>
  </si>
  <si>
    <t>21947b</t>
  </si>
  <si>
    <t>31947b</t>
  </si>
  <si>
    <t>41947b</t>
  </si>
  <si>
    <t>51947b</t>
  </si>
  <si>
    <t>61947b</t>
  </si>
  <si>
    <t>71947b</t>
  </si>
  <si>
    <t>81947b</t>
  </si>
  <si>
    <t>91947b</t>
  </si>
  <si>
    <t>101947b</t>
  </si>
  <si>
    <t>111947b</t>
  </si>
  <si>
    <t>121947b</t>
  </si>
  <si>
    <t>62002</t>
  </si>
  <si>
    <t xml:space="preserve">Đường mê qua lại lắm lần,             </t>
  </si>
  <si>
    <t>GS: Đỗ trung khoa. Không phải lao tâm lao lực mà nên giàu sang. Buôn bán ra ngoài hoạch lợi.</t>
  </si>
  <si>
    <t>NT: Chỉ được những lợi lặt vặt.</t>
  </si>
  <si>
    <t xml:space="preserve">Tâm thành đừng vọng động mà,       </t>
  </si>
  <si>
    <t>NT: Giữ nghiệp cũ, thực tế, đừng hão huyền.</t>
  </si>
  <si>
    <t xml:space="preserve">Đức rộng, vị lại khiêm nhường,         </t>
  </si>
  <si>
    <t>Tự nhiên bị bệnh, chớ thuốc thang gì (tự nhiên khỏi), có mừng.</t>
  </si>
  <si>
    <t xml:space="preserve">Mái chèo vượt sóng muôn trùng,     </t>
  </si>
  <si>
    <t>Xóm bên Đông giết trâu tế (hào 5 lớn) chẳng bằng xóm bên Tây làm lễ thược sơ sài (hào 2 bé hơn, nhưng đương thịnh) nên hưởng được phúc thật.</t>
  </si>
  <si>
    <t xml:space="preserve">Lòng thành lễ bạc cảm trên,            </t>
  </si>
  <si>
    <t>Vị Tế là Thất (mất thăng bằng, chưa thành đạt, nhưng chớ bi quan, có hy vọng).</t>
  </si>
  <si>
    <t>Ướt cái đuôi, xấu thẹn. (Hào sơ quẻ Khảm, không lội được qua).</t>
  </si>
  <si>
    <t>QC: Được thăng cao.</t>
  </si>
  <si>
    <t>QC: Thừa tài sửa đổi việc cũ.</t>
  </si>
  <si>
    <t>Thành đổ xuống ụ đất, chớ dùng quân sự nữa, chỉ phát mệnh lệnh ở ấp mình thôi, giữ chính, nhưng cũng hối thẹn.</t>
  </si>
  <si>
    <t>NT: Bị giam được thoát thân. Ra ngoài doanh thương gặp bạn nhà buôn đắc lực. Đàn bà có mang sinh sản. Số xấu thì có bệnh ở tim ở bụng.</t>
  </si>
  <si>
    <t>NT: Tranh cao, cậy mạnh nên khốn bách. Buôn bán tổn thiệt. Số xấu giảm thọ.</t>
  </si>
  <si>
    <t>GS: Thăng tiến.</t>
  </si>
  <si>
    <t>12000</t>
  </si>
  <si>
    <t>22000</t>
  </si>
  <si>
    <t>32000</t>
  </si>
  <si>
    <t>42000</t>
  </si>
  <si>
    <t>52000</t>
  </si>
  <si>
    <t>MHC: Tuy có tài nhưng khó gặp được người lãnh đạo sáng suốt (Minh chủ) cứ thui thủi giữ tiết lấy một mình và uổng tài ở nơi hẻo lánh.</t>
  </si>
  <si>
    <t xml:space="preserve">Mỗi phen thành, mỗi đổi thay            </t>
  </si>
  <si>
    <t>Có đi mà hẹn chênh vênh lỡ làng.</t>
  </si>
  <si>
    <t>Người mê quên họ, trâu phòng thủy tai.</t>
  </si>
  <si>
    <t>Ta buồn tìm bạn chẳng hay, chẳng xằng.</t>
  </si>
  <si>
    <t>Phải theo chính đạo thì mình mới yên.</t>
  </si>
  <si>
    <t>Việc đời thong thả, tu là được hay.</t>
  </si>
  <si>
    <t>Phong ba hiểm trở lo âu mới thành.</t>
  </si>
  <si>
    <t>Giai nhân lục hợp thu sang tiếng lừng.</t>
  </si>
  <si>
    <t>QC: Trước khó sau thành.</t>
  </si>
  <si>
    <t>52015</t>
  </si>
  <si>
    <t>62015</t>
  </si>
  <si>
    <t>72015</t>
  </si>
  <si>
    <t>82015</t>
  </si>
  <si>
    <t>NT: Nên thủ cựu, kẻo có tai biến.</t>
  </si>
  <si>
    <t>NT: Bội ngược, tranh của, có hại. Đại để cứ giữ chính đạo thì tốt.</t>
  </si>
  <si>
    <t>NT: Kiểm ước đủ dùng, phòng có tang.</t>
  </si>
  <si>
    <t>QC: Trước khó, sau dễ. Hoặc coi tế lễ.</t>
  </si>
  <si>
    <t>QC: Đức vị kiêm toàn.</t>
  </si>
  <si>
    <t>101001</t>
  </si>
  <si>
    <t>101110</t>
  </si>
  <si>
    <t>101010</t>
  </si>
  <si>
    <t>101100</t>
  </si>
  <si>
    <t>101000</t>
  </si>
  <si>
    <t>001111</t>
  </si>
  <si>
    <t>51982</t>
  </si>
  <si>
    <t>QC: Gặp gian nịnh, dèm pha.</t>
  </si>
  <si>
    <t>QC: Trên dưới một lòng, tín nhiệm hơn.</t>
  </si>
  <si>
    <t>QC: Trông coi việc tế lễ, nhưng hết thời cũng bị oán trách.</t>
  </si>
  <si>
    <t>QC: Vinh thăng vượt bậc.</t>
  </si>
  <si>
    <t>QC: Được thăng thưởng.</t>
  </si>
  <si>
    <t>QC: Không người đỡ đầu, không cổ cánh, chậm thăng thưởng.</t>
  </si>
  <si>
    <t>QC: Toàn được thân, tránh tai hại, chẳng vinh, chẳng nhục.</t>
  </si>
  <si>
    <t>QC: Thanh cần nơi hẻo lánh.</t>
  </si>
  <si>
    <t>QC: Có công lớn, không thưởng.</t>
  </si>
  <si>
    <t>QC: Chuyển ngạch có tin mừng.</t>
  </si>
  <si>
    <t>QC: Trước bị cách giáng, sau mới khởi lên được.</t>
  </si>
  <si>
    <t>QC: Tri cơ thì thoái.</t>
  </si>
  <si>
    <t>QC: Văn võ kiêm toàn, có binh quyền.</t>
  </si>
  <si>
    <t>QC: Phải dựa vào quyền thế người khác.</t>
  </si>
  <si>
    <t>QC: Hiển đạt thì ở vị cao cấp Trung Ương, chưa hiển đạt thì cũng giữ chức ngôn luận.</t>
  </si>
  <si>
    <t>QC: Hay bị dèm pha, trước mờ ám sau sáng.</t>
  </si>
  <si>
    <t>QC: Lên cao được.</t>
  </si>
  <si>
    <t>QC: Được tiến cử vào chức vụ thanh danh.</t>
  </si>
  <si>
    <t>QC: Tiên trở hậu thuận việc phải có kỳ hẹn, mưu vọng có chuyển biến.</t>
  </si>
  <si>
    <t>Ý HÀO: Thời không nên tiến, nên hợp lực với bên dưới thì cùng vượt được gian nan.</t>
  </si>
  <si>
    <t>101932b</t>
  </si>
  <si>
    <t>111932b</t>
  </si>
  <si>
    <t>121932b</t>
  </si>
  <si>
    <t xml:space="preserve">Trăng tròn, hoa lại nở tươi        </t>
  </si>
  <si>
    <t>Trẻ con quan sát, tiểu nhân không lỗi, Quân tử hối thẹn.</t>
  </si>
  <si>
    <t>Nhòm lén xem như con gái, giữ chính thì có lợi.</t>
  </si>
  <si>
    <t xml:space="preserve">Nhu thuận lợi gái đức trinh,        </t>
  </si>
  <si>
    <t>Ký Tế là Dĩ thành (đã thành rồi, danh lợi đủ cả, chỉ phòng khi thịnh hóa suy).</t>
  </si>
  <si>
    <t>NT: Được quý nhân dẫn dắt, toại ý. Số xấu thì mắc lầm lớn, thêm tai ương.</t>
  </si>
  <si>
    <t>QC: Dời tổ đi xa lập nghiệp, cần lợi hơn danh.</t>
  </si>
  <si>
    <t>GS: Dời tổ đi xa lập nghiệp, cần lợi hơn danh.</t>
  </si>
  <si>
    <t>NT: Hợp nhân tình, mưu được toại ý. Số xấu thì vạ miệng. Già trẻ khó về sinh kế.</t>
  </si>
  <si>
    <t>72037</t>
  </si>
  <si>
    <t>31954b</t>
  </si>
  <si>
    <t>41954b</t>
  </si>
  <si>
    <t>51954b</t>
  </si>
  <si>
    <t>61954b</t>
  </si>
  <si>
    <t>71954b</t>
  </si>
  <si>
    <t>81954b</t>
  </si>
  <si>
    <t>91954b</t>
  </si>
  <si>
    <t>Ý HÀO: Răn nên xa bọn chúng để theo đạo chính thì tránh được cái tai họa tụ hợp xằng.</t>
  </si>
  <si>
    <t>Giữ chính thì tốt, tiến liều thì nguy.</t>
  </si>
  <si>
    <t>Chí nên chuyên một đừng tùy ý ai.</t>
  </si>
  <si>
    <t>Trời dành gặp gỡ duyên may một người.</t>
  </si>
  <si>
    <t>Ý HÀO: Quá tốn thuận, nên xấu.</t>
  </si>
  <si>
    <t>Ý HÀO: Chuyên việc làm vui người.</t>
  </si>
  <si>
    <t>Ý HÀO: Có công cứu thời hoán, không hổ thẹn.</t>
  </si>
  <si>
    <t>Ý HÀO: Giữ tiết quá đáng cho nên xấu.</t>
  </si>
  <si>
    <t>Ý HÀO: Không đáng tin mà cứ tin là có hại.</t>
  </si>
  <si>
    <t>Ý HÀO: Đi quá rồi nên bị tai vạ.</t>
  </si>
  <si>
    <t>Ý HÀO: Tài đủ tế thế, nhưng nguy.</t>
  </si>
  <si>
    <t>Ý HÀO: Thuận mệnh trời để làm hết nhân sự.</t>
  </si>
  <si>
    <t>NT: Ở ẩn mà cũng còn lo tai ách bất kỳ. Đại để thận trọng thì tai tiêu, oan tỏ. Số xấu: Nhẹ, bị sửng sốt, nặng giảm thọ.</t>
  </si>
  <si>
    <t>Ý HÀO: Dù có đức cũng khó xem xét hết bên dưới, sự nghiệp không mở rộng được.</t>
  </si>
  <si>
    <t>Ý HÀO: Lấy đức nhu làm đạo hằng mà chẳng cho là thiện vậy.</t>
  </si>
  <si>
    <t>Ý HÀO: Khen ẩn tránh, đẹp đẽ.</t>
  </si>
  <si>
    <t>Ý HÀO: Đức không đủ để tiến mà vẫn được việc.</t>
  </si>
  <si>
    <t>Ý HÀO: Bậc vương giả vô tâm mà giáo hóa dân, nên thiên hạ trở nên thuận tình hết.</t>
  </si>
  <si>
    <t>MKH: Hoặc làm lính đi xa, hoặc bị chột mắt què cẳng, hoặc ngu hèn yểu chiết.</t>
  </si>
  <si>
    <t>MKH: Khi thành khi bại, trong gian nan cùng hưởng phúc.</t>
  </si>
  <si>
    <t>MKH: Không giữ được nề nếp lúc cùng.</t>
  </si>
  <si>
    <t>MKH: Phóng đãng, phạm pháp, chiêu tai họa.</t>
  </si>
  <si>
    <t>MKH: Tham có hại, thành khó, bại dễ.</t>
  </si>
  <si>
    <t>MKH: Cũng trung thực, được kính mến nơi hương thôn, có đức không khoe, làm ơn không cầu báo.</t>
  </si>
  <si>
    <t>MKH: Lòng dùng dằng, trí không yên.</t>
  </si>
  <si>
    <t>MKH: Có danh lợi nhưng đường con cái kém. Nữ mệnh: Được chồng làm nên, nhưng khắc tử tức.</t>
  </si>
  <si>
    <t>MKH: Trước vất vả, sau mới được đắc dụng.</t>
  </si>
  <si>
    <t>MKH: Tà thuyết mỵ thế, dối người hại vật. Nữ mệnh: Nhiều lời tổn đức.</t>
  </si>
  <si>
    <t>MKH: Nay tiến mai thoái, cô lập gian nan.</t>
  </si>
  <si>
    <t>MKH: Hễ động làm là có hối, cơm áo phải lo.</t>
  </si>
  <si>
    <t>MKH: Kiến thức hơn người, hoặc tài lộc dồi dào tuổi hạc cao, được giúp sức.</t>
  </si>
  <si>
    <t>MKH: Phúc mỏng.</t>
  </si>
  <si>
    <t>MKH: Muốn cầu cái dễ trong cái khó, cầu cái dài trong cái ngắn, uất ức.</t>
  </si>
  <si>
    <t>GS: Bị hạ nhục, không sao ngoi lên được.</t>
  </si>
  <si>
    <t>GS: Bảo toàn thường phận.</t>
  </si>
  <si>
    <t>GS: Truất giáng.</t>
  </si>
  <si>
    <t>GS: Phải đầu hàng, nhục.</t>
  </si>
  <si>
    <t>GS: Giữ cố hữu, không cầu tiến nhờ may rủi.</t>
  </si>
  <si>
    <t>GS: Phòng bị tai tiếng.</t>
  </si>
  <si>
    <t>GS: Có cơ hội được lên cao.</t>
  </si>
  <si>
    <t>GS: Gặp dịp.</t>
  </si>
  <si>
    <t>GS: Gặp quý nhân, nên danh phận.</t>
  </si>
  <si>
    <t>GS: Nóng nẩy sinh lầm lỗi.</t>
  </si>
  <si>
    <t>GS: Siểm nịnh, bôn tẩu.</t>
  </si>
  <si>
    <t>GS: Cạnh tranh bất nhất.</t>
  </si>
  <si>
    <t>GS: Tài thường còn bị bôi xấu.</t>
  </si>
  <si>
    <t>GS: Được giúp đỡ, thành danh.</t>
  </si>
  <si>
    <t>GS: Đầu sổ, thành danh.</t>
  </si>
  <si>
    <t>GS: Khó tiến thủ, nhà nông tăng súc vật của cải, đi buôn thêm lợi.</t>
  </si>
  <si>
    <t>GS: Vượt lên cao.</t>
  </si>
  <si>
    <t>GS: Phòng bị bôi nhọ.</t>
  </si>
  <si>
    <t>Ý HÀO: Biết khéo xử ở thời Đại Hữu nên trời cũng giúp cho.</t>
  </si>
  <si>
    <t>Ý HÀO: Khiêm nhường và dùng tài có giới hạn thôi.</t>
  </si>
  <si>
    <t>Ý HÀO: Vui thỏa thích nhưng biết cải biến thì không lỗi.</t>
  </si>
  <si>
    <t>Ý HÀO: Lấy lòng thành mà dùng đạo tùy, có thể thông cảm được với thần minh.</t>
  </si>
  <si>
    <t>GS: Thi đỗ khôi khoa.</t>
  </si>
  <si>
    <t>GS: Khó gặp dịp may.</t>
  </si>
  <si>
    <t>GS: Tôn sùng đức tính.</t>
  </si>
  <si>
    <t>GS: Trước lỡ sau được.</t>
  </si>
  <si>
    <t>GS: Được học bổng hay vào nội trú.</t>
  </si>
  <si>
    <t>GS: Được tuyển chọn và tiến lên.</t>
  </si>
  <si>
    <t>GS: Không phải thời, nên khó tiến.</t>
  </si>
  <si>
    <t>GS: Đỗ to (ngày xưa là bảng vàng), và được tiến cử (Nhị giáp, Tam giáp, Tiến sĩ).</t>
  </si>
  <si>
    <t>GS: Giữ nghiệp thường, khó tiến.</t>
  </si>
  <si>
    <t>GS: Được tuyển vào ngành võ hoặc bán quân sự.</t>
  </si>
  <si>
    <t>GS: Chẳng có mống gia nhân nào.</t>
  </si>
  <si>
    <t>GS: Có vui mừng.</t>
  </si>
  <si>
    <t>11988</t>
  </si>
  <si>
    <t>21988</t>
  </si>
  <si>
    <t>31988</t>
  </si>
  <si>
    <t>41988</t>
  </si>
  <si>
    <t>51988</t>
  </si>
  <si>
    <t>61988</t>
  </si>
  <si>
    <t>71988</t>
  </si>
  <si>
    <t>GS: Bị đình giáng, nhục nhằn.</t>
  </si>
  <si>
    <t>GS: Tiến lên.</t>
  </si>
  <si>
    <t>GS: Tiến chức, đỗ đạt.</t>
  </si>
  <si>
    <t>GS: Thành danh.</t>
  </si>
  <si>
    <t>GS: Bỗng lừng danh.</t>
  </si>
  <si>
    <t>GS: Hư danh.</t>
  </si>
  <si>
    <t>MHC: Mềm dẻo, khiêm tốn, biết lo xa thì kẻ cường bạo mới không chen được vào khe hở, mới bảo vệ được phúc trạch an toàn.</t>
  </si>
  <si>
    <t>NT: An thường thủ phận, sinh nhai đạm bạc.</t>
  </si>
  <si>
    <t>NT: Kính trên, được che chở, nhà nông thịnh vượng.</t>
  </si>
  <si>
    <t>NT: Có kiện tụng, nhưng tự nhiên minh giải được.</t>
  </si>
  <si>
    <t>NT: Kiêu ngạo, tranh tụng, nên sửa đổi mới khỏi lỗi.</t>
  </si>
  <si>
    <t>MHC: Vị cao, đức lớn, được người giỏi phụ tá, lập công danh, hưởng phú quý.</t>
  </si>
  <si>
    <t>MHC: Có lương bằng giúp, cùng đổi bĩ ra thái, đổi loạn thành trị.</t>
  </si>
  <si>
    <t>MHC: Nắm quyền công lý, tiến hiền trừ gian thì quốc gia được an ninh, dân sinh được thoải mái, công nghiệp ấy to, mấy người sánh kịp.</t>
  </si>
  <si>
    <t>MHC: Được người hiệp lực, đạo trị nước thành, nhân tâm về với mình, phúc trạch thịnh lớn.</t>
  </si>
  <si>
    <t>Ý HÀO: Bỏ cái bé, lập cái lớn, phải trù mưu chí lý.</t>
  </si>
  <si>
    <t>Ý HÀO: Yên phận phụ tá nên thành công sửa trị.</t>
  </si>
  <si>
    <t>Ý HÀO: Quên riêng tư để phục vụ việc lớn.</t>
  </si>
  <si>
    <t>71999b</t>
  </si>
  <si>
    <t xml:space="preserve">Quân tử giữ đạo đến cùng,       </t>
  </si>
  <si>
    <t xml:space="preserve">Đem người quy thiện là hay,     </t>
  </si>
  <si>
    <t>MKH: Cũng hiểu nhân tình, được nhiều người giúp sức, toại ý, nghiệp nhà hưng vượng.</t>
  </si>
  <si>
    <t>MKH: Nhu nhược, tối tăm, không nhìn thấy cơ sự, không thoát được khốn.</t>
  </si>
  <si>
    <t>MHC: Thủ chính đôn nhân, dù không hiển đạt lớn, cũng đủ làm gương tốt đổi được kẻ tham ra liêm, kẻ lười ra chăm, duy trì được mỹ tục nơi thôn dã.</t>
  </si>
  <si>
    <t>Ý HÀO: Cậy cương mạnh để làm biến cách chính trị thì chỉ chóng đi đến chỗ chết.</t>
  </si>
  <si>
    <t>Ý HÀO: Học theo tài vương bá.</t>
  </si>
  <si>
    <t>Ý HÀO: Không nên giữ lâu mà cứ ở lâu.</t>
  </si>
  <si>
    <t>Ý HÀO: Tin ở người Quân tử có thể quyết chí ẩn tránh.</t>
  </si>
  <si>
    <t>Ý HÀO: Trở về đường chính, có thể tiến được.</t>
  </si>
  <si>
    <t>Ý HÀO: Đức không đáng ngồi chỗ ấy.</t>
  </si>
  <si>
    <t>Ý HÀO: Vào chỗ tối còn nông, còn có thể đi ra xa được.</t>
  </si>
  <si>
    <t>Ý HÀO: Làm lợi cho nước, cần có  đức.</t>
  </si>
  <si>
    <t>Ý HÀO: Được gặp bạn, không buồn nỗi cô đơn.</t>
  </si>
  <si>
    <t>NT: Biết đề phòng, lo trước thì tránh được tai họa, biết tu tỉnh thì tốt lành. Vợ chồng có hình khắc. Thân nhân hàng xóm có xảy tai nạn.</t>
  </si>
  <si>
    <t>NT: Nhà nông, buôn bán đều được lợi, nhưng chí hướng chưa được thỏa mãn.</t>
  </si>
  <si>
    <t>NT: Được đề cử, có mưu kế lỗi lạc, không tai họa, có phúc trạch dài lâu.</t>
  </si>
  <si>
    <t>NT: Kinh doanh uổng sức. Người già có tang, tế.</t>
  </si>
  <si>
    <t>NT: Cốt nhục tương tàn, ly tổ thành gia, khó tránh kiện tụng, hình ngục, khẩu thiệt, hoặc lầm lỗi ở nơi môn hộ.</t>
  </si>
  <si>
    <t>NT: Thích tiến, chỉ thêm thẹn mặt. Buôn bán phải qua sông nước gian nan mới kiếm được lợi, không nên chèo núi qua đồng.</t>
  </si>
  <si>
    <t>NT: Được nhân tình hòa hợp, mọi việc đều nên, hôn nhân tốt lành, sinh nở khỏe mạnh, động tĩnh bình an.</t>
  </si>
  <si>
    <t>NT: Mưu vọng vất vả, mãi sau mới ra khỏi bế tắc, nhà buôn bị khổ về xe cộ.</t>
  </si>
  <si>
    <t>NT: Cầy ruộng đào giếng, hoặc xây đắp tu tạo.</t>
  </si>
  <si>
    <t>NT: Được tăng tiến đẹp đẽ. Nhiều sự đổi mới.</t>
  </si>
  <si>
    <t>QC: Được sắp hạng đổi chức vụ (Ngày xưa được lên chức Ngũ Mã hoặc Ngự Bình).</t>
  </si>
  <si>
    <t>QC: Nên thủ phận.</t>
  </si>
  <si>
    <t>QC: Bị dư luận xuyên tạc.</t>
  </si>
  <si>
    <t>QC: Hưởng lương lộc ở ấp.</t>
  </si>
  <si>
    <t>QC: Ở ngoài được lệnh gọi về Trung Ương, ở trung tâm đổi ra địa phương, hoặc hành quân bên ngoài.</t>
  </si>
  <si>
    <t>QC: Ở nội.</t>
  </si>
  <si>
    <t>QC: Làm trưởng, có đường lên.</t>
  </si>
  <si>
    <t>QC: Hưu nghỉ tốt lành.</t>
  </si>
  <si>
    <t>QC: Bảo vệ biên cương, sông hồ.</t>
  </si>
  <si>
    <t>QC: Có cơ hội thì làm.</t>
  </si>
  <si>
    <t>QC: Địa vị cục bộ, lộc bình thường.</t>
  </si>
  <si>
    <t>QC: Được phong tướng, xuất sư lập công trạng.</t>
  </si>
  <si>
    <t>QC: Thăng trật, hoặc đổi chức vụ.</t>
  </si>
  <si>
    <t>QC: Biết tiến thoái đúng lúc.</t>
  </si>
  <si>
    <t>QC: Giúp chính trừ gian, danh cao.</t>
  </si>
  <si>
    <t>QC: Tài lực không đầy đủ.</t>
  </si>
  <si>
    <t>QC: Hình phạt người dân vô kỷ luật mà cũng bị phiền nhiễu.</t>
  </si>
  <si>
    <t>MHC: Có đức, có ngôn luận, hoặc giữ chức về thuyết đàm, được lòng trên, xứng đáng với tiếng khen của quần chúng.</t>
  </si>
  <si>
    <t>MHC: Làm đúng lý không hỏng việc, hợp nghĩa không quá chức phận.</t>
  </si>
  <si>
    <t>MHC: Lòng quảng đại, không lưu ý đến yêu ghét, phúc họa, mà hưởng phúc lâu dài.</t>
  </si>
  <si>
    <t>MHC: Cố thận trọng, trong xét sự lý, ngoài thuận thời thế, khéo dùng sức tráng thì cũng tiến được.</t>
  </si>
  <si>
    <t>MHC: Cương ở ngôi cực, cùng thế rồi, không hiển lên được hoặc làm Quận Trưởng “huyện tể” quân quan, có tượng là ấp thôn, dù gian nan nhưng không hại lớn.</t>
  </si>
  <si>
    <t>QC: Vũ thì đi chinh phạt nơi ngoài, văn thì vị cao tột mực, công lớn vẻ vang.</t>
  </si>
  <si>
    <t>QC: Bị hạch xách vì tham nhũng.</t>
  </si>
  <si>
    <t>QC: Tham nhũng, nhục nhã.</t>
  </si>
  <si>
    <t>QC: Bị bãi giáng.</t>
  </si>
  <si>
    <t>QC: Vui về nghề nghiệp.</t>
  </si>
  <si>
    <t>Trong tay quyền bính thật là tự nhiên.</t>
  </si>
  <si>
    <t xml:space="preserve">Ngồi cao thấy thấp đừng chê,          </t>
  </si>
  <si>
    <t xml:space="preserve">Tính mềm chỉ lợi vũ uy,            </t>
  </si>
  <si>
    <t>Một vỡ, thành nghiêng sụp</t>
  </si>
  <si>
    <t>Dây câu leo đỉnh núi,</t>
  </si>
  <si>
    <t>Ý HÀO: Xem đường đi nước bước có tổn thương không.</t>
  </si>
  <si>
    <t>Trâu voi (ngưu tượng) đem ngay điềm lành.</t>
  </si>
  <si>
    <t>Bên trong ba nhạn bay (3 hào âm).</t>
  </si>
  <si>
    <t>QC: Tài đức chỉ dùng để than vãn cho nhiều.</t>
  </si>
  <si>
    <t>QC: Tiến thoái bất định, kiêm quyền, trong khó có dễ.</t>
  </si>
  <si>
    <t>QC: Hưởng ứng, hiệp lực với nhau, làm nên chính sự tốt đẹp.</t>
  </si>
  <si>
    <t>QC: Cứ ở Trung Ương, không ra ngoài.</t>
  </si>
  <si>
    <t>QC: Được đề bạt.</t>
  </si>
  <si>
    <t>QC: Muốn tiến gấp quá nên hận.</t>
  </si>
  <si>
    <t>QC: Gặp hiểm trở không lên được.</t>
  </si>
  <si>
    <t>GS: Lập công bắt được giặc cướp.</t>
  </si>
  <si>
    <t>GS: Được vào đại học, cũng dễ bị hiềm nghi.</t>
  </si>
  <si>
    <t>GS: Đạt chí.</t>
  </si>
  <si>
    <t>GS: Thành danh kỹ thuật.</t>
  </si>
  <si>
    <t>GS: Chẳng ai giúp đỡ, khó thành danh.</t>
  </si>
  <si>
    <t>GS: Bị bài xích.</t>
  </si>
  <si>
    <t>GS: Đỗ cao, tiến lên.</t>
  </si>
  <si>
    <t>GS: Bị xấu thẹn.</t>
  </si>
  <si>
    <t>QC: Nhân người mà thành công, được thăng chuyển.</t>
  </si>
  <si>
    <t>QC: Phòng truất giáng.</t>
  </si>
  <si>
    <t>QC: Nếu nghỉ việc, được phục chức.</t>
  </si>
  <si>
    <t>QC: Trải chức vụ nhỏ.</t>
  </si>
  <si>
    <t>QC: Giữ vị cao ở Trung Ương.</t>
  </si>
  <si>
    <t>QC: Ngồi yên thì tốt, lưu động có hại.</t>
  </si>
  <si>
    <t>QC: Cẩn thận không sơ, khoáng.</t>
  </si>
  <si>
    <t>QC: Ngôi vị thanh cao.</t>
  </si>
  <si>
    <t>QC: Tiến được.</t>
  </si>
  <si>
    <t>QC: Về Trung Ương được vinh lộc.</t>
  </si>
  <si>
    <t>51909b</t>
  </si>
  <si>
    <t>61909b</t>
  </si>
  <si>
    <t>71909b</t>
  </si>
  <si>
    <t>81909b</t>
  </si>
  <si>
    <t>91909b</t>
  </si>
  <si>
    <t>101909b</t>
  </si>
  <si>
    <t>111909b</t>
  </si>
  <si>
    <t>MHC: Nếu thủ cựu an thường, trên tuân pháp luật, dưới không gây oán thù thì có thể bảo vệ được thân mình và gia đình.</t>
  </si>
  <si>
    <t>MHC: Thành thật, cảm được ngôi trên, làm ơn được cho dân, công lớn, lộc nhiều.</t>
  </si>
  <si>
    <t>MHC: Cũng dùng xảo thuật để được lòng trên, ham hưởng lộc vị, công danh sớm thoái thì hơn.</t>
  </si>
  <si>
    <t>MHC: Có trác kiến, có xác định nên lợi lộc không quyến rũ được, tránh được hại, hưởng phúc vĩnh viễn.</t>
  </si>
  <si>
    <t>MHC: Sửa điều thiên lệch cho ngay lại, không dùng quá cương, nên tiến dễ dàng, dựng công lập nghiệp. Văn chương phát lên ở lúc thanh niên, muộn tuổi được hưởng phúc trạch.</t>
  </si>
  <si>
    <t>MHC: Vị ngôi trên cả trăm đồng nghiệp làm nhiều ghen ghét.</t>
  </si>
  <si>
    <t>MHC: Là tâm phúc được sủng ái của chính quyền.</t>
  </si>
  <si>
    <t>MHC: Tri cơ cố thủ, thuận chiều yên việc để tránh cơn hiểm nghèo.</t>
  </si>
  <si>
    <t>MHC: Dù là người học rộng biết nhiều có danh lợi, nhưng cũng chỉ là bọn bỏ gốc cầu ngọn, phản chánh theo tà. Nữ mạng là số sủng thiếp. Làm Ni cô hoặc ca kỹ thì cũng yên thân.</t>
  </si>
  <si>
    <t>Kình ngao lên cả, thỏa tâm đồng.</t>
  </si>
  <si>
    <t>Suối reo cây cỏ Bắc liền xanh tươi.</t>
  </si>
  <si>
    <t>Bàn đào ba trái, phi thường một, coi.</t>
  </si>
  <si>
    <t>C.Dần</t>
  </si>
  <si>
    <t>C.Tý</t>
  </si>
  <si>
    <t>T.Dậu</t>
  </si>
  <si>
    <t>T.Hợi</t>
  </si>
  <si>
    <t>T.Sửu</t>
  </si>
  <si>
    <t>M.Ngọ</t>
  </si>
  <si>
    <t>M.Thìn</t>
  </si>
  <si>
    <t>M.Dần</t>
  </si>
  <si>
    <t>B.Thân</t>
  </si>
  <si>
    <t>B.Ngọ</t>
  </si>
  <si>
    <t>B.Thìn</t>
  </si>
  <si>
    <t>Ấ.Mão</t>
  </si>
  <si>
    <t>Ấ.Mùi</t>
  </si>
  <si>
    <t>Đ.Mùi</t>
  </si>
  <si>
    <t>Đ.Dậu</t>
  </si>
  <si>
    <t>Đ.Hợi</t>
  </si>
  <si>
    <t>K.Mùi</t>
  </si>
  <si>
    <t>K.Dậu</t>
  </si>
  <si>
    <t>C.Tuất</t>
  </si>
  <si>
    <t>C.Thân</t>
  </si>
  <si>
    <t>C.Ngọ</t>
  </si>
  <si>
    <t>T.Mão</t>
  </si>
  <si>
    <t>T.Mùi</t>
  </si>
  <si>
    <t>M.Tý</t>
  </si>
  <si>
    <t>M.Tuất</t>
  </si>
  <si>
    <t>M.Thân</t>
  </si>
  <si>
    <t>B.Dần</t>
  </si>
  <si>
    <t>B.Tý</t>
  </si>
  <si>
    <t>B.Tuất</t>
  </si>
  <si>
    <t>Q.Dậu</t>
  </si>
  <si>
    <t>Q.Hợi</t>
  </si>
  <si>
    <t>Q.Sửu</t>
  </si>
  <si>
    <t>Đi lên thì vất vả, trở lại thì liên kết được (với 3 hào quẻ nội).</t>
  </si>
  <si>
    <t>MHC: Bỏ bè đảng riêng để làm việc nước, tấm lòng tinh bạch, chẳng triệu tập mà bách liêu phải tôn kính, quyền chẳng cần khuếch trương mà hóa to.</t>
  </si>
  <si>
    <t>MHC: Nhờ phúc lớn của Tổ Mẫu, nhưng vẫn buồn về đạo không hành được.</t>
  </si>
  <si>
    <t>Nam</t>
  </si>
  <si>
    <t>Tháng DL thường :</t>
  </si>
  <si>
    <t>Nữ</t>
  </si>
  <si>
    <t>Thượng</t>
  </si>
  <si>
    <t>Hạ</t>
  </si>
  <si>
    <t>Trung</t>
  </si>
  <si>
    <t>+</t>
  </si>
  <si>
    <t>1900-1923</t>
  </si>
  <si>
    <t>1924-1983</t>
  </si>
  <si>
    <t>(+)</t>
  </si>
  <si>
    <t>(-)</t>
  </si>
  <si>
    <t>Dg</t>
  </si>
  <si>
    <t>Âm</t>
  </si>
  <si>
    <t>1984-2043</t>
  </si>
  <si>
    <t>Hạ chí :</t>
  </si>
  <si>
    <t>Đông chí :</t>
  </si>
  <si>
    <t>010</t>
  </si>
  <si>
    <t>000</t>
  </si>
  <si>
    <t>001</t>
  </si>
  <si>
    <t>110</t>
  </si>
  <si>
    <t>111</t>
  </si>
  <si>
    <t>011</t>
  </si>
  <si>
    <t>100</t>
  </si>
  <si>
    <t>101</t>
  </si>
  <si>
    <t>(+) Nam</t>
  </si>
  <si>
    <t>(-) Nữ</t>
  </si>
  <si>
    <t>(-) Nam</t>
  </si>
  <si>
    <t>(+) Nữ</t>
  </si>
  <si>
    <t>11900b</t>
  </si>
  <si>
    <t>Đại hàn</t>
  </si>
  <si>
    <t>21900b</t>
  </si>
  <si>
    <t>Vũ thủy</t>
  </si>
  <si>
    <t>31900b</t>
  </si>
  <si>
    <t>Xuân phân</t>
  </si>
  <si>
    <t>41900b</t>
  </si>
  <si>
    <t>Cốc vũ</t>
  </si>
  <si>
    <t>51900b</t>
  </si>
  <si>
    <t>Tiểu mãn</t>
  </si>
  <si>
    <t>61900b</t>
  </si>
  <si>
    <t>Hạ chí</t>
  </si>
  <si>
    <t>71900b</t>
  </si>
  <si>
    <t>Đại thử</t>
  </si>
  <si>
    <t>101943b</t>
  </si>
  <si>
    <t>111943b</t>
  </si>
  <si>
    <t>61921</t>
  </si>
  <si>
    <t>71921</t>
  </si>
  <si>
    <t>81921</t>
  </si>
  <si>
    <t>91921</t>
  </si>
  <si>
    <t>101921</t>
  </si>
  <si>
    <t>111921</t>
  </si>
  <si>
    <t>121921</t>
  </si>
  <si>
    <t>11922</t>
  </si>
  <si>
    <t>21922</t>
  </si>
  <si>
    <t>31922</t>
  </si>
  <si>
    <t>41922</t>
  </si>
  <si>
    <t>51922</t>
  </si>
  <si>
    <t>61922</t>
  </si>
  <si>
    <t>GS: Chưa gặp vận đạt, thi cử khó khăn.</t>
  </si>
  <si>
    <t>Bên sông tiếng khóc thảm thay một nàng.</t>
  </si>
  <si>
    <t>Chiếc thuyền đã mục, mênh mông nước tràn.</t>
  </si>
  <si>
    <t>Trong mây ác lặn, tơi bời công lao.</t>
  </si>
  <si>
    <t>Dưới trên đùm bọc, bảo trân sáng ngời.</t>
  </si>
  <si>
    <t>Tri ngộ một phen, hóa bậc hùng.</t>
  </si>
  <si>
    <t xml:space="preserve">Biển lặng thuyền to, câu thả xuống, </t>
  </si>
  <si>
    <t xml:space="preserve">Ôm cần, nước lạnh lê thê              </t>
  </si>
  <si>
    <t>Dắt nhau tri kỷ ra ngoài thảo lư.</t>
  </si>
  <si>
    <t xml:space="preserve">Mưu cầu chẳng được liền thôi,         </t>
  </si>
  <si>
    <t xml:space="preserve">Lòng sắt đá, gặp quý nhân             </t>
  </si>
  <si>
    <t>Ý HÀO: Lời nói có sự thực, việc làm có nếp quen.</t>
  </si>
  <si>
    <t>Ý HÀO: Dễ dàng tri ngộ, cứ tiến đi.</t>
  </si>
  <si>
    <t>Ý HÀO: Bậc lãnh đạo đương thế gian nan, mừng được giúp sức.</t>
  </si>
  <si>
    <t>Ý HÀO: Người Quân tử bỏ bọn ác đi thì có lợi.</t>
  </si>
  <si>
    <t>Ý HÀO: Có đức, ngồi vị tôn, tất được người hiền giúp việc chính trị lớn.</t>
  </si>
  <si>
    <t>Ý HÀO: Làm ích cho dưới mà chứng minh được lòng thành của mình có cơ được đáp ứng.</t>
  </si>
  <si>
    <t>81900b</t>
  </si>
  <si>
    <t>Xử thử</t>
  </si>
  <si>
    <t>91900b</t>
  </si>
  <si>
    <t>Thu phân</t>
  </si>
  <si>
    <t>101900b</t>
  </si>
  <si>
    <t>Sương giáng</t>
  </si>
  <si>
    <t>111900b</t>
  </si>
  <si>
    <t>Tiểu tuyết</t>
  </si>
  <si>
    <t>121900b</t>
  </si>
  <si>
    <t>Đông chí</t>
  </si>
  <si>
    <t>11901b</t>
  </si>
  <si>
    <t>21901b</t>
  </si>
  <si>
    <t>31901b</t>
  </si>
  <si>
    <t>Chấn</t>
  </si>
  <si>
    <t>Chấn1</t>
  </si>
  <si>
    <t>P.Hạp</t>
  </si>
  <si>
    <t>P.Hạp1</t>
  </si>
  <si>
    <t>Tùy</t>
  </si>
  <si>
    <t>Tùy1</t>
  </si>
  <si>
    <t>NT: Thuế ruộng ngày cao, ủy quyền được việc. Trẻ con phòng tật ách.</t>
  </si>
  <si>
    <t>MHC: Trong chẳng người thân, ngoài không kẻ giúp, dù có lộc vị cũng sợ tuổi thọ kém, và đường con cái khó khăn.</t>
  </si>
  <si>
    <t>QC: Phòng ruồng bỏ, phòng đình giáng.</t>
  </si>
  <si>
    <t>QC: Yên phận, bảo thủ cố hữu.</t>
  </si>
  <si>
    <t>GS: Yên phận, bảo thủ cố hữu.</t>
  </si>
  <si>
    <t>NT: Thương mại hoạch lợi. Tăng ni trụ trì yên ổn.</t>
  </si>
  <si>
    <t>NT: Phúc lộc, già thọ. Việc lớn khó tiến thủ, việc nhỏ tốt.</t>
  </si>
  <si>
    <t>NT: Tiền dư thóc sẵn. Đàn bà hiền lương khởi gia.</t>
  </si>
  <si>
    <t>GS: Có cái mừng chiếm được công đầu.</t>
  </si>
  <si>
    <t>101998b</t>
  </si>
  <si>
    <t>MHC: Cậy mạnh, sinh thế, muốn cái này, thích cái kia, chí hướng bất định, nên nhiều lo sợ, tấm lòng nan trắc, hoặc làm quân nhân đi xa, hoặc ở ẩn nơi rừng rậm, gò cao.</t>
  </si>
  <si>
    <t>MHC: Tài cao đức lớn, tận tụy làm việc nước.</t>
  </si>
  <si>
    <t>MHC: Tài đức vượt người, lập công to.</t>
  </si>
  <si>
    <t>NT: Cầu lợi được lợi. Số xấu: Liên can kiện tụng, tĩnh thì đỡ vất vả.</t>
  </si>
  <si>
    <t>Đại vận :</t>
  </si>
  <si>
    <t>Số năm,+-</t>
  </si>
  <si>
    <t>Năm Am Lịch</t>
  </si>
  <si>
    <t xml:space="preserve">    GIỚI TÍNH (Nam/Nữ)</t>
  </si>
  <si>
    <t>Tổng số ngày từ Mốc</t>
  </si>
  <si>
    <t>Tổng Số Ngày Trong Tháng Am Lịch</t>
  </si>
  <si>
    <t>121946</t>
  </si>
  <si>
    <t>M&amp;Y :</t>
  </si>
  <si>
    <t>M&amp;Y tiết lệnh :</t>
  </si>
  <si>
    <t>Ngày sinh :</t>
  </si>
  <si>
    <t>Giờ sinh :</t>
  </si>
  <si>
    <t>Tổng ngày từ 1990 :</t>
  </si>
  <si>
    <t>Cảm thông mà tới, giữ chính thì tốt.</t>
  </si>
  <si>
    <t>82040</t>
  </si>
  <si>
    <t>92040</t>
  </si>
  <si>
    <t>Quẻ :</t>
  </si>
  <si>
    <t>11947</t>
  </si>
  <si>
    <t>21947</t>
  </si>
  <si>
    <t>31947</t>
  </si>
  <si>
    <t>51934b</t>
  </si>
  <si>
    <t>61934b</t>
  </si>
  <si>
    <t>Dùng dằng. Lợi ở giữ điều chính. Lợi ở xây dựng Chư Hầu (nước nhỏ thuộc quyền nước lớn).</t>
  </si>
  <si>
    <t>112034b</t>
  </si>
  <si>
    <t>122034b</t>
  </si>
  <si>
    <t>12035b</t>
  </si>
  <si>
    <t>22035b</t>
  </si>
  <si>
    <t>32035b</t>
  </si>
  <si>
    <t>42035b</t>
  </si>
  <si>
    <t>52035b</t>
  </si>
  <si>
    <t>62035b</t>
  </si>
  <si>
    <t>72035b</t>
  </si>
  <si>
    <t>82035b</t>
  </si>
  <si>
    <t>92035b</t>
  </si>
  <si>
    <t>102035b</t>
  </si>
  <si>
    <t>112035b</t>
  </si>
  <si>
    <t>122035b</t>
  </si>
  <si>
    <t>12036b</t>
  </si>
  <si>
    <t>22036b</t>
  </si>
  <si>
    <t>32036b</t>
  </si>
  <si>
    <t>42036b</t>
  </si>
  <si>
    <t>52036b</t>
  </si>
  <si>
    <t>62036b</t>
  </si>
  <si>
    <t>72036b</t>
  </si>
  <si>
    <t>82036b</t>
  </si>
  <si>
    <t>92036b</t>
  </si>
  <si>
    <t>102036b</t>
  </si>
  <si>
    <t>82005b</t>
  </si>
  <si>
    <t>92005b</t>
  </si>
  <si>
    <t>102005b</t>
  </si>
  <si>
    <t>112005b</t>
  </si>
  <si>
    <t>122005b</t>
  </si>
  <si>
    <t>12006b</t>
  </si>
  <si>
    <t>22006b</t>
  </si>
  <si>
    <t>32006b</t>
  </si>
  <si>
    <t>42006b</t>
  </si>
  <si>
    <t>52006b</t>
  </si>
  <si>
    <t>62006b</t>
  </si>
  <si>
    <t>72006b</t>
  </si>
  <si>
    <t>82006b</t>
  </si>
  <si>
    <t>92006b</t>
  </si>
  <si>
    <t>102006b</t>
  </si>
  <si>
    <t>112006b</t>
  </si>
  <si>
    <t>122006b</t>
  </si>
  <si>
    <t>12007b</t>
  </si>
  <si>
    <t>22007b</t>
  </si>
  <si>
    <t>32007b</t>
  </si>
  <si>
    <t>42007b</t>
  </si>
  <si>
    <t>52007b</t>
  </si>
  <si>
    <t>62007b</t>
  </si>
  <si>
    <t>NT: Tuy hòa đồng với mọi người, nhưng không hiển đạt được. Số xấu thì có tật ách ở mắt, hoặc bị ô uế.</t>
  </si>
  <si>
    <t>11949</t>
  </si>
  <si>
    <t>21949</t>
  </si>
  <si>
    <t>31949</t>
  </si>
  <si>
    <t>41949</t>
  </si>
  <si>
    <t>Giếng bùn không ăn được, giếng cũ không có con chim nào (xuống uống nước).</t>
  </si>
  <si>
    <t>Giếng hang (róc rách), nước bắn vào con cá giếc, cái vò nứt đã róc.</t>
  </si>
  <si>
    <t>Sai biệt lớn :</t>
  </si>
  <si>
    <t>Sai biệt nhỏ :</t>
  </si>
  <si>
    <t>Lớn thay cái vật che lấp mình (hào 5 âm) nên giữa ngày mà thấy được sao đẩu (tức ngày tối tăm), đi thì bị ngờ ghét, nhưng cứ giữ lòng chí thành, mong khai phát được (hào 5) thì tốt.</t>
  </si>
  <si>
    <t>Lộc trên trời xuống, thân liền tốt ngay.</t>
  </si>
  <si>
    <t>Chim rừng cháy tổ, cười hò thảm thương.</t>
  </si>
  <si>
    <t>Vinh hoa không nhỏ, Tam Kỳ non cao.</t>
  </si>
  <si>
    <t>Tâm thành cầu nguyện tai nguy sạch liền.</t>
  </si>
  <si>
    <t>Thêm bực lại thêm phiền.</t>
  </si>
  <si>
    <t>Chờ buổi Long Sà đến,</t>
  </si>
  <si>
    <t>Nhờ người dạ mới yên.</t>
  </si>
  <si>
    <t>QC: Chờ nhiệm vụ.</t>
  </si>
  <si>
    <t>QC: Nên thủ thường, chưa thăng trật.</t>
  </si>
  <si>
    <t>121922b</t>
  </si>
  <si>
    <t>11923b</t>
  </si>
  <si>
    <t>21923b</t>
  </si>
  <si>
    <t>31923b</t>
  </si>
  <si>
    <t>41923b</t>
  </si>
  <si>
    <t>51923b</t>
  </si>
  <si>
    <t>61923b</t>
  </si>
  <si>
    <t>22016b</t>
  </si>
  <si>
    <t>32016b</t>
  </si>
  <si>
    <t>42016b</t>
  </si>
  <si>
    <t>MHC: Giữ điều nhân, chọn điều thiện, không những ích cho mình, mà lợi cho văn hóa đất nước.</t>
  </si>
  <si>
    <t>MHC: Đã làm việc nước thì phải tận tụy để cứu dân sinh, để làm ích cho phong hóa.</t>
  </si>
  <si>
    <t>MHC: Tài đại chí cương, cơ sâu lo xa vì nước trừ hại, làm lành phong tục, công danh rất mực.</t>
  </si>
  <si>
    <t>MHC: Cầu công danh thì không đủ tài, nhưng làm cho vinh hoa thì thừa sức, hoặc được nhờ tổ nghiệp, giữ điền sản.</t>
  </si>
  <si>
    <t>MHC: Toại chí, bốn bể là nhà, sinh nhai lợi đạt.</t>
  </si>
  <si>
    <t>MHC: Cuộc nam chinh dễ như phá ngói chẻ trúc, lớn thì giữ đường lối, nhỏ thì ăn lộc ấp quận.</t>
  </si>
  <si>
    <t>MHC: Đậu thân nơi sơn lâm, hoặc làm lính gác nơi cung môn, chẳng vợ con gì.</t>
  </si>
  <si>
    <t>MHC: Đức có thể đem dùng, huệ có thể giúp dân, công danh đạt, phúc tốt.</t>
  </si>
  <si>
    <t>GS: Có thăng chuyển, có tiến thủ, có tai họa thì tiêu tan, cầu lợi được lợi.</t>
  </si>
  <si>
    <t>NT: Có tai họa thì tiêu tan, cầu lợi được lợi.</t>
  </si>
  <si>
    <t xml:space="preserve">Ngồi bế tắc, cứ chinh nam            </t>
  </si>
  <si>
    <t>Vương dùng lễ dâng (lên đế, tức hào 5) ở núi Kỳ Sơn, tốt, không lỗi gì.</t>
  </si>
  <si>
    <t>Giữ được chính thời tốt mà như bước lên thềm (thì dễ dàng lắm).</t>
  </si>
  <si>
    <t>Đành thân u tịch, sau dần sẽ yên.</t>
  </si>
  <si>
    <t>NT: Trọng pháp luật, nên lo về việc miễn cưỡng cải cách, đeo tiếng thị phi.</t>
  </si>
  <si>
    <t>82017b</t>
  </si>
  <si>
    <t>92017b</t>
  </si>
  <si>
    <t>102017b</t>
  </si>
  <si>
    <t>112017b</t>
  </si>
  <si>
    <t>122017b</t>
  </si>
  <si>
    <t>12018b</t>
  </si>
  <si>
    <t>22018b</t>
  </si>
  <si>
    <t>32018b</t>
  </si>
  <si>
    <t>42018b</t>
  </si>
  <si>
    <t>52018b</t>
  </si>
  <si>
    <t>62018b</t>
  </si>
  <si>
    <t>72018b</t>
  </si>
  <si>
    <t>82018b</t>
  </si>
  <si>
    <t>92018b</t>
  </si>
  <si>
    <t>102018b</t>
  </si>
  <si>
    <t>112018b</t>
  </si>
  <si>
    <t>122018b</t>
  </si>
  <si>
    <t>12019b</t>
  </si>
  <si>
    <t>22019b</t>
  </si>
  <si>
    <t>32019b</t>
  </si>
  <si>
    <t>42019b</t>
  </si>
  <si>
    <t>52019b</t>
  </si>
  <si>
    <t>62019b</t>
  </si>
  <si>
    <t>Giờ sinh (DL)</t>
  </si>
  <si>
    <t xml:space="preserve">Đạo trung thuận đã yên lòng,   </t>
  </si>
  <si>
    <t xml:space="preserve">Tam đường vận thái vừa thông,    </t>
  </si>
  <si>
    <t xml:space="preserve">Người nhỏ vì sinh kế,     </t>
  </si>
  <si>
    <t xml:space="preserve">Bĩ qua liền Thái đến,       </t>
  </si>
  <si>
    <t xml:space="preserve">Vị tuy cao chẳng lấy làm cao,     </t>
  </si>
  <si>
    <t>111917</t>
  </si>
  <si>
    <t>121917</t>
  </si>
  <si>
    <t>Mông đít bị khốn nơi gốc cây, vào nơi hang tối, ba năm chẳng thấy mặt.</t>
  </si>
  <si>
    <t>21929</t>
  </si>
  <si>
    <t>31929</t>
  </si>
  <si>
    <t>41929</t>
  </si>
  <si>
    <t>51929</t>
  </si>
  <si>
    <t>61929</t>
  </si>
  <si>
    <t>71929</t>
  </si>
  <si>
    <t>81929</t>
  </si>
  <si>
    <t>91929</t>
  </si>
  <si>
    <t>Bao dung được điều xấu hổ.</t>
  </si>
  <si>
    <t>Tháng :</t>
  </si>
  <si>
    <t>Năm :</t>
  </si>
  <si>
    <t>Giờ :</t>
  </si>
  <si>
    <t>91997</t>
  </si>
  <si>
    <t>101997</t>
  </si>
  <si>
    <t>111997</t>
  </si>
  <si>
    <t>Mọi người đều tín cẩn, ăn năn gì cũng hết đi.</t>
  </si>
  <si>
    <t xml:space="preserve">    GIỜ SINH</t>
  </si>
  <si>
    <t>Chuyển Đổi Sang Âm Lịch - Can Chi Ngày sinh</t>
  </si>
  <si>
    <t xml:space="preserve">    GiỜ</t>
  </si>
  <si>
    <t>Giờ (DL)</t>
  </si>
  <si>
    <t>Ngày (ÂL)</t>
  </si>
  <si>
    <t>Tháng (ÂL)</t>
  </si>
  <si>
    <t>Năm (ÂL)</t>
  </si>
  <si>
    <t>QC: Tiến tới.</t>
  </si>
  <si>
    <t>22010</t>
  </si>
  <si>
    <t>32010</t>
  </si>
  <si>
    <t>42010</t>
  </si>
  <si>
    <t>52010</t>
  </si>
  <si>
    <t>NT: Được quý nhân dẫn dắt và mưu cầu được việc, được sức phụ nhân giúp đỡ. Số xấu mẹ hay bà bị tổn thương.</t>
  </si>
  <si>
    <t>NT: Kinh doanh đắc lợi. Số xấu lo buồn. Già bị giảm thọ.</t>
  </si>
  <si>
    <t>Hết ngày, (cũ) rồi, liệu biến cách đi, tiến lên, tốt, không lỗi gì.</t>
  </si>
  <si>
    <t xml:space="preserve">Ích người mà lại tổn ta,          </t>
  </si>
  <si>
    <t xml:space="preserve">Việc đời tổn trước ích sau,       </t>
  </si>
  <si>
    <t xml:space="preserve">Ích tổn tại hào ba,      </t>
  </si>
  <si>
    <t>Không cần hỏi nữa, đạo trời cũng theo.</t>
  </si>
  <si>
    <t>Giúp người cơn hoạn nạn,</t>
  </si>
  <si>
    <t>Cử động đều do mệnh,</t>
  </si>
  <si>
    <t>Chân châu được thấy đầy.</t>
  </si>
  <si>
    <t>Ngàn dặm buồm xa tít,</t>
  </si>
  <si>
    <t xml:space="preserve">Hỗn hào tối sáng còn lâu,         </t>
  </si>
  <si>
    <t xml:space="preserve">Hô hào lo sợ đề phòng,          </t>
  </si>
  <si>
    <t xml:space="preserve">Tư tình nên bị oán hờn,         </t>
  </si>
  <si>
    <t xml:space="preserve">Trừ tà, giữ chính, dân mong         </t>
  </si>
  <si>
    <t xml:space="preserve">Gái nào khóc ở bên sông,         </t>
  </si>
  <si>
    <t xml:space="preserve">Phong lưu bố thí rất nên,          </t>
  </si>
  <si>
    <t>121907</t>
  </si>
  <si>
    <t>11908</t>
  </si>
  <si>
    <t>21908</t>
  </si>
  <si>
    <t>31908</t>
  </si>
  <si>
    <t>41908</t>
  </si>
  <si>
    <t>121907b</t>
  </si>
  <si>
    <t>11908b</t>
  </si>
  <si>
    <t>21908b</t>
  </si>
  <si>
    <t>31908b</t>
  </si>
  <si>
    <t>41908b</t>
  </si>
  <si>
    <t>51908b</t>
  </si>
  <si>
    <t>41921b</t>
  </si>
  <si>
    <t>51921b</t>
  </si>
  <si>
    <t>61921b</t>
  </si>
  <si>
    <t>71921b</t>
  </si>
  <si>
    <t>81921b</t>
  </si>
  <si>
    <t>91921b</t>
  </si>
  <si>
    <t>101921b</t>
  </si>
  <si>
    <t>122048b</t>
  </si>
  <si>
    <t>12049b</t>
  </si>
  <si>
    <t>22049b</t>
  </si>
  <si>
    <t>G.Nhân</t>
  </si>
  <si>
    <t>101950b</t>
  </si>
  <si>
    <t>111950b</t>
  </si>
  <si>
    <t>121950b</t>
  </si>
  <si>
    <t>11951b</t>
  </si>
  <si>
    <t>21951b</t>
  </si>
  <si>
    <t>122041b</t>
  </si>
  <si>
    <t>12042b</t>
  </si>
  <si>
    <t>122005</t>
  </si>
  <si>
    <t>12006</t>
  </si>
  <si>
    <t>22006</t>
  </si>
  <si>
    <t>32006</t>
  </si>
  <si>
    <t>91950b</t>
  </si>
  <si>
    <t>Có tin tưởng, thêm oai nghiêm nữa, sau hẳn tốt.</t>
  </si>
  <si>
    <t>91968</t>
  </si>
  <si>
    <t>101956b</t>
  </si>
  <si>
    <t>111956b</t>
  </si>
  <si>
    <t>121956b</t>
  </si>
  <si>
    <t>11957b</t>
  </si>
  <si>
    <t>22025</t>
  </si>
  <si>
    <t>71944b</t>
  </si>
  <si>
    <t>81907</t>
  </si>
  <si>
    <t>91907</t>
  </si>
  <si>
    <t>101907</t>
  </si>
  <si>
    <t>111907</t>
  </si>
  <si>
    <t>112012</t>
  </si>
  <si>
    <t>122012</t>
  </si>
  <si>
    <t>12013</t>
  </si>
  <si>
    <t>22013</t>
  </si>
  <si>
    <t>32013</t>
  </si>
  <si>
    <t>42013</t>
  </si>
  <si>
    <t>52013</t>
  </si>
  <si>
    <t>62013</t>
  </si>
  <si>
    <t>Số ngày trong năm AL</t>
  </si>
  <si>
    <t xml:space="preserve">    NGÀY SINH</t>
  </si>
  <si>
    <t>Tương ứng CAN:</t>
  </si>
  <si>
    <t>112031</t>
  </si>
  <si>
    <t>122031</t>
  </si>
  <si>
    <t>12032</t>
  </si>
  <si>
    <t>22032</t>
  </si>
  <si>
    <t>32032</t>
  </si>
  <si>
    <t>42032</t>
  </si>
  <si>
    <t>52032</t>
  </si>
  <si>
    <t>62032</t>
  </si>
  <si>
    <t>72032</t>
  </si>
  <si>
    <t>82032</t>
  </si>
  <si>
    <t>92032</t>
  </si>
  <si>
    <t>102032</t>
  </si>
  <si>
    <t xml:space="preserve">Thừa thời làm lớn dễ dàng,            </t>
  </si>
  <si>
    <t xml:space="preserve">Lùa dê, theo chập choạng đi       </t>
  </si>
  <si>
    <t xml:space="preserve">Gái bé đương đông chẳng đủ lo,     </t>
  </si>
  <si>
    <t xml:space="preserve">Chí mưu chẳng gặp buồn tênh,     </t>
  </si>
  <si>
    <t xml:space="preserve">Ở đâu bè bạn cũng tôn,            </t>
  </si>
  <si>
    <t>Khiêm nhường cảm phục bao người,</t>
  </si>
  <si>
    <t xml:space="preserve">Gặp bè ngoan cố, dùng oai trị liền.   </t>
  </si>
  <si>
    <t>Tấm gương chiếu rọi nhãn tiền hư không.</t>
  </si>
  <si>
    <t>Ích là Tổn (Tổn trên mà ích dưới mới thật là Ích). Lại sanh tháng 7 là cách công danh phú quý. Sinh từ tháng 2 đến tháng 8 thì phúc dày. Các tháng khác phúc nhỏ.</t>
  </si>
  <si>
    <t>Hoặc có người (hào 5) đem đến điều ích lợi lớn như 10 bằng con quy (Số đếm ngày xưa) chẳng từ chối được, nên giữ điều chính bền mãi thì tốt, nếu là vương thì dùng lễ tế dâng lên Đế, sẽ tốt (hào 2 dâng lên hào 5).</t>
  </si>
  <si>
    <t xml:space="preserve">Tốn đi Ích lại ngay,          </t>
  </si>
  <si>
    <t>Nguyệt lệnh tháng sinh DL :</t>
  </si>
  <si>
    <t>Tuế lệnh năm sinh DL :</t>
  </si>
  <si>
    <t>Hóa công :</t>
  </si>
  <si>
    <t>TNK :</t>
  </si>
  <si>
    <t>ĐNK :</t>
  </si>
  <si>
    <t>Dùng sự bền chặt của da con bò màu vàng.</t>
  </si>
  <si>
    <t>121919</t>
  </si>
  <si>
    <t>11920</t>
  </si>
  <si>
    <t>21920</t>
  </si>
  <si>
    <t>31920</t>
  </si>
  <si>
    <t>41920</t>
  </si>
  <si>
    <t>51920</t>
  </si>
  <si>
    <t>61920</t>
  </si>
  <si>
    <t>71920</t>
  </si>
  <si>
    <t>NT: Ương ngạnh, phá tổn không yên. Số xấu thì già trẻ bị bệnh tim, mắt, lưng, hoặc tang phục.</t>
  </si>
  <si>
    <t>101978</t>
  </si>
  <si>
    <t>111978</t>
  </si>
  <si>
    <t>121978</t>
  </si>
  <si>
    <t>11979</t>
  </si>
  <si>
    <t>21979</t>
  </si>
  <si>
    <t>31979</t>
  </si>
  <si>
    <t>41979</t>
  </si>
  <si>
    <t>51979</t>
  </si>
  <si>
    <t>61979</t>
  </si>
  <si>
    <t>71979</t>
  </si>
  <si>
    <t>81979</t>
  </si>
  <si>
    <t>91979</t>
  </si>
  <si>
    <t>101979</t>
  </si>
  <si>
    <t>111979</t>
  </si>
  <si>
    <t>Họ và tên</t>
  </si>
  <si>
    <t>52024</t>
  </si>
  <si>
    <t>62024</t>
  </si>
  <si>
    <t>72024</t>
  </si>
  <si>
    <t>82024</t>
  </si>
  <si>
    <t>92024</t>
  </si>
  <si>
    <t>102024</t>
  </si>
  <si>
    <t>112024</t>
  </si>
  <si>
    <t>122024</t>
  </si>
  <si>
    <t>12025</t>
  </si>
  <si>
    <t>" Kinh dịch là đạo của người quân tử "</t>
  </si>
  <si>
    <t>Quan sát khắp dân tình.</t>
  </si>
  <si>
    <t>Tuy lo chẳng ngại gì.</t>
  </si>
  <si>
    <t>102008b</t>
  </si>
  <si>
    <t>112008b</t>
  </si>
  <si>
    <t>122008b</t>
  </si>
  <si>
    <t>12009b</t>
  </si>
  <si>
    <t>22009b</t>
  </si>
  <si>
    <t>32009b</t>
  </si>
  <si>
    <t>42009b</t>
  </si>
  <si>
    <t>52009b</t>
  </si>
  <si>
    <t>62009b</t>
  </si>
  <si>
    <t>72009b</t>
  </si>
  <si>
    <t>82009b</t>
  </si>
  <si>
    <t>92009b</t>
  </si>
  <si>
    <t>102009b</t>
  </si>
  <si>
    <t>112009b</t>
  </si>
  <si>
    <t>122009b</t>
  </si>
  <si>
    <t>12010b</t>
  </si>
  <si>
    <t>Ở đuôi thời Độn (ẩn tránh), nguy đó. Chớ có tiến dùng về việc gì.</t>
  </si>
  <si>
    <t xml:space="preserve">          Quý nhân giúp đỡ từ giờ,</t>
  </si>
  <si>
    <t>Tiến lên mọi việc có thừa hanh thông.</t>
  </si>
  <si>
    <t>Chẳng nên vọng động mà dơ dáy đời.</t>
  </si>
  <si>
    <t>Đường đi đâu có nhanh.</t>
  </si>
  <si>
    <t>Mọi việc nên thong thả,</t>
  </si>
  <si>
    <t xml:space="preserve">Giữ gìn thì được,  </t>
  </si>
  <si>
    <t>Xe lớn để chở, có sự tiến đi xa, không lỗi gì.</t>
  </si>
  <si>
    <t>Công hầu dâng lễ lên vua. Kẻ nhỏ mọn không làm thế được.</t>
  </si>
  <si>
    <t>QC: Nên lùi bước, kẻo khi bị cắt chức.</t>
  </si>
  <si>
    <t>Hiểm chẳng đầy, khi đã bằng rồi, thì không lỗi gì.</t>
  </si>
  <si>
    <t>71923b</t>
  </si>
  <si>
    <t>Lớn thay cái nóc, che lấp cả chỗ ở, nhìn vào ngỏ, vắng tanh không người, ba năm chẳng thấy mặt, xấu.</t>
  </si>
  <si>
    <t>11924b</t>
  </si>
  <si>
    <t>71994</t>
  </si>
  <si>
    <t>81994</t>
  </si>
  <si>
    <t>81972</t>
  </si>
  <si>
    <t>91972</t>
  </si>
  <si>
    <t>101972</t>
  </si>
  <si>
    <t>111972</t>
  </si>
  <si>
    <t>121972</t>
  </si>
  <si>
    <t>11973</t>
  </si>
  <si>
    <t>Năm DL thường :</t>
  </si>
  <si>
    <t>Tiết lệnh của tháng :</t>
  </si>
  <si>
    <t>Tiết lệnh ngày sinh :</t>
  </si>
  <si>
    <t>51951</t>
  </si>
  <si>
    <t>61951</t>
  </si>
  <si>
    <t>71951</t>
  </si>
  <si>
    <t>81951</t>
  </si>
  <si>
    <t>91951</t>
  </si>
  <si>
    <t>101951</t>
  </si>
  <si>
    <t>111951</t>
  </si>
  <si>
    <t>72002</t>
  </si>
  <si>
    <t>82002</t>
  </si>
  <si>
    <t>92002</t>
  </si>
  <si>
    <t>102002</t>
  </si>
  <si>
    <t>72013</t>
  </si>
  <si>
    <t>82013</t>
  </si>
  <si>
    <t>Đợi khi nắng ấm trời phù mới nên.</t>
  </si>
  <si>
    <t>Đức dày nghĩa trọng, thành công dễ dàng.</t>
  </si>
  <si>
    <t>Trăng mây đen tối.</t>
  </si>
  <si>
    <t>Tụng, bệnh, lắm hình khắc.</t>
  </si>
  <si>
    <t>QC: Tiến lên chẳng ổn, việc nhiều rắc rối. Lớn bé ưu sầu, danh lợi thành hư. Tuổi thọ cũng kém.</t>
  </si>
  <si>
    <t>GS: Tiến lên chẳng ổn, việc nhiều rắc rối. Lớn bé ưu sầu, danh lợi thành hư. Tuổi thọ cũng kém.</t>
  </si>
  <si>
    <t>NT: Gặp quý nhân, tín hữu hoặc được vàng lụa. Đàn bà sinh nở. Số xấu thì phòng tật, tụng lo phiền. Đàn bà không thanh khiết.</t>
  </si>
  <si>
    <t/>
  </si>
  <si>
    <t>Đôi phen hòa hợp, ân cần lo xa.</t>
  </si>
  <si>
    <t xml:space="preserve">Nghiệp nhà lại hưng long, </t>
  </si>
  <si>
    <t xml:space="preserve">Tiểu nhân gặp hào ấy, </t>
  </si>
  <si>
    <t>32026b</t>
  </si>
  <si>
    <t>42026b</t>
  </si>
  <si>
    <t>52026b</t>
  </si>
  <si>
    <t>62026b</t>
  </si>
  <si>
    <t>72026b</t>
  </si>
  <si>
    <t>82026b</t>
  </si>
  <si>
    <t>92026b</t>
  </si>
  <si>
    <t>102026b</t>
  </si>
  <si>
    <t>112026b</t>
  </si>
  <si>
    <t>122026b</t>
  </si>
  <si>
    <t>12027b</t>
  </si>
  <si>
    <t>22027b</t>
  </si>
  <si>
    <t>32027b</t>
  </si>
  <si>
    <t>42027b</t>
  </si>
  <si>
    <t>52027b</t>
  </si>
  <si>
    <t>62027b</t>
  </si>
  <si>
    <t>Xiêm vàng tốt nhất. (Xiêm là thứ quần nhà sang ngày xưa, dấu hiệu cao quý, Vàng là màu thổ cư trung, ý nói ngồi vị tôn, mà vừa khiêm nhường như cái xiêm ở bên dưới, vừa trung thuận như màu vàng của đất ở giữa).</t>
  </si>
  <si>
    <t>MHC: Thì khoa bảng cao danh (vàng ngày xưa là nói bảng vàng, nhà vàng hay họ Tôn Thất, chữ Nguyên là Giải Nguyên, Binh Nguyên).</t>
  </si>
  <si>
    <t xml:space="preserve">Phận mình yên, giữ ngôi trung      </t>
  </si>
  <si>
    <t>71993b</t>
  </si>
  <si>
    <t>81993b</t>
  </si>
  <si>
    <t>91993b</t>
  </si>
  <si>
    <t>101993b</t>
  </si>
  <si>
    <t>111993b</t>
  </si>
  <si>
    <t>121993b</t>
  </si>
  <si>
    <t>11994b</t>
  </si>
  <si>
    <t>21994b</t>
  </si>
  <si>
    <t>31994b</t>
  </si>
  <si>
    <t>41994b</t>
  </si>
  <si>
    <t>51994b</t>
  </si>
  <si>
    <t>61994b</t>
  </si>
  <si>
    <t>71994b</t>
  </si>
  <si>
    <t>81994b</t>
  </si>
  <si>
    <t>91994b</t>
  </si>
  <si>
    <t>32031b</t>
  </si>
  <si>
    <t>42031b</t>
  </si>
  <si>
    <t>52031b</t>
  </si>
  <si>
    <t>62031b</t>
  </si>
  <si>
    <t>72031b</t>
  </si>
  <si>
    <t>102001b</t>
  </si>
  <si>
    <t>112001b</t>
  </si>
  <si>
    <t>122001b</t>
  </si>
  <si>
    <t>12002b</t>
  </si>
  <si>
    <t>111982</t>
  </si>
  <si>
    <t>121982</t>
  </si>
  <si>
    <t>11983</t>
  </si>
  <si>
    <t>21983</t>
  </si>
  <si>
    <t>31983</t>
  </si>
  <si>
    <t>41983</t>
  </si>
  <si>
    <t>51983</t>
  </si>
  <si>
    <t>NT: Buồn có, vui có. Trước hiểm trở sau an lành. Vận xấu có tang phục.</t>
  </si>
  <si>
    <t>GS: Được phục chức.</t>
  </si>
  <si>
    <t>Khốn đụng nơi hòn đá (hào 4) dựa nơi cây gai (hào 2) vào nơi nhà mình (hào 3) chẳng thấy vợ đâu, xấu.</t>
  </si>
  <si>
    <t>Giếng sạch chẳng ăn, vì ta (hào 3) mà lòng đau, nên dùng múc lên, được ông vua sáng suốt thì thụ hưởng phúc.</t>
  </si>
  <si>
    <t>Tiến hành thì xấu, dù chính cũng nguy (hào 3 táo bạo), phải sắp đặt việc biến cách đến ba lần thì mới chắc chắn làm được.</t>
  </si>
  <si>
    <t>Bị ngăn ở bên hông, như bị chia xẻ ở giữa xương sống (hào 3 khó xử ở giữa trên và dưới), nguy đến cháy cả ruột.</t>
  </si>
  <si>
    <t>Ý HÀO: Tiểu nhân biết phục thiện (hào 6 ứng).</t>
  </si>
  <si>
    <t>11903</t>
  </si>
  <si>
    <t>21903</t>
  </si>
  <si>
    <t>31903</t>
  </si>
  <si>
    <t>41903</t>
  </si>
  <si>
    <t>51903</t>
  </si>
  <si>
    <t>61903</t>
  </si>
  <si>
    <t>71903</t>
  </si>
  <si>
    <t>81903</t>
  </si>
  <si>
    <t>91903</t>
  </si>
  <si>
    <t>101903</t>
  </si>
  <si>
    <t>111903</t>
  </si>
  <si>
    <t>11949b</t>
  </si>
  <si>
    <t>21949b</t>
  </si>
  <si>
    <t>31949b</t>
  </si>
  <si>
    <t>41949b</t>
  </si>
  <si>
    <t>51949b</t>
  </si>
  <si>
    <t>122027b</t>
  </si>
  <si>
    <t>12028b</t>
  </si>
  <si>
    <t>22028b</t>
  </si>
  <si>
    <t>32028b</t>
  </si>
  <si>
    <t>42028b</t>
  </si>
  <si>
    <t>52028b</t>
  </si>
  <si>
    <t>62028b</t>
  </si>
  <si>
    <t>72028b</t>
  </si>
  <si>
    <t>82028b</t>
  </si>
  <si>
    <t>92028b</t>
  </si>
  <si>
    <t>102028b</t>
  </si>
  <si>
    <t>112028b</t>
  </si>
  <si>
    <t>122028b</t>
  </si>
  <si>
    <t>12029b</t>
  </si>
  <si>
    <t>41968b</t>
  </si>
  <si>
    <t>51968b</t>
  </si>
  <si>
    <t>61968b</t>
  </si>
  <si>
    <t>Một điểm đủ thành xuân,</t>
  </si>
  <si>
    <t>61974</t>
  </si>
  <si>
    <t>71974</t>
  </si>
  <si>
    <t>81974</t>
  </si>
  <si>
    <t>91974</t>
  </si>
  <si>
    <t>71913</t>
  </si>
  <si>
    <t>81913</t>
  </si>
  <si>
    <t>91913</t>
  </si>
  <si>
    <t>101913</t>
  </si>
  <si>
    <t>GS: Mất thời cơ, không sáng suốt nên khó tiến thủ.</t>
  </si>
  <si>
    <t>QC: Vinh thăng, lợi lộc.</t>
  </si>
  <si>
    <t>GS: Vinh thăng, lợi lộc.</t>
  </si>
  <si>
    <t>NT: Hòa hợp, mọi việc đều vừa lòng, vợ chồng hòa thuận. Số xấu thì có thể xảy ra kiện tụng.</t>
  </si>
  <si>
    <t>51911b</t>
  </si>
  <si>
    <t>61911b</t>
  </si>
  <si>
    <t>71911b</t>
  </si>
  <si>
    <t>121945</t>
  </si>
  <si>
    <t>11946</t>
  </si>
  <si>
    <t>Cổ là Sự, Hoại (lắm việc, hư hoại). Phàm được quẻ này phần nhiều bắt đầu phải gian nan, hoặc mê muội, sau mới làm thành, được thừa hưởng tổ nghiệp. Nhưng đối với cha mẹ, gia đình, không được thuận thảo.</t>
  </si>
  <si>
    <t xml:space="preserve">Sửa sang cơ nghiệp tiền nhân,           </t>
  </si>
  <si>
    <t xml:space="preserve">Dần dần tích tiểu mà thông,      </t>
  </si>
  <si>
    <t>Cáng đáng việc đổ nát của cha, có tí chút ăn năn, nhưng không lỗi gì to.</t>
  </si>
  <si>
    <t xml:space="preserve">Cẩn thường điều độ không sai,   </t>
  </si>
  <si>
    <t>MHC: Thì cũng tiến trước lùi sau, chí chẳng kiên trì, bác cổ thông kim mà công danh chẳng toại. Sinh trưởng ở đời buồn bực, già khổ.</t>
  </si>
  <si>
    <t>112023</t>
  </si>
  <si>
    <t>122023</t>
  </si>
  <si>
    <t>Cô đơn ở thời Khuê, thấy con heo đội bùn (bẩn lắm) một xe chở quỷ (xấu lắm), trước giương cung (định bắn) sau tháo cung ra; không phải giặc đâu, đó là người muốn kết hôn, thôi đi, gặp mưa (giải nồng) là tốt. (Tất cả trên là thái độ của hào 6 đối với hào 3, trước ngờ, sau hết ngờ, và hòa hợp).</t>
  </si>
  <si>
    <t>11933b</t>
  </si>
  <si>
    <t>21933b</t>
  </si>
  <si>
    <t>31933b</t>
  </si>
  <si>
    <t>41933b</t>
  </si>
  <si>
    <t>51933b</t>
  </si>
  <si>
    <t>61933b</t>
  </si>
  <si>
    <t>71933b</t>
  </si>
  <si>
    <t>81933b</t>
  </si>
  <si>
    <t>91933b</t>
  </si>
  <si>
    <t>101933b</t>
  </si>
  <si>
    <t>111933b</t>
  </si>
  <si>
    <t>121933b</t>
  </si>
  <si>
    <t>21970</t>
  </si>
  <si>
    <t>31970</t>
  </si>
  <si>
    <t>41970</t>
  </si>
  <si>
    <t>51970</t>
  </si>
  <si>
    <t>61970</t>
  </si>
  <si>
    <t>71970</t>
  </si>
  <si>
    <t>81970</t>
  </si>
  <si>
    <t>91970</t>
  </si>
  <si>
    <t>101970</t>
  </si>
  <si>
    <t>111970</t>
  </si>
  <si>
    <t>121970</t>
  </si>
  <si>
    <t>11971</t>
  </si>
  <si>
    <t>21971</t>
  </si>
  <si>
    <t>31971</t>
  </si>
  <si>
    <t>41971</t>
  </si>
  <si>
    <t>51971</t>
  </si>
  <si>
    <t>61971</t>
  </si>
  <si>
    <t>71971</t>
  </si>
  <si>
    <t>81971</t>
  </si>
  <si>
    <t>91971</t>
  </si>
  <si>
    <t>101971</t>
  </si>
  <si>
    <t>111971</t>
  </si>
  <si>
    <t>121971</t>
  </si>
  <si>
    <t>11972</t>
  </si>
  <si>
    <t>21972</t>
  </si>
  <si>
    <t>31972</t>
  </si>
  <si>
    <t>41972</t>
  </si>
  <si>
    <t>51972</t>
  </si>
  <si>
    <t>MHC: Lập đại công danh hưởng đại phú quý.</t>
  </si>
  <si>
    <t>72014</t>
  </si>
  <si>
    <t>82014</t>
  </si>
  <si>
    <t>92014</t>
  </si>
  <si>
    <t>102014</t>
  </si>
  <si>
    <t>112014</t>
  </si>
  <si>
    <t>122014</t>
  </si>
  <si>
    <t>12015</t>
  </si>
  <si>
    <t>22015</t>
  </si>
  <si>
    <t>32015</t>
  </si>
  <si>
    <t>42015</t>
  </si>
  <si>
    <t>GS: Thoái bộ, khó tiến.</t>
  </si>
  <si>
    <t>QC: Mất thời cơ, không sáng suốt nên khó tiến thủ.</t>
  </si>
  <si>
    <t>101913b</t>
  </si>
  <si>
    <t>111913b</t>
  </si>
  <si>
    <t>121913b</t>
  </si>
  <si>
    <t>11914b</t>
  </si>
  <si>
    <t>21914b</t>
  </si>
  <si>
    <t>31914b</t>
  </si>
  <si>
    <t>010111</t>
  </si>
  <si>
    <t>010011</t>
  </si>
  <si>
    <t>010101</t>
  </si>
  <si>
    <t>010001</t>
  </si>
  <si>
    <t>010110</t>
  </si>
  <si>
    <t>010010</t>
  </si>
  <si>
    <t>010100</t>
  </si>
  <si>
    <t>010000</t>
  </si>
  <si>
    <t>Cùng với người ngoài cửa, không lỗi gì.</t>
  </si>
  <si>
    <t>NT: Thủ phận. Số xấu có sự buồn thảm.</t>
  </si>
  <si>
    <t>Họ &amp; tên</t>
  </si>
  <si>
    <t>Phút</t>
  </si>
  <si>
    <t>Ngày :</t>
  </si>
  <si>
    <t>Dương lịch</t>
  </si>
  <si>
    <t>0-23</t>
  </si>
  <si>
    <t>Kiểm tra</t>
  </si>
  <si>
    <t>0-59</t>
  </si>
  <si>
    <t>Dâng chén rượu, bát ăn, dâng thêm dùng ve sành (tỏ lòng thành) dâng lời ước hẹn từ cửa sổ (tỏ trí khôn, tùy cơ) sau không lỗi gì.</t>
  </si>
  <si>
    <t xml:space="preserve">Lo buồn đổi tiết sang Thu,         </t>
  </si>
  <si>
    <t>Cô gái vẫy vành nón,     (Nữ nhân huy nhất lạp,</t>
  </si>
  <si>
    <t>Quay đầu hoa nở rồi.       hồi đầu hựu hoa khai).</t>
  </si>
  <si>
    <t xml:space="preserve">Tự nhiên thông cảm sâu xa,       </t>
  </si>
  <si>
    <t xml:space="preserve">Ngán lâu, nay thấy sáng ngời       </t>
  </si>
  <si>
    <t>MHC: Nuôi thân, chứa của dồi dào, không hư tổn gì.</t>
  </si>
  <si>
    <t>MHC: Tài cao đức trọng, phúc trạch dồi dào.</t>
  </si>
  <si>
    <t>MHC: Đành phận nhỏ, lập quy mô nhỏ, thế mà rút cục cũng bị tỏa chiết, lỗi lầm.</t>
  </si>
  <si>
    <t>82023</t>
  </si>
  <si>
    <t>92023</t>
  </si>
  <si>
    <t>102023</t>
  </si>
  <si>
    <t>NT: Công việc dễ bị ngừng trệ, nên thu vén, giữ mức thường thì tránh được tai hại. Nữ mệnh hiền hòa, yên vui gia đình.</t>
  </si>
  <si>
    <t>MHC: Đem lòng trung chính của mình để cải hóa thiên hạ. Tụng hiền, quý đức.</t>
  </si>
  <si>
    <t>MHC: Thông minh, có tài dẹp loạn.</t>
  </si>
  <si>
    <t>MHC: Cần gốc chất thực, tuy có vẻ quê mùa nhưng tiết kiệm làm cho nước được phú túc. Được thọ khánh.</t>
  </si>
  <si>
    <t>MHC: Là đại quý nhân kiêm văn võ.</t>
  </si>
  <si>
    <t>MHC: Quân tử trung hậu.</t>
  </si>
  <si>
    <t>81988</t>
  </si>
  <si>
    <t>91988</t>
  </si>
  <si>
    <t>101988</t>
  </si>
  <si>
    <t>111988</t>
  </si>
  <si>
    <t>121988</t>
  </si>
  <si>
    <t>11989</t>
  </si>
  <si>
    <t>71979b</t>
  </si>
  <si>
    <t>81979b</t>
  </si>
  <si>
    <t>91979b</t>
  </si>
  <si>
    <t>101979b</t>
  </si>
  <si>
    <t>111979b</t>
  </si>
  <si>
    <t>121979b</t>
  </si>
  <si>
    <t>21952</t>
  </si>
  <si>
    <t>31952</t>
  </si>
  <si>
    <t>41952</t>
  </si>
  <si>
    <t>51952</t>
  </si>
  <si>
    <t>61952</t>
  </si>
  <si>
    <t>71952</t>
  </si>
  <si>
    <t>81952</t>
  </si>
  <si>
    <t>91952</t>
  </si>
  <si>
    <t>101952</t>
  </si>
  <si>
    <t>MHC: Tự lập tuy không có công nghiệp với đời, nhưng cũng không hệ lụy hối tiếc gì.</t>
  </si>
  <si>
    <t>MHC: Có đức hoặc được vợ hiền giúp sức.</t>
  </si>
  <si>
    <t>MHC: Đại nhân dẹp loạn, đem về đường chính.</t>
  </si>
  <si>
    <t>MHC: Lấy sự mềm dẻo để cảm phục cường bạo đổi khó thành dễ, cũng yên được việc.</t>
  </si>
  <si>
    <t>MHC: Văn chương đạo đức hơn đời, cỡ cao, việc làm không mưu lợi không kể công, mà danh lợi trọn vẹn.</t>
  </si>
  <si>
    <t>MHC: Có cơ mưu lớn mà vẫn giữ được thân mình.</t>
  </si>
  <si>
    <t>MHC: Ngôn hành đều đúng tiêu chuẩn, sẵn người giúp đỡ, điều tốt tự đem đến.</t>
  </si>
  <si>
    <t>Muốn nâng cây mọc đợi đầu gió xuân.</t>
  </si>
  <si>
    <t>Muốn to, Lục Tốn, Ngô đình thẹn chưa ?</t>
  </si>
  <si>
    <t>Thuyền phòng nước, bộ phòng xe;</t>
  </si>
  <si>
    <t>Dài mong, hẳn cá lên câu cắn mồi.</t>
  </si>
  <si>
    <t>Thuyền to buồm nhẹ tếch ngàn dặm khơi.</t>
  </si>
  <si>
    <t>Một mình Nam Bắc dời khu mới lành.</t>
  </si>
  <si>
    <t>Thủ thường không lỗi cười khà cho vui.</t>
  </si>
  <si>
    <t>Trong mây, khách gật, trăng lầu lên cao.</t>
  </si>
  <si>
    <t>Bại dễ thành khó, ê chề buồn vui.</t>
  </si>
  <si>
    <t>Phòng sinh ngũ thất hưu (?!)</t>
  </si>
  <si>
    <t>Phượng đem tin tốt, hân hoan trong ngoài.</t>
  </si>
  <si>
    <t>Sự tổn thương (như con chim) lúc bay, đau rũ cánh xuống, người Quân tử (tri cơ) phải đi (để tránh nạn), vội nên ba ngày không ăn, có chuyện đi xa như thế, chắc hẳn người ta cũng có lời bàn tán (nghi ngờ) (hào 1 tránh xa được hào 6 âm là lúc cực tổn thương).</t>
  </si>
  <si>
    <t>Tổn thương mà tổn ở đùi vế bên trái, muốn dùng cách cứu (thì cũng chóng lành) như con ngựa khỏe, kết quả tốt.</t>
  </si>
  <si>
    <t>Sự tổn thương của Cơ Tử (ở cạnh hào 6 như Trụ Vương) cứ giữ chính thì có lợi.</t>
  </si>
  <si>
    <t>Tính đâu được đấy, xứng tình bõ công.</t>
  </si>
  <si>
    <t>Ông vua (nguyên thủ) thấu lẽ “cũng có gia thất” thì đừng lo gì, tốt đấy (có hào 2 ứng).</t>
  </si>
  <si>
    <t>Khỏi ăn năn nữa (gặp được hào 4 đồng đức), mất ngựa cũng đừng đuổi tìm, nó tự trở về; cứ gặp kẻ ác, không lỗi gì.</t>
  </si>
  <si>
    <t>Nhắn người quân tử rất nên giữ mình.</t>
  </si>
  <si>
    <t>Đừng khi vọng động tai bay vạ liền.</t>
  </si>
  <si>
    <t>Chim bay rước lấy cái xấu (bé mà bay cao quá).</t>
  </si>
  <si>
    <t>Ngày DL &lt;-&gt; ngày AL cuối năm</t>
  </si>
  <si>
    <t xml:space="preserve">    HỌ VÀ TÊN</t>
  </si>
  <si>
    <t>Tương đương AL</t>
  </si>
  <si>
    <t>71988b</t>
  </si>
  <si>
    <t>81988b</t>
  </si>
  <si>
    <t>31999</t>
  </si>
  <si>
    <t>41999</t>
  </si>
  <si>
    <t>51999</t>
  </si>
  <si>
    <t>61999</t>
  </si>
  <si>
    <t>71999</t>
  </si>
  <si>
    <t>81999</t>
  </si>
  <si>
    <t>91999</t>
  </si>
  <si>
    <t>101999</t>
  </si>
  <si>
    <t>111999</t>
  </si>
  <si>
    <t>121999</t>
  </si>
  <si>
    <t>Lại và đi đều gặp Khảm, trước mặt hiểm, sau gối hiểm, vào chỗ sâu của Khảm, chớ dùng.</t>
  </si>
  <si>
    <t>MHC: Trước ở vị thấp, sau lên cao, cũng là quý nhân.</t>
  </si>
  <si>
    <t>MHC: Cương chính, đạt thi văn sức đẹp cả thiên hạ, cùng thì giữ thân mình. Tài đức lớn không lấy vận cùng thông làm vui buồn.</t>
  </si>
  <si>
    <t>MHC: Vẫn là Quân tử, nhưng ý nông hẹp rồi.</t>
  </si>
  <si>
    <t>MHC: Tài lớn, tiến thủ đều hợp lý, khai cơ sáng nghiệp phúc trạch to.</t>
  </si>
  <si>
    <t>MHC: Đại triển chí hướng, là nhân vật quan trọng của nước, hưởng phúc, lộc, vinh.</t>
  </si>
  <si>
    <t>MHC: Tri cơ tiến thoái, giữ mình, hưởng phúc.</t>
  </si>
  <si>
    <t>MHC: Nhờ người để thành lập nơi khác nhưng được ít, mất nhiều.</t>
  </si>
  <si>
    <t>MHC: Cao khiết thanh liêm, được tin dũng hưởng phúc lâu bền.</t>
  </si>
  <si>
    <t>MHC: Tri cơ giữ đạo, tuy đi đến chổ hiểm mà không vào chổ hiểm.</t>
  </si>
  <si>
    <t>MHC: Kính thận xét kỹ cơ sự, trở về điều chính thì công nghiệp cũng thành, được người ngưỡng mộ.</t>
  </si>
  <si>
    <t>MHC: Có tài rắn giỏi sáng suốt, cứ thong dong mà xem cuộc biến, cứ hàm ý mà liệu cơ, không nóng tiến, thì giữ toàn vẹn được thân, gia.</t>
  </si>
  <si>
    <t>MHC: Giữ nghĩa ở nơi mình, không phải uốn đạo để cầu hợp với người, biết mệnh ở trời, nên thong dong giữ chí công danh, sau được toại ý.</t>
  </si>
  <si>
    <t>MHC: Sáng suốt trong sạch nên đắc dụng thời bình, tránh họa thời loạn.</t>
  </si>
  <si>
    <t>100001</t>
  </si>
  <si>
    <t>100110</t>
  </si>
  <si>
    <t>100010</t>
  </si>
  <si>
    <t>100100</t>
  </si>
  <si>
    <t>100000</t>
  </si>
  <si>
    <t>000111</t>
  </si>
  <si>
    <t>000011</t>
  </si>
  <si>
    <t>000101</t>
  </si>
  <si>
    <t>000001</t>
  </si>
  <si>
    <t>000110</t>
  </si>
  <si>
    <t>000010</t>
  </si>
  <si>
    <t>000100</t>
  </si>
  <si>
    <t>000000</t>
  </si>
  <si>
    <t>Đại vận</t>
  </si>
  <si>
    <t>Bắn con chim trĩ (con vật lông đẹp văn minh) tuy có hao mất một mũi tên, nhưng cuối cùng được ban khen.</t>
  </si>
  <si>
    <t>51983b</t>
  </si>
  <si>
    <t>61983b</t>
  </si>
  <si>
    <t>NT: Thâu lợi. Tai thoát bệnh khỏi, tối ra sáng, buồn hóa vui.</t>
  </si>
  <si>
    <t>Còn gì sợ với khinh.</t>
  </si>
  <si>
    <t>51991b</t>
  </si>
  <si>
    <t>61991b</t>
  </si>
  <si>
    <t>71991b</t>
  </si>
  <si>
    <t>81991b</t>
  </si>
  <si>
    <t>91991b</t>
  </si>
  <si>
    <t>101991b</t>
  </si>
  <si>
    <t>111991b</t>
  </si>
  <si>
    <t>121991b</t>
  </si>
  <si>
    <t>11992b</t>
  </si>
  <si>
    <t>21992b</t>
  </si>
  <si>
    <t>31992b</t>
  </si>
  <si>
    <t>41992b</t>
  </si>
  <si>
    <t>51992b</t>
  </si>
  <si>
    <t>61992b</t>
  </si>
  <si>
    <t>71992b</t>
  </si>
  <si>
    <t>81935b</t>
  </si>
  <si>
    <t>91935b</t>
  </si>
  <si>
    <t>101935b</t>
  </si>
  <si>
    <t>MKH: Cũng là người cẩn hậu công bằng, chính trực, biết lui tới, không ai hiềm nghi, được hưởng lộc dồi dào.</t>
  </si>
  <si>
    <t>Tháng sinh ÂL</t>
  </si>
  <si>
    <t>Ngày sinh ÂL</t>
  </si>
  <si>
    <t>Tháng sinh DL</t>
  </si>
  <si>
    <t>Tháng 2</t>
  </si>
  <si>
    <t>Năm nhuận DL</t>
  </si>
  <si>
    <t>Can Năm:</t>
  </si>
  <si>
    <t>Can Ngày:</t>
  </si>
  <si>
    <t>can tháng</t>
  </si>
  <si>
    <t>Năm(Ngày)</t>
  </si>
  <si>
    <t>Tháng 1:</t>
  </si>
  <si>
    <t>Giờ</t>
  </si>
  <si>
    <t>Giờ Tý:</t>
  </si>
  <si>
    <t>can giờ</t>
  </si>
  <si>
    <t>BẢNG QUY ĐỔI GIỜ SINH</t>
  </si>
  <si>
    <t>NT: Doanh mưu toại ý. Số xấu thì biến thành quẻ SƯ, xe chở thây về.</t>
  </si>
  <si>
    <t>MKH: Có mưu trí nhưng bị trở ngại rất nhiều, Quan chức hay sơ xuất, người thường vụng về, khó trường thọ.</t>
  </si>
  <si>
    <t>MKH: Có chí lớn, nhưng động làm là bị tổn thương, dù có công nhưng khó được hưởng lộc.</t>
  </si>
  <si>
    <t>MKH: Cũng là kẻ sĩ cẩn hậu, nhất sinh an lạc.</t>
  </si>
  <si>
    <t>MKH: Gian nan chẳng gặp dịp may, vãn cảnh mới khá.</t>
  </si>
  <si>
    <t>Nhu là thuận (mềm dẻo, đợi chờ thời cơ). Lại sanh tháng 8 là cách phú quý. Cần được số âm dương, Nguyên đường, Quẻ Hào hợp cách là đúng số tốt.</t>
  </si>
  <si>
    <t xml:space="preserve">Vỗ chèo, bơi miết trên sông       </t>
  </si>
  <si>
    <t>Cơ hội tốt nhường bao !.</t>
  </si>
  <si>
    <t>Đợi ở chỗ bùn. Tự vời giặc đến. (Gần nơi hiểm trở rồi).</t>
  </si>
  <si>
    <t>52018</t>
  </si>
  <si>
    <t>62018</t>
  </si>
  <si>
    <t>72018</t>
  </si>
  <si>
    <t>82018</t>
  </si>
  <si>
    <t>92018</t>
  </si>
  <si>
    <t>102018</t>
  </si>
  <si>
    <t>112018</t>
  </si>
  <si>
    <t>Rồng hiện ra ở đồng ruộng, lợi về việc gặp đại nhân. (Ruộng là nơi bình thản dễ đi).</t>
  </si>
  <si>
    <t>Ý HÀO: Hết thời tráng rồi mà còn cứ tráng, thì không lợi gì.</t>
  </si>
  <si>
    <t>Ý HÀO: Vô đức, ngồi cao mà không miễn được sự trừng phạt ấp mình.</t>
  </si>
  <si>
    <t>Ý HÀO: Vô đức nên không giữ được ngôi lớn.</t>
  </si>
  <si>
    <t>Ý HÀO: Phải chỉnh việc nhà để đi tới kết quả thì mới tốt.</t>
  </si>
  <si>
    <t>Ý HÀO: Đối với người ứng viện, trước ngờ sau hợp.</t>
  </si>
  <si>
    <t>Ý HÀO: Cái nghĩa ở chỗ cứ theo vị lãnh đạo.</t>
  </si>
  <si>
    <t>Ý HÀO: Giải tán được giặc bên ngoài.</t>
  </si>
  <si>
    <t>Ý HÀO: Gắng công chính đạo, làm ích lợi cho bên dưới.</t>
  </si>
  <si>
    <t>Ý HÀO: Cần ích đến cùng, hoặc đến nổi phải đánh đuổi thì nhiều người oán.</t>
  </si>
  <si>
    <t>Ý HÀO: Sau cùng hôn mê không biết trở lại là xấu.</t>
  </si>
  <si>
    <t>Ý HÀO: Tin chắc quá thì rồi hết cả tin.</t>
  </si>
  <si>
    <t>Ý HÀO: Chứa càng được nhiều, thì lúc thi thố ra càng rộng lớn.</t>
  </si>
  <si>
    <t>Ý HÀO: Có quyền có vị, làm việc lớn đất nước.</t>
  </si>
  <si>
    <t>Ý HÀO: Tử nạn vì nước.</t>
  </si>
  <si>
    <t>Ý HÀO: Vô tài mà ở chỗ cực hiểm tất nguy vong.</t>
  </si>
  <si>
    <t>MKH: Thân nhỏ, vận yếu, mà vọng động, nên việc có đầu không đuôi, không biết tri túc, khó miễn gian nan.</t>
  </si>
  <si>
    <t>QC: Giữ việc ngăn giặc (chức Tư Khấu ngày xưa).</t>
  </si>
  <si>
    <t>QC: Được gọi về Trung Ương, nên cẩn thận dễ bị dèm pha.</t>
  </si>
  <si>
    <t>MHC: Tuy không được đắc dụng, nhưng cũng là kẻ sĩ một thời ở ẩn nơi núi sâu, không bị nhục.</t>
  </si>
  <si>
    <t>MHC: Dù có tài đức cũng không gặp cơ hội công danh, than thân trách phận.</t>
  </si>
  <si>
    <t>MHC: Tuy có tài nhưng chức nghiệp bị trở ngại nhiều, an thường thủ phận, đợi thời.</t>
  </si>
  <si>
    <t>Ý HÀO: Có đức mà không được dùng, giữ chí ở ẩn.</t>
  </si>
  <si>
    <t>Ý HÀO: Thân với người, rất đầy đặn.</t>
  </si>
  <si>
    <t>Ý HÀO: Trở lại bản thân để tự trị, làm tiêu biểu cho dân.</t>
  </si>
  <si>
    <t>Ý HÀO: Ác lớn, tội nặng.</t>
  </si>
  <si>
    <t>Ý HÀO: Trang sức đến cùng, trở về gốc cũ nên tránh được lầm lỗi.</t>
  </si>
  <si>
    <t>Ý HÀO: Đi cùng đường, mà người Quân tử vẫn thế.</t>
  </si>
  <si>
    <t>Đợi lâu được cá xúm đông đớp mồi.</t>
  </si>
  <si>
    <t>Mận đào một đóa đợi chừng gió xuân.</t>
  </si>
  <si>
    <t>Ước hẹn rồi như mộng,</t>
  </si>
  <si>
    <t xml:space="preserve">Nếu cầu hanh thái vận, </t>
  </si>
  <si>
    <t>Phải đợi buổi Dần, Thìn.</t>
  </si>
  <si>
    <t>Bên sông gặp gỡ tâm tình thương nhau.</t>
  </si>
  <si>
    <t>Nhờ ơn tri ngộ, công đầu hiển vinh.</t>
  </si>
  <si>
    <t>Cùng nhau giảng tập vui vầy anh em.</t>
  </si>
  <si>
    <t>Hóa rồng nghìn dặm ngày thêm vẫy vùng.</t>
  </si>
  <si>
    <t>Lên non chuyện ấy cùng ai hẹn ngày.</t>
  </si>
  <si>
    <t>Cành xưa hoa nở lần này đẹp hơn.</t>
  </si>
  <si>
    <t>Giữ mình tiết độ, an vui dễ dàng.</t>
  </si>
  <si>
    <t>Kiêu dâm vô độ sẵn sàng biến hung.</t>
  </si>
  <si>
    <t>Hoa tân buổi sớm mai.</t>
  </si>
  <si>
    <t>81999b</t>
  </si>
  <si>
    <t>91999b</t>
  </si>
  <si>
    <t>101999b</t>
  </si>
  <si>
    <t>111999b</t>
  </si>
  <si>
    <t>Cảm được ngón chân cái.</t>
  </si>
  <si>
    <t>112015</t>
  </si>
  <si>
    <t>122015</t>
  </si>
  <si>
    <t>12016</t>
  </si>
  <si>
    <t>22016</t>
  </si>
  <si>
    <t>32016</t>
  </si>
  <si>
    <t>61919</t>
  </si>
  <si>
    <t>71919</t>
  </si>
  <si>
    <t>81919</t>
  </si>
  <si>
    <t>91919</t>
  </si>
  <si>
    <t>101919</t>
  </si>
  <si>
    <t>111919</t>
  </si>
  <si>
    <t>NT: Sinh nhai dễ chịu. Nữ mệnh có sinh nở. Bệnh nhân: sống.</t>
  </si>
  <si>
    <t>11964</t>
  </si>
  <si>
    <t>21964</t>
  </si>
  <si>
    <t>31964</t>
  </si>
  <si>
    <t>41964</t>
  </si>
  <si>
    <t>51964</t>
  </si>
  <si>
    <t>61964</t>
  </si>
  <si>
    <t>71964</t>
  </si>
  <si>
    <t>81964</t>
  </si>
  <si>
    <t>91964</t>
  </si>
  <si>
    <t>101964</t>
  </si>
  <si>
    <t>111964</t>
  </si>
  <si>
    <t>121964</t>
  </si>
  <si>
    <t>11965</t>
  </si>
  <si>
    <t>21965</t>
  </si>
  <si>
    <t>31965</t>
  </si>
  <si>
    <t>41965</t>
  </si>
  <si>
    <t xml:space="preserve">Ầm ầm nổi sấm sét,             </t>
  </si>
  <si>
    <t xml:space="preserve">Sấm vang nếu đụng là nguy,       </t>
  </si>
  <si>
    <t>Lập tâm chẳng vững, biến ngoài sinh.</t>
  </si>
  <si>
    <t>MKH: Cũng làm lành, lớn thì việc to, nhỏ thì canh tác, cửa nhà hưng vượng.</t>
  </si>
  <si>
    <t>MKH: Vô đức mà cứ sinh chí khoe tài, phận dưới mà cứ tranh chèo, họa sinh tới tấp.</t>
  </si>
  <si>
    <t>MKH: Tài nhỏ, sức ngắn, làm liều, gánh họa.</t>
  </si>
  <si>
    <t>MKH: Vui buồn bất thường, tà chính bất định, đức bạc hạnh thiếu, vất vả.</t>
  </si>
  <si>
    <t>GS: Văn chương được người ta yểm trợ.</t>
  </si>
  <si>
    <t>GS: Chờ lâu được vời đến.</t>
  </si>
  <si>
    <t>GS: Thi bằng nhỏ thôi.</t>
  </si>
  <si>
    <t>MKH: Thay đổi bất định, là kẻ dưới mà coi thường người trên, hoặc bị hoạn nạn câu thúc.</t>
  </si>
  <si>
    <t>MKH: Trước tân khổ, muộn tuổi mới vinh hoa, hoặc vợ trễ, con trễ.</t>
  </si>
  <si>
    <t>MKH: Chỉ làm được việc quy mô nhỏ.</t>
  </si>
  <si>
    <t>MKH: Cũng thành thật, nghiệp nhà nhưng thịnh, hưởng phúc.</t>
  </si>
  <si>
    <t>MKH: Chí lớn tham vọng nhiều, bôn tẩu cũng vì cơm áo, tân khổ mới thành gia.</t>
  </si>
  <si>
    <t>GS: Trước u mê, sau làm được.</t>
  </si>
  <si>
    <t>GS: Toại chí.</t>
  </si>
  <si>
    <t>GS: Cạnh tranh quá, bị nhục.</t>
  </si>
  <si>
    <t>GS: Khó tiến thủ, tàng tu là hơn.</t>
  </si>
  <si>
    <t>MKH: Không đắc dụng hoặc tật ở chân, hoặc ham lợi quên nghĩa, cảnh muộn mới an nhàn.</t>
  </si>
  <si>
    <t>MKH: Nhu nhược, nhút nhát không lập được chí, danh lợi hư hoại.</t>
  </si>
  <si>
    <t>MKH: Tích trữ vàng bạc, nhưng ương ngạnh, làm liều. Không đủ thiện duyên.</t>
  </si>
  <si>
    <t xml:space="preserve">Cảnh tươi sáng, hoa lừng hương        </t>
  </si>
  <si>
    <t>Cây cột lớn khỏe, nên tốt (nhưng nếu) có ý khác (đam mê) là sẽ hổ thẹn.</t>
  </si>
  <si>
    <t>Cây dương khô nở hoa, đàn bà già (hào 6 âm) được chồng trai tráng, không lỗi gì, cũng không ai khen.</t>
  </si>
  <si>
    <t>Đạo trời giao cảm, đừng ai vọng hành.</t>
  </si>
  <si>
    <t xml:space="preserve">Vô duyên bị kẹt liền.     </t>
  </si>
  <si>
    <t>Rồi đi cũng tới, chẳng ai lỗi gì.</t>
  </si>
  <si>
    <t xml:space="preserve">Giữa ngày mà lại tối tăm,            </t>
  </si>
  <si>
    <t xml:space="preserve">Tiến bị ngờ, chờ tin hay               </t>
  </si>
  <si>
    <t>Cấn là Chỉ (ngăn bước, ngừng lại, trở ngại trùng trùng).</t>
  </si>
  <si>
    <t>Tiệm là Tiến (tiến dần như chim bay lên cao dần).</t>
  </si>
  <si>
    <t>MKH: Thì tự kiêu tự đại, phạm luật làm sằng, công cuộc khó thành. Nữ mạng hung hãn, việc nhà bê bối.</t>
  </si>
  <si>
    <t xml:space="preserve">Chí phải theo đàn anh.           </t>
  </si>
  <si>
    <t xml:space="preserve">Lạc đường, thuyền bến bơ vơ      </t>
  </si>
  <si>
    <t>Cưỡi bức tường (hào 3) nhưng chẳng đánh phá gì, tốt.</t>
  </si>
  <si>
    <t>QC: Phàm mọi việc không đúng thực tế, tiến thoái vô định thị phi khôn lường.</t>
  </si>
  <si>
    <t>NT: Nghi ngờ, cạnh tranh, trong vinh có nhục. Đại khái mọi việc nên đề phòng.</t>
  </si>
  <si>
    <t>NT: Tai nạn, kiển trệ, lăng nhờn người trên.</t>
  </si>
  <si>
    <t>NT: Được lợi nhưng cũng lao tâm, tổn sức.</t>
  </si>
  <si>
    <t>MHC: Có danh vị lợi lộc, hoặc sớm được tuyển dụng, lập chiến công, hoặc làm những chức (thời xưa là Tiết Chế binh sư, chủ quan hình Ngục).</t>
  </si>
  <si>
    <t>MHC: Có học, trước cần cù nhưng sau sơ sót. Bé thì ham mải công danh, già thì ẩn dật nơi hang núi, thân hiền tiếp thiện, không nản lòng.</t>
  </si>
  <si>
    <t>NT: Bi sầu, oan khổ.</t>
  </si>
  <si>
    <t>NT: Cái được, cái mất, nên xét kỹ.</t>
  </si>
  <si>
    <t>NT: Việc khó xong, hoặc tai nạn ở tim bụng, kinh khủng.</t>
  </si>
  <si>
    <t>NT: Nhiều người giúp sức, không khó nhọc.</t>
  </si>
  <si>
    <t>Thỏ ngoạn ngân thiềm (Con thỏ ngắm vầng trăng bạc).</t>
  </si>
  <si>
    <t>Cẩu hổ tiếu phong (Cẩu hổ cười gió).</t>
  </si>
  <si>
    <t>MKH: Bỏ nhà đi xa lập nghiệp, dựa vào người thân quý để sinh kế, trước tối, sau sáng.</t>
  </si>
  <si>
    <t>MKH: Phần nhiều buôn bán ở xa nhà hoạch lợi, bôn ba hiểm trở, lòng chẳng được yên ổn.</t>
  </si>
  <si>
    <t>MKH: Cũng là điền gia Ông, sung túc, an vui tự tại.</t>
  </si>
  <si>
    <t>MKH: Hiền ác lẫn lộn, xu hướng bất định, lòng chẳng yên, việc chẳng đẹp, nhưng cũng cứ cẩn thận thì trước khó sau dễ.</t>
  </si>
  <si>
    <t>MKH: Tài đức hơn người, có danh có lợi, nhưng tụ tán bất nhất.</t>
  </si>
  <si>
    <t xml:space="preserve">MKH: Cũng suốt đời an ổn, không có việc đổ vỡ, phụ nhân thì thuần chồng con để làm việc nhà. </t>
  </si>
  <si>
    <t>QC: Vinh hiển rất nhiều.</t>
  </si>
  <si>
    <t>MKH: Không trung chính, lăng bức trên, làm bậy, tội đến chết.</t>
  </si>
  <si>
    <t>MKH: Có cơ mưu nhưng khó toại chí, dù có khi thành, rồi lại tổn hại, hoặc việc hôn nhân lận đận, hoặc phụ thân thương tổn.</t>
  </si>
  <si>
    <t>MKH: Cũng là người cẩn hậu, bình dị, an tĩnh, không vinh nhục gì.</t>
  </si>
  <si>
    <t>MKH: Cũng là người cẩn hậu, cả lo, cả ngờ, đời sống sung túc.</t>
  </si>
  <si>
    <t>NT: Kinh doanh đình trệ. Vận xấu, khó tránh buồn rầu than khóc.</t>
  </si>
  <si>
    <t>NT: Tính tình khó hợp, mưu việc nhỏ.</t>
  </si>
  <si>
    <t>NT: Bất thiện bị hủy báng, bài xích.</t>
  </si>
  <si>
    <t>NT: Mưu vọng chẳng được việc gì. Người ốm có triệu chứng nguy kịch.</t>
  </si>
  <si>
    <t>NT: Được lợi.</t>
  </si>
  <si>
    <t>NT: Gia đình có hoạn nạn.</t>
  </si>
  <si>
    <t>NT: Gặp quý nhân.</t>
  </si>
  <si>
    <t>NT: Kinh doanh được đề cử, có lợi.</t>
  </si>
  <si>
    <t>NT: Đại phát tài, nhưng phòng có tang.</t>
  </si>
  <si>
    <t>NT: Doanh mưu xứng ý. Tăng đạo ở vị nhỏ thấp được tri ngộ tôn quý.</t>
  </si>
  <si>
    <t>NT: Kinh doanh đắc ý. Kiện được thân bầy phải trái. Bệnh khỏi.</t>
  </si>
  <si>
    <t>NT: Không hợp nhân tình, nên còn trở ngại.</t>
  </si>
  <si>
    <t>NT: Doanh mưu toại ý.</t>
  </si>
  <si>
    <t>MKH: Mừng, giận bất thường, trên dưới lẫn lộn tất gia nghiệp phải đi đến điêu tàn.</t>
  </si>
  <si>
    <t>MKH: Hay bị hình thương ở sau ngựa trước xe, tân khổ, về sau mới được an vui.</t>
  </si>
  <si>
    <t>MKH: Biết sửa lỗi, từ ngoài trở về với Tổ nghiệp để sinh nhai, hoặc được nội trợ.</t>
  </si>
  <si>
    <t>MKH: Hiểm trá, tham ô, điếm nhục, chỉ thêm gây hấn. Đàn bà như thế, lại càng không nên.</t>
  </si>
  <si>
    <t>MKH: Cũng khéo giao tế, không tổn phúc trạch.</t>
  </si>
  <si>
    <t>NT: Mưu việc gần thì còn thấy thực, xa thì hão huyền, lợi phương Tây, không lợi phương Đông.</t>
  </si>
  <si>
    <t>NT: Được quang hiển, vàng lụa tích nhiều.</t>
  </si>
  <si>
    <t>NT: Được nhân tình hòa hợp, mưu việc toại ý, đại khái được bạn bè giúp đỡ, kết giao đẹp đẽ.</t>
  </si>
  <si>
    <t>NT: Lạnh nhạt nhân tình, kinh doanh trở. Đại để yên tĩnh thì hơn, vọng động có hại.</t>
  </si>
  <si>
    <t>MHC: Thiếu niên khoa cử lật đật nhưng giữ đức cho tốt, danh lợi đến muộn mới đẹp.</t>
  </si>
  <si>
    <t>MHC: Trị nhớ loạn, an nhớ nguy, uy không khuếch trương được việc lớn, nhưng cũng biết lo sợ bảo toàn thân phận và thanh tu ích lợi.</t>
  </si>
  <si>
    <t>42033b</t>
  </si>
  <si>
    <t>52033b</t>
  </si>
  <si>
    <t>62033b</t>
  </si>
  <si>
    <t>72033b</t>
  </si>
  <si>
    <t>82033b</t>
  </si>
  <si>
    <t>42040b</t>
  </si>
  <si>
    <t>52040b</t>
  </si>
  <si>
    <t>62040b</t>
  </si>
  <si>
    <t>72040b</t>
  </si>
  <si>
    <t>82040b</t>
  </si>
  <si>
    <t>92040b</t>
  </si>
  <si>
    <t>102040b</t>
  </si>
  <si>
    <t>112040b</t>
  </si>
  <si>
    <t>122040b</t>
  </si>
  <si>
    <t xml:space="preserve">Lòng thành cầu bậc hiền tài,          </t>
  </si>
  <si>
    <t>GS: Học trò sinh viên nên vào sư phạm.</t>
  </si>
  <si>
    <t>MKH: Không biết thoát nạn, tham của không biết bỏ mà chạy, luôn luôn lo sợ, bôn tẩu; trước nguy, sau mới an.</t>
  </si>
  <si>
    <t>MKH: Phải ỷ lại người giàu  nơi lân lý.</t>
  </si>
  <si>
    <t xml:space="preserve">Bước chân vào chỗ chông gai,         </t>
  </si>
  <si>
    <t xml:space="preserve">Được khen đừng lấy làm vui,        </t>
  </si>
  <si>
    <t>Giữ nhân tình, được hưởng an khang.</t>
  </si>
  <si>
    <t>Tai nguy đều thoát, nhà còn âm công.</t>
  </si>
  <si>
    <t xml:space="preserve">An cư thủ nghiệp là hơn,           </t>
  </si>
  <si>
    <t>Ăn ở cho trung chính,</t>
  </si>
  <si>
    <t xml:space="preserve">Kiện thưa nào có lâu. </t>
  </si>
  <si>
    <t>Có công, trái luật dễ hầu ai tha.</t>
  </si>
  <si>
    <t xml:space="preserve">Ra quân kỷ luật làm đầu,     </t>
  </si>
  <si>
    <t>Binh quyền gồm đức tốt,</t>
  </si>
  <si>
    <t>Nên chuyên một việc, thì công mới thành.</t>
  </si>
  <si>
    <t xml:space="preserve">Chí chưa định, cát hóa hung          </t>
  </si>
  <si>
    <t>Chọn đất cư bên trái,</t>
  </si>
  <si>
    <t>MKH: Thì tâm ám muội, thiên lệch, bôn ba, tư cách xoàng, không có gì mở mang cả.</t>
  </si>
  <si>
    <t>MKH: Việc làm không thực sự, sinh nhai kém, hoặc làm nghề săn bắn.</t>
  </si>
  <si>
    <t>61908b</t>
  </si>
  <si>
    <t xml:space="preserve">Luôn luôn phòng bị gian nan,        </t>
  </si>
  <si>
    <t xml:space="preserve">Một lòng kính thận đối trên,             </t>
  </si>
  <si>
    <t>Hãy làm việc nhỏ tham trời uổng công.</t>
  </si>
  <si>
    <t>72034b</t>
  </si>
  <si>
    <t>82034b</t>
  </si>
  <si>
    <t>92034b</t>
  </si>
  <si>
    <t>102034b</t>
  </si>
  <si>
    <t>71946</t>
  </si>
  <si>
    <t>81946</t>
  </si>
  <si>
    <t>81943</t>
  </si>
  <si>
    <t>91943</t>
  </si>
  <si>
    <t>101943</t>
  </si>
  <si>
    <t>42006</t>
  </si>
  <si>
    <t>52006</t>
  </si>
  <si>
    <t>22042b</t>
  </si>
  <si>
    <t>32042b</t>
  </si>
  <si>
    <t>42042b</t>
  </si>
  <si>
    <t>52042b</t>
  </si>
  <si>
    <t>62042b</t>
  </si>
  <si>
    <t>72042b</t>
  </si>
  <si>
    <t>82042b</t>
  </si>
  <si>
    <t>92042b</t>
  </si>
  <si>
    <t>41944b</t>
  </si>
  <si>
    <t>51944b</t>
  </si>
  <si>
    <t>61944b</t>
  </si>
  <si>
    <t>NT: Có sự giao ước, phòng tang phục.</t>
  </si>
  <si>
    <t>NT: Ngỗ ngược phạm thượng, hoặc chết vì binh đao, hoặc cực khổ trăm điều.</t>
  </si>
  <si>
    <t>NT: Bạn bè nhờ nhau, được việc nhỏ, cầu to thì hỏng, lòng ít an tĩnh.</t>
  </si>
  <si>
    <t>NT: Dù được tiểu nhân che chở nhưng sau phòng họa ngầm.</t>
  </si>
  <si>
    <t>NT: Hưởng phúc, tĩnh lâu thì động, tất được lành.</t>
  </si>
  <si>
    <t>NT: Khó tránh kiện tụng, vu oan.</t>
  </si>
  <si>
    <t>112032</t>
  </si>
  <si>
    <t>122032</t>
  </si>
  <si>
    <t>12033</t>
  </si>
  <si>
    <t>22033</t>
  </si>
  <si>
    <t>32033</t>
  </si>
  <si>
    <t>42033</t>
  </si>
  <si>
    <t>52033</t>
  </si>
  <si>
    <t>62033</t>
  </si>
  <si>
    <t>72033</t>
  </si>
  <si>
    <t>82033</t>
  </si>
  <si>
    <t>92033</t>
  </si>
  <si>
    <t>102033</t>
  </si>
  <si>
    <t>112033</t>
  </si>
  <si>
    <t>122033</t>
  </si>
  <si>
    <t>12034</t>
  </si>
  <si>
    <t>22034</t>
  </si>
  <si>
    <t>32034</t>
  </si>
  <si>
    <t>42034</t>
  </si>
  <si>
    <t>52034</t>
  </si>
  <si>
    <t>62034</t>
  </si>
  <si>
    <t>72034</t>
  </si>
  <si>
    <t xml:space="preserve">Việc đời đen tối tranh nhau,      </t>
  </si>
  <si>
    <t xml:space="preserve">Gặp thời đen tối đừng rầu,       </t>
  </si>
  <si>
    <t xml:space="preserve">Việc làm đến vận đạt to,         </t>
  </si>
  <si>
    <t xml:space="preserve">Một gương chiếu hai bên.  </t>
  </si>
  <si>
    <t xml:space="preserve">Ngày dùng đủ sức phong lưu,        </t>
  </si>
  <si>
    <t xml:space="preserve">Ngôi tôn đẹp, khỏi phải cầu          </t>
  </si>
  <si>
    <t xml:space="preserve">Danh cao quyền trọng tột vời,        </t>
  </si>
  <si>
    <t xml:space="preserve">Tênh tênh hoạn nạn xa rồi,       </t>
  </si>
  <si>
    <t xml:space="preserve">Cô đơn, gặp bạn cố tri          </t>
  </si>
  <si>
    <t xml:space="preserve">Đi khó, ở lại khen mừng        </t>
  </si>
  <si>
    <t>Trước sau chưa rõ vận mòng dở hay.</t>
  </si>
  <si>
    <t>Đã có số trời định,</t>
  </si>
  <si>
    <t>Một tiến hẳn mây xanh.</t>
  </si>
  <si>
    <t xml:space="preserve">Rừng cây, xuân tới nơi    </t>
  </si>
  <si>
    <t>Cảnh vật mới thơm tươi.</t>
  </si>
  <si>
    <t xml:space="preserve">Trường sơn muốn vượt về thăm,     </t>
  </si>
  <si>
    <t xml:space="preserve">Ngựa lồng cầu gãy đông tây,       </t>
  </si>
  <si>
    <t xml:space="preserve">Mùa hè nhiều truyện gian truân,  </t>
  </si>
  <si>
    <t xml:space="preserve">Gắng sức cầu mưu vận đã thông,      </t>
  </si>
  <si>
    <t>Ấy là hạnh phúc nhà lan chứa đầy.</t>
  </si>
  <si>
    <t xml:space="preserve">Lo sao mọi việc chu toàn,      </t>
  </si>
  <si>
    <t>MKH: Ít giao thiệp, hay khoe khoang, hiếm con cháu, chỉ nên làm Tăng đạo.</t>
  </si>
  <si>
    <t>MKH: Bỏ người thân gần người sơ, rời nhà đi lang thang. Bé mồ côi cha mẹ, lớn già làm gia nô cho nhà phú hào.</t>
  </si>
  <si>
    <t>MKH: Hay chơi nước chịch, phạm thượng, không xét nghĩa lý để tu tỉnh, khó an lành.</t>
  </si>
  <si>
    <t>MKH: Nên lui về chức khiêm nhường hơn, bình dị an cư toàn được thân mệnh.</t>
  </si>
  <si>
    <t xml:space="preserve">Dấu mình khí giới từ lâu,          </t>
  </si>
  <si>
    <t xml:space="preserve">Một tin về, tự phía tây        </t>
  </si>
  <si>
    <t xml:space="preserve">Ngồi xe đội vác coi kỳ,         </t>
  </si>
  <si>
    <t>Xuân sang nhận một phong thư,</t>
  </si>
  <si>
    <t xml:space="preserve">Sầu xưa đã hết, vui từ hôm nay. </t>
  </si>
  <si>
    <t xml:space="preserve">Hãy nên nuôi chí lâm tuyền,        </t>
  </si>
  <si>
    <t>Rèm mở chưa nhìn sáng,</t>
  </si>
  <si>
    <t>Rắn bò chẳng thấy chân.</t>
  </si>
  <si>
    <t>Chờ nghe tiếng chạy gấp,</t>
  </si>
  <si>
    <t xml:space="preserve">Phận đành, sau cũng nghi gia,        </t>
  </si>
  <si>
    <t xml:space="preserve">Về đi mé nước thơm lừng,         </t>
  </si>
  <si>
    <t>Lập thân chính đại không hư hiểm,</t>
  </si>
  <si>
    <t xml:space="preserve">Hợp chưa hợp, thành chưa thành </t>
  </si>
  <si>
    <t xml:space="preserve">Lòng buồn lo nhưng mất,   </t>
  </si>
  <si>
    <t xml:space="preserve">Mưu lắm càng lo lắm,  </t>
  </si>
  <si>
    <t>Đem cần câu cóc mà chờ câu ngao.</t>
  </si>
  <si>
    <t>Tuổi dương phòng bệnh khó lường hư hao.</t>
  </si>
  <si>
    <t xml:space="preserve">Thương sơ, cấp cứu khỏi ngay      </t>
  </si>
  <si>
    <t>Xuân sang, nạn khỏi phúc dầy, lộc hơn.</t>
  </si>
  <si>
    <t xml:space="preserve">Nguy lo thoát, vững tinh thần         </t>
  </si>
  <si>
    <t xml:space="preserve">Âm đức nhờ tổ tông,  </t>
  </si>
  <si>
    <t>Quý nhân đâu tới, hoàn toàn giúp cho.</t>
  </si>
  <si>
    <t xml:space="preserve">Ruột tằm bối rối nguy nan,         </t>
  </si>
  <si>
    <t xml:space="preserve">Đi thì lắm nỗi đa đoan,          </t>
  </si>
  <si>
    <t xml:space="preserve">Vì đâu hồng nhạn tan đàn,          </t>
  </si>
  <si>
    <t xml:space="preserve">         Thất niên ngũ số vận vào,</t>
  </si>
  <si>
    <t xml:space="preserve">Giải vây được bọn tà gian,        </t>
  </si>
  <si>
    <t xml:space="preserve">Được cung lại được cả tên,         </t>
  </si>
  <si>
    <t xml:space="preserve">Bệnh sinh, nhạn lẻ trời tà,          </t>
  </si>
  <si>
    <t xml:space="preserve">Bỏ Đông sang lập nghiệp Tây,        </t>
  </si>
  <si>
    <t>32025</t>
  </si>
  <si>
    <t>41963</t>
  </si>
  <si>
    <t>51963</t>
  </si>
  <si>
    <t>61963</t>
  </si>
  <si>
    <t>71963</t>
  </si>
  <si>
    <t>81963</t>
  </si>
  <si>
    <t>91963</t>
  </si>
  <si>
    <t>101963</t>
  </si>
  <si>
    <t>111963</t>
  </si>
  <si>
    <t>121963</t>
  </si>
  <si>
    <t>72019b</t>
  </si>
  <si>
    <t>82019b</t>
  </si>
  <si>
    <t>92019b</t>
  </si>
  <si>
    <t>102019b</t>
  </si>
  <si>
    <t>112019b</t>
  </si>
  <si>
    <t>122019b</t>
  </si>
  <si>
    <t>12020b</t>
  </si>
  <si>
    <t>22020b</t>
  </si>
  <si>
    <t>32020b</t>
  </si>
  <si>
    <t>42020b</t>
  </si>
  <si>
    <t>Hãy xem xét cách sống của ta mà tiến thoái.</t>
  </si>
  <si>
    <t>22047</t>
  </si>
  <si>
    <t>32047</t>
  </si>
  <si>
    <t>42047</t>
  </si>
  <si>
    <t>52047</t>
  </si>
  <si>
    <t>MKH: Cũng là người trung thực, ưa hoạt động và giữ trọng trách ở nơi Huơng Lý.</t>
  </si>
  <si>
    <t xml:space="preserve">Buồn sông lo núi cả hai,            </t>
  </si>
  <si>
    <t>Hiểm nghèo Khảm muốn thông,</t>
  </si>
  <si>
    <t xml:space="preserve">Giữ nước, phải tương dung.        </t>
  </si>
  <si>
    <t xml:space="preserve">Tuy đầy mà chẳng lo tràn,           </t>
  </si>
  <si>
    <t xml:space="preserve">Hiểm nan, cầu nhỏ an bình           </t>
  </si>
  <si>
    <t xml:space="preserve">Quan tâm nhìn cảnh phong ba,     </t>
  </si>
  <si>
    <t xml:space="preserve">Việc đã định, khỏi lo âu,            </t>
  </si>
  <si>
    <t>21919</t>
  </si>
  <si>
    <t>31919</t>
  </si>
  <si>
    <t>41919</t>
  </si>
  <si>
    <t>51919</t>
  </si>
  <si>
    <t>Trở lại một cách đẹp đẽ, tốt.</t>
  </si>
  <si>
    <t>Trở lại mấy lần, tưởng nguy mà không lỗi.</t>
  </si>
  <si>
    <t xml:space="preserve">Giữ lòng ngay thẳng, đỡ tai ương.    </t>
  </si>
  <si>
    <t xml:space="preserve">Ngồi yên quân tử chớ lo,          </t>
  </si>
  <si>
    <t>Muốn trước muốn sau.</t>
  </si>
  <si>
    <t xml:space="preserve">Nếu hay giữ được chí mình,       </t>
  </si>
  <si>
    <t>Tung bay ngụp xuống sông.</t>
  </si>
  <si>
    <t>NT: Khốn lâu, nay phát tài, có kiện tụng rồi tự nhiên lý sẽ sáng tỏ, bệnh sẽ khỏi. Số xấu phòng người trên có sự lo buồn.</t>
  </si>
  <si>
    <t>NT: Tu đạo giỏi, người theo đông vui.</t>
  </si>
  <si>
    <t>NT: Mưu vọng việc nhà thành, tăng đạo thụ án. Số xấu, chạy ngược xuôi, thất lạc, trốn tránh.</t>
  </si>
  <si>
    <t>71937b</t>
  </si>
  <si>
    <t>81937b</t>
  </si>
  <si>
    <t>91937b</t>
  </si>
  <si>
    <t>101937b</t>
  </si>
  <si>
    <t>111937b</t>
  </si>
  <si>
    <t>121937b</t>
  </si>
  <si>
    <t>11938b</t>
  </si>
  <si>
    <t>21938b</t>
  </si>
  <si>
    <t>31938b</t>
  </si>
  <si>
    <t>41938b</t>
  </si>
  <si>
    <t>51938b</t>
  </si>
  <si>
    <t>61938b</t>
  </si>
  <si>
    <t>71938b</t>
  </si>
  <si>
    <t>81938b</t>
  </si>
  <si>
    <t>91938b</t>
  </si>
  <si>
    <t>101938b</t>
  </si>
  <si>
    <t>31942</t>
  </si>
  <si>
    <t>41942</t>
  </si>
  <si>
    <t>51942</t>
  </si>
  <si>
    <t>61942</t>
  </si>
  <si>
    <t>71942</t>
  </si>
  <si>
    <t>81942</t>
  </si>
  <si>
    <t>91942</t>
  </si>
  <si>
    <t>101942</t>
  </si>
  <si>
    <t>111942</t>
  </si>
  <si>
    <t>121942</t>
  </si>
  <si>
    <t>121939</t>
  </si>
  <si>
    <t>11940</t>
  </si>
  <si>
    <t>21940</t>
  </si>
  <si>
    <t>31940</t>
  </si>
  <si>
    <t>41940</t>
  </si>
  <si>
    <t>51940</t>
  </si>
  <si>
    <t>61940</t>
  </si>
  <si>
    <t>71940</t>
  </si>
  <si>
    <t>81940</t>
  </si>
  <si>
    <t>91940</t>
  </si>
  <si>
    <t>101940</t>
  </si>
  <si>
    <t>111940</t>
  </si>
  <si>
    <t>121940</t>
  </si>
  <si>
    <t>11941</t>
  </si>
  <si>
    <t>21941</t>
  </si>
  <si>
    <t>31941</t>
  </si>
  <si>
    <t>41941</t>
  </si>
  <si>
    <t>51941</t>
  </si>
  <si>
    <t>61941</t>
  </si>
  <si>
    <t>71941</t>
  </si>
  <si>
    <t>81941</t>
  </si>
  <si>
    <t>91941</t>
  </si>
  <si>
    <t>101941</t>
  </si>
  <si>
    <t>111941</t>
  </si>
  <si>
    <t>121941</t>
  </si>
  <si>
    <t>11942</t>
  </si>
  <si>
    <t>21942</t>
  </si>
  <si>
    <t>Cầu lên nữa là mờ ám (lên đến cùng rồi, chỉ còn có lợi ở chỗ giữ chinh không ngừng).</t>
  </si>
  <si>
    <t>82003</t>
  </si>
  <si>
    <t>92003</t>
  </si>
  <si>
    <t>102003</t>
  </si>
  <si>
    <t>112003</t>
  </si>
  <si>
    <t>122003</t>
  </si>
  <si>
    <t>12004</t>
  </si>
  <si>
    <t>22004</t>
  </si>
  <si>
    <t>61970b</t>
  </si>
  <si>
    <t>71970b</t>
  </si>
  <si>
    <t>81970b</t>
  </si>
  <si>
    <t>91970b</t>
  </si>
  <si>
    <t>101970b</t>
  </si>
  <si>
    <t>111970b</t>
  </si>
  <si>
    <t>121970b</t>
  </si>
  <si>
    <t>11971b</t>
  </si>
  <si>
    <t>21971b</t>
  </si>
  <si>
    <t>31971b</t>
  </si>
  <si>
    <t>41971b</t>
  </si>
  <si>
    <t>51971b</t>
  </si>
  <si>
    <t>61971b</t>
  </si>
  <si>
    <t>71971b</t>
  </si>
  <si>
    <t>81971b</t>
  </si>
  <si>
    <t>91971b</t>
  </si>
  <si>
    <t>101971b</t>
  </si>
  <si>
    <t>111971b</t>
  </si>
  <si>
    <t>121971b</t>
  </si>
  <si>
    <t>11972b</t>
  </si>
  <si>
    <t>21972b</t>
  </si>
  <si>
    <t>31972b</t>
  </si>
  <si>
    <t xml:space="preserve">Tổn mình, ơn giúp được người        </t>
  </si>
  <si>
    <t xml:space="preserve">Thành tín nhân huệ ở đời,           </t>
  </si>
  <si>
    <t>Hằng là Cửu (lâu, thường luôn, đương nhiên cứ thế). Lại sanh tháng 1 là cách công danh phú quý. Sinh từ tháng 9 đến tháng 12 thì phúc kém.</t>
  </si>
  <si>
    <t xml:space="preserve">        Phong thư đến, tự nhật biên</t>
  </si>
  <si>
    <t>Hối tiếc không còn nữa (được đạo trung lại có hào 5 ứng viện).</t>
  </si>
  <si>
    <t xml:space="preserve">Suốt đời giữ đạo trung ngay,         </t>
  </si>
  <si>
    <t>QC: Được trao việc quan trọng, ở trong thì chuyển ra ngoài, ở tối lâu được ra sáng.</t>
  </si>
  <si>
    <t>121959b</t>
  </si>
  <si>
    <t>11960b</t>
  </si>
  <si>
    <t>21960b</t>
  </si>
  <si>
    <t>31960b</t>
  </si>
  <si>
    <t>41960b</t>
  </si>
  <si>
    <t>51960b</t>
  </si>
  <si>
    <t>61960b</t>
  </si>
  <si>
    <t>71960b</t>
  </si>
  <si>
    <t>81960b</t>
  </si>
  <si>
    <t>111938b</t>
  </si>
  <si>
    <t>121938b</t>
  </si>
  <si>
    <t>11939b</t>
  </si>
  <si>
    <t>21939b</t>
  </si>
  <si>
    <t>31939b</t>
  </si>
  <si>
    <t>41939b</t>
  </si>
  <si>
    <t>NT: Có chỗ nhờ, đạt được chí. Phòng sông, nước.</t>
  </si>
  <si>
    <t>NT: Khó kinh doanh, đương vui hóa buồn, đường đẹp hóa xấu, trước nghịch cảnh, sau mới thuận.</t>
  </si>
  <si>
    <t>NT: Bình thản, không nguy gì.</t>
  </si>
  <si>
    <t>91916b</t>
  </si>
  <si>
    <t>101916b</t>
  </si>
  <si>
    <t>111916b</t>
  </si>
  <si>
    <t>121916b</t>
  </si>
  <si>
    <t>11917b</t>
  </si>
  <si>
    <t>21917b</t>
  </si>
  <si>
    <t>31917b</t>
  </si>
  <si>
    <t>41917b</t>
  </si>
  <si>
    <t>51917b</t>
  </si>
  <si>
    <t>61917b</t>
  </si>
  <si>
    <t>71917b</t>
  </si>
  <si>
    <t>81917b</t>
  </si>
  <si>
    <t>91917b</t>
  </si>
  <si>
    <t>101917b</t>
  </si>
  <si>
    <t>111917b</t>
  </si>
  <si>
    <t>81956</t>
  </si>
  <si>
    <t>91956</t>
  </si>
  <si>
    <t>101956</t>
  </si>
  <si>
    <t>111956</t>
  </si>
  <si>
    <t>121956</t>
  </si>
  <si>
    <t>11957</t>
  </si>
  <si>
    <t>21957</t>
  </si>
  <si>
    <t>31957</t>
  </si>
  <si>
    <t>41957</t>
  </si>
  <si>
    <t>51957</t>
  </si>
  <si>
    <t>61957</t>
  </si>
  <si>
    <t>71957</t>
  </si>
  <si>
    <t>81957</t>
  </si>
  <si>
    <t>91957</t>
  </si>
  <si>
    <t>Rồng bay trên trời, lợi đi gặp đại nhân.</t>
  </si>
  <si>
    <t>62041</t>
  </si>
  <si>
    <t>72041</t>
  </si>
  <si>
    <t>82041</t>
  </si>
  <si>
    <t>92041</t>
  </si>
  <si>
    <t>102041</t>
  </si>
  <si>
    <t>112041</t>
  </si>
  <si>
    <t>122041</t>
  </si>
  <si>
    <t>Xem vẻ sáng của nước (hào 5). Lợi về việc làm quý khách ở vương triều.</t>
  </si>
  <si>
    <t>Hãy xem xét cách sống của ta, người Quân tử không lỗi.</t>
  </si>
  <si>
    <t>Tự xem xét cách sống của mình, người Quân tử không lỗi.</t>
  </si>
  <si>
    <t xml:space="preserve">Gái hiền đâu sợ muộn duyên,            </t>
  </si>
  <si>
    <t xml:space="preserve">Việc cần, đường vẫn xa xôi     </t>
  </si>
  <si>
    <t>Mời người có tài tốt đến thì thảy có hạnh phúc, được tiếng khen, tốt.</t>
  </si>
  <si>
    <t>Tin vào sự tiêu tan (hào 6 âm mưu tiêu tan 5 dương) là có nguy đó.</t>
  </si>
  <si>
    <t>Đi đúng giữa, một mình trở lại (với đạo lý) giữa đám tiểu nhân (5 hào âm).</t>
  </si>
  <si>
    <t>Đầy đặn trở lại, không ăn năn gì.</t>
  </si>
  <si>
    <t>Để tự nhiên tốt.</t>
  </si>
  <si>
    <t>Chẳng cầy đi cầy lại, chẳng gặt hái, cứ tiến hành thời có lợi.</t>
  </si>
  <si>
    <t>81941b</t>
  </si>
  <si>
    <t>91941b</t>
  </si>
  <si>
    <t>101941b</t>
  </si>
  <si>
    <t>111941b</t>
  </si>
  <si>
    <t>Như chim bị cháy tổ, lữ khách trước thì cười nói, sau phải kêu gào; mất trâu (hay bò) vì tính khinh dễ, nên mắc hung họa.</t>
  </si>
  <si>
    <t>Tốn là Thuận (thuận nhi nhập, thuận theo để đi vào một công việc gì, có mềm dẻo mới thành công). Lại sanh tháng 4 là cách công danh phú quý, sanh mùa Xuân, mùa Hạ cũng được phúc dày.</t>
  </si>
  <si>
    <t>NT: Cảm được nhân tình, kinh doanh tạm được. Số xấu đề phòng tổn thương thân thể.</t>
  </si>
  <si>
    <t>Ở giữa đám quân, tốt, không lỗi gì. Vua (nhà nước) ba lần ban phát mệnh lệnh (tưởng thưởng).</t>
  </si>
  <si>
    <t>42030b</t>
  </si>
  <si>
    <t>52030b</t>
  </si>
  <si>
    <t>62030b</t>
  </si>
  <si>
    <t>72030b</t>
  </si>
  <si>
    <t>82030b</t>
  </si>
  <si>
    <t>92030b</t>
  </si>
  <si>
    <t>102030b</t>
  </si>
  <si>
    <t>112030b</t>
  </si>
  <si>
    <t>122030b</t>
  </si>
  <si>
    <t>12031b</t>
  </si>
  <si>
    <t>22031b</t>
  </si>
  <si>
    <t>12008b</t>
  </si>
  <si>
    <t>22008b</t>
  </si>
  <si>
    <t>32008b</t>
  </si>
  <si>
    <t>42008b</t>
  </si>
  <si>
    <t>52008b</t>
  </si>
  <si>
    <t>12039</t>
  </si>
  <si>
    <t>22039</t>
  </si>
  <si>
    <t>32039</t>
  </si>
  <si>
    <t>NT: Được nhờ thế lực, kinh doanh đắc ý. Nữ mệnh có chồng giỏi.</t>
  </si>
  <si>
    <t>NT: Kinh doanh đắc ý. Nữ mệnh là người đức phụ.</t>
  </si>
  <si>
    <t>NT: Mọi việc yên ổn, thu hoạch tài lợi. Nữ mệnh là đức phụ.</t>
  </si>
  <si>
    <t>Đã hằng lại còn vào sâu (là nệ quá) càng bền gan (không biến theo thời) thì xấu, không lợi gì.</t>
  </si>
  <si>
    <t>91901</t>
  </si>
  <si>
    <t>101901</t>
  </si>
  <si>
    <t>111901</t>
  </si>
  <si>
    <t>121901</t>
  </si>
  <si>
    <t>11902</t>
  </si>
  <si>
    <t>21902</t>
  </si>
  <si>
    <t>31902</t>
  </si>
  <si>
    <t>41902</t>
  </si>
  <si>
    <t>51902</t>
  </si>
  <si>
    <t>61902</t>
  </si>
  <si>
    <t>Gặp chủ (hào 5 ứng) ở ngõ hẻm (vì thời Khuê, xấu, không đường hoàng được), nhưng không lỗi.</t>
  </si>
  <si>
    <t>Cô đơn ở thời Khuê, mà gặp được chàng trai xưa tin nhau (hào 1 đồng đức) tuy thời nguy, nhưng không lỗi.</t>
  </si>
  <si>
    <t>Khỏi ăn năn nữa, cùng tôn phái nên cắn vào da (để thân nhau), tiến đi, còn lỗi gì đâu ?</t>
  </si>
  <si>
    <t>Lữ là Khách (khách lữ hành đi xa, không yên trí, lúc nào cũng phải thận trọng).</t>
  </si>
  <si>
    <t>Quý nhân đội Đẩu trên đầu sáng choang.</t>
  </si>
  <si>
    <t>Lữ khách nhỏ nhặt, ấy là lãnh tai họa về mình.</t>
  </si>
  <si>
    <t>QC: Hiển đạt, thành danh.</t>
  </si>
  <si>
    <t>GS: Hiển đạt, thành danh.</t>
  </si>
  <si>
    <t>Lữ khách mà đốt quán trọ của mình (mất lòng trên), bỏ mất tớ trẻ của mình (mất lòng dưới), dù chính cũng nguy.</t>
  </si>
  <si>
    <t>Bậc Vương thần vất vả, chẳng phải cớ do thân mình (vì việc nước, do hào 5 tin cậy).</t>
  </si>
  <si>
    <t>GS: Cầu danh được danh, cầu lợi được lợi.</t>
  </si>
  <si>
    <t>Gian nan lớn, có bạn lại (giúp sức, tức hào 2).</t>
  </si>
  <si>
    <t>Giữ chính tốt, không ăn năn gì, không có gì là chẳng ích lợi, không có lúc sơ khởi, mà có về sau, đinh ninh trước kỳ thay đổi 3 ngày (là cẩn thận) đo lường kỹ lưỡng sau kỳ thay đổi 3 ngày (là kiểm thảo) thế thì tốt.</t>
  </si>
  <si>
    <t>QC: Thôi việc, tổn hại đến cùng.</t>
  </si>
  <si>
    <t>Làm theo đạo trung rồi báo cáo lên ông trên (hào 5 ?) cũng tin theo (vì địa vị của hào 4 quan trọng nhất trong thời Ích). Lợi dụng (đạo trung) làm điểm tựa mà dời quốc đô đi (hào 4 là trái tim của quẻ Ích đã phát động sự trao đổi với hào 1).</t>
  </si>
  <si>
    <t>Có tin tưởng ở lòng mình thích làm ơn huệ (hào 5) chớ hỏi gì, tốt nhất rồi, có tin tưởng ở đức ấy làm ơn huệ cho ta (hào 2).</t>
  </si>
  <si>
    <t>Quải là Quyết (quyết đấu, quyết tâm, quyết nghị, quyết đoán...). Lại sanh tháng 3 là cách công danh phú quý, Kiền Đoài đều là Kim, sinh mùa thu cũng được mùa.</t>
  </si>
  <si>
    <t>Đương hăng mạnh ở nơi ngón chân trước bước đi, tiến lên mà chẳng làm nổi gì là lỗi đấy (hào 1 thấp quá).</t>
  </si>
  <si>
    <t>61981</t>
  </si>
  <si>
    <t>71981</t>
  </si>
  <si>
    <t>81981</t>
  </si>
  <si>
    <t>91981</t>
  </si>
  <si>
    <t>101981</t>
  </si>
  <si>
    <t>111981</t>
  </si>
  <si>
    <t>Chờ ngày sáng sủa, đi phương Bắc Đoài.</t>
  </si>
  <si>
    <t>Có người giúp đỡ thôi đừng trì nghi.</t>
  </si>
  <si>
    <t>Giữ thân chừng mực bao giờ cũng hay.</t>
  </si>
  <si>
    <t>Đừng nên cố chấp chỉ hung ích gì.</t>
  </si>
  <si>
    <t>Thang mây sẵn đó, hoa đèn đẹp kia.</t>
  </si>
  <si>
    <t>Rất kỵ dạ phân vân.</t>
  </si>
  <si>
    <t>Tấm lòng vàng đá lộc đầy ngôi cao.</t>
  </si>
  <si>
    <t>Biết ra tự trị thì yên tấm lòng.</t>
  </si>
  <si>
    <t>Gió mây gặp hội, đột lên sang giàu.</t>
  </si>
  <si>
    <t>Thiên thời, địa lợi từ nay mạnh làm.</t>
  </si>
  <si>
    <t>Nên tiến, đừng nên bướng</t>
  </si>
  <si>
    <t>Sẵn cá buông câu hay.</t>
  </si>
  <si>
    <t xml:space="preserve">Trùng chỉnh lại, </t>
  </si>
  <si>
    <t>Thói mạn kiêu.</t>
  </si>
  <si>
    <t>Hành vi trung chính, tai ương sợ gì.</t>
  </si>
  <si>
    <t>Sợ kẻ phản bất thần.</t>
  </si>
  <si>
    <t>Mây chưa mưa xuống, chưa công quả gì.</t>
  </si>
  <si>
    <t>Nên khiêm ức lại, duy trì thân gia.</t>
  </si>
  <si>
    <t>Cánh buồm ngàn dặm cũng là tới nơi.</t>
  </si>
  <si>
    <t>Cấu là Ngộ (ngẫu nhiên gặp gỡ).</t>
  </si>
  <si>
    <t>Thăng là Tiến (từ thấp tiến dần lên cao).</t>
  </si>
  <si>
    <t>Khốn là Nguy (nguy nan khốn khổ, nên kiên nhẫn).</t>
  </si>
  <si>
    <t>Tỉnh là Tĩnh (an tĩnh đợi thời vận như đợi mạch nước giếng thơi).</t>
  </si>
  <si>
    <t>Cách là Cải (thay đổi mạnh mẽ, thay cũ đổi mới).</t>
  </si>
  <si>
    <t>Đỉnh là Định (An định, đặt yên như đỉnh đứng 3 chân vững vàng).</t>
  </si>
  <si>
    <t>Chấn là Động (chấn động như sấm nổ vang, phấn phát lên, thanh thế mạnh lớn).</t>
  </si>
  <si>
    <t>121928b</t>
  </si>
  <si>
    <t>11929b</t>
  </si>
  <si>
    <t>21929b</t>
  </si>
  <si>
    <t>121951</t>
  </si>
  <si>
    <t>11952</t>
  </si>
  <si>
    <t>121997</t>
  </si>
  <si>
    <t>11998</t>
  </si>
  <si>
    <t>21998</t>
  </si>
  <si>
    <t>31998</t>
  </si>
  <si>
    <t>41998</t>
  </si>
  <si>
    <t>51998</t>
  </si>
  <si>
    <t>61998</t>
  </si>
  <si>
    <t>71998</t>
  </si>
  <si>
    <t>81998</t>
  </si>
  <si>
    <t>91998</t>
  </si>
  <si>
    <t>101998</t>
  </si>
  <si>
    <t>51996b</t>
  </si>
  <si>
    <t>61996b</t>
  </si>
  <si>
    <t>71996b</t>
  </si>
  <si>
    <t>81996b</t>
  </si>
  <si>
    <t>91996b</t>
  </si>
  <si>
    <t>101996b</t>
  </si>
  <si>
    <t>111996b</t>
  </si>
  <si>
    <t>121996b</t>
  </si>
  <si>
    <t>11997b</t>
  </si>
  <si>
    <t>21997b</t>
  </si>
  <si>
    <t>31997b</t>
  </si>
  <si>
    <t>41997b</t>
  </si>
  <si>
    <t>51997b</t>
  </si>
  <si>
    <t>61997b</t>
  </si>
  <si>
    <t>71997b</t>
  </si>
  <si>
    <t>Hòa hưu đẹp về sau.</t>
  </si>
  <si>
    <t xml:space="preserve">Tiến bước Đông Nam tốt, </t>
  </si>
  <si>
    <t>Danh lợi được hòa hai.</t>
  </si>
  <si>
    <t>Thiên hình sau chẳng đổi,</t>
  </si>
  <si>
    <t xml:space="preserve">Chuột bọ khinh không hại, </t>
  </si>
  <si>
    <t>Tai nguy ngay thấy liền.</t>
  </si>
  <si>
    <t>MKH: Thì cũng an thường thủ phận hòa quang đồng trần, không điều tiếng gì.</t>
  </si>
  <si>
    <t>MKH: Cũng có tiền giương thóc vựa, hưởng phúc, ít nhất là y thực sung túc.</t>
  </si>
  <si>
    <t>MKH: Cũng trung chính, khiêm cung tri cơ, cố thủ, ít cũng là nhân sĩ hương thôn.</t>
  </si>
  <si>
    <t>Có người Mộc Khẩu ân nhân đấy mà.       (Yêu cầu chân dữ thực. Mộc khẩu thị ân nhân).</t>
  </si>
  <si>
    <t xml:space="preserve">       Lo sao chân thực mọi phần,</t>
  </si>
  <si>
    <t>Rèn lòng tính mới hay.</t>
  </si>
  <si>
    <t>Chớ dùng lấy phải gái ấy, y thấy trai có vàng là coi tấm thân mình như chẳng có, không lợi gì cả (hào 3 không Trung chính, mê Hào ứng là Hào 6 dương).</t>
  </si>
  <si>
    <t>Xe long trục, vợ chồng trái mắt nhau. (hào 3 hận hào 4 ngăn đường tiến).</t>
  </si>
  <si>
    <t>Khi vinh phòng nhục, kẻ gần hại ta.</t>
  </si>
  <si>
    <t>111998b</t>
  </si>
  <si>
    <t>121998b</t>
  </si>
  <si>
    <t>11999b</t>
  </si>
  <si>
    <t>21999b</t>
  </si>
  <si>
    <t>Sao rời, người đẹp bên sông khóc dài.</t>
  </si>
  <si>
    <t xml:space="preserve">Xe lên mà trục bỗng long,        </t>
  </si>
  <si>
    <t xml:space="preserve">Muốn đi tìm ngọc non xa,              </t>
  </si>
  <si>
    <t>Trước lo sau mới mừng.</t>
  </si>
  <si>
    <t xml:space="preserve">Bước đi không cản trở,  </t>
  </si>
  <si>
    <t xml:space="preserve">       Tính gần thì đặng nơi xa,</t>
  </si>
  <si>
    <t>Bao giờ sáng tỏa bốn phương,</t>
  </si>
  <si>
    <t>Bắc phương đường ấy chớ quên,</t>
  </si>
  <si>
    <t xml:space="preserve">Tiền trình mọi ngả khai thông,        </t>
  </si>
  <si>
    <t>Rồng bay không thấy bóng,</t>
  </si>
  <si>
    <t>Tây bắc vốn quê hương.</t>
  </si>
  <si>
    <t>Thiên thời địa lợi chờ ngày vinh quang.</t>
  </si>
  <si>
    <t>Trời cho cát khánh về vùng Tây Nam.</t>
  </si>
  <si>
    <t>Mưu toan nhiều thắc mắc.</t>
  </si>
  <si>
    <t xml:space="preserve">Hướng tây nên cầu vãng, </t>
  </si>
  <si>
    <t xml:space="preserve">Truân chiên đâu có lợi, </t>
  </si>
  <si>
    <t>Cầu danh chưa ra.</t>
  </si>
  <si>
    <t xml:space="preserve">Tiến thoái ý chưa quyết,   </t>
  </si>
  <si>
    <t>Đợi buổi nhất dương sinh. (Quẻ phục tháng 11)</t>
  </si>
  <si>
    <t xml:space="preserve">Ra quân ngoài vạn dặm,   </t>
  </si>
  <si>
    <t xml:space="preserve">Buồn vì cùng khốn u mê,                 </t>
  </si>
  <si>
    <t>Trăng khuyết rồi lại tròn,</t>
  </si>
  <si>
    <t xml:space="preserve">Hoa tàn, mọc trái non.    </t>
  </si>
  <si>
    <t xml:space="preserve">Khoan khoan chờ đi ít lâu,   </t>
  </si>
  <si>
    <t xml:space="preserve">Hiểm trở tuy gần đấy, </t>
  </si>
  <si>
    <t xml:space="preserve">Giữ gìn tài vật.      </t>
  </si>
  <si>
    <t>Trở về được thấy thân an, nhà lành.</t>
  </si>
  <si>
    <t>Nơm nớp sợ, kêu gọi, đêm hôm có giặc cũng chẳng phải lo nữa (vì hào 2 cư trung đã phòng bị cả rồi).</t>
  </si>
  <si>
    <t>Vẻ hăng mạnh lộ ra gò má, e có điềm dữ (hào 3 cương mà quá trung rồi dễ nguy), nhưng nếu người Quân tử quyết quyết (giữ bè Quân tử), thì dù có đi một mình gặp mưa như thấm ướt (cảm tình với hào 6 tiểu nhân) để có người giận ghét, cũng vẫn không lỗi gì (vì vẫn theo mục đích quyết thắng tiểu nhân).</t>
  </si>
  <si>
    <t>62038</t>
  </si>
  <si>
    <t>72038</t>
  </si>
  <si>
    <t>82038</t>
  </si>
  <si>
    <t>92038</t>
  </si>
  <si>
    <t>102038</t>
  </si>
  <si>
    <t>112038</t>
  </si>
  <si>
    <t>122038</t>
  </si>
  <si>
    <t>Khiêm là thoái (thoái nhượng, lùi, nhường bước, nhũn nhặn).</t>
  </si>
  <si>
    <t xml:space="preserve">Trung chính ngồi cao dễ thí vi, </t>
  </si>
  <si>
    <t xml:space="preserve">Ở trên thân dưới là khôn,      </t>
  </si>
  <si>
    <t xml:space="preserve">Sinh nhai đường sáng chưa thông,         </t>
  </si>
  <si>
    <t xml:space="preserve">Dưới trên tụ họp tốt lành,           </t>
  </si>
  <si>
    <t xml:space="preserve">Việc gì cũng khó ban đầu,        </t>
  </si>
  <si>
    <t xml:space="preserve">Âm dương hội họp mà chưa hẹn,       </t>
  </si>
  <si>
    <t xml:space="preserve">Mặt trời sáng, không bóng mây          </t>
  </si>
  <si>
    <t>GS: Phàm mọi việc không đúng thực tế, tiến thoái vô định thị phi khôn lường.</t>
  </si>
  <si>
    <t>NT: Phàm mọi việc không đúng thực tế, tiến thoái vô định thị phi khôn lường.</t>
  </si>
  <si>
    <t>Bởi nhờ ta, nên có vui (hào 4 được chúng tông), có điều được to, đừng ngờ gì, bè bạn đến hợp cho mau lẹ (bảo 5 hào âm kia).</t>
  </si>
  <si>
    <t xml:space="preserve">Dần dần nổi tiếng văn bài,          </t>
  </si>
  <si>
    <t>NT: Bị điều tiếng, thưa kiện.</t>
  </si>
  <si>
    <t>MHC: Dù văn tài võ giỏi, cũng mất cơ hội rồi, chẳng kịp nữa.</t>
  </si>
  <si>
    <t>NT: Được trên tin dùng, nhưng cũng bôn tẩu gian nan, sau mới thành.</t>
  </si>
  <si>
    <t>NT: Gian nan, thêm kiện tụng nữa.</t>
  </si>
  <si>
    <t>NT: Vui quá hóa buồn, gian nan đến nỗi bất nhật táng vong.</t>
  </si>
  <si>
    <t>NT: Giao việc gì làm việc ấy.</t>
  </si>
  <si>
    <t>12048b</t>
  </si>
  <si>
    <t>22048b</t>
  </si>
  <si>
    <t>32048b</t>
  </si>
  <si>
    <t>42048b</t>
  </si>
  <si>
    <t>52048b</t>
  </si>
  <si>
    <t>62048b</t>
  </si>
  <si>
    <t>72048b</t>
  </si>
  <si>
    <t>82048b</t>
  </si>
  <si>
    <t>92048b</t>
  </si>
  <si>
    <t>102048b</t>
  </si>
  <si>
    <t>112048b</t>
  </si>
  <si>
    <t>21983b</t>
  </si>
  <si>
    <t>31983b</t>
  </si>
  <si>
    <t>41983b</t>
  </si>
  <si>
    <t>Làm chi ai thuận ? chính mà hóa hung.</t>
  </si>
  <si>
    <t>Nhổ rể cỏ mao, lấy cả cụm (cả 3 hào âm), giữ chính thì tốt và hanh thông.</t>
  </si>
  <si>
    <t>Thời này im tiếng được ngồi ung dung.</t>
  </si>
  <si>
    <t>102040</t>
  </si>
  <si>
    <t>112040</t>
  </si>
  <si>
    <t xml:space="preserve">Động đi, núi cách trùng trùng      </t>
  </si>
  <si>
    <t>Núi rừng xanh tốt, vững non sông.</t>
  </si>
  <si>
    <t xml:space="preserve">Mộng vào đường thẳm thiên thai,     </t>
  </si>
  <si>
    <t xml:space="preserve">            Tiền trình giữ bước vững vàng,</t>
  </si>
  <si>
    <t xml:space="preserve">Trời xanh, ngày lại dài.     </t>
  </si>
  <si>
    <t>Chờ xem vận hội mở mang,</t>
  </si>
  <si>
    <t xml:space="preserve">Gặp ả Kim biên vận tốt mau.    </t>
  </si>
  <si>
    <t>MHC: Nên danh nên lợi, thành sản nghiệp tư cơ.</t>
  </si>
  <si>
    <t>121992</t>
  </si>
  <si>
    <t>11993</t>
  </si>
  <si>
    <t>21993</t>
  </si>
  <si>
    <t>31993</t>
  </si>
  <si>
    <t>41993</t>
  </si>
  <si>
    <t>51993</t>
  </si>
  <si>
    <t>61993</t>
  </si>
  <si>
    <t>71993</t>
  </si>
  <si>
    <t>81993</t>
  </si>
  <si>
    <t>91993</t>
  </si>
  <si>
    <t>101993</t>
  </si>
  <si>
    <t>111993</t>
  </si>
  <si>
    <t>121993</t>
  </si>
  <si>
    <t>11994</t>
  </si>
  <si>
    <t>21994</t>
  </si>
  <si>
    <t>31994</t>
  </si>
  <si>
    <t>41994</t>
  </si>
  <si>
    <t>51994</t>
  </si>
  <si>
    <t>61994</t>
  </si>
  <si>
    <t>MKH: Thích làm to, lập công mà trái phép lộng hành chỉ thêm đổ bại.</t>
  </si>
  <si>
    <t>MKH: Cũng được cơm áo đầy đủ, chẳng nhục, chẳng vinh.</t>
  </si>
  <si>
    <t>MKH: Chí tráng tài nhược, chẳng lượng nên chăng, hay gặp nguy hiểm.</t>
  </si>
  <si>
    <t>MKH: Có tài không đức, ruột thịt không thân, hay đấu tranh, hoặc làm lính.</t>
  </si>
  <si>
    <t>MKH: Ỷ thế làm bậy, bé cuồng ngông, lớn ba đào.</t>
  </si>
  <si>
    <t>MKH: Cũng là người cương nhu đủ cả, đức rộng phúc dày.</t>
  </si>
  <si>
    <t>MKH: Cô độc, ô trọc, dối trá, thị phi, tán tụ bất thường.</t>
  </si>
  <si>
    <t>MKH: Sinh nhai dựa vào người quyền thế, có người giúp sức bên trong, bình sinh an lạc.</t>
  </si>
  <si>
    <t>MKH: Cũng là đường cao nhà lớn, phúc lộc vẹn toàn, Quân tử đến gần, tiểu nhân sợ sệt.</t>
  </si>
  <si>
    <t>22028</t>
  </si>
  <si>
    <t>32028</t>
  </si>
  <si>
    <t>42028</t>
  </si>
  <si>
    <t>52028</t>
  </si>
  <si>
    <t>62028</t>
  </si>
  <si>
    <t>72028</t>
  </si>
  <si>
    <t>82028</t>
  </si>
  <si>
    <t>92028</t>
  </si>
  <si>
    <t>102028</t>
  </si>
  <si>
    <t>Rồng lên cao quá, có sự hối hận.</t>
  </si>
  <si>
    <t>GS: Đương vinh hóa nhục, đương tiến hóa thoái.</t>
  </si>
  <si>
    <t>NT: Đương vinh hóa nhục, đương tiến hóa thoái. Hoặc đau mắt, đau chân. Hoặc người nhà bị tật bệnh.</t>
  </si>
  <si>
    <t>GS: Được thừa nghiệp kinh doanh lớn của cha mẹ, nhưng phải sửa sang lại cả.</t>
  </si>
  <si>
    <t>52020b</t>
  </si>
  <si>
    <t>62020b</t>
  </si>
  <si>
    <t>72020b</t>
  </si>
  <si>
    <t>82020b</t>
  </si>
  <si>
    <t>92020b</t>
  </si>
  <si>
    <t>102020b</t>
  </si>
  <si>
    <t>112020b</t>
  </si>
  <si>
    <t>122020b</t>
  </si>
  <si>
    <t>12021b</t>
  </si>
  <si>
    <t>22021b</t>
  </si>
  <si>
    <t>32021b</t>
  </si>
  <si>
    <t>42021b</t>
  </si>
  <si>
    <t>52021b</t>
  </si>
  <si>
    <t>62021b</t>
  </si>
  <si>
    <t>72021b</t>
  </si>
  <si>
    <t>82021b</t>
  </si>
  <si>
    <t>92021b</t>
  </si>
  <si>
    <t>102021b</t>
  </si>
  <si>
    <t>112021b</t>
  </si>
  <si>
    <t>Thời khốn ở nơi (ngôi vị) có rượu thức ăn, lại có dây đỏ buộc ấn (ông lớn) đương đi lại với mình (hào 5 ứng với hào 2), nhưng dùng việc tế lễ thì lợi, nếu tiến hành việc gì thì xấu, tuy không lỗi.</t>
  </si>
  <si>
    <t>Tiết là Chỉ (hữu hạn nhi chỉ, đến một thời gian nào thì ngừng. Có chừng mực, có tiết độ, tiết tháo, tiết chế).</t>
  </si>
  <si>
    <t>Có Mộc quân (?) đâu đến,</t>
  </si>
  <si>
    <t>Đỡ đần cả mùa thu.</t>
  </si>
  <si>
    <t>NT: Kính trên, thờ Tổ được phúc. Nữ mệnh: Làm việc ủy lạo tốt.</t>
  </si>
  <si>
    <t xml:space="preserve">Đầu cành thước đã báo tin,      </t>
  </si>
  <si>
    <t xml:space="preserve">Ngựa đi Đông Bắc đó, </t>
  </si>
  <si>
    <t>Cá về sông Tứ nhảy sang hóa rồng.</t>
  </si>
  <si>
    <t>Trần ai muốn dứt mọi bề phân minh.</t>
  </si>
  <si>
    <t>Sao còn khốn khổ như tình hồ nghi.</t>
  </si>
  <si>
    <t>Thuyền câu vớ được mấy ngao đem về.</t>
  </si>
  <si>
    <t>Sau nên sự nghiệp, phong trần sạch không.</t>
  </si>
  <si>
    <t>Đất bằng phòng lúc phong ba bất kỳ.</t>
  </si>
  <si>
    <t>Lo toan trong cuộc, ba đào chưa yên.</t>
  </si>
  <si>
    <t>Hồn nhiên tin báo cát tường đến nơi.</t>
  </si>
  <si>
    <t>Cánh buồm Tây Bắc chuyển đi nhẹ nhàng.</t>
  </si>
  <si>
    <t>Thủ thường thân mới an.</t>
  </si>
  <si>
    <t>Hoa nở buổi đông hàn.</t>
  </si>
  <si>
    <t>Buồm không có gió, mặt hồ vắng tanh.</t>
  </si>
  <si>
    <t xml:space="preserve">Vị thường mà sẵn lộc,     </t>
  </si>
  <si>
    <t xml:space="preserve">Bỏ một người, tới một người          </t>
  </si>
  <si>
    <t xml:space="preserve">Đường đi bỏ dở thêm lo,        </t>
  </si>
  <si>
    <t xml:space="preserve">      Vinh hoa đừng cậy uy quyền,</t>
  </si>
  <si>
    <t>62016b</t>
  </si>
  <si>
    <t>72016b</t>
  </si>
  <si>
    <t>82016b</t>
  </si>
  <si>
    <t>92016b</t>
  </si>
  <si>
    <t>102016b</t>
  </si>
  <si>
    <t>112016b</t>
  </si>
  <si>
    <t>122016b</t>
  </si>
  <si>
    <t>12017b</t>
  </si>
  <si>
    <t>22017b</t>
  </si>
  <si>
    <t xml:space="preserve">Tĩnh lâu nay động hợp thời,          </t>
  </si>
  <si>
    <t xml:space="preserve">Một bò hai đuôi,    </t>
  </si>
  <si>
    <t>Một trăng mới rơi.</t>
  </si>
  <si>
    <t>Đường dài khúc khuỷu,</t>
  </si>
  <si>
    <t xml:space="preserve">Lo sợ qua, một ngựa bay              </t>
  </si>
  <si>
    <t xml:space="preserve">Giữ chí, còn mưu chỉ họa tai,    </t>
  </si>
  <si>
    <t xml:space="preserve">Ân trạch trời cho giáng, </t>
  </si>
  <si>
    <t xml:space="preserve">Trị gia phòng trước thì yên,          </t>
  </si>
  <si>
    <t xml:space="preserve">Việc nhà, trung thuận ắt thành            </t>
  </si>
  <si>
    <t>62047</t>
  </si>
  <si>
    <t>71911</t>
  </si>
  <si>
    <t>81911</t>
  </si>
  <si>
    <t>91911</t>
  </si>
  <si>
    <t>101911</t>
  </si>
  <si>
    <t>111911</t>
  </si>
  <si>
    <t>121911</t>
  </si>
  <si>
    <t>11912</t>
  </si>
  <si>
    <t>21912</t>
  </si>
  <si>
    <t>31912</t>
  </si>
  <si>
    <t>41912</t>
  </si>
  <si>
    <t>51912</t>
  </si>
  <si>
    <t>61912</t>
  </si>
  <si>
    <t xml:space="preserve">Lòng tin giữ đạo trung.    </t>
  </si>
  <si>
    <t>Đi đêm hẳn tới đường cùng xấu đây.</t>
  </si>
  <si>
    <t>Phải phòng từ nhỏ chớ lo làm sằng.</t>
  </si>
  <si>
    <t>21957b</t>
  </si>
  <si>
    <t>31957b</t>
  </si>
  <si>
    <t>41957b</t>
  </si>
  <si>
    <t>51957b</t>
  </si>
  <si>
    <t>61957b</t>
  </si>
  <si>
    <t>71957b</t>
  </si>
  <si>
    <t>81957b</t>
  </si>
  <si>
    <t>91957b</t>
  </si>
  <si>
    <t>101957b</t>
  </si>
  <si>
    <t>111957b</t>
  </si>
  <si>
    <t>121957b</t>
  </si>
  <si>
    <t>11958b</t>
  </si>
  <si>
    <t>21958b</t>
  </si>
  <si>
    <t>31958b</t>
  </si>
  <si>
    <t>41958b</t>
  </si>
  <si>
    <t>51958b</t>
  </si>
  <si>
    <t>61958b</t>
  </si>
  <si>
    <t>71958b</t>
  </si>
  <si>
    <t>81958b</t>
  </si>
  <si>
    <t>122040</t>
  </si>
  <si>
    <t>12041</t>
  </si>
  <si>
    <t>22041</t>
  </si>
  <si>
    <t>32041</t>
  </si>
  <si>
    <t>42041</t>
  </si>
  <si>
    <t>52041</t>
  </si>
  <si>
    <t xml:space="preserve">Quạnh hiu nên giữ lấy mình,      </t>
  </si>
  <si>
    <t>Bên trời yên phận chẳng buồn lòng.</t>
  </si>
  <si>
    <t xml:space="preserve">Tương Giang mỏi cánh con hồng nhạn, </t>
  </si>
  <si>
    <t>Tin tức tri âm gởi một phong.</t>
  </si>
  <si>
    <t xml:space="preserve">Hòa đồng, trắc trở chưa xong        </t>
  </si>
  <si>
    <t>Chim hồng tiến dần tới nơi đất bằng, chồng đi xa chẳng trở về (hào 3 dương cương chỉ thích tiến đi), vợ có thai chẳng nuôi được (hào 4 âm cẩu hợp với hào 3), xấu, chỉ lợi về việc phòng giặc (những điều gian tà).</t>
  </si>
  <si>
    <t>Chim hồng tiến dần tới nơi gò cao, vợ ba năm chẳng có thai (hào 2 không được kết quả với hào 5, vì bị hào 3 hào 4 ngăn cản); nhưng sau không ai hơn nổi, nên tốt.</t>
  </si>
  <si>
    <t>NT: Dời tổ đi xa lập nghiệp, cần lợi hơn danh, có con với vợ nhỏ, hoặc sinh con. Đương lo hóa mừng, tiện thành quý.</t>
  </si>
  <si>
    <t>21911</t>
  </si>
  <si>
    <t>31911</t>
  </si>
  <si>
    <t>41911</t>
  </si>
  <si>
    <t>51911</t>
  </si>
  <si>
    <t>61983</t>
  </si>
  <si>
    <t>71983</t>
  </si>
  <si>
    <t>81983</t>
  </si>
  <si>
    <t>91983</t>
  </si>
  <si>
    <t>101983</t>
  </si>
  <si>
    <t>111983</t>
  </si>
  <si>
    <t>121983</t>
  </si>
  <si>
    <t>11984</t>
  </si>
  <si>
    <t>21984</t>
  </si>
  <si>
    <t>NT: Tuy gặp nguy, nhưng cẩn thận thoát được. Nữ mệnh hình khắc, bại gia, dâm dật.</t>
  </si>
  <si>
    <t>Gần gũi công nhiên. Phép nhà vua (khi đi săn) chỉ vây ba mặt (để hở một mặt) cho loài chim ở mặt trước bay mất (con nào đi thì thôi, con nào vào thì bắt, để tự do). Người trong ấp chẳng bị nghiêm giới gì (cũng tự do). Thế là tốt.</t>
  </si>
  <si>
    <t>Tỷ</t>
  </si>
  <si>
    <t>Phong</t>
  </si>
  <si>
    <t>Đ.Tráng</t>
  </si>
  <si>
    <t>Đ.Tráng1</t>
  </si>
  <si>
    <t>Càn</t>
  </si>
  <si>
    <t>Quải1</t>
  </si>
  <si>
    <t>Đ.Hữu</t>
  </si>
  <si>
    <t>Đ.Hữu1</t>
  </si>
  <si>
    <t>T.Súc</t>
  </si>
  <si>
    <t>T.Súc1</t>
  </si>
  <si>
    <t>Nhu</t>
  </si>
  <si>
    <t>Nhu1</t>
  </si>
  <si>
    <t>Đ.Súc</t>
  </si>
  <si>
    <t>Đ.Súc1</t>
  </si>
  <si>
    <t>Thái</t>
  </si>
  <si>
    <t>Thái1</t>
  </si>
  <si>
    <t>Lâm</t>
  </si>
  <si>
    <t>Lâm1</t>
  </si>
  <si>
    <t>Tổn1</t>
  </si>
  <si>
    <t>Tiết</t>
  </si>
  <si>
    <t>Tiết1</t>
  </si>
  <si>
    <t>T.Phu</t>
  </si>
  <si>
    <t>21915b</t>
  </si>
  <si>
    <t>Có những đức tính thẳng, vuông lớn (Trung chính, tày tận, độ lượng) chẳng cần phải học tập kiểu cách gì mà không việc gì là không làm nên ích lợi, hợp Đạo lý (hào tốt lắm).</t>
  </si>
  <si>
    <t>Ngựa phi, người giúp, thế tràn như chơi.</t>
  </si>
  <si>
    <t>Việc làm không thẹn, hết mừng lại vui.</t>
  </si>
  <si>
    <t>Sau vườn xuân tốt, trước đường mưa tươi.</t>
  </si>
  <si>
    <t>Lòng lo ngay ngáy, lâu ngày hết nguy.</t>
  </si>
  <si>
    <t>QC: Được phục chức.</t>
  </si>
  <si>
    <t>21913b</t>
  </si>
  <si>
    <t>31913b</t>
  </si>
  <si>
    <t>41913b</t>
  </si>
  <si>
    <t>51913b</t>
  </si>
  <si>
    <t>61913b</t>
  </si>
  <si>
    <t>71913b</t>
  </si>
  <si>
    <t>81913b</t>
  </si>
  <si>
    <t>91913b</t>
  </si>
  <si>
    <t>21926</t>
  </si>
  <si>
    <t>31926</t>
  </si>
  <si>
    <t>41926</t>
  </si>
  <si>
    <t>51926</t>
  </si>
  <si>
    <t>Bước lên cùm, đứt chân, không lỗi.</t>
  </si>
  <si>
    <t>Cắn miếng thịt xương, ngộ độc, hối thẹn một chút, nhưng không lỗi gì.</t>
  </si>
  <si>
    <t>T.Quá</t>
  </si>
  <si>
    <t>T.Quá1</t>
  </si>
  <si>
    <t>Tiệm</t>
  </si>
  <si>
    <t>Tiệm1</t>
  </si>
  <si>
    <t>Kiển</t>
  </si>
  <si>
    <t>Kiển1</t>
  </si>
  <si>
    <t>Cấn1</t>
  </si>
  <si>
    <t>Khiêm1</t>
  </si>
  <si>
    <t>Bác1</t>
  </si>
  <si>
    <t>Tỷ1</t>
  </si>
  <si>
    <t>Quan1</t>
  </si>
  <si>
    <t>Dự</t>
  </si>
  <si>
    <t>Dự1</t>
  </si>
  <si>
    <t>Tấn</t>
  </si>
  <si>
    <t>Tấn1</t>
  </si>
  <si>
    <t>Tụy</t>
  </si>
  <si>
    <t xml:space="preserve">Đường thế lợi cách muôn tầm,     </t>
  </si>
  <si>
    <t>Nếu là phận gái ắt là tiết trinh,</t>
  </si>
  <si>
    <t xml:space="preserve">Đong đưa câu chuyện đàn bà,   </t>
  </si>
  <si>
    <t xml:space="preserve">Máy động nhiều không ổn,  </t>
  </si>
  <si>
    <t xml:space="preserve">Thời đây, cứ việc tiến hành      </t>
  </si>
  <si>
    <t xml:space="preserve">Một được một mất,    </t>
  </si>
  <si>
    <t>Hôn mê ở thời phục là xấu: Có vạ ngoài lỗi trong, dùng hành quân sau thua to, đến nỗi quốc quân bị xấu, tới mười năm chẳng tiến lên được nữa.</t>
  </si>
  <si>
    <t>111973</t>
  </si>
  <si>
    <t>121973</t>
  </si>
  <si>
    <t>11974</t>
  </si>
  <si>
    <t>21974</t>
  </si>
  <si>
    <t>31974</t>
  </si>
  <si>
    <t>41974</t>
  </si>
  <si>
    <t>51974</t>
  </si>
  <si>
    <t>NT: Được toại nguyện. Lấy vợ được của hoặc làm quý khách của nước.</t>
  </si>
  <si>
    <t>Mông đít không da, nên đi chập choạng, nguy, nhưng không lỗi to.</t>
  </si>
  <si>
    <t>62006</t>
  </si>
  <si>
    <t>72006</t>
  </si>
  <si>
    <t>82006</t>
  </si>
  <si>
    <t>92006</t>
  </si>
  <si>
    <t>102006</t>
  </si>
  <si>
    <t>112006</t>
  </si>
  <si>
    <t>122006</t>
  </si>
  <si>
    <t>12007</t>
  </si>
  <si>
    <t>22007</t>
  </si>
  <si>
    <t>92015</t>
  </si>
  <si>
    <t>102015</t>
  </si>
  <si>
    <t>Đợi ở nơi bãi cát. Có chút điều tiếng sau mới tốt. (Bãi cát là nơi gần quẻ Khảm hiểm trở).</t>
  </si>
  <si>
    <t>Đợi nơi cơm rượu (cứ an vui thư thái) giữ chính thì tốt.</t>
  </si>
  <si>
    <t>Chẳng kéo dài mãi việc ấy (việc kiện), có chút điều tiếng (chê cười), sau tốt.</t>
  </si>
  <si>
    <t>Trong đại vận:</t>
  </si>
  <si>
    <t>Đại Tráng là Chí (tức Ý chí là mạnh). Lại sanh tháng 2 là cách công danh phú quý. Xuân hạ thì được phúc dày. Thu đông phúc mỏng, tháng 7, 8 hãy còn được mùa.</t>
  </si>
  <si>
    <t>41944</t>
  </si>
  <si>
    <t>51944</t>
  </si>
  <si>
    <t>61944</t>
  </si>
  <si>
    <t>71944</t>
  </si>
  <si>
    <t>81944</t>
  </si>
  <si>
    <t>91944</t>
  </si>
  <si>
    <t>101944</t>
  </si>
  <si>
    <t>111944</t>
  </si>
  <si>
    <t>121944</t>
  </si>
  <si>
    <t>11945</t>
  </si>
  <si>
    <t>21945</t>
  </si>
  <si>
    <t>31945</t>
  </si>
  <si>
    <t>41945</t>
  </si>
  <si>
    <t>51945</t>
  </si>
  <si>
    <t>61945</t>
  </si>
  <si>
    <t>71945</t>
  </si>
  <si>
    <t>81945</t>
  </si>
  <si>
    <t>91945</t>
  </si>
  <si>
    <t>101945</t>
  </si>
  <si>
    <t>111945</t>
  </si>
  <si>
    <t>MHC: Quên mình để tiến đức tu nghiệp và thay cũ đổi mới, tuổi trẻ có danh đến muộn mới hưởng phúc lộc.</t>
  </si>
  <si>
    <t>Ý HÀO: Tùy người tùy việc để thay đổi, chỉ cần giữ công bằng ngay thẳng thì không lỗi.</t>
  </si>
  <si>
    <t>Ý HÀO: Sửa trị tổ nghiệp.</t>
  </si>
  <si>
    <t>Ý HÀO: Có đường lối hay đi đến với người nhỏ mọn.</t>
  </si>
  <si>
    <t>Ý HÀO: Không có đức, không đáng gần vị nguyên thủ.</t>
  </si>
  <si>
    <t>Ý HÀO: Ác nhỏ, biết trừng trị ngay thì đỡ lỗi.</t>
  </si>
  <si>
    <t>Ý HÀO: An phận dưới.</t>
  </si>
  <si>
    <t>Ý HÀO: Kẻ tiểu nhân làm hại đạo chính.</t>
  </si>
  <si>
    <t>Ý HÀO: Lòng ở việc thiện, tiến trên đường đạo.</t>
  </si>
  <si>
    <t>QC: Ăn lộc ấp làng.</t>
  </si>
  <si>
    <t>QC: Bị sài sể.</t>
  </si>
  <si>
    <t>QC: Vị cao quyền trọng.</t>
  </si>
  <si>
    <t>QC: Bị dèm pha oán trách.</t>
  </si>
  <si>
    <t>QC: Được vào nội các, nội hàn.</t>
  </si>
  <si>
    <t>QC: Được thăng quyền, binh súy lập công.</t>
  </si>
  <si>
    <t>QC: Được dân mến.</t>
  </si>
  <si>
    <t>QC: Vì tham nhũng bị phạt, đổi.</t>
  </si>
  <si>
    <t>QC: Nên dũng thoái là tốt.</t>
  </si>
  <si>
    <t>QC: Ngồi cao, đứng đầu, phòng bị chê trách.</t>
  </si>
  <si>
    <t>QC: Nên cáo hưu.</t>
  </si>
  <si>
    <t>QC: Phòng hình phạt, bị chăng trói.</t>
  </si>
  <si>
    <t>QC: Nên thoái nhàn, hoặc tham gia văn hóa có tiếng.</t>
  </si>
  <si>
    <t>QC: Vị cao lắm rồi, thoái nhàn là hay.</t>
  </si>
  <si>
    <t>QC: Đổi chức vụ.</t>
  </si>
  <si>
    <t>QC: Được nghi thức đại bái.</t>
  </si>
  <si>
    <t>QC: Chỉ hư vị.</t>
  </si>
  <si>
    <t>QC: Vị cao nhưng bị tai ách.</t>
  </si>
  <si>
    <t>QC: Khó giữ được địa vị.</t>
  </si>
  <si>
    <t>QC: Vai trò hướng dẫn ở cấp cao.</t>
  </si>
  <si>
    <t>QC: Ở Trung Ương được tuyển đi ra ngoài, làm vũ tướng thì ra trị nạn.</t>
  </si>
  <si>
    <t>QC: Cố chấp quá nên hối.</t>
  </si>
  <si>
    <t>QC: Yết kiếu Nguyên thủ.</t>
  </si>
  <si>
    <t>QC: Quá cương nên gãy.</t>
  </si>
  <si>
    <t>QC: Được tiến cử, ở lâu được đổi.</t>
  </si>
  <si>
    <t>QC: Có triệu chứng thấy huy hiệu Tướng Súy.</t>
  </si>
  <si>
    <t>QC: Có đồng liêu giúp, lộc vị tiến.</t>
  </si>
  <si>
    <t>QC: Có công tu bổ thành trì, cơ sở.</t>
  </si>
  <si>
    <t>QC: Giữ yên chức vị thì không ai đụng chạm đến.</t>
  </si>
  <si>
    <t>QC: Được hiểu biết.</t>
  </si>
  <si>
    <t>QC: Chuyên quyền.</t>
  </si>
  <si>
    <t>QC: Hư vị, ngồi suông.</t>
  </si>
  <si>
    <t>QC: Được đồng liêu hiệp lực.</t>
  </si>
  <si>
    <t>QC: Hoặc ở Hàn Lâm Viện hoặc ở chức vị thanh cao.</t>
  </si>
  <si>
    <t>QC: Phòng bị dèm pha.</t>
  </si>
  <si>
    <t>QC: Thường đứng đầu, giữ trọng trách.</t>
  </si>
  <si>
    <t>QC: Giữ việc nghi lễ.</t>
  </si>
  <si>
    <t>Ý HÀO: Muốn quyết tính kẻ tiểu nhân, phải khôn khéo, đừng cương quá.</t>
  </si>
  <si>
    <t>MHC: Phận nhỏ mà chí cao, thành danh lúc còn trẻ, già mới hưởng lộc.</t>
  </si>
  <si>
    <t>Ý HÀO: Người có đức vị lớn thì mới xứng đáng. Tư cách nhỏ mọn ngồi hào này chỉ thêm vất vả.</t>
  </si>
  <si>
    <t>Ý HÀO: Khen đức tính của người, vừa trung thực vừa thuận với thời thế, nên hưởng đại thiên đại cát.</t>
  </si>
  <si>
    <t>Ý HÀO: Nên xét kỹ đường lui tới, chẳng nên khinh động.</t>
  </si>
  <si>
    <t>Ý HÀO: Nên tự thủ</t>
  </si>
  <si>
    <t>Ý HÀO: Nên ra sức lo lắng siêng năng, bổ chỗ thiếu, sửa chỗ lầm.</t>
  </si>
  <si>
    <t>Ý HÀO: Người có đức hàm súc điều hay vẻ đẹp.</t>
  </si>
  <si>
    <t>MHC: Nên ẩn cư nơi sơn lâm, hoặc làm tăng đạo.</t>
  </si>
  <si>
    <t>MHC: Văn vũ toàn tài, mở vận hội thái bình.</t>
  </si>
  <si>
    <t>Ý HÀO: Phải nghiêm chỉnh mà tuyệt giao thì mới đúng đạo và hợp chí.</t>
  </si>
  <si>
    <t>MHC: Lòng thành cứu được hiểm, dẹp được khó, nên đức nghiệp thịnh.</t>
  </si>
  <si>
    <t>Ý HÀO: Trông vào người mà vui, hối kịp thì khỏi ăn năn.</t>
  </si>
  <si>
    <t>Ý HÀO: Đã tùy được điều chính và nhân có thế, lợi được.</t>
  </si>
  <si>
    <t>Ý HÀO: Sửa trị một cách quá cứng rắn nên không tránh được có ăn năn.</t>
  </si>
  <si>
    <t>Ý HÀO: Ngọt ngào tới mà có điều răn giới đấy.</t>
  </si>
  <si>
    <t>Ý HÀO: Xem xét để tiến thoái cho chính đáng,</t>
  </si>
  <si>
    <t>Ý HÀO: Đức không đủ để trị người, nên có sự bất phục.</t>
  </si>
  <si>
    <t>Ý HÀO: Nếp sống an nhàn.</t>
  </si>
  <si>
    <t>Ý HÀO: Cải lỗi nhiều lần không hối thẹn.</t>
  </si>
  <si>
    <t>Ý HÀO: Vốn không làm nên vạ mà vạ tự nhiên đến.</t>
  </si>
  <si>
    <t>Ý HÀO: Cùng lên, cùng có cách ổn đáng.</t>
  </si>
  <si>
    <t>Ý HÀO: Cách nuôi trái đạo.</t>
  </si>
  <si>
    <t>Ý HÀO: Quá cương mà chẳng ích gì cho việc cả.</t>
  </si>
  <si>
    <t>Ý HÀO: Qua lại đều hiểm không thoát được hiểm.</t>
  </si>
  <si>
    <t>Ý HÀO: Vận đã suy, không cứu vãn được.</t>
  </si>
  <si>
    <t>Ý HÀO: Cảm không chính đáng, không khỏi hối thẹn.</t>
  </si>
  <si>
    <t>Ý HÀO: Không giữ đức hằng, làm điều bất thiện.</t>
  </si>
  <si>
    <t>QC: Phòng ruồng đuổi, hạch xách.</t>
  </si>
  <si>
    <t>Ý HÀO: Đáng ẩn trách mà còn hệ lụy không tránh được.</t>
  </si>
  <si>
    <t>Ý HÀO: Cậy sức đương hăng nên khó thoát nguy.</t>
  </si>
  <si>
    <t>Ý HÀO: Có chí cùng đi lên, không ai ức chế nổi.</t>
  </si>
  <si>
    <t>Ý HÀO: Trên dưới đều có tổn thương, nên ánh sáng chiếu vào bị trở ngại, nếu không tranh tụng thì cũng tật ách.</t>
  </si>
  <si>
    <t>Ý HÀO: Răn giữ nghiêm gia đạo, mà vẫn khoan thai.</t>
  </si>
  <si>
    <t>Ý HÀO: Trước giận nhau, sau mới hợp.</t>
  </si>
  <si>
    <t>Ý HÀO: Nên tiến, nghĩa nên trở lại.</t>
  </si>
  <si>
    <t>Ý HÀO: Vô đức mà ngồi địa vị, tai họa khó tránh.</t>
  </si>
  <si>
    <t>Ý HÀO: Chơi với bạn nhiều, phải chọn bạn.</t>
  </si>
  <si>
    <t>Ý HÀO: Hết đạo trung với nước.</t>
  </si>
  <si>
    <t>Ý HÀO: Người có đức lớn, gặp thời hiển đạt, làm cho thiên hạ tin tưởng.</t>
  </si>
  <si>
    <t>Ý HÀO: Đức lớn đến tuyệt mức.</t>
  </si>
  <si>
    <t>Ý HÀO: Đức tính kín đáo, nên thủ thường.</t>
  </si>
  <si>
    <t>Ý HÀO: Khiến người biết phản tỉnh mà làm nhanh.</t>
  </si>
  <si>
    <t>Ý HÀO: Làm ích cho dưới nên trên thì người lãnh đạo, dưới thì dân chúng đều tin theo.</t>
  </si>
  <si>
    <t>Ý HÀO: Chưa khéo, nên bảo cho biết cái thuật quyết tính bọn tiểu nhân.</t>
  </si>
  <si>
    <t>Ý HÀO: Mất dân nên xấu.</t>
  </si>
  <si>
    <t>Ý HÀO: Trên dưới ỷ thác, nên phải hết lòng.</t>
  </si>
  <si>
    <t>Ý HÀO: Khí âm mới sinh, nên dè dặt bước tiến.</t>
  </si>
  <si>
    <t>Ý HÀO: Tiến mà được điều chánh đáng, thế là tốt.</t>
  </si>
  <si>
    <t>Ý HÀO: Tiến lên thì chẳng biết đi đâu, lo sợ vô cùng.</t>
  </si>
  <si>
    <t>Ý HÀO: Đối với người tự dưng đến với mình mà càng kính trọng thì có thể thoát hiểm.</t>
  </si>
  <si>
    <t>Ý HÀO: Nên chấm dứt kiện đi, vì trước thắng, sau bại.</t>
  </si>
  <si>
    <t>Ý HÀO: Lập công danh đến tột mức, mà không lợi dụng vinh thăng.</t>
  </si>
  <si>
    <t>Ý HÀO: Kém đức thì sao cảm phục được thiên hạ.</t>
  </si>
  <si>
    <t>Ý HÀO: Tôn sùng đức mạnh của phe âm là hại đấy.</t>
  </si>
  <si>
    <t>Ý HÀO: Muốn cố giữ trị quyền sau khi Bĩ đã đến, rút cục chỉ thêm hổ thẹn.</t>
  </si>
  <si>
    <t>Ý HÀO: Bĩ đổ, hưởng phúc.</t>
  </si>
  <si>
    <t>Ý HÀO: Đứng riêng, tự thủ, cũng có điều sở đắc.</t>
  </si>
  <si>
    <t>Ông tác dụng bắn con chim chuẩn ở trên ngọn tường cao, trúng được nó, không gì là chẳng lợi.</t>
  </si>
  <si>
    <t>101964b</t>
  </si>
  <si>
    <t>111964b</t>
  </si>
  <si>
    <t>121964b</t>
  </si>
  <si>
    <t>11965b</t>
  </si>
  <si>
    <t>21965b</t>
  </si>
  <si>
    <t>31965b</t>
  </si>
  <si>
    <t>41965b</t>
  </si>
  <si>
    <t>51965b</t>
  </si>
  <si>
    <t>61965b</t>
  </si>
  <si>
    <t>71965b</t>
  </si>
  <si>
    <t>81965b</t>
  </si>
  <si>
    <t>91965b</t>
  </si>
  <si>
    <t>101965b</t>
  </si>
  <si>
    <t>111965b</t>
  </si>
  <si>
    <t>121965b</t>
  </si>
  <si>
    <t>11966b</t>
  </si>
  <si>
    <t>21966b</t>
  </si>
  <si>
    <t>31966b</t>
  </si>
  <si>
    <t>41966b</t>
  </si>
  <si>
    <t>61926</t>
  </si>
  <si>
    <t>71926</t>
  </si>
  <si>
    <t>81926</t>
  </si>
  <si>
    <t>91926</t>
  </si>
  <si>
    <t>101926</t>
  </si>
  <si>
    <t>111926</t>
  </si>
  <si>
    <t>121926</t>
  </si>
  <si>
    <t>11927</t>
  </si>
  <si>
    <t>21927</t>
  </si>
  <si>
    <t>31927</t>
  </si>
  <si>
    <t>41927</t>
  </si>
  <si>
    <t>51927</t>
  </si>
  <si>
    <t>61927</t>
  </si>
  <si>
    <t>71927</t>
  </si>
  <si>
    <t>81927</t>
  </si>
  <si>
    <t>91927</t>
  </si>
  <si>
    <t xml:space="preserve">Cầu lộc cầu tài việc cũng thông.     </t>
  </si>
  <si>
    <t xml:space="preserve">Vốn người đôn hậu im hơi,              </t>
  </si>
  <si>
    <t xml:space="preserve">Thân ngồi địa vị cao sang,               </t>
  </si>
  <si>
    <t xml:space="preserve">Tổn thương lo xảy trong nhà,      </t>
  </si>
  <si>
    <t xml:space="preserve">Thưởng công, nước dựng dân an     </t>
  </si>
  <si>
    <t xml:space="preserve">Mây mù trắng ám đầu cành lá rơi. </t>
  </si>
  <si>
    <t>Cẩn thận đề phòng,</t>
  </si>
  <si>
    <t xml:space="preserve">Cửa đóng then cài,  </t>
  </si>
  <si>
    <t xml:space="preserve">Giao du nên lựa chọn,       </t>
  </si>
  <si>
    <r>
      <t>Gặp người tên chữ Thảo đầu (</t>
    </r>
    <r>
      <rPr>
        <sz val="10"/>
        <color indexed="17"/>
        <rFont val="MS Song"/>
        <family val="3"/>
        <charset val="134"/>
      </rPr>
      <t>艹</t>
    </r>
    <r>
      <rPr>
        <sz val="10"/>
        <color indexed="17"/>
        <rFont val="Times New Roman"/>
        <family val="1"/>
      </rPr>
      <t xml:space="preserve">)     </t>
    </r>
  </si>
  <si>
    <t>Hầu, Long (Thân, Thìn) mà đến, đường mây nhẹ nhàng.</t>
  </si>
  <si>
    <t>111987</t>
  </si>
  <si>
    <t>121987</t>
  </si>
  <si>
    <t>GS: Có triệu chứng bay bổng.</t>
  </si>
  <si>
    <t>GS: Có triệu chứng bay cao.</t>
  </si>
  <si>
    <t>GS: Cũng tiến dẫn, lãnh đạo, nhưng chưa rõ rệt.</t>
  </si>
  <si>
    <t>GS: Dời nơi ở ẩn.</t>
  </si>
  <si>
    <t>GS: Quá nghi ngại, nên than van.</t>
  </si>
  <si>
    <t>GS: Danh lên cao.</t>
  </si>
  <si>
    <t>GS: Chìm đắm khó tiến.</t>
  </si>
  <si>
    <t>GS: Tiến thủ, được lựa chọn đứng đầu.</t>
  </si>
  <si>
    <t>GS: Yến tiệc luôn luôn.</t>
  </si>
  <si>
    <t>GS: Đỗ cao, vinh hiển.</t>
  </si>
  <si>
    <t>GS: Đỗ thứ, thành danh.</t>
  </si>
  <si>
    <t>MHC: Tài đức, cứu nguy giúp nước ích nhà, làm tiêu chuẩn cho đời sau.</t>
  </si>
  <si>
    <t>Ý HÀO: Nên quá khiêm cung, đừng kiêu ngạo có hại.</t>
  </si>
  <si>
    <t>Ý HÀO: Chức lớn dự phòng việc nước, cho hết đạo trị dân.</t>
  </si>
  <si>
    <t>Ý HÀO: Cố gắng theo chính đạo, thành công gian nan.</t>
  </si>
  <si>
    <t>MHC: Tài kinh tế, đức bao dung, công danh phú quý lên to.</t>
  </si>
  <si>
    <t>MKH: Cũng đổi lỗi theo thiện, được người hiền đề cử, mưu toại chí hành.</t>
  </si>
  <si>
    <t>MKH: Thì phiêu lưu mạo hiểm.</t>
  </si>
  <si>
    <t>MKH: Có thói thâm hiểm, khua môi múa lưỡi, nhiều hư ít thực, bôn tẩu bụi đời, lao lực tâm thân.</t>
  </si>
  <si>
    <t>MKH: Thì quen thói ngang ngạnh, thân đi vào hiểm trở, chẳng nghe lời thẳng, tin miệng nói sằng, nên bị lao đao ở nơi chông gai rậm rạp.</t>
  </si>
  <si>
    <t>Ý HÀO: Lữ khách ở nơi cao quá nên mắc họa.</t>
  </si>
  <si>
    <t>Quyết tâm cứu giúp ngày mai việc thành.</t>
  </si>
  <si>
    <t>MHC: Tài đức xuất quần, làm được cuộc cách mệnh lớn, lập quy mô cho trăm đời sau noi theo.</t>
  </si>
  <si>
    <t>MHC: Đức trọng vị tôn, hạ mình để mời người hiền ra cộng tác, hợp ý trời, lòng dân.</t>
  </si>
  <si>
    <t>MHC: Tài không đủ mà đức có thừa, có thể giữ nghiệp cũ, và tạo nên thành tích giúp nước.</t>
  </si>
  <si>
    <t>Ý HÀO: Cố thủ lấy chí hướng.</t>
  </si>
  <si>
    <t>Ý HÀO: Trở lại đường chính.</t>
  </si>
  <si>
    <t>Ý HÀO: Nhờ có đức, tuy buồn nhưng sau được phúc.</t>
  </si>
  <si>
    <t>Ý HÀO: Muốn khởi binh phạt kẻ tàn bạo thì phải xem có thuận lòng trời không.</t>
  </si>
  <si>
    <t>Ý HÀO: Hết đạo đàn bà, đẹp nhà đẹp cửa.</t>
  </si>
  <si>
    <t>Ý HÀO: Hết lòng vì chủ.</t>
  </si>
  <si>
    <t>Ý HÀO: Hết lòng vì nước.</t>
  </si>
  <si>
    <t>Ý HÀO: Trừ khử gian tà.</t>
  </si>
  <si>
    <t>Ý HÀO: Giữ chính là có hiệu lực to.</t>
  </si>
  <si>
    <t>Ý HÀO: Trên dưới đều hưởng ích lợi cả.</t>
  </si>
  <si>
    <t>Ý HÀO: Có phòng bị cả rồi thì không lo nữa.</t>
  </si>
  <si>
    <t>MKH: An thường hòa khí, tuy không lộc vị, cũng ruộng vườn thênh thang vui thú.</t>
  </si>
  <si>
    <t>MKH: Cũng khởi gia dễ dàng, được người giúp.</t>
  </si>
  <si>
    <t>MKH: Cẩn thủ, không cạnh tranh, không tai hại.</t>
  </si>
  <si>
    <t>MKH: Động tĩnh vô thường, xu hướng bất nhất, mưu vọng không đúng, thân thế bất an.</t>
  </si>
  <si>
    <t>MKH: Kiêu thế, ngạo vật, gây thù oán, nhà phá thân nguy.</t>
  </si>
  <si>
    <t>MKH: Tâm minh chí xảo, nhưng tiến thoái vô định, bỏ lỡ cơ hội, chỉ hư danh.</t>
  </si>
  <si>
    <t xml:space="preserve">Bền dưới nhà ở mới yên,       </t>
  </si>
  <si>
    <t>Đề phòng bất trắc lo phiền xảy ra.</t>
  </si>
  <si>
    <t xml:space="preserve">Một đời danh lợi thực hư,        </t>
  </si>
  <si>
    <t xml:space="preserve">Mê rồi trở lại được sao,      </t>
  </si>
  <si>
    <t>Tai ương tự đến, ai nào cứu cho.</t>
  </si>
  <si>
    <t xml:space="preserve">Năm hồ yên lặng trăng cao,        </t>
  </si>
  <si>
    <t xml:space="preserve">Tung câu rồi lại giật về,          </t>
  </si>
  <si>
    <t>Gặp chuột hẳn an lành.</t>
  </si>
  <si>
    <t xml:space="preserve">Vui buồn va chạm nao nao,       </t>
  </si>
  <si>
    <t xml:space="preserve">Bệnh tự khỏi, chẳng lo gì               </t>
  </si>
  <si>
    <t>Quế trăng soi bóng nước,</t>
  </si>
  <si>
    <t>Ý HÀO: Cải cách tốt.</t>
  </si>
  <si>
    <t>Ý HÀO: Đã giàu có, không nên quá ham, chịu cực nhọc thì tránh được tai họa.</t>
  </si>
  <si>
    <t>Ý HÀO: Nhún nhường mới đạt được chí.</t>
  </si>
  <si>
    <t>Ý HÀO: Được dự, khoe ầm lên, nên lại kém đi.</t>
  </si>
  <si>
    <t>QC: Gặp cấp trên sáng suốt, dễ vượt lên.</t>
  </si>
  <si>
    <t>MKH: Gian tà làm cổ hoặc lòng người, ai cũng ghét, việc chẳng ra sao.</t>
  </si>
  <si>
    <t>MKH: Biết thời nên lùi, ngoại du phương xa, tránh hiểm ra ngoài, đổi nguy ra an.</t>
  </si>
  <si>
    <t>NT: Doanh mưu đắc lợi, cần giữ nhân nghĩa. Phòng khẩu thiệt.</t>
  </si>
  <si>
    <t>NT: Phàm nên cẩn thận, đừng tin lời gian nịnh, thì đỡ hối hận.</t>
  </si>
  <si>
    <t>MHC: Tài cao đức trọng, nhưng thiên lệch. Đứng đầu khoa bảng hoặc làm khoa trưởng, hoặc là người thân “gà nhà” của chính quyền.</t>
  </si>
  <si>
    <t>MHC: Có tài đức, thời loạn lập công to.</t>
  </si>
  <si>
    <t>MKH: Cũng trung hậu, bảo thủ cơ đồ, tuổi trẻ bôn tẩu, muộn mới an nhàn.</t>
  </si>
  <si>
    <t>MKH: Thì cũng ngâm nga như Đào Tiềm, luận bàn kim cổ, được bằng hữu phụ hội, sinh kế bình thường.</t>
  </si>
  <si>
    <t>MKH: Có thanh danh, ở ẩn nơi núi rừng, chí hướng muộn tuổi mới đạt, con muộn sanh.</t>
  </si>
  <si>
    <t>MKH: Sang hèn cũng đối đãi thế, phú chẳng kiêu, có lòng muốn nhưng không tham.</t>
  </si>
  <si>
    <t>MKH: Cũng văn chương nổi tiếng, lộc vị cao.</t>
  </si>
  <si>
    <t>QC: Gặp cấp chủ, sẽ được thăng chuyển.</t>
  </si>
  <si>
    <t>QC: Tận tâm với nhiệm vụ.</t>
  </si>
  <si>
    <t>QC: Làm lớn lắm (ngày xưa chức Tam Cô, Tam Công, Hoàng môn, Hoàng đường).</t>
  </si>
  <si>
    <t>Ý HÀO: Nói cách dùng người tài phải chí thành thì công nghiệp trị nước mới có kết quả.</t>
  </si>
  <si>
    <t>Ý HÀO: Giữ đạo lâu năm, việc thành tựu.</t>
  </si>
  <si>
    <t>Ý HÀO: Đức hay, vị đáng, việc thưa kiện ích lợi.</t>
  </si>
  <si>
    <t>Ý HÀO: Nghĩa dùng quân và đạo làm tướng.</t>
  </si>
  <si>
    <t>Ý HÀO: Có đức thì để cả thiên hạ gần gũi với mình.</t>
  </si>
  <si>
    <t>Ý HÀO: Đức lớn cảm hóa lòng người, ngăn ngừa tàn bạo.</t>
  </si>
  <si>
    <t>Tâm can tùng bách coi gì tuyết sương.</t>
  </si>
  <si>
    <t>Mông là Muội (còn ngu tối cần được hướng dẫn).</t>
  </si>
  <si>
    <t>Tụng là Luận (bàn cãi, kiện tụng).</t>
  </si>
  <si>
    <t>Giai nhân thực giúp, hẹn đi Khôn hào (đất Tây Nam)</t>
  </si>
  <si>
    <t>Tránh nguy, kệ khóc, đừng vào Dậu phương (Phương tây).</t>
  </si>
  <si>
    <t>Rồng mây gặp gỡ thời.</t>
  </si>
  <si>
    <t>Còn gì mà chẳng đẹp,</t>
  </si>
  <si>
    <t>Năm canh bóng nguyệt soi.</t>
  </si>
  <si>
    <t>Thấy lành phải đổi ra.</t>
  </si>
  <si>
    <t>Lộc rừng xuân mới đến,</t>
  </si>
  <si>
    <t>Cảm khái nếp vinh hoa.</t>
  </si>
  <si>
    <t>Thuyền đóng bên sông định cứu nguy.</t>
  </si>
  <si>
    <t xml:space="preserve">Hoa rụng trước sân thành quả mới, </t>
  </si>
  <si>
    <t>Sắp đi Tây Bắc việc còn nghi.</t>
  </si>
  <si>
    <t>Vội gì mà vội để sau lo buồn.</t>
  </si>
  <si>
    <t xml:space="preserve">Cá đầy nước,              Giai nhân ngọc đẹp,       </t>
  </si>
  <si>
    <t xml:space="preserve">Vận bĩ thủ phận là hay,          </t>
  </si>
  <si>
    <t xml:space="preserve">Đấm đá chi, chỉ mất công           </t>
  </si>
  <si>
    <t xml:space="preserve">Công phạt chỉ hại, nên lùi        </t>
  </si>
  <si>
    <t xml:space="preserve">Bĩ lâu nay, sạch nạn rồi            </t>
  </si>
  <si>
    <t>51931</t>
  </si>
  <si>
    <t>61931</t>
  </si>
  <si>
    <t>71931</t>
  </si>
  <si>
    <t>81931</t>
  </si>
  <si>
    <t>91931</t>
  </si>
  <si>
    <t>101931</t>
  </si>
  <si>
    <t>111931</t>
  </si>
  <si>
    <t>121941b</t>
  </si>
  <si>
    <t>11942b</t>
  </si>
  <si>
    <t>21942b</t>
  </si>
  <si>
    <t>31942b</t>
  </si>
  <si>
    <t>41942b</t>
  </si>
  <si>
    <t>51942b</t>
  </si>
  <si>
    <t>61942b</t>
  </si>
  <si>
    <t>71942b</t>
  </si>
  <si>
    <t>81942b</t>
  </si>
  <si>
    <t>91942b</t>
  </si>
  <si>
    <t>101942b</t>
  </si>
  <si>
    <t>111942b</t>
  </si>
  <si>
    <t>121942b</t>
  </si>
  <si>
    <t>11943b</t>
  </si>
  <si>
    <t>21943b</t>
  </si>
  <si>
    <t>NT: Cùng bạn, kinh doanh được việc. Số xấu bị liên quan lôi thôi, đâm hỏng việc.</t>
  </si>
  <si>
    <t>MKH: Kiêu ngông, phóng túng, trái nhân tình và ở chỗ vắng, không đạt chí.</t>
  </si>
  <si>
    <t>NT: Yên phận đừng cầu cạnh xa xôi.</t>
  </si>
  <si>
    <t>NT: Lợi việc tu tạo, nhà yên ổn.</t>
  </si>
  <si>
    <t>NT: Đi buôn bán xa chưa về, hôn nhân chưa thành.</t>
  </si>
  <si>
    <t>NT: Sáng bị che lấp, có người giải thích cho, khách buôn ra ngoài gặp bọn, phòng thuyền gãy cột buồm.</t>
  </si>
  <si>
    <t>NT: Lập nghiệp được ở bên ngoài, nhưng không được trọn vẹn hạnh phúc. Buôn bán được lợi.</t>
  </si>
  <si>
    <t>NT: Được lợi, được phúc.</t>
  </si>
  <si>
    <t>NT: Buôn bán có lợi, thêm nhân khẩu. Kém hơn thì tật bệnh chẳng yên, tâm trí chưa yên ổn.</t>
  </si>
  <si>
    <t>NT: Được đề bạt, hoặc mất ngựa xe.</t>
  </si>
  <si>
    <t>NT: An phận, không tổn hại.</t>
  </si>
  <si>
    <t>NT: Có sinh kế, có phòng bị nên không vấp nguy. Đi đò phòng đò hở nước vào.</t>
  </si>
  <si>
    <t>NT: Hoạch lợi, có quý nhân đề cử.</t>
  </si>
  <si>
    <t>NT: Bị tai ương giam cầm. Thủ phận an thường là hơn.</t>
  </si>
  <si>
    <t>Trên đường muôn dặm gió dương thuận buồm.</t>
  </si>
  <si>
    <t>Tiến lên đĩnh đạc anh hào thanh danh.</t>
  </si>
  <si>
    <t>Sông to buồm nhẹ, mây trời xanh xanh.</t>
  </si>
  <si>
    <t>Gặp dê hội mới, mới lên dần dần.</t>
  </si>
  <si>
    <t>71902</t>
  </si>
  <si>
    <t>81902</t>
  </si>
  <si>
    <t>91902</t>
  </si>
  <si>
    <t>91958b</t>
  </si>
  <si>
    <t>101958b</t>
  </si>
  <si>
    <t>111958b</t>
  </si>
  <si>
    <t>121958b</t>
  </si>
  <si>
    <t>11959b</t>
  </si>
  <si>
    <t>21959b</t>
  </si>
  <si>
    <t>31959b</t>
  </si>
  <si>
    <t>41959b</t>
  </si>
  <si>
    <t>51959b</t>
  </si>
  <si>
    <t>61959b</t>
  </si>
  <si>
    <t>71959b</t>
  </si>
  <si>
    <t>81959b</t>
  </si>
  <si>
    <t>91959b</t>
  </si>
  <si>
    <t>101959b</t>
  </si>
  <si>
    <t>111959b</t>
  </si>
  <si>
    <t>Cảm đến mép, má, lưỡi (toàn bộ phận ăn nói).</t>
  </si>
  <si>
    <t>Cách</t>
  </si>
  <si>
    <t>Cách1</t>
  </si>
  <si>
    <t>Ly</t>
  </si>
  <si>
    <t>Ly1</t>
  </si>
  <si>
    <t>Phong1</t>
  </si>
  <si>
    <t>81983b</t>
  </si>
  <si>
    <t>91983b</t>
  </si>
  <si>
    <t>101983b</t>
  </si>
  <si>
    <t>111983b</t>
  </si>
  <si>
    <t>121983b</t>
  </si>
  <si>
    <t>11984b</t>
  </si>
  <si>
    <t>21984b</t>
  </si>
  <si>
    <t>31984b</t>
  </si>
  <si>
    <t>41984b</t>
  </si>
  <si>
    <t>51984b</t>
  </si>
  <si>
    <t>61984b</t>
  </si>
  <si>
    <t>71984b</t>
  </si>
  <si>
    <t>81984b</t>
  </si>
  <si>
    <t>91984b</t>
  </si>
  <si>
    <t>101984b</t>
  </si>
  <si>
    <t>111984b</t>
  </si>
  <si>
    <t>121984b</t>
  </si>
  <si>
    <t>11985b</t>
  </si>
  <si>
    <t>21985b</t>
  </si>
  <si>
    <t>31985b</t>
  </si>
  <si>
    <t>41985b</t>
  </si>
  <si>
    <t>51985b</t>
  </si>
  <si>
    <t>61985b</t>
  </si>
  <si>
    <t>71985b</t>
  </si>
  <si>
    <t>81985b</t>
  </si>
  <si>
    <t>91985b</t>
  </si>
  <si>
    <t>121909b</t>
  </si>
  <si>
    <t>11910b</t>
  </si>
  <si>
    <t>81920</t>
  </si>
  <si>
    <t>91920</t>
  </si>
  <si>
    <t>101920</t>
  </si>
  <si>
    <t>111920</t>
  </si>
  <si>
    <t>121920</t>
  </si>
  <si>
    <t>11921</t>
  </si>
  <si>
    <t>111954</t>
  </si>
  <si>
    <t>121954</t>
  </si>
  <si>
    <t>11955</t>
  </si>
  <si>
    <t>21955</t>
  </si>
  <si>
    <t>31955</t>
  </si>
  <si>
    <t>41955</t>
  </si>
  <si>
    <t>51955</t>
  </si>
  <si>
    <t>61955</t>
  </si>
  <si>
    <t>71955</t>
  </si>
  <si>
    <t>31943b</t>
  </si>
  <si>
    <t>41943b</t>
  </si>
  <si>
    <t>51943b</t>
  </si>
  <si>
    <t>41911b</t>
  </si>
  <si>
    <t>91936</t>
  </si>
  <si>
    <t>101936</t>
  </si>
  <si>
    <t>MHC: Vị cao mà xử nhũn, công lớn mà nhường nhịn, không lên mặt với trên, hách dịch với dân, nên phúc trạch thâm hậu.</t>
  </si>
  <si>
    <t>MHC: Thời trị phòng loạn, cơ mưu lên đắc dụng, nên phú quý song toàn.</t>
  </si>
  <si>
    <t>MHC: Biến chất thiên lệch để trở về trung hòa, khoa danh chậm nhưng ân quang cũng lớn.</t>
  </si>
  <si>
    <t>chỉ thân với tông phái mình nên thẹn, thẹn là vì thiên lệch.</t>
  </si>
  <si>
    <t>MHC: Thân với người giỏi, xuống với người dưới, đồng tâm hiệp lực để cứu nguy dẹp loạn, hoặc trên thừa Tổ nghiệp, dưới nối con hay, phúc lộc dồi dào.</t>
  </si>
  <si>
    <t>MHC: Xa kẻ gian, hợp sức với người hiền thì làm việc lớn, cái gì mà không thành ?</t>
  </si>
  <si>
    <t>51937</t>
  </si>
  <si>
    <t>61937</t>
  </si>
  <si>
    <t>71937</t>
  </si>
  <si>
    <t>81937</t>
  </si>
  <si>
    <t>91937</t>
  </si>
  <si>
    <t>101937</t>
  </si>
  <si>
    <t>111937</t>
  </si>
  <si>
    <t>121937</t>
  </si>
  <si>
    <t>11938</t>
  </si>
  <si>
    <t>21938</t>
  </si>
  <si>
    <t>31938</t>
  </si>
  <si>
    <t>31925b</t>
  </si>
  <si>
    <t>41925b</t>
  </si>
  <si>
    <t>51925b</t>
  </si>
  <si>
    <t>61925b</t>
  </si>
  <si>
    <t>71925b</t>
  </si>
  <si>
    <t>81925b</t>
  </si>
  <si>
    <t>91925b</t>
  </si>
  <si>
    <t>101925b</t>
  </si>
  <si>
    <t>QC: Được thăng thưởng đều đều.</t>
  </si>
  <si>
    <t>122018</t>
  </si>
  <si>
    <t>12019</t>
  </si>
  <si>
    <t>22019</t>
  </si>
  <si>
    <t>32019</t>
  </si>
  <si>
    <t>42019</t>
  </si>
  <si>
    <t>52019</t>
  </si>
  <si>
    <t>62019</t>
  </si>
  <si>
    <t>72019</t>
  </si>
  <si>
    <t>82019</t>
  </si>
  <si>
    <t>92019</t>
  </si>
  <si>
    <t>102019</t>
  </si>
  <si>
    <t>Tổn thương ở chỗ đi trừ loạn ở phía Nam, bắt được thằng đầu sỏ lớn, nhưng chẳng nên vội tuy là chính.</t>
  </si>
  <si>
    <t>Lữ khách đến nhà trọ, hắn mang tiền của, được người tớ bé, giữ chính.</t>
  </si>
  <si>
    <t>61943b</t>
  </si>
  <si>
    <t>71943b</t>
  </si>
  <si>
    <t>81943b</t>
  </si>
  <si>
    <t>91943b</t>
  </si>
  <si>
    <t xml:space="preserve">Việc đời tới lúc đổi thay,           </t>
  </si>
  <si>
    <t>Hai đường chọn một tùy cơ mà hành.</t>
  </si>
  <si>
    <t xml:space="preserve">Được công thì phải bỏ tư,         </t>
  </si>
  <si>
    <t>Mưu toan được việc, rông chơi quý quyền.</t>
  </si>
  <si>
    <t xml:space="preserve">Cầu đâu được đấy vẫn hung,      </t>
  </si>
  <si>
    <t xml:space="preserve">Chính trung trên dưới đều tin,         </t>
  </si>
  <si>
    <t xml:space="preserve">Bấy lâu cố kết nhân tâm,             </t>
  </si>
  <si>
    <t xml:space="preserve">Âm dương xuất xử phải tùy,       </t>
  </si>
  <si>
    <t>Cũng phòng ba lượt bị băng hoại liền.</t>
  </si>
  <si>
    <t>Tùy thời tổn, ích chẳng cần hư danh.</t>
  </si>
  <si>
    <t xml:space="preserve">Vẫn là thừa nghiệp trị gia,             </t>
  </si>
  <si>
    <t>Sánh vai với bọn chẳng ra người.</t>
  </si>
  <si>
    <t>Sánh vai chẳng có đầu, xấu.</t>
  </si>
  <si>
    <t>NT: Nuôi được nhà, kế được tông đường, sinh thêm con cháu. Đại để: Phòng kẻ dèm pha mưu chiếm vị, vượt quyền.</t>
  </si>
  <si>
    <t>111975b</t>
  </si>
  <si>
    <t>121975b</t>
  </si>
  <si>
    <t>11976b</t>
  </si>
  <si>
    <t>21976b</t>
  </si>
  <si>
    <t>31976b</t>
  </si>
  <si>
    <t>41976b</t>
  </si>
  <si>
    <t>Tự ngăn được thân mình, nên không lỗi (hào 4 được chính).</t>
  </si>
  <si>
    <t>Thời lìa tan, chạy đến chỗ ghế dựa (hào 1) thì khỏi ăn năn gì.</t>
  </si>
  <si>
    <t>Ý HÀO: Trị người khó tránh việc thương tổn người. (hào 2 có quyền hình phạt).</t>
  </si>
  <si>
    <t>Đương vui lại giận nó mà (hào 1)</t>
  </si>
  <si>
    <t>Nhổ rễ cỏ mao, lấy cả cụm, làm đi, tốt. (hào 1 dương, đẩy cả hào 2, 3 cùng tiến).</t>
  </si>
  <si>
    <t>Ngừng lại ngay từ chỗ ngón chân cái (hào sơ, lúc đầu) thì không lỗi gì, lợi ích về việc giữ chính bền mãi mãi.</t>
  </si>
  <si>
    <t>Bao không cá (hào 1 đã ở trong bao của hào 2 rồi) bắt đầu xấu (hào 4 cô lập).</t>
  </si>
  <si>
    <t>Lấy cây Kỷ che chùm cho cây dưa (hào 5 che cho hào 1) hàm chứa vẻ tốt đẹp, như có ở trên trời sa xuống.</t>
  </si>
  <si>
    <t>Tụy là Tụ (tụ họp đông đảo: thi thố, vui buồn phức tạp).</t>
  </si>
  <si>
    <t>QC: Được tiến cử, thăng chuyển.</t>
  </si>
  <si>
    <t>NT: Có cái mất cái được. Số xấu hay bị nghi ngờ dèm pha.</t>
  </si>
  <si>
    <t>102042b</t>
  </si>
  <si>
    <t>112042b</t>
  </si>
  <si>
    <t>122033b</t>
  </si>
  <si>
    <t>12034b</t>
  </si>
  <si>
    <t>22034b</t>
  </si>
  <si>
    <t>32034b</t>
  </si>
  <si>
    <t>42034b</t>
  </si>
  <si>
    <t>52034b</t>
  </si>
  <si>
    <t>62034b</t>
  </si>
  <si>
    <t>Tụ họp có ngôi (cao) nên không lỗi, nếu còn ai chẳng tin thì tu thê đức: Nguyên (kẻ cả) vĩnh (lâu dài) trinh (chính bền) hẳn khỏi ăn năn nữa.</t>
  </si>
  <si>
    <t>Tiêu tan cái thân riêng mình (tức hy sinh cái tiểu ngã, cái lợi riêng) thì khỏi ăn năn gì.</t>
  </si>
  <si>
    <t>Tan cái đàn nhỏ, tốt nhất, tan mà có đoàn lớn (thay vào) không phải kẻ tầm thường nghĩ được.</t>
  </si>
  <si>
    <t>Tiêu tan như mồ hôi, các hiệu lệnh lớn (để cho dân thư thái, tiêu tan kho chứa nơi vua ở (để cấp phát cho dân) không còn lỗi gì.</t>
  </si>
  <si>
    <t>QC: Có thăng chuyển, có tiến thủ, có tai họa thì tiêu tan, cầu lợi được lợi.</t>
  </si>
  <si>
    <t>MHC: Đại quý nhân. Cùng đồng liêu làm việc di phong dịch tục, không biết mỏi, phước dày.</t>
  </si>
  <si>
    <t>MHC: Bậc thượng lưu làm gương cho dân.</t>
  </si>
  <si>
    <t>MHC: Giàu sang nhưng phải lo nhiều.</t>
  </si>
  <si>
    <t>MHC: Theo cổ nhân, chất phác, học vấn hơn đời, phúc lộc dồi dào.</t>
  </si>
  <si>
    <t>MKH: Thiếu thành thực, nhiều phù hoa, tổn vật hại người, thân gia khó toàn, chỉ nên ở ẩn nơi sơn lâm hay chỗ u tịch thì còn phúc.</t>
  </si>
  <si>
    <t>MKH: Cũng là quang minh chính đại, nghiệp lớn giàu thịnh, phúc đẹp.</t>
  </si>
  <si>
    <t>MKH: Thì ly hương lập nghiệp. Vì tính nhu nhược nên dù gặp quý nhân tiến dẫn mà cũng chẳng làm nên công trạng gì.</t>
  </si>
  <si>
    <t>31915b</t>
  </si>
  <si>
    <t>41915b</t>
  </si>
  <si>
    <t>51915b</t>
  </si>
  <si>
    <t>GS: Được trao việc quan trọng, ở trong thì chuyển ra ngoài, ở tối lâu được ra sáng.</t>
  </si>
  <si>
    <t>NT: Hoạch lợi.</t>
  </si>
  <si>
    <t>NT: Bị tai nạn đến đầu, đến trán.</t>
  </si>
  <si>
    <t>Có thể tin tưởng: Máu tan (thương tích lành lại), lo hết, không lỗi gì.</t>
  </si>
  <si>
    <t>102037b</t>
  </si>
  <si>
    <t>112037b</t>
  </si>
  <si>
    <t>122037b</t>
  </si>
  <si>
    <t>12038b</t>
  </si>
  <si>
    <t>22038b</t>
  </si>
  <si>
    <t>32038b</t>
  </si>
  <si>
    <t>42038b</t>
  </si>
  <si>
    <t>NT: Nên thủ cựu. Số xấu có triệu chứng bị mắc kẹt, bế tắc.</t>
  </si>
  <si>
    <t>121948b</t>
  </si>
  <si>
    <t>Ra quân mà xác chết chở đầy xe, xấu.</t>
  </si>
  <si>
    <t>122030</t>
  </si>
  <si>
    <t>12031</t>
  </si>
  <si>
    <t>22031</t>
  </si>
  <si>
    <t>32031</t>
  </si>
  <si>
    <t>121953</t>
  </si>
  <si>
    <t>11954</t>
  </si>
  <si>
    <t>21954</t>
  </si>
  <si>
    <t>31954</t>
  </si>
  <si>
    <t>41954</t>
  </si>
  <si>
    <t>51954</t>
  </si>
  <si>
    <t>61954</t>
  </si>
  <si>
    <t>71954</t>
  </si>
  <si>
    <t>81954</t>
  </si>
  <si>
    <t>91954</t>
  </si>
  <si>
    <t>Gả em sai kỳ hẹn rồi, cũng còn có thời, nhưng về nhà chồng muộn vậy.</t>
  </si>
  <si>
    <t>101917</t>
  </si>
  <si>
    <t>Mệnh:</t>
  </si>
  <si>
    <t xml:space="preserve">Năm </t>
  </si>
  <si>
    <t>Lưu niên</t>
  </si>
  <si>
    <t>Chọn</t>
  </si>
  <si>
    <t>ở ô</t>
  </si>
  <si>
    <t>L11</t>
  </si>
  <si>
    <t>Văn</t>
  </si>
  <si>
    <t>thiên</t>
  </si>
  <si>
    <t>lộc</t>
  </si>
  <si>
    <t>kình</t>
  </si>
  <si>
    <t>k dự</t>
  </si>
  <si>
    <t>phúc</t>
  </si>
  <si>
    <t>tinh</t>
  </si>
  <si>
    <t>quốc ấn</t>
  </si>
  <si>
    <t>khôicanh</t>
  </si>
  <si>
    <t>tý</t>
  </si>
  <si>
    <t>mậu</t>
  </si>
  <si>
    <t>Kim thần-ngaygio</t>
  </si>
  <si>
    <t>trụ năm</t>
  </si>
  <si>
    <t>trụ tháng</t>
  </si>
  <si>
    <t>trụ ngày</t>
  </si>
  <si>
    <t>trụ giờ</t>
  </si>
  <si>
    <t>lưu niên</t>
  </si>
  <si>
    <t>dương âm</t>
  </si>
  <si>
    <t>Không Vong</t>
  </si>
  <si>
    <t>không vong</t>
  </si>
  <si>
    <t>thiên đức</t>
  </si>
  <si>
    <t>nguyệt đức</t>
  </si>
  <si>
    <t>Thiên Đức</t>
  </si>
  <si>
    <t>tân</t>
  </si>
  <si>
    <t>Nguyệt Đức</t>
  </si>
  <si>
    <t>thiênất-năm</t>
  </si>
  <si>
    <t>thiênất-ngày</t>
  </si>
  <si>
    <t>Thiênất-Năm</t>
  </si>
  <si>
    <t>quý</t>
  </si>
  <si>
    <t>Thiênất-Ngày</t>
  </si>
  <si>
    <t>Văn Xương</t>
  </si>
  <si>
    <t>văn xương</t>
  </si>
  <si>
    <t>mã</t>
  </si>
  <si>
    <t>cái</t>
  </si>
  <si>
    <t>đào</t>
  </si>
  <si>
    <t>tướng</t>
  </si>
  <si>
    <t>kiếp</t>
  </si>
  <si>
    <t>nguyệ</t>
  </si>
  <si>
    <t>th y</t>
  </si>
  <si>
    <t>taisát</t>
  </si>
  <si>
    <t>đại hao</t>
  </si>
  <si>
    <t>Kình Dương</t>
  </si>
  <si>
    <t>kình dương</t>
  </si>
  <si>
    <t>Lộc</t>
  </si>
  <si>
    <t>Phúc Tinh</t>
  </si>
  <si>
    <t>phúc tinh</t>
  </si>
  <si>
    <t>Kim Dự</t>
  </si>
  <si>
    <t>kim dự</t>
  </si>
  <si>
    <t>Quốc ấn</t>
  </si>
  <si>
    <t>Thiên Mã</t>
  </si>
  <si>
    <t>thiên mã</t>
  </si>
  <si>
    <t>Tướng Tinh</t>
  </si>
  <si>
    <t>tướng tinh</t>
  </si>
  <si>
    <t>Thiên La</t>
  </si>
  <si>
    <t>thiên la</t>
  </si>
  <si>
    <t>Thiên Y</t>
  </si>
  <si>
    <t>hoa cái</t>
  </si>
  <si>
    <t>Hoa Cái</t>
  </si>
  <si>
    <t>đào hoa</t>
  </si>
  <si>
    <t>Đào Hoa</t>
  </si>
  <si>
    <t>kiếp sát</t>
  </si>
  <si>
    <t>Kiếp Sát</t>
  </si>
  <si>
    <t>thiên y</t>
  </si>
  <si>
    <t>Vong thần</t>
  </si>
  <si>
    <t>Vong Thần</t>
  </si>
  <si>
    <t>Đại Hao</t>
  </si>
  <si>
    <t>tai sát</t>
  </si>
  <si>
    <t>Tai Sát</t>
  </si>
  <si>
    <t>cô</t>
  </si>
  <si>
    <t>quả</t>
  </si>
  <si>
    <t>cấu</t>
  </si>
  <si>
    <t>thập ác</t>
  </si>
  <si>
    <t>giảo</t>
  </si>
  <si>
    <t>adlệch</t>
  </si>
  <si>
    <t>vong thần</t>
  </si>
  <si>
    <t>cô thần</t>
  </si>
  <si>
    <t>Cô Thần</t>
  </si>
  <si>
    <t>giápthìn</t>
  </si>
  <si>
    <t>bínhtý</t>
  </si>
  <si>
    <t>quả tú</t>
  </si>
  <si>
    <t>Quả Tú</t>
  </si>
  <si>
    <t>ấttỵ</t>
  </si>
  <si>
    <t>đinhsửu</t>
  </si>
  <si>
    <t>Hỏa</t>
  </si>
  <si>
    <t>nhâmthân</t>
  </si>
  <si>
    <t>mậudần</t>
  </si>
  <si>
    <t>Thổ</t>
  </si>
  <si>
    <t>Giảo</t>
  </si>
  <si>
    <t>bínhthân</t>
  </si>
  <si>
    <t>tânmão</t>
  </si>
  <si>
    <t>Thủy</t>
  </si>
  <si>
    <t>Thập Ác</t>
  </si>
  <si>
    <t>kim thần</t>
  </si>
  <si>
    <t>Kim Thần</t>
  </si>
  <si>
    <t>khôi canh</t>
  </si>
  <si>
    <t>Khôi Canh</t>
  </si>
  <si>
    <t>đinhhợi</t>
  </si>
  <si>
    <t>nhâmthìn</t>
  </si>
  <si>
    <t>âd lệch</t>
  </si>
  <si>
    <t>Âd Lệch</t>
  </si>
  <si>
    <t>canhthìn</t>
  </si>
  <si>
    <t>quýtỵ</t>
  </si>
  <si>
    <t>Khôicanh</t>
  </si>
  <si>
    <t>mậutuất</t>
  </si>
  <si>
    <t>bínhngọ</t>
  </si>
  <si>
    <t>quýhợi</t>
  </si>
  <si>
    <t>đinhmùi</t>
  </si>
  <si>
    <t>tântỵ</t>
  </si>
  <si>
    <t>mậuthân</t>
  </si>
  <si>
    <t>cấu,giảo</t>
  </si>
  <si>
    <t>kỷsửu</t>
  </si>
  <si>
    <t>tândậu</t>
  </si>
  <si>
    <t>nhâmtuất</t>
  </si>
  <si>
    <t>tla</t>
  </si>
  <si>
    <t>Mộc dục</t>
  </si>
  <si>
    <t>Bệnh</t>
  </si>
  <si>
    <t>Thai</t>
  </si>
  <si>
    <t>Tuyệt</t>
  </si>
  <si>
    <t>Tử</t>
  </si>
  <si>
    <t>Tràng sinh</t>
  </si>
  <si>
    <t>Đế vượng</t>
  </si>
  <si>
    <t>Lâm quan</t>
  </si>
  <si>
    <t>Quan đới</t>
  </si>
  <si>
    <t>Suy</t>
  </si>
  <si>
    <t>Dưỡng</t>
  </si>
  <si>
    <t>Mộ</t>
  </si>
  <si>
    <t>ko vong</t>
  </si>
  <si>
    <t>Kim</t>
  </si>
  <si>
    <t>Mộc</t>
  </si>
  <si>
    <t>Kiếp</t>
  </si>
  <si>
    <t>Thực</t>
  </si>
  <si>
    <t>Thương</t>
  </si>
  <si>
    <t>Tài</t>
  </si>
  <si>
    <t>Sát</t>
  </si>
  <si>
    <t>Kiêu</t>
  </si>
  <si>
    <t>Ấn</t>
  </si>
  <si>
    <t>Thuỷ</t>
  </si>
  <si>
    <t>M.Dục</t>
  </si>
  <si>
    <t>T.Sinh</t>
  </si>
  <si>
    <t>Đ.Vượng</t>
  </si>
  <si>
    <t>L.Quan</t>
  </si>
  <si>
    <t>Q.Đới</t>
  </si>
  <si>
    <t>Họ Tên</t>
  </si>
  <si>
    <r>
      <t>1. Chỉ nhập dữ liệu vào các ô màu vàng</t>
    </r>
    <r>
      <rPr>
        <sz val="10"/>
        <color indexed="10"/>
        <rFont val="Arial"/>
        <family val="2"/>
      </rPr>
      <t xml:space="preserve">. </t>
    </r>
  </si>
  <si>
    <t>Ngày âm các chữ tý, tỵ, quý đều là y dài.</t>
  </si>
  <si>
    <t xml:space="preserve"> Chọn người khác ở sheet thể cách.</t>
  </si>
  <si>
    <t xml:space="preserve">2. Quẻ tùy ý nhập hào động từ ô A46 xuống  </t>
  </si>
  <si>
    <t>Quẻ lưu niên</t>
  </si>
  <si>
    <t>Năm xem</t>
  </si>
  <si>
    <t>quẻ biến</t>
  </si>
  <si>
    <t>Hào động</t>
  </si>
  <si>
    <t>Quẻ năm</t>
  </si>
  <si>
    <t>Quẻ biến</t>
  </si>
  <si>
    <t>Hào ứng</t>
  </si>
  <si>
    <t>Quẻ tháng</t>
  </si>
  <si>
    <t>Quẻ ngày</t>
  </si>
  <si>
    <t>quẻ giờ</t>
  </si>
  <si>
    <t>giờ tý</t>
  </si>
  <si>
    <t>giờ ngọ</t>
  </si>
  <si>
    <t>giờ sửu</t>
  </si>
  <si>
    <t>giờ mùi</t>
  </si>
  <si>
    <t>giờ dần</t>
  </si>
  <si>
    <t>giờ thân</t>
  </si>
  <si>
    <t>giờ mão</t>
  </si>
  <si>
    <t>giờ dậu</t>
  </si>
  <si>
    <t>giờ thìn</t>
  </si>
  <si>
    <t>giờ tuất</t>
  </si>
  <si>
    <t>giờ tỵ</t>
  </si>
  <si>
    <t>giờ hợi</t>
  </si>
  <si>
    <t>Quẻ tùy ý</t>
  </si>
  <si>
    <t>fix</t>
  </si>
  <si>
    <t>nhóm 1</t>
  </si>
  <si>
    <t>hỏa</t>
  </si>
  <si>
    <t>Quan Quỷ</t>
  </si>
  <si>
    <t>Huynh Đệ</t>
  </si>
  <si>
    <t>Tử Tôn</t>
  </si>
  <si>
    <t>Thê Tài</t>
  </si>
  <si>
    <t>Phụ Mẫu</t>
  </si>
  <si>
    <t>thổ</t>
  </si>
  <si>
    <t>kim</t>
  </si>
  <si>
    <t>mộc</t>
  </si>
  <si>
    <t>thủy</t>
  </si>
  <si>
    <t>nhóm chủ</t>
  </si>
  <si>
    <t>CÀN VI THIÊN </t>
  </si>
  <si>
    <t>KHÔN VI ĐỊA </t>
  </si>
  <si>
    <t>THỦY LÔI TRUÂN </t>
  </si>
  <si>
    <t>SƠN THUỶ MÔNG </t>
  </si>
  <si>
    <t>THỦY THIÊN NHU </t>
  </si>
  <si>
    <t>THIÊN THỦY TỤNG </t>
  </si>
  <si>
    <t>ĐỊA THỦY SƯ </t>
  </si>
  <si>
    <t>THỦY ĐỊA TỶ </t>
  </si>
  <si>
    <t>PHONG THIÊN TIỂU SÚC </t>
  </si>
  <si>
    <t>THIÊN TRẠCH LÝ </t>
  </si>
  <si>
    <t>ĐỊA THIÊN THÁI </t>
  </si>
  <si>
    <t>THIÊN ĐỊA BĨ</t>
  </si>
  <si>
    <t xml:space="preserve">THIÊN HỎA ĐỒNG NHÂN  </t>
  </si>
  <si>
    <t>HỎA THIÊN ĐẠI HỮU </t>
  </si>
  <si>
    <t>ĐỊA SƠN KHIÊM </t>
  </si>
  <si>
    <t>LÔI ĐỊA DỰ </t>
  </si>
  <si>
    <t>TRẠCH LÔI TÙY </t>
  </si>
  <si>
    <t>SƠN PHONG CỔ </t>
  </si>
  <si>
    <t>ĐỊA TRẠCH LÂM </t>
  </si>
  <si>
    <t>PHONG ĐỊA QUAN </t>
  </si>
  <si>
    <t>HỎA LÔI PHỆ HẠP </t>
  </si>
  <si>
    <t>SƠN HỎA BÍ</t>
  </si>
  <si>
    <t>SƠN ĐỊA BÁC </t>
  </si>
  <si>
    <t>ĐỊA LÔI PHỤC </t>
  </si>
  <si>
    <t>THIÊN LÔI VÔ VỌNG </t>
  </si>
  <si>
    <t>SƠN THIÊN ĐẠI SÚC </t>
  </si>
  <si>
    <t>SƠN LÔI DI </t>
  </si>
  <si>
    <t>TRẠCH PHONG ĐẠI QUÁ </t>
  </si>
  <si>
    <t>KHẢM VI THỦY </t>
  </si>
  <si>
    <t>LY VI HỎA </t>
  </si>
  <si>
    <t>TRẠCH SƠN HÀM </t>
  </si>
  <si>
    <t>LÔI PHONG HẰNG </t>
  </si>
  <si>
    <t>THIÊN SƠN ĐỘN </t>
  </si>
  <si>
    <t>LÔI THIÊN ĐẠI TRÁNG </t>
  </si>
  <si>
    <t>HỎA ĐỊA TẤN </t>
  </si>
  <si>
    <t>ĐỊA HỎA MINH DI </t>
  </si>
  <si>
    <t>PHONG HỎA GIA NHÂN </t>
  </si>
  <si>
    <t>HỎA TRẠCH KHUÊ </t>
  </si>
  <si>
    <t>THỦY SƠN KIỀN </t>
  </si>
  <si>
    <t>LÔI THUỶ GIẢI </t>
  </si>
  <si>
    <t>SƠN TRẠCH TỔN </t>
  </si>
  <si>
    <t>PHONG LÔI ÍCH </t>
  </si>
  <si>
    <t>TRẠCH THIÊN QUẢI </t>
  </si>
  <si>
    <t>THIÊN PHONG CẤU </t>
  </si>
  <si>
    <t>TRẠCH ĐỊA TỤY</t>
  </si>
  <si>
    <t>ĐỊA PHONG THĂNG </t>
  </si>
  <si>
    <t>TRẠCH THỦY KHỐN </t>
  </si>
  <si>
    <t>THUỶ PHONG TỈNH </t>
  </si>
  <si>
    <t>TRẠCH HỎA CÁCH </t>
  </si>
  <si>
    <t>HỎA PHONG ĐỈNH </t>
  </si>
  <si>
    <t>CHẤN VI LÔI </t>
  </si>
  <si>
    <t>CẤN VI SƠN </t>
  </si>
  <si>
    <t>PHONG SƠN TIỆM </t>
  </si>
  <si>
    <t>LÔI TRẠCH QUY MUỘI </t>
  </si>
  <si>
    <t>LÔI HỎA PHONG </t>
  </si>
  <si>
    <t>HỎA SƠN LỮ </t>
  </si>
  <si>
    <t>TỐN VI PHONG </t>
  </si>
  <si>
    <t>ĐOÀI VI TRẠCH </t>
  </si>
  <si>
    <t>PHONG THUỶ HOÁN </t>
  </si>
  <si>
    <t>THỦY TRẠCH TIẾT </t>
  </si>
  <si>
    <t>PHONG TRẠCH TRUNG PHU </t>
  </si>
  <si>
    <t>LÔI SƠN TIỂU QUÁ </t>
  </si>
  <si>
    <t>THỦY HOẢ KÝ TẾ </t>
  </si>
  <si>
    <t>HỎA THỦY VỊ TẾ </t>
  </si>
  <si>
    <t>Phụ Mẫu Tuất Thổ (Thế) </t>
  </si>
  <si>
    <t>Tử Tôn Dậu Kim (Thế) </t>
  </si>
  <si>
    <t>Huynh Đệ Tý Thủy </t>
  </si>
  <si>
    <t>Phụ Mẫu Dần Mộc </t>
  </si>
  <si>
    <t>Thê Tài Tý Thủy </t>
  </si>
  <si>
    <t>Tử Tôn Tuất Thổ </t>
  </si>
  <si>
    <t>Phụ Mẫu Dậu Kim (Ứng) </t>
  </si>
  <si>
    <t>Thê Tài Tý Thuỷ (Ứng) </t>
  </si>
  <si>
    <t>Huynh Đệ Mão Mộc </t>
  </si>
  <si>
    <t>Huynh Đệ Tuất Thổ </t>
  </si>
  <si>
    <t>Tử Tôn Dậu Kim (Ứng) </t>
  </si>
  <si>
    <t>Phụ Mẫu Tuất Thổ (Ứng) </t>
  </si>
  <si>
    <t>Tử Tôn Tuất Thổ (Ứng) </t>
  </si>
  <si>
    <t>Quan Quỷ Tỵ Hỏa (Ứng) </t>
  </si>
  <si>
    <t>Huynh Đệ Dậu Kim </t>
  </si>
  <si>
    <t>Thê Tài Tuất Thổ </t>
  </si>
  <si>
    <t>Thê Tài Mùi Thổ (Ứng) </t>
  </si>
  <si>
    <t>Huynh Đệ Dần Mộc (Ứng) </t>
  </si>
  <si>
    <t>Tử Tôn Dậu Kim </t>
  </si>
  <si>
    <t>Thê Tài Mão Mộc </t>
  </si>
  <si>
    <t>Tử Tôn Tỵ Hỏa </t>
  </si>
  <si>
    <t>Quan Quỷ Dần Mộc </t>
  </si>
  <si>
    <t>Thê Tài Dần Mộc </t>
  </si>
  <si>
    <t>Huynh Đệ Dần Mộc </t>
  </si>
  <si>
    <t>Thê Tài Mùi Thổ </t>
  </si>
  <si>
    <t>Huynh Đệ Tý Thủy (Thế) </t>
  </si>
  <si>
    <t>Huynh Đệ Tỵ Hỏa (Thế) </t>
  </si>
  <si>
    <t>Phụ Mẫu Mùi Thổ (Ứng) </t>
  </si>
  <si>
    <t>Thê Tài Tuất Thổ (Ứng) </t>
  </si>
  <si>
    <t>Phụ Mẫu Tuất Thổ </t>
  </si>
  <si>
    <t>Huynh Đệ Tuất Thổ</t>
  </si>
  <si>
    <t>Quan Quỷ Tỵ Hỏa </t>
  </si>
  <si>
    <t>Phụ Mẫu Dậu Kim </t>
  </si>
  <si>
    <t>Phụ Mẫu Tỵ Hoả </t>
  </si>
  <si>
    <t>Tử Tôn Tý Thủy </t>
  </si>
  <si>
    <t>Quan Quỷ Dần Mộc (Ứng) </t>
  </si>
  <si>
    <t xml:space="preserve">Huynh Đệ Mão Mộc (Ứng)  </t>
  </si>
  <si>
    <t>Huynh Đệ Mùi Thổ </t>
  </si>
  <si>
    <t>Phụ Mẫu Mùi Thổ </t>
  </si>
  <si>
    <t>Quan Quỷ Dậu Kim </t>
  </si>
  <si>
    <t>Phụ Mẫu Tý Thủy </t>
  </si>
  <si>
    <t>Quan Quỷ Mùi Thổ </t>
  </si>
  <si>
    <t>Huynh Đệ Tỵ Hỏa </t>
  </si>
  <si>
    <t>Thê Tài Tuất Thổ (Thế) </t>
  </si>
  <si>
    <t>Quan Quỷ Dần Mộc (Thế) </t>
  </si>
  <si>
    <t>Quan Quỷ Mão Mộc (Ứng) </t>
  </si>
  <si>
    <t>Quan Quỷ Tuất Thổ </t>
  </si>
  <si>
    <t>Huynh Đệ Mão Mộc (Thế) </t>
  </si>
  <si>
    <t>Phụ Mẫu Mùi Thổ (Thế) </t>
  </si>
  <si>
    <t>Phụ Mẫu Mão Mộc </t>
  </si>
  <si>
    <t>Quan Quỷ Mão Mộc </t>
  </si>
  <si>
    <t>Huynh Đệ Tý Thủy (Ứng) </t>
  </si>
  <si>
    <t>Huynh Đệ Tỵ Hỏa (Ứng) </t>
  </si>
  <si>
    <t>Huynh Đệ Thân Kim </t>
  </si>
  <si>
    <t>Thê Tài Hợi Thủy </t>
  </si>
  <si>
    <t>Quan Quỷ Tuất Thổ (Ứng) </t>
  </si>
  <si>
    <t>Quan Quỷ Tý Thủy </t>
  </si>
  <si>
    <t>Thê Tài Thân Kim </t>
  </si>
  <si>
    <t>Huynh Đệ Hợi Thủy </t>
  </si>
  <si>
    <t>Tử Tôn Thân Kim (Thế) </t>
  </si>
  <si>
    <t>Tử Tôn Hợi Thủy (Thế) </t>
  </si>
  <si>
    <t>Quan Quỷ Thân Kim </t>
  </si>
  <si>
    <t>Thê Tài Hợi Thủy (Ứng) </t>
  </si>
  <si>
    <t>Thê Tài Mùi Thổ (Thế) </t>
  </si>
  <si>
    <t>Tử Tôn Tý Thủy (Thế) </t>
  </si>
  <si>
    <t>Thê Tài Tý Thủy (Ứng) </t>
  </si>
  <si>
    <t>Tử Tôn Mùi Thổ </t>
  </si>
  <si>
    <t>Huynh Đệ Thân Kim(Ứng) </t>
  </si>
  <si>
    <t>Tử Tôn Thân Kim </t>
  </si>
  <si>
    <t>Tử Tôn Tỵ Hỏa (Ứng) </t>
  </si>
  <si>
    <t>Quan Quỷ Thân Kim(Ứng) </t>
  </si>
  <si>
    <t>Huynh Đệ Dậu Kim (Ứng) </t>
  </si>
  <si>
    <t>Phụ Mẫu Hợi Thủy </t>
  </si>
  <si>
    <t>Tử Tôn Mùi Thổ (Ứng) </t>
  </si>
  <si>
    <t>Phụ Mẫu Tỵ Hỏa </t>
  </si>
  <si>
    <t>Phụ Mẫu Thân Kim (Thế) </t>
  </si>
  <si>
    <t>Quan Quỷ Ngọ Hỏa </t>
  </si>
  <si>
    <t>Huynh Đệ Sửu Thổ </t>
  </si>
  <si>
    <t>Phụ Mẫu Thân Kim </t>
  </si>
  <si>
    <t>Tử Tôn Tuất Thổ (Thế) </t>
  </si>
  <si>
    <t>Huynh Đệ Ngọ Hỏa (Thế) </t>
  </si>
  <si>
    <t>Quan Quỷ Sửu Thổ </t>
  </si>
  <si>
    <t>Phụ Mẫu Ngọ Hỏa </t>
  </si>
  <si>
    <t>Huynh Đệ Ngọ Hỏa </t>
  </si>
  <si>
    <t>Phụ Mẫu Sửu Thổ </t>
  </si>
  <si>
    <t>Tử Tôn Ngọ Hỏa (Ứng) </t>
  </si>
  <si>
    <t>Huynh Đệ Tuất Thổ (Ứng) </t>
  </si>
  <si>
    <t>Huynh Đệ Sửu Thổ (Ứng) </t>
  </si>
  <si>
    <t>Tử Tôn Ngọ Hỏa (Thế) </t>
  </si>
  <si>
    <t>Phụ Mẫu Hợi Thủy (Thế) </t>
  </si>
  <si>
    <t>Thê Tài Dậu Kim </t>
  </si>
  <si>
    <t>Tử Tôn Hợi Thủy </t>
  </si>
  <si>
    <t>Tử Tôn Ngọ Hỏa </t>
  </si>
  <si>
    <t>Phụ Mẫu Ngọ Hỏa (Thế) </t>
  </si>
  <si>
    <t>Huynh Đệ Dậu Kim (Thế) </t>
  </si>
  <si>
    <t>Quan Quỷ Sửu Thổ (Thế) </t>
  </si>
  <si>
    <t>Huynh Đệ Thân Kim (Thế) </t>
  </si>
  <si>
    <t>Quan Quỷ Ngọ Hỏa (Ứng) </t>
  </si>
  <si>
    <t>Tử tôn Hợi Thủy </t>
  </si>
  <si>
    <t>Thê Tài Sửu Thổ (Thế) </t>
  </si>
  <si>
    <t>Tử Tôn Hợi Thủy (Ứng) </t>
  </si>
  <si>
    <t>Huynh Đệ Hợi Thủy (Thế) </t>
  </si>
  <si>
    <t>Thê Tài Ngọ Hỏa </t>
  </si>
  <si>
    <t>Thê Tài Dậu Kim (Ứng) </t>
  </si>
  <si>
    <t>Phụ Mẫu Thân Kim (Ứng) </t>
  </si>
  <si>
    <t>Huynh Đệ Mùi Thổ (Thế) </t>
  </si>
  <si>
    <t>Quan Quỷ Ngọ Hỏa (Thế) </t>
  </si>
  <si>
    <t>Phụ Mẫu Thìn Thổ (Ứng) </t>
  </si>
  <si>
    <t>Quan Quỷ Thìn Thổ </t>
  </si>
  <si>
    <t>Huynh Đệ Thìn Thổ</t>
  </si>
  <si>
    <t>Thê Tài Ngọ Hỏa (Thế) </t>
  </si>
  <si>
    <t>Quan Quỷ Mão Mộc (Thế) </t>
  </si>
  <si>
    <t>Thê Tài Thìn Thổ </t>
  </si>
  <si>
    <t>Huynh Đệ Thìn Thổ (Thế) </t>
  </si>
  <si>
    <t>Thê Tài Mão Mộc (Thế) </t>
  </si>
  <si>
    <t>Quan Quỷ Hợi Thủy (Thế) </t>
  </si>
  <si>
    <t>Phụ Mẫu Thìn Thổ (Thế) </t>
  </si>
  <si>
    <t>Thê Tài Thìn Thổ (Thế) </t>
  </si>
  <si>
    <t>Quan Quỷ Dậu Kim (Thế) </t>
  </si>
  <si>
    <t>Huynh Đệ Thìn Thổ </t>
  </si>
  <si>
    <t>Thê Tài Ngọ Hỏa (Ứng) </t>
  </si>
  <si>
    <t>Quan Quỷ Hợi Thủy (Ứng) </t>
  </si>
  <si>
    <t>Huynh Đệ Sửu Thổ (Thế) </t>
  </si>
  <si>
    <t>Thê Tài Thìn Thổ (Ứng) </t>
  </si>
  <si>
    <t>Tử Tôn Thân Kim (Ứng) </t>
  </si>
  <si>
    <t>Phụ Mẫu Sửu Thổ (Thế) </t>
  </si>
  <si>
    <t>Quan Quỷ Dậu Kim (Ứng) </t>
  </si>
  <si>
    <t>Phụ Mẫu Sửu Thổ (Ứng) </t>
  </si>
  <si>
    <t>Huynh Đệ Hợi Thuỷ (Thế) </t>
  </si>
  <si>
    <t>Tử Tôn Dần Mộc (Thế) </t>
  </si>
  <si>
    <t>Tử Tôn Thìn Thổ </t>
  </si>
  <si>
    <t>Quan Quỷ Dần Mộc</t>
  </si>
  <si>
    <t>Tử Tôn Sửu Thổ </t>
  </si>
  <si>
    <t>Quan Quỷ Tỵ Hỏa (Thế) </t>
  </si>
  <si>
    <t>Phụ Mẫu Thìn Thổ </t>
  </si>
  <si>
    <t>Phụ Mẫu Hợi Thủy (Ứng) </t>
  </si>
  <si>
    <t>Quan Quỷ Sửu Thổ (Ứng) </t>
  </si>
  <si>
    <t>Tử Tôn Thìn Thổ (Ứng) </t>
  </si>
  <si>
    <t>Tử Tôn Mão Mộc </t>
  </si>
  <si>
    <t>Phu Mẫu Dần Mộc (Ứng) </t>
  </si>
  <si>
    <t>Phụ Mẫu Dần Mộc (Ứng) </t>
  </si>
  <si>
    <t>Tử Tôn dần mộc </t>
  </si>
  <si>
    <t>Phụ Mẫu Tý Thủy (Thế) </t>
  </si>
  <si>
    <t>Thê Tài Sửu Thổ </t>
  </si>
  <si>
    <t>Phụ mẫu Tỵ Hỏa </t>
  </si>
  <si>
    <t>Thê Tài Tý Thủy (Thế) </t>
  </si>
  <si>
    <t>Phụ Mẫu Tý Thủy (Ứng) </t>
  </si>
  <si>
    <t>Thê Tài Sửu Thổ (Ứng) </t>
  </si>
  <si>
    <t>Tử Tôn Dần Mộc </t>
  </si>
  <si>
    <t>Tử Tôn Mão Mộc (Ứng) </t>
  </si>
  <si>
    <t>Phụ Mẫu Tỵ Hỏa (Ứng) </t>
  </si>
  <si>
    <t>Thê Tài Dần Mộc (Thế) </t>
  </si>
  <si>
    <t>Tử Tôn Thìn Thổ (Thế) </t>
  </si>
  <si>
    <t>Thê Tài Tỵ Hỏa (Thế) </t>
  </si>
  <si>
    <t>Càn: nguyên, hanh, lợi, trinh</t>
  </si>
  <si>
    <t>Khôn nguyên hanh, lợi tẫn mã chi trinh ; quân tử hữu du vãng, tiên mê hậu đắc, chủ lợi ; Tây Nam đắc bằng, Đông Bắc táng bằng, yên trinh cát.</t>
  </si>
  <si>
    <t>Truân, Nguyên Hanh, Lỵ Trinh, vật dụng hữu du vãng, lỵ kiến hầu .</t>
  </si>
  <si>
    <t>Mông: hanh, phỉ ngã cầu đồng mông, đồng mông cầu ngã. Sơ phệ cáo, tái tam độc, độc tắc bất cáo. Lợi trinh </t>
  </si>
  <si>
    <t>Nhu: hữu phu, quang hanh, trinh, cát, lợi thiệp đại xuyên</t>
  </si>
  <si>
    <t>Tụng, hữu phu, trất, dịch. Trung cát, chung hung. Lợi kiến đại nhân, bất lợi thiệp đại xuyên</t>
  </si>
  <si>
    <t>Sư: trinh, trượng nhân cát, vô cữu </t>
  </si>
  <si>
    <t>Tỷ cát. Nguyên phệ, nguyên vĩnh trinh, vô cữu. Bất ninh phương lai, hậu phu hung</t>
  </si>
  <si>
    <t>Tiểu Súc: Hanh. Mật vân bất vũ, tự ngã tây giao</t>
  </si>
  <si>
    <t>Lý hổ vĩ, bất điệt nhân, hanh</t>
  </si>
  <si>
    <t>Thái: Tiểu vãn đại lai, cát, hanh</t>
  </si>
  <si>
    <t>Bĩ chi phỉ nhân, bất lợi quân tử trinh, đại vãng tiểu lai. </t>
  </si>
  <si>
    <t>Đồng nhân vu dã, hanh. Lợi thiệp đại xuyên. Lợi quân tử trinh. </t>
  </si>
  <si>
    <t>Đại hữu: Nguyên hanh.</t>
  </si>
  <si>
    <t>Khiêm: Hanh, quân tử hữu chung. </t>
  </si>
  <si>
    <t>Dự: Lợi kiến hầu, hành sư. </t>
  </si>
  <si>
    <t>Tùy: Nguyên, hanh, lợi, trinh, vô cữu. </t>
  </si>
  <si>
    <t>Cổ: Nguyên hanh, lợi thiệp đại xuyên Tiên giáp tam nhật, hậu giáp tam nhật. </t>
  </si>
  <si>
    <t>Lâm: Nguyên hanh, lợi trinh. Chí vu bát nguyệt hữu hung. </t>
  </si>
  <si>
    <t>Quán: Quán nhi bất tiến, hữu phu ngung nhược. </t>
  </si>
  <si>
    <t>Phệ hạp: Hanh, lợi dụng ngục. </t>
  </si>
  <si>
    <t>Bí: hanh, tiểu lợi, hữu du vãng. </t>
  </si>
  <si>
    <t>Bác: Bất lợi hữu du vãng.</t>
  </si>
  <si>
    <t>Phục: Hanh, Xuất nhập vô tật, bằng lai vô cữu. Phản phục kì đạo, thất nhật lai phục, lợi hữu du vãng. </t>
  </si>
  <si>
    <t>Vô vọng: Nguyên hanh, lợi trinh. Kì phỉ chính hữu sảnh, bất lợi hữu du vãng. </t>
  </si>
  <si>
    <t>Đại súc: Lợi trinh, bất gia thực, cát; lợi thiệp đại xuyên. </t>
  </si>
  <si>
    <t>Di : Trinh cát. Quan di, tự cầu khẩu thực. </t>
  </si>
  <si>
    <t>Đại quá: đống nạo, lợi hữu du vãng, hanh. </t>
  </si>
  <si>
    <t>Tập Khảm: Hữu phu, duy tâm hanh, hành hữu thượng. </t>
  </si>
  <si>
    <t>Ly: lợi trinh, hanh. Súc tẫn ngưu, cát. </t>
  </si>
  <si>
    <t>Hàm: Hanh, lợi trinh, thú nữ cát. </t>
  </si>
  <si>
    <t>Hằng: Hanh, vô cữu; lợi trinh, lợi hữu du vãng. </t>
  </si>
  <si>
    <t>Độn: Hanh, tiểu lợi trinh.</t>
  </si>
  <si>
    <t>Đại tráng, lợi trinh. </t>
  </si>
  <si>
    <t>Tấn: Khang hầu dụng tích mã phồn thứ, trú nhật tam tiếp </t>
  </si>
  <si>
    <t>Minh di: Lợi gian trinh. </t>
  </si>
  <si>
    <t>Gia nhân : Lợi nữ trinh.</t>
  </si>
  <si>
    <t>Khuê: Tiểu sự cát. </t>
  </si>
  <si>
    <t>Kiển: Lợi Tây Nam, bất lợi đông Bắc, lợi kiến đại nhân, trinh cát. </t>
  </si>
  <si>
    <t>Giải : Lợi Tây nam, vô sở vãng, kì lai phục, cát. Hữu du vãng, túc, cát. </t>
  </si>
  <si>
    <t>Tổn: Hữu phu, nguyên cát, vô cữu, khả trinh, lợi hữu. Du vãng. Hạt chi dụng? Nhị quĩ khả dụng hưởng. </t>
  </si>
  <si>
    <t>Ích: lợi hữu du vãng, lợi thiệp đại xuyên. </t>
  </si>
  <si>
    <t>Quải: Dương vu vương đình, phu hiệu. Hữu lệ, cáo tự ấp, bất lợi tức nhung, lợi hữu du vãng. </t>
  </si>
  <si>
    <t>Cấu: Nữ tráng, vật dụng thú nữ. </t>
  </si>
  <si>
    <t>Tụy: hanh, vương cách hữu miếu. Lợi kiến đại nhân, Hanh, lợi trinh. Dụng đại sinh, cát, lợi hữu du vãng. </t>
  </si>
  <si>
    <t>Thăng: nguyên hanh, dụng kiến đại nhân, vật tuất, nam chinh, cát. </t>
  </si>
  <si>
    <t>Khốn: Hanh, Trinh, đại nhân cát, vô cữu. Hữu ngôn bất thân</t>
  </si>
  <si>
    <t>Tỉnh: Cải ấp bất cải tỉnh, vô táng vô đắc, vãng lai tỉnh tỉnh. Ngật chí, diệc vị duật tỉnh, luy kì bình, hung. </t>
  </si>
  <si>
    <t>Cách: Dĩ nhật nãi phu, nguyên hanh lợi trinh. Hối vong. </t>
  </si>
  <si>
    <t>Ðỉnh: Nguyên cát, hanh. </t>
  </si>
  <si>
    <t>Chấn hanh. Chấn lai hích hích, tiểu ngôn ách ách. Chấn kính bách lý, bất táng chuỷ xướng. </t>
  </si>
  <si>
    <t>Cấn kì bối, bất hoạch kì thân, hành kì đình, bất kiến kì nhân, vô cữu. </t>
  </si>
  <si>
    <t>Tiệm: Nữ qui, cát, lợi trinh. </t>
  </si>
  <si>
    <t>Qui muội: chinh hung, vô du lợi. </t>
  </si>
  <si>
    <t>Phong : hanh. Vương cách chi, vật ưu, nghi nhật trung. </t>
  </si>
  <si>
    <t>Lữ: tiểu hanh, Lữ trinh, cát. </t>
  </si>
  <si>
    <t>Tốn: tiểu hanh, lợi hữu du vãng , lợi kiến đại nhân.</t>
  </si>
  <si>
    <t>Đoài; Hanh. Lợi trinh.</t>
  </si>
  <si>
    <t>Hoán; hanh. Vương cách hữu miếu, Lợi thiệp đại xuyên, lợi trinh. </t>
  </si>
  <si>
    <t>Tiết : Hanh. Khổ tiết bất khả trinh. </t>
  </si>
  <si>
    <t>Trung Phu: Đồn ngư cát, lợi thiệp đại xuyên, lợi trinh.</t>
  </si>
  <si>
    <t>Tiểu quá: Hanh, lợi trinh. Khả tiểu sự, bất khả đại sự. Phi điểu di chi âm, bất nghi thượng, nghi hạ, đại cát. </t>
  </si>
  <si>
    <t>Chính bền sau tốt, cảm về theo nhau.</t>
  </si>
  <si>
    <t>Chiều tà, sóng vỗ, gió mưa ào ào.</t>
  </si>
  <si>
    <t>Chỉ tốt sự hôn nhân.</t>
  </si>
  <si>
    <t>Phàm việc nhiều hối thẹn,</t>
  </si>
  <si>
    <t>Cửa nhà sáng tươi.</t>
  </si>
  <si>
    <t>Suốt ngày hoa nở thấy hoa đâu,</t>
  </si>
  <si>
    <t>MKH: Thì ở nương náu địa vị thấp kém, tài sơ sức mọn và chịu đựng hình khắc gian nan.</t>
  </si>
  <si>
    <t>MKH: Bỏ hay theo dở, hại người ích mình, ai khuyên thì oán, ai phỉnh thì mừng, kết cục chẳng ra sao.</t>
  </si>
  <si>
    <t>Lập xuân</t>
  </si>
  <si>
    <t>Kinh trập</t>
  </si>
  <si>
    <t>Thanh minh</t>
  </si>
  <si>
    <t>Lập hạ</t>
  </si>
  <si>
    <t>Mang chủng</t>
  </si>
  <si>
    <t>Tiểu thử</t>
  </si>
  <si>
    <t>Lập thu</t>
  </si>
  <si>
    <t>Bạch lộ</t>
  </si>
  <si>
    <t>Hàn lộ</t>
  </si>
  <si>
    <t>Lập đông</t>
  </si>
  <si>
    <t>Đại tuyết</t>
  </si>
  <si>
    <t>Nhìn không thấy vợ, sầu tuôn lệ dài.</t>
  </si>
  <si>
    <t>MHC: Ở ngôi tôn, lỡ dùng nhầm kẻ gian hỏng việc.</t>
  </si>
  <si>
    <t>91994</t>
  </si>
  <si>
    <t>101994</t>
  </si>
  <si>
    <t>111994</t>
  </si>
  <si>
    <t>121994</t>
  </si>
  <si>
    <t>11995</t>
  </si>
  <si>
    <t>21995</t>
  </si>
  <si>
    <t>31995</t>
  </si>
  <si>
    <t>41995</t>
  </si>
  <si>
    <t>51995</t>
  </si>
  <si>
    <t>61995</t>
  </si>
  <si>
    <t>11980b</t>
  </si>
  <si>
    <t>21980b</t>
  </si>
  <si>
    <t>31980b</t>
  </si>
  <si>
    <t>41980b</t>
  </si>
  <si>
    <t>51980b</t>
  </si>
  <si>
    <t>61980b</t>
  </si>
  <si>
    <t>Đổi thay được, không hung.</t>
  </si>
  <si>
    <t>Hồng lẻ đụng cánh lông.</t>
  </si>
  <si>
    <t xml:space="preserve">Lui về mà thủ phận, </t>
  </si>
  <si>
    <t>Tiến lắm chỉ toi công.</t>
  </si>
  <si>
    <t>Tới kỳ cát khánh tung hoành thua ai.</t>
  </si>
  <si>
    <t>Tự nhiên an ổn chẳng cầu cạnh ai.</t>
  </si>
  <si>
    <t>Kế hay đã sẵn, tiến trình thản nhiên.</t>
  </si>
  <si>
    <t>Việc gì là chẳng tự nhiên tốt lành.</t>
  </si>
  <si>
    <t>Lời hào</t>
  </si>
  <si>
    <t>72007b</t>
  </si>
  <si>
    <t>82007b</t>
  </si>
  <si>
    <t>92007b</t>
  </si>
  <si>
    <t>102007b</t>
  </si>
  <si>
    <t>112007b</t>
  </si>
  <si>
    <t>122007b</t>
  </si>
  <si>
    <t>32029b</t>
  </si>
  <si>
    <t>42029b</t>
  </si>
  <si>
    <t>52029b</t>
  </si>
  <si>
    <t>62029b</t>
  </si>
  <si>
    <t>72029b</t>
  </si>
  <si>
    <t>82029b</t>
  </si>
  <si>
    <t>92029b</t>
  </si>
  <si>
    <t>102029b</t>
  </si>
  <si>
    <t>112029b</t>
  </si>
  <si>
    <t>122029b</t>
  </si>
  <si>
    <t>12030b</t>
  </si>
  <si>
    <t>22030b</t>
  </si>
  <si>
    <t>32030b</t>
  </si>
  <si>
    <t>NT: Phòng đổ vỡ, đau mắt, đau chân.</t>
  </si>
  <si>
    <t>NT: Trước trở sau thành. Số xấu bị xương thịt hình thương.</t>
  </si>
  <si>
    <t>NT: Được mừng về vợ con. Số xấu bị hình khắc tổn thương.</t>
  </si>
  <si>
    <t>NT: Hiệp lực đông đảo, được lợi. Hôn nhân thành. Tăng ni có đông tín đồ theo.</t>
  </si>
  <si>
    <t>112034</t>
  </si>
  <si>
    <t>122034</t>
  </si>
  <si>
    <t>12035</t>
  </si>
  <si>
    <t>22035</t>
  </si>
  <si>
    <t>32035</t>
  </si>
  <si>
    <t>42035</t>
  </si>
  <si>
    <t>52035</t>
  </si>
  <si>
    <t>62035</t>
  </si>
  <si>
    <t>72035</t>
  </si>
  <si>
    <t>81992b</t>
  </si>
  <si>
    <t>91992b</t>
  </si>
  <si>
    <t>101992b</t>
  </si>
  <si>
    <t>111992b</t>
  </si>
  <si>
    <t>121992b</t>
  </si>
  <si>
    <t>11993b</t>
  </si>
  <si>
    <t>21993b</t>
  </si>
  <si>
    <t>31993b</t>
  </si>
  <si>
    <t>41993b</t>
  </si>
  <si>
    <t>51993b</t>
  </si>
  <si>
    <t>61993b</t>
  </si>
  <si>
    <t>MHC: Nhiều trở ngại khó, nghi ngờ, hoặc được hoặc mất, công danh khó trọn vẹn, tất tả ngược xuôi, gian nan mới được việc nhà.</t>
  </si>
  <si>
    <t>MHC: Có công danh phúc thọ, được đãi như quốc khách để thực hiện chí hướng.</t>
  </si>
  <si>
    <t>MHC: Biết cơ mà thoái, biết đủ mà không tham, hoặc giữ chức trấn thủ biên thành, hoặc giàu có ở nhà lớn tường cao.</t>
  </si>
  <si>
    <t>MHC: Không kiêu dâm, đã minh lại triết, trước sau tốt lành.</t>
  </si>
  <si>
    <t>MHC: Có đức tài, lại biết lập ngôn, mà vẫn nhũn nhặn, không giả trá; hưởng phú quý.</t>
  </si>
  <si>
    <t>MHC: Tiếng thơm đức hậu, quyền trọng, công cao, làm việc lớn. Giải quyết được việc lớn.</t>
  </si>
  <si>
    <t>Mừng khi sinh dục được thời phong quang.</t>
  </si>
  <si>
    <t>Lội xâu quá, ngập lút cả đỉnh đầu, xấu nhưng không lỗi gì.</t>
  </si>
  <si>
    <t>Quen hiểm, vào chổ hiểm sâu nên xấu.</t>
  </si>
  <si>
    <t>NT: Hoạch lợi. Số xấu nhân ăn uống hỏng việc.</t>
  </si>
  <si>
    <t>71983b</t>
  </si>
  <si>
    <t>NT: Phòng nhục nhã, kiện tụng.</t>
  </si>
  <si>
    <t>111925b</t>
  </si>
  <si>
    <t>121925b</t>
  </si>
  <si>
    <t>11926b</t>
  </si>
  <si>
    <t>21926b</t>
  </si>
  <si>
    <t>31926b</t>
  </si>
  <si>
    <t>41926b</t>
  </si>
  <si>
    <t>51926b</t>
  </si>
  <si>
    <t>61926b</t>
  </si>
  <si>
    <t>71926b</t>
  </si>
  <si>
    <t>81926b</t>
  </si>
  <si>
    <t>91926b</t>
  </si>
  <si>
    <t>101926b</t>
  </si>
  <si>
    <t>111926b</t>
  </si>
  <si>
    <t>121926b</t>
  </si>
  <si>
    <t>11927b</t>
  </si>
  <si>
    <t>21927b</t>
  </si>
  <si>
    <t>31927b</t>
  </si>
  <si>
    <t>41927b</t>
  </si>
  <si>
    <t>51927b</t>
  </si>
  <si>
    <t>61927b</t>
  </si>
  <si>
    <t>71927b</t>
  </si>
  <si>
    <t>81927b</t>
  </si>
  <si>
    <t>91927b</t>
  </si>
  <si>
    <t>101927b</t>
  </si>
  <si>
    <t>111927b</t>
  </si>
  <si>
    <t>121927b</t>
  </si>
  <si>
    <t>11928b</t>
  </si>
  <si>
    <t>21928b</t>
  </si>
  <si>
    <t>31928b</t>
  </si>
  <si>
    <t>41928b</t>
  </si>
  <si>
    <t>51928b</t>
  </si>
  <si>
    <t>61928b</t>
  </si>
  <si>
    <t>71928b</t>
  </si>
  <si>
    <t>81928b</t>
  </si>
  <si>
    <t>91928b</t>
  </si>
  <si>
    <t>101928b</t>
  </si>
  <si>
    <t>111928b</t>
  </si>
  <si>
    <t>Mặt trăng gần đến rằm, con ngựa bỏ “bồ” cập đôi, không lỗi gì (bỏ hào 1 để đi với hào 5 hay hơn).</t>
  </si>
  <si>
    <t xml:space="preserve">Thanh danh đức nghiệp đã nên,     </t>
  </si>
  <si>
    <t>Có lòng tín thành ràng buộc như (ư !) không lỗi gì.</t>
  </si>
  <si>
    <t>Sấm mỏi mỏi (đến cùng rồi) nhìn kinh ngạc, tiến hành thời xấu, sấm chưa tới nơi hàng xóm, nên không lỗi gì, việc cưới xin có điều tiếng.</t>
  </si>
  <si>
    <t>72047</t>
  </si>
  <si>
    <t>82047</t>
  </si>
  <si>
    <t>GS: Đỗ đạt nổi tiếng.</t>
  </si>
  <si>
    <t>GS: Thành danh ở trong nước, ở địa phương.</t>
  </si>
  <si>
    <t>GS: Tiến thủ thành danh, doanh mưu hoạch lợi.</t>
  </si>
  <si>
    <t>52022b</t>
  </si>
  <si>
    <t>62022b</t>
  </si>
  <si>
    <t>72022b</t>
  </si>
  <si>
    <t>82022b</t>
  </si>
  <si>
    <t>92022b</t>
  </si>
  <si>
    <t>102022b</t>
  </si>
  <si>
    <t>112022b</t>
  </si>
  <si>
    <t>122022b</t>
  </si>
  <si>
    <t>12023b</t>
  </si>
  <si>
    <t>22023b</t>
  </si>
  <si>
    <t>32023b</t>
  </si>
  <si>
    <t>42023b</t>
  </si>
  <si>
    <t>52023b</t>
  </si>
  <si>
    <t>62023b</t>
  </si>
  <si>
    <t>72023b</t>
  </si>
  <si>
    <t>82023b</t>
  </si>
  <si>
    <t>92023b</t>
  </si>
  <si>
    <t>102023b</t>
  </si>
  <si>
    <t>112023b</t>
  </si>
  <si>
    <t>122023b</t>
  </si>
  <si>
    <t>12024b</t>
  </si>
  <si>
    <t>22024b</t>
  </si>
  <si>
    <t>32024b</t>
  </si>
  <si>
    <t>QC: Đương vinh hóa nhục, đương tiến hóa thoái.</t>
  </si>
  <si>
    <t>52016b</t>
  </si>
  <si>
    <t>NT: Muốn hoạt động chưa đến lúc, sắp ra tay chẳng ra tay vội, cẩn thận đợi thời thì an bình không lo.</t>
  </si>
  <si>
    <t>QC: Có chức chưa lĩnh, có vị chưa ngồi.</t>
  </si>
  <si>
    <t>Đi nữa thì vất vả, trở lại được việc lớn, tốt, lợi về việc gặp đại nhân (hào 5).</t>
  </si>
  <si>
    <t>Cơ mưu thêm hại, thẳng ngay thì lành.</t>
  </si>
  <si>
    <t>Kẻ tiểu nhân dùng sức đương hăng, người Quân tử dùng sức gan lì, chính cũng nguy, con dê đực húc vào bờ giậu, gẫy cả sừng nó.</t>
  </si>
  <si>
    <t>NT: Trước hỏng sau được. Số xấu có kiện tụng, hoặc tang phục, tế lễ.</t>
  </si>
  <si>
    <t>111918b</t>
  </si>
  <si>
    <t>121918b</t>
  </si>
  <si>
    <t>11919b</t>
  </si>
  <si>
    <t>21919b</t>
  </si>
  <si>
    <t>31919b</t>
  </si>
  <si>
    <t>41919b</t>
  </si>
  <si>
    <t>51919b</t>
  </si>
  <si>
    <t>61919b</t>
  </si>
  <si>
    <t>71919b</t>
  </si>
  <si>
    <t>81919b</t>
  </si>
  <si>
    <t>91919b</t>
  </si>
  <si>
    <t>101919b</t>
  </si>
  <si>
    <t>111919b</t>
  </si>
  <si>
    <t>121919b</t>
  </si>
  <si>
    <t>11920b</t>
  </si>
  <si>
    <t>21920b</t>
  </si>
  <si>
    <t>31920b</t>
  </si>
  <si>
    <t>41920b</t>
  </si>
  <si>
    <t>51920b</t>
  </si>
  <si>
    <t>61920b</t>
  </si>
  <si>
    <t>71920b</t>
  </si>
  <si>
    <t>81920b</t>
  </si>
  <si>
    <t>91920b</t>
  </si>
  <si>
    <t>101920b</t>
  </si>
  <si>
    <t>111920b</t>
  </si>
  <si>
    <t>121920b</t>
  </si>
  <si>
    <t>11921b</t>
  </si>
  <si>
    <t>21921b</t>
  </si>
  <si>
    <t>Khảm</t>
  </si>
  <si>
    <t>Khảm1</t>
  </si>
  <si>
    <t>Ẩn tránh hay, chính và tốt.</t>
  </si>
  <si>
    <t>41938</t>
  </si>
  <si>
    <t>51938</t>
  </si>
  <si>
    <t>Người quân tử suốt ngày trí căng thẳng như nơm nớp lo sợ ở thế nguy, nhưng không bị lỗi gì.</t>
  </si>
  <si>
    <t>Chim hồng tiến dần lên trên cây, hoặc được cái cành bằng, không lỗi gì.</t>
  </si>
  <si>
    <t>Chính, tốt, không ăn năn gì, cái rực rỡ của người Quân tử, có tin tưởng thật là tốt.</t>
  </si>
  <si>
    <t>MHC: Người trung chính có danh vọng to, địa vị lớn.</t>
  </si>
  <si>
    <t>61918</t>
  </si>
  <si>
    <t>31984</t>
  </si>
  <si>
    <t>41984</t>
  </si>
  <si>
    <t>51984</t>
  </si>
  <si>
    <t>61984</t>
  </si>
  <si>
    <t>71984</t>
  </si>
  <si>
    <t>81984</t>
  </si>
  <si>
    <t>91984</t>
  </si>
  <si>
    <t>101984</t>
  </si>
  <si>
    <t>81992</t>
  </si>
  <si>
    <t>91992</t>
  </si>
  <si>
    <t>101992</t>
  </si>
  <si>
    <t>111992</t>
  </si>
  <si>
    <t>MKH: Chí lớn, mưu cao thì vạ lại to.</t>
  </si>
  <si>
    <t>MKH: Cũng là người hưởng phúc thọ, được ngưỡng vọng.</t>
  </si>
  <si>
    <t>MKH: Chí lớn, mưu nhỏ, gặp họa khó còn.</t>
  </si>
  <si>
    <t>MKH: Tổn thân, phá tổ, cốt nhục khó yên, tuổi thọ kém, hình khắc nhiều.</t>
  </si>
  <si>
    <t>MKH: Hoặc làm binh sĩ, khách buôn, vất vả ngược xuôi, hoặc đau đầu, mất thanh danh.</t>
  </si>
  <si>
    <t>MKH: Khua môi múa mép làm loạn đầu óc thiên hạ, khó tránh lỗi.</t>
  </si>
  <si>
    <t>QC: (Nếu chức lớn) thì tiến lùi, thành bại bất thường.</t>
  </si>
  <si>
    <t>QC: Đương quyền lập công.</t>
  </si>
  <si>
    <t>QC: Không được lòng dân, nguy.</t>
  </si>
  <si>
    <t>QC: Dễ ngã về đường bất chính, tối tăm.</t>
  </si>
  <si>
    <t>QC: Hiển đạt rồi thì lui về cho toàn danh hưởng phúc.</t>
  </si>
  <si>
    <t>QC: Bị đòi về, hoặc mất chức.</t>
  </si>
  <si>
    <t>QC: Thường đi quận xa.</t>
  </si>
  <si>
    <t>QC: Ngồi vững vàng.</t>
  </si>
  <si>
    <t>QC: Được giao quyền quân sự coi bên trong.</t>
  </si>
  <si>
    <t>QC: Bị triệt vì tham nhũng.</t>
  </si>
  <si>
    <t>QC: Cáo hưu.</t>
  </si>
  <si>
    <t>QC: Vào nội các, nội vụ.</t>
  </si>
  <si>
    <t>QC: Lui về tu tĩnh, có sở đắc.</t>
  </si>
  <si>
    <t>QC: Bị dèm pha, truất giáng.</t>
  </si>
  <si>
    <t>QC: Có quyền binh.</t>
  </si>
  <si>
    <t>QC: Tham quyền cố vị, bị chê.</t>
  </si>
  <si>
    <t>QC: Không đi đúng đường lối chính trị nên bị truất giáng, hay phải trốn tránh trách nhiệm.</t>
  </si>
  <si>
    <t>QC: Quyền cao chức trọng.</t>
  </si>
  <si>
    <t>QC: Lo chăng chối hoặc an trí.</t>
  </si>
  <si>
    <t>QC: Xuất hay xử cũng nên công.</t>
  </si>
  <si>
    <t>QC: Bị truất giáng.</t>
  </si>
  <si>
    <t>72016</t>
  </si>
  <si>
    <t>82016</t>
  </si>
  <si>
    <t>92016</t>
  </si>
  <si>
    <t>102016</t>
  </si>
  <si>
    <t>112016</t>
  </si>
  <si>
    <t>122016</t>
  </si>
  <si>
    <t>12017</t>
  </si>
  <si>
    <t>22017</t>
  </si>
  <si>
    <t>32017</t>
  </si>
  <si>
    <t>Biết ngừng ở mép mình, nói năng có thứ tự, khỏi ăn năn gì.</t>
  </si>
  <si>
    <t>GS: Đấu tranh gây cấn.</t>
  </si>
  <si>
    <t>GS: Tiến thủ, đứng đầu danh sách.</t>
  </si>
  <si>
    <t>GS: Khó tiến.</t>
  </si>
  <si>
    <t>GS: Tiến thủ, nhưng đường chưa rõ.</t>
  </si>
  <si>
    <t>GS: Nổi chìm.</t>
  </si>
  <si>
    <t>GS: Tiến thủ thành danh.</t>
  </si>
  <si>
    <t>Ngày mai nắng ấm, tướng tinh ai bì.</t>
  </si>
  <si>
    <t>Người vui là phúc, lợi trời an nhiên.</t>
  </si>
  <si>
    <t>Ý HÀO: Sự hiểm trở còn ở xa xôi, chưa nên biến đổi gì.</t>
  </si>
  <si>
    <t>Ý HÀO: Vụ kiện không lâu, mới đầu thì uẩn khuất sau sáng tỏ.</t>
  </si>
  <si>
    <t>Ý HÀO: Người hành quân phải rất thận trọng, không thể cẩu thả.</t>
  </si>
  <si>
    <t>Ý HÀO: Lấy lòng thành cảm người ngay từ đầu thì về sau không việc gì là không tốt.</t>
  </si>
  <si>
    <t>Ý HÀO: Đạt mục đích mà không rời xa đạo lý. Biết tiến.</t>
  </si>
  <si>
    <t>Ý HÀO: Cuộc tiến hành lớn.</t>
  </si>
  <si>
    <t>Ý HÀO: Trở lại với điều chính thì tốt.</t>
  </si>
  <si>
    <t>GS: Cùng bạn đồng hành vượt lên có ngày.</t>
  </si>
  <si>
    <t>GS: Ra trường, tốt nghiệp, được tiến cử.</t>
  </si>
  <si>
    <t>GS: Đừng vội tiến.</t>
  </si>
  <si>
    <t>GS: Chờ được triệu mời.</t>
  </si>
  <si>
    <t>GS: Có cơ hội thành danh.</t>
  </si>
  <si>
    <t>GS: Có cơ hội tốt.</t>
  </si>
  <si>
    <t>GS: Thừa được chí của ông cha. Toại ý, có khảo thí.</t>
  </si>
  <si>
    <t>GS: Công danh toại ý.</t>
  </si>
  <si>
    <t>GS: Tiến thủ chuyển huớng trở về.</t>
  </si>
  <si>
    <t>GS: Phòng truất giáng.</t>
  </si>
  <si>
    <t>GS: Hoang dâm, bị chê cười. Học trò được lương ăn.</t>
  </si>
  <si>
    <t>GS: Cẩn mật, siêng đức nghiệp.</t>
  </si>
  <si>
    <t>GS: Phòng sai ngoa, xuyên tạc.</t>
  </si>
  <si>
    <t>MKH: Nhu nhược, ưu sầu, cô lập, chỉ làm được việc nhỏ.</t>
  </si>
  <si>
    <t>MKH: Tham lợi, khó tránh tai ương nhục nhã.</t>
  </si>
  <si>
    <t>MKH: Tâm nhược thân nguy mà không tự giải thoát được. Hoặc rời tổ đi xa lập nghiệp.</t>
  </si>
  <si>
    <t>MKH: Cũng tích đức, tuy không đỉnh chung, mà có chí Đào Chu làm giàu.</t>
  </si>
  <si>
    <t>MKH: Cậy thông minh, phạm phép, làm xằng, tham lam đến tai họa.</t>
  </si>
  <si>
    <t>MKH: Thanh danh, ở ẩn nơi núi rừng, kim ngọc đầy nhà, phúc trạch lớn lao.</t>
  </si>
  <si>
    <t>MKH: Không cẩn trọng, hay cậy mạnh gây tai họa, thê thiếp bất hòa, dáng mạo đâm ủy mị.</t>
  </si>
  <si>
    <t>MKH: Cũng thành thực, không phù hoa, ruộng vườn rộng lớn, tuổi thọ cao.</t>
  </si>
  <si>
    <t>MKH: Hiểm trá, lợi mình tổn người, tai họa cùng đến, thân gia khó giữ được.</t>
  </si>
  <si>
    <t>MKH: Người ghét mình, mình chẳng thân ai, động làm gì là có tiếc, chẳng bền lâu.</t>
  </si>
  <si>
    <t>MKH: Chí khí cương đại, bất cận nhân tình, kết thù mua oán, luôn luôn vất vả.</t>
  </si>
  <si>
    <t>NT: Tiến thoái, thị phi bất nhất, xấu quá có thể bệnh nặng đến nguy.</t>
  </si>
  <si>
    <t>Trái với đạo chính của Di, xấu; Mười năm cũng chờ dùng, không lợi gì cả.</t>
  </si>
  <si>
    <t xml:space="preserve">Lý đã hỏng, việc nên thôi       </t>
  </si>
  <si>
    <t>Trái đạo Di mà tốt (hào 4 chính), hổ nhìn chăm chăm (hào 4 nhìn xuống hào 1 ứng) lòng ham muốn rồn rập, nhưng không lỗi gì.</t>
  </si>
  <si>
    <t xml:space="preserve">Đề phòng một việc đảo điên,        </t>
  </si>
  <si>
    <t>Đại Quá là Họa (hư hao, gian nan, lớn đi quá mức).</t>
  </si>
  <si>
    <t xml:space="preserve">Tâm thừa, lực thiếu ngán không,      </t>
  </si>
  <si>
    <t>Cây dương khô nẩy rễ, chồng già được vợ trẻ (hào 1 âm) không gì là chẳng lợi.</t>
  </si>
  <si>
    <t>Lấy lòng tin mà giao thiệp như (ư !), có oai như (ư !). Tốt.</t>
  </si>
  <si>
    <t>21944b</t>
  </si>
  <si>
    <t>31944b</t>
  </si>
  <si>
    <t>BẢNG QUY ĐỔI NĂM SINH</t>
  </si>
  <si>
    <t>ÂM DƯƠNG</t>
  </si>
  <si>
    <t>Can</t>
  </si>
  <si>
    <t>Chi</t>
  </si>
  <si>
    <t>+/-</t>
  </si>
  <si>
    <t>DƯƠNG</t>
  </si>
  <si>
    <t>ÂM</t>
  </si>
  <si>
    <t>Hoa đào kết quả sợ thu đã về.</t>
  </si>
  <si>
    <t>Cùng người, trước phải hô hào, sau mới vui cười (gọi hào 2 giữ vững lập trường, đừng để hào 3, 4 khuynh loát). Dùng quân đánh to (hào 3 và 4) rồi mới được gặp nhau (gặp hào 2).</t>
  </si>
  <si>
    <t xml:space="preserve">Dùng quyền, người chửa thuận tòng         </t>
  </si>
  <si>
    <t xml:space="preserve">Nhân tình cách trở nhiêu khê,           </t>
  </si>
  <si>
    <t>Đại Hữu là Khoan (rộng lớn).</t>
  </si>
  <si>
    <t xml:space="preserve">Bụi đời đắm đuối bao phen,         </t>
  </si>
  <si>
    <t>MKH: Thì chỉ thích làm lớn lập công to, càng thêm tai họa.</t>
  </si>
  <si>
    <t>MKH: Tuy có lộc vị, nhưng không tránh được điều xấu, hoặc bị khiển trách, nghi kỵ, hoặc bán buôn xuôi ngược vất vả.</t>
  </si>
  <si>
    <t>NT: Muốn nhanh hóa chậm, trở đi trở lại, nghi hoặc lầm lẫn.</t>
  </si>
  <si>
    <t>NT: Việc tự đâu đâu làm tổn tài thiệt thân.</t>
  </si>
  <si>
    <t>MHC: Vì khiêm nhường mà các nhân tài về với mình, công nào chẳng thành, nghiệp nào chẳng vững.</t>
  </si>
  <si>
    <t>MHC: Là quý nhân chánh đáng, nhưng chí khí mềm oặt để quyền binh về người khác, tuy hiển đạt nhưng có tật bệnh mới sống lâu được.</t>
  </si>
  <si>
    <t>MHC: Thân hiền, nên nhiều người theo, lập được công.</t>
  </si>
  <si>
    <t>MHC: Lập thành đại nghiệp, cha mẹ thơm lây.</t>
  </si>
  <si>
    <t>MHC: Hiếu hiền lễ sĩ, lại minh triết nên trên cảm trời, dưới được lòng dân.</t>
  </si>
  <si>
    <t>GS: Tiến thủ, lên cao.</t>
  </si>
  <si>
    <t>GS: Nên tu tỉnh.</t>
  </si>
  <si>
    <t>Hạc minh cửu cao (Hạc kêu ở chín tầng cao).</t>
  </si>
  <si>
    <t>Thái âm thăng thiên (Vầng thái âm lên trời).</t>
  </si>
  <si>
    <t>Cách quý hiển</t>
  </si>
  <si>
    <t>Số thuận mùa</t>
  </si>
  <si>
    <t>*</t>
  </si>
  <si>
    <t>MHC: Trẻ tuổi minh mẫn, đứng tuổi khiêm cung. Tuổi thanh xuân đỗ đạt thành tài, nhờ phúc ấm tổ tiên, được kén chọn ra coi dân, trị nước, việc làm trôi chảy.</t>
  </si>
  <si>
    <t>MHC: Đại quý nhân, công thành danh toại.</t>
  </si>
  <si>
    <t>MHC: Học rộng tài cao. Chữ Nguyên chữ Chính rất tốt (ngày xưa đỗ Tam Nguyên, làm chức Chính Khanh).</t>
  </si>
  <si>
    <t>MKH: Cũng là kẻ sĩ có đạo đức, phong hậu, bình tĩnh, không bị tai họa.</t>
  </si>
  <si>
    <t>MKH: Có nhiều tri kỷ, nhưng ít người giúp mình. Quy mô nhỏ hẹp nơi gia đình thôi.</t>
  </si>
  <si>
    <t>MKH: Vui quá hóa buồn.</t>
  </si>
  <si>
    <t>MKH: Càng hoạt động chỉ khốn cùng gian nan. Duy ẩn ở sơn lâm thì tốt.</t>
  </si>
  <si>
    <t>GS: Thi thố văn tài, bị trách cứ nhưng sau cũng thanh thỏa.</t>
  </si>
  <si>
    <t>GS: Bảo thủ kẻo bị tai tiếng.</t>
  </si>
  <si>
    <t>GS: Đỗ ưu, danh thành.</t>
  </si>
  <si>
    <t>GS: Là tay lãnh đạo xuất sắc.</t>
  </si>
  <si>
    <t>GS: Khó hội ngộ.</t>
  </si>
  <si>
    <t>GS: Nên đời thời.</t>
  </si>
  <si>
    <t>GS: Thi đỗ văn bằng nhỏ.</t>
  </si>
  <si>
    <t>GS: Tiến tới, thành danh.</t>
  </si>
  <si>
    <t>GS: Tiến thủ, thành danh.</t>
  </si>
  <si>
    <t>GS: Tiến thủ dễ dàng.</t>
  </si>
  <si>
    <t>GS: Văn lý không thông hoạt.</t>
  </si>
  <si>
    <t>GS: Không gặp may.</t>
  </si>
  <si>
    <t>MHC: Tiến thân phải đường, lập công có đức, nó động thì mình ứng, xét kỹ rồi mới phát lệnh, dẹp loạn cứu dân, uy danh nổi như cồn khắp hoàn vũ.</t>
  </si>
  <si>
    <t>MHC: Rất công rất chính, xử trên đối dưới đều hợp đạo lý. Cao thì ở Trung Ương, nhỏ nhất cũng ăn lộc quận, ấp.</t>
  </si>
  <si>
    <t>MHC: Quý mà không kiêu, phú mà biết giúp người, thân sơ cùng lòng, coi nhau như anh em, nên xa gần đều ngưỡng mộ.</t>
  </si>
  <si>
    <t>MKH: Thì cũng là người chất thực, của đủ dùng, suốt đời không bị tổn hại.</t>
  </si>
  <si>
    <t>MKH: Giữ mình, kính trên, lợi quan cận quý, thu dụng khá đầy đủ.</t>
  </si>
  <si>
    <t>MKH: Đa mưu, đa biến, lo mừng bất thường, hoặc lập công hưởng lộc, theo quân, có danh.</t>
  </si>
  <si>
    <t>MKH: Bỉ lận, không thích tân bằng, ích mình hại người, cố chấp.</t>
  </si>
  <si>
    <t>MKH: Cũng thành thực giao hảo, được quý nhân tiếp dẫn, lợi đạt, phúc dày.</t>
  </si>
  <si>
    <t>MKH: Cũng thành tâm kết giao, thanh danh đức nghiệp tốt cả.</t>
  </si>
  <si>
    <t>MKH: Cũng chính đại, không a dua, không tu bạ, được tôn trọng nơi xóm làng.</t>
  </si>
  <si>
    <t>MKH: Hay nghi hoặc, không định kiến, hoặc bị bệnh chân, hơi độc. Không hòa thuận. Buồn lo kể ngày.</t>
  </si>
  <si>
    <t>MKH: Khởi gia khó nhọc.</t>
  </si>
  <si>
    <t xml:space="preserve">Nói nhiều mang họa vào thân,         </t>
  </si>
  <si>
    <t>Ngó lên trên (hào 4) mà vui say, hối chậm, có ăn năn đấy.</t>
  </si>
  <si>
    <t>NT: Nhiều tật ách. Số tốt thì được vợ đắc lực, nhà thêm người.</t>
  </si>
  <si>
    <t>NT: Tụng sự, tang phục, hình khắc đa đoan, người của đều bất lợi.</t>
  </si>
  <si>
    <t>NT: Được bạn tốt cùng kinh doanh có lợi.</t>
  </si>
  <si>
    <t>NT: Nửa mừng nửa lo, phòng đam mê.</t>
  </si>
  <si>
    <t>NT: Phòng trộm cướp, kiện tụng, thị phi.</t>
  </si>
  <si>
    <t>MHC: Theo cổ, xử sự có đạo lý, làm vũ chức được như ý.</t>
  </si>
  <si>
    <t>MHC: Biết nghe cản ngăn, cải lỗi lầm, nên có ít nhiều danh lợi.</t>
  </si>
  <si>
    <t>MHC: Thành thực, ôn lương, huệ minh cảm phục được lòng người, nên đạt chí, thông thần.</t>
  </si>
  <si>
    <t>MHC: Giữ chí cao thượng, coi thường danh lợi.</t>
  </si>
  <si>
    <t>51976b</t>
  </si>
  <si>
    <t>61976b</t>
  </si>
  <si>
    <t>71976b</t>
  </si>
  <si>
    <t>81976b</t>
  </si>
  <si>
    <t>Chẳng ra khỏi cổng sân, không lỗi gì.</t>
  </si>
  <si>
    <t>GS: Phòng ruồng bỏ, phòng đình giáng.</t>
  </si>
  <si>
    <t>MHC: Ngôi vị lớn, dẹp loạn, trị nước.</t>
  </si>
  <si>
    <t>MHC: Biết đổi lỗi hóa thiện thì vẫn phú quý.</t>
  </si>
  <si>
    <t>MHC: Giữ nhưng thông biến thì mới phòng được nguy, bảo vệ được phúc trạch.</t>
  </si>
  <si>
    <t>MHC: Công lớn, danh cao, mở bội hòa bình, đương thời trọng vọng.</t>
  </si>
  <si>
    <t>MHC: Vị tôn đức trọng, chăm lo việc nước, công huân quán thế, phúc trạch bền lâu.</t>
  </si>
  <si>
    <t>MHC: Vì việc đất nước, lâm đại nạn, dám tuẫn quốc, lưu danh sử sách.</t>
  </si>
  <si>
    <t>GS: Muốn hoạt động chưa đến lúc, sắp ra tay chẳng ra tay vội.</t>
  </si>
  <si>
    <t xml:space="preserve">Lên đường chẳng lỗi chi mà,      </t>
  </si>
  <si>
    <t>Như đàn bà (hào 2) đánh mất cái màn xe (phải hoãn cuộc đi) nhưng chớ đuổi tìm, bảy ngày sẽ thấy. (Hào 2 không được hào 5 dùng vì bị kẹt vào giữa quẻ Khảm. Chờ hết quẻ này 6 hào, nên nói 7 ngày thời biến khác sẽ gặp).</t>
  </si>
  <si>
    <t>Vua Cao Tông đánh quỉ phương ba năm mới dẹp xong, kẻ tiểu nhân (gặp hào này) đừng làm thế (sẽ hỏng việc vì phải tùy người).</t>
  </si>
  <si>
    <t>Trước tiên nghe tiếng hô hào giúp nhau.</t>
  </si>
  <si>
    <t>Chim bằng cất cánh Quảng hàn đâu xa.</t>
  </si>
  <si>
    <t xml:space="preserve">Quế nguyệt hương đưa dặm, </t>
  </si>
  <si>
    <t>71908b</t>
  </si>
  <si>
    <t>81908b</t>
  </si>
  <si>
    <t>91908b</t>
  </si>
  <si>
    <t>101908b</t>
  </si>
  <si>
    <t>111908b</t>
  </si>
  <si>
    <t>121908b</t>
  </si>
  <si>
    <t>11909b</t>
  </si>
  <si>
    <t>Bỏ hết đi (bè tiểu nhân) thì không lỗi.</t>
  </si>
  <si>
    <t>101957</t>
  </si>
  <si>
    <t>111957</t>
  </si>
  <si>
    <t>121957</t>
  </si>
  <si>
    <t>11958</t>
  </si>
  <si>
    <t>21958</t>
  </si>
  <si>
    <t>31958</t>
  </si>
  <si>
    <t>41958</t>
  </si>
  <si>
    <t>51958</t>
  </si>
  <si>
    <t>61958</t>
  </si>
  <si>
    <t>71958</t>
  </si>
  <si>
    <t>81958</t>
  </si>
  <si>
    <t>91958</t>
  </si>
  <si>
    <t>Quang huy rực rỡ màu.</t>
  </si>
  <si>
    <t xml:space="preserve">Sức đám đông, rõ bầy ra         </t>
  </si>
  <si>
    <t xml:space="preserve">          Kể ra lãnh đạo rất phiền,</t>
  </si>
  <si>
    <t>Chẳng ai yểm trợ đâu nào an vui.</t>
  </si>
  <si>
    <t>Lầu cao trăng sáng soi thu vạn đường.</t>
  </si>
  <si>
    <t xml:space="preserve">Người đi kẻ lại tự do,             </t>
  </si>
  <si>
    <t>Thẳng thắn mới không lo.</t>
  </si>
  <si>
    <t xml:space="preserve">Người mới quen, tưởng quý, nhờ        </t>
  </si>
  <si>
    <t>Cá vàng câu được, điếu đài vẻ vang.</t>
  </si>
  <si>
    <t xml:space="preserve">Một đi một lại nghi hoài,        </t>
  </si>
  <si>
    <t>Người nhà người cửa sợ phần tai ương.</t>
  </si>
  <si>
    <t xml:space="preserve">Dắt nhau cùng bạn tương tri,      </t>
  </si>
  <si>
    <t>Cây khô mà gặp xuân trời lại xanh.</t>
  </si>
  <si>
    <t>Ý HÀO: Lấy lòng thành xuống với người hiền (hào 5 xuống với hào 2) cải cách việc cai trị.</t>
  </si>
  <si>
    <t>Giữ rất tốt thì không lỗi (hào 4 vị bất đáng).</t>
  </si>
  <si>
    <t>Ngọt ngào mà tới, cũng không ích lợi, đã biết lo rồi thì không lỗi gì.</t>
  </si>
  <si>
    <t>Tha thiết mà tới, không lỗi gì.</t>
  </si>
  <si>
    <t>Do trí tuệ mà tới, đúng nghi thức bậc đại quân, tốt.</t>
  </si>
  <si>
    <t>Đầy đặn mà tới, tốt, không lỗi gì.</t>
  </si>
  <si>
    <t>NT: Kinh doanh nhỏ. Nữ mệnh làm vợ nhỏ, nô tỳ. Vận xấu phòng bệnh tim, bụng, huyết khí.</t>
  </si>
  <si>
    <t>NT: Phòng bị oán thù gây mối lo. Chỉ có Nữ mệnh là đại hưng gia nghiệp.</t>
  </si>
  <si>
    <t>DƯƠNG LỊCH NGÀY MUỐN XEM</t>
  </si>
  <si>
    <t xml:space="preserve">    NGÀY</t>
  </si>
  <si>
    <t>GS: Mất tiếng vì làm liều, thất bại.</t>
  </si>
  <si>
    <t>GS: Thứ làm du thuyết, kỹ nghệ, hình luận hay có hủy báng.</t>
  </si>
  <si>
    <t>NT: Thứ làm du thuyết, kỹ nghệ, hình luận hay có hủy báng.</t>
  </si>
  <si>
    <t>QC: Quan gần thì đổi đi xa, chức nhàn thì được bận.</t>
  </si>
  <si>
    <t>61915b</t>
  </si>
  <si>
    <t>71915b</t>
  </si>
  <si>
    <t>Giữ mình ngay thẳng ắt sau tốt lành.</t>
  </si>
  <si>
    <t>Giai nhân khóc lóc ôm sầu mé sông.</t>
  </si>
  <si>
    <t>Việc gì định trước thì không giật mình.</t>
  </si>
  <si>
    <t>Heo đi chó cắn chẳng quên việc gì.</t>
  </si>
  <si>
    <t>Chuyến đi này hẳn doanh mưu gặp thời.</t>
  </si>
  <si>
    <t>Đông tây thuận bước, ngẩng đầu trời soi.</t>
  </si>
  <si>
    <t>Tuyết khua vó ngựa, non phơi bách tùng.</t>
  </si>
  <si>
    <t>Gặp nhau nhũng nhiễu, được này, mất kia.</t>
  </si>
  <si>
    <t>Việc làm uyển chuyển, mới hay hợp thời.</t>
  </si>
  <si>
    <t>Trước thì vất vả, sau cùng mới hay.</t>
  </si>
  <si>
    <t>Đồng lòng lo tính, nạn gì cũng qua.</t>
  </si>
  <si>
    <t>Đến kỳ cát khánh, vui ngồi với nhau.</t>
  </si>
  <si>
    <t>Qua cơn mưa gió mây vàng trăng soi.</t>
  </si>
  <si>
    <t>Lợi danh như ý, tưng bừng hoa thu.</t>
  </si>
  <si>
    <t>Tây Nam lồng ngựa, hân hoan có ngày.</t>
  </si>
  <si>
    <t>Để cùng cứu vớt thăng trầm gian nan.</t>
  </si>
  <si>
    <t>Thuận theo Nguyên thủ đường liền công danh.</t>
  </si>
  <si>
    <t>Rong chơi thỏa ý bồng tiên khác nào.</t>
  </si>
  <si>
    <t>Làm cho giặc cướp bao vi hại liền.</t>
  </si>
  <si>
    <t>Bạn hiền tin tưởng đến bàn tiếp tay.</t>
  </si>
  <si>
    <t>Tin vui tiến dụng từ nay lộc nhiều.</t>
  </si>
  <si>
    <t>Thấy chim liền bắn trên đầu tường cao.</t>
  </si>
  <si>
    <t>Kinh doanh được lợi, danh nào kém ai.</t>
  </si>
  <si>
    <t>Cũng nên châm chước kẻo là qua tay.</t>
  </si>
  <si>
    <t>31974b</t>
  </si>
  <si>
    <t>41974b</t>
  </si>
  <si>
    <t>72031</t>
  </si>
  <si>
    <t>82031</t>
  </si>
  <si>
    <t>92031</t>
  </si>
  <si>
    <t>102031</t>
  </si>
  <si>
    <t>Chột mà hay nhìn (hào 2 và hào 5 ứng chỉ được trung thôi, không được chính); lợi ở (sự làm như người) kín lặng mà giữ chính.</t>
  </si>
  <si>
    <t xml:space="preserve">Một bên nom được đâu xa,   </t>
  </si>
  <si>
    <t>Ở nơi u tĩnh, thế mà lại hay.</t>
  </si>
  <si>
    <t>Gả em gái mà phải đợi, ngược lại cho về làm phận đệ, thiếp (hào 3 âm nhiều cảm tình mà không trung chính).</t>
  </si>
  <si>
    <t>Bạn đưa, đưa tiễn, phong thơ chúc mừng.</t>
  </si>
  <si>
    <t>Thời bình chờ gặp thuyền quyên anh hùng.</t>
  </si>
  <si>
    <t>Vua Đế Ất cho em gái vu quy, cái tay áo của cô công chúa chẳng đẹp bằng cái tay áo của người gái theo hầu (vì công chúa là hào 5 chỉ trọng đức không trọng phục sức bề ngoài), trăng xấp xỉ rằm, tốt nhất.</t>
  </si>
  <si>
    <t>101985b</t>
  </si>
  <si>
    <t xml:space="preserve">Ngồi cao nhu thuận thắng cương,      </t>
  </si>
  <si>
    <t xml:space="preserve">Thuận trên, nhường dưới, bao dung      </t>
  </si>
  <si>
    <t xml:space="preserve">Khốn lâu trầm trệ, mấy lần         </t>
  </si>
  <si>
    <t xml:space="preserve">Tiến trình chưa thấy vẻ vang,           </t>
  </si>
  <si>
    <t>Lộc rồi quyền ấn chẳng vào tới tay.</t>
  </si>
  <si>
    <t>Phù người, vui vẻ chờ ngày tiến lên.</t>
  </si>
  <si>
    <t>Việc làm đúng lúc tự nhiên trời phù.</t>
  </si>
  <si>
    <t>Chiến địa cõi lầm than.</t>
  </si>
  <si>
    <t>Con cáo muốn qua sông,</t>
  </si>
  <si>
    <t>Chờ buổi mới xuân phong.</t>
  </si>
  <si>
    <t>Đường phẳng dễ như chơi.</t>
  </si>
  <si>
    <t>Gặp khách bên sông đứng,</t>
  </si>
  <si>
    <t>Thuyền đi không trở ngại,</t>
  </si>
  <si>
    <t>Xa tít bến trường đình.</t>
  </si>
  <si>
    <t>Xa lâu quên chuyện quách,</t>
  </si>
  <si>
    <t>Người hợp, trăng tròn rồi.</t>
  </si>
  <si>
    <t>Ra tay giúp nước, gặp người trung lương.</t>
  </si>
  <si>
    <t>Lòng trung, mệnh nghĩa, giữ yên</t>
  </si>
  <si>
    <t>Giữ chính mà cũng đau (bị hào 4 dương bức cận) nhưng cứ thế chẳng chết được.</t>
  </si>
  <si>
    <t>Tùy là Thuận (theo hoàn cảnh). Lại sanh tháng 7 là cách công danh phú quý, sinh từ tháng 2 đến tháng 8 cũng phúc dày. Sinh từ tháng 9 đến tháng 1 thì phúc kém.</t>
  </si>
  <si>
    <t>71966b</t>
  </si>
  <si>
    <t>81966b</t>
  </si>
  <si>
    <t>91966b</t>
  </si>
  <si>
    <t>101966b</t>
  </si>
  <si>
    <t>111966b</t>
  </si>
  <si>
    <t>121966b</t>
  </si>
  <si>
    <t>11967b</t>
  </si>
  <si>
    <t>21967b</t>
  </si>
  <si>
    <t>31967b</t>
  </si>
  <si>
    <t>41967b</t>
  </si>
  <si>
    <t>51967b</t>
  </si>
  <si>
    <t>61967b</t>
  </si>
  <si>
    <t>Khôn là thuận (Thuận lợi, hiền từ). Nếu sanh tháng 10 thì chắc chắn làm chức vị lớn (ngày xưa là bậc đại thần) danh cao đức hậu. Nếu sinh không đúng mùa, lại ngồi hào vị kém, thì cũng làm chủ nhân ông điền sản, hưởng phúc lộc thọ. Thầy tu thì phước dày. Nữ mạng thì hiếu hòa, chồng sang con quý.</t>
  </si>
  <si>
    <t>Gió tan mây tạnh bước lên cũng vừa.</t>
  </si>
  <si>
    <t>Thắt miệng túi lại, không lỗi, không tiếng khen. (Túi đây là túi trí khôn, như vẫn thường nói túi Kinh Luân, túi Kế hoạch).</t>
  </si>
  <si>
    <t>Chông gai đường lối.</t>
  </si>
  <si>
    <t xml:space="preserve">Đại nhân nên tự thủ, </t>
  </si>
  <si>
    <t>Vận bĩ, đạo vẫn hanh.</t>
  </si>
  <si>
    <t>62023</t>
  </si>
  <si>
    <t>72023</t>
  </si>
  <si>
    <t>QC: Phòng cách giáng, chê cười.</t>
  </si>
  <si>
    <t>GS: Phòng cách giáng, chê cười.</t>
  </si>
  <si>
    <t>Đi săn mà không có chim (hào 4 không trung chính).</t>
  </si>
  <si>
    <t xml:space="preserve">Chí không kiên, việc vụng về       </t>
  </si>
  <si>
    <t xml:space="preserve">        Ướm thăm cái bước tiền trình, </t>
  </si>
  <si>
    <t xml:space="preserve">Trăng vơi soi Tây Bắc, </t>
  </si>
  <si>
    <t xml:space="preserve">Đừng kêu: Vận kiển mãi trời !          </t>
  </si>
  <si>
    <t>Dùng da con bò vàng để buộc giữ lấy, ai còn cởi thoát nổi (vàng là sắc trung, buộc giữ lấy chí hướng).</t>
  </si>
  <si>
    <t>Hoa đầy đường.          Ngựa thuận dong cương.</t>
  </si>
  <si>
    <t>Đất dày chở vật,</t>
  </si>
  <si>
    <t>Hỏng giường đến tận da (người nằm), xấu.</t>
  </si>
  <si>
    <t>001011</t>
  </si>
  <si>
    <t>001101</t>
  </si>
  <si>
    <t>001001</t>
  </si>
  <si>
    <t>001110</t>
  </si>
  <si>
    <t>001010</t>
  </si>
  <si>
    <t>001100</t>
  </si>
  <si>
    <t>001000</t>
  </si>
  <si>
    <t>110111</t>
  </si>
  <si>
    <t>Quý nhân gặp gỡ la đà bến sông.</t>
  </si>
  <si>
    <t>Phạt xong lại thả để cho hiểu dần.</t>
  </si>
  <si>
    <t>101929</t>
  </si>
  <si>
    <t>111929</t>
  </si>
  <si>
    <t>121929</t>
  </si>
  <si>
    <t>11930</t>
  </si>
  <si>
    <t>21930</t>
  </si>
  <si>
    <t>31930</t>
  </si>
  <si>
    <t>41930</t>
  </si>
  <si>
    <t>51930</t>
  </si>
  <si>
    <t>61930</t>
  </si>
  <si>
    <t>Có thể tin tưởng, kéo dắt (người khác) lên như (ư !) giàu có (được lòng) cả hàng xóm. (hào 5 cảm hóa được tất cả).</t>
  </si>
  <si>
    <t>Quyết làm, đi. Chính cũng phòng nguy. (hào 5 dễ thành độc tài).</t>
  </si>
  <si>
    <t>Lục tam, hàm chương khả trinh, hoặc tòng vương sự, vô thành hữu chung .</t>
  </si>
  <si>
    <t>Lục tam, tức lộc, vô ngư, duy nhập vu lâm trung, quân tử kỵ, bất như xá, vằng, lẫn .</t>
  </si>
  <si>
    <t>Lục tam: Vật dụng thủ nữ kiến kim phu, bất hữu cung, vô du lợi.</t>
  </si>
  <si>
    <t>Cửu tam: Nhu vu nê, trí khấu chí.</t>
  </si>
  <si>
    <t>Lục tam: Thực cựu đức, trinh lệ, chung cát. Hoặc tòng vương sự, vô thành.</t>
  </si>
  <si>
    <t>Lục tam: Sư, hoặc dư thi, hung.</t>
  </si>
  <si>
    <t>Lục tam: Tỷ chi phỉ nhân.</t>
  </si>
  <si>
    <t>Cửu tam: Dư thoát bức, phu thê phản mục.</t>
  </si>
  <si>
    <t xml:space="preserve">Lục tam: Miễu, năng thị; bả, năng lý. Lý hổ vĩ, diệt nhân, hung. Võ nhân vi vu đại quân. </t>
  </si>
  <si>
    <t>Cửu tam: Vô hình bất bí, vô vãng bất phục. Gian trinh vô cửu, vật tuất, kỳ phu, vu thực hữu phúc. </t>
  </si>
  <si>
    <t>Lục tam: Bao tu . </t>
  </si>
  <si>
    <t>Cửu tam: Phục nhung vu mãng, Thăng kì cao lăng, tam tuế bất hưng. </t>
  </si>
  <si>
    <t>Cửu tam: Công dụng hưởng vu thiên tử, tiểu nhân phất khắc. </t>
  </si>
  <si>
    <t>Cửu tam: Lao khiêm, quân tử hữu chung, cát.</t>
  </si>
  <si>
    <t>Lục tam: Hu dự, hối trì, hữu hối . </t>
  </si>
  <si>
    <t>Lục tam: Hệ trượng phu, thất tiểu tử; Tùy hữu cầu đắc, lợi cư trinh. </t>
  </si>
  <si>
    <t>Cửu tam: Cán phụ chi cổ, tiểu hữu hối, vô đại cữu. </t>
  </si>
  <si>
    <t>Lục tam: Cam lâm, vô du lợi; Kí ưu chi, cô cửu.</t>
  </si>
  <si>
    <t>Lục tam: Quan ngã sinh, tiến thoái. </t>
  </si>
  <si>
    <t>Lục tam: Phệ tích nhục, ngộ độc, tiểu lận, vô cữu. </t>
  </si>
  <si>
    <t>Cửu tam: Bí như, nhu như,vĩnh trinh cát. </t>
  </si>
  <si>
    <t>Lục tam: Bác chi, vô cữu.</t>
  </si>
  <si>
    <t>Lục tam: Tần phục, lệ, vô cửu.</t>
  </si>
  <si>
    <t>Lục tam: vô vọng chi tai, hoặc hệ chi ngưu, Hành nhân chi đắc, ấp nhân chi tai. </t>
  </si>
  <si>
    <t>Cửu tam: Lương mã trục; lợi gian trinh, Nhật nhàn dư vệ, lợi hữu du vãng. </t>
  </si>
  <si>
    <t>Lục tam: Phật di, trinh hung. Thập niên vật dụng vô du lợi. </t>
  </si>
  <si>
    <t>Cửu tam: Đống nạo, hung. </t>
  </si>
  <si>
    <t>Lục tam : Lai chi khảm khảm, hiểm thả chẩm, nhập vu khảm năm, vật dụng.</t>
  </si>
  <si>
    <t>Cửu tam: Nhật trắc chi Ly, bất cổ phẩu nhi ca, tắc đại diệt chi ta, hung.</t>
  </si>
  <si>
    <t>Cửu tam: Hàm kì cổ, chấp kì tùy, vãng lận. </t>
  </si>
  <si>
    <t>Cửu tam: Bất hằng kì đức, hoặc thừa chi tu, trinh lận. </t>
  </si>
  <si>
    <t>Cửu tam: Hệ độn, hữu tật lệ, súc thần thiếp, cát.</t>
  </si>
  <si>
    <t>Cửu tam: Tiểu nhân dụng tráng, quân tử dụng võng. Trinh lệ, đề dương xúc phiên, luy kì giác. </t>
  </si>
  <si>
    <t>Lục tam: chúng doãn, hối vong.</t>
  </si>
  <si>
    <t>Củu tam: Minh di, vu nam thú, đắc kì đại thủ, bất khả tật, trinh. </t>
  </si>
  <si>
    <t>Cửu tam: Gia nhân hác hác, hối lệ, cát; phụ tử hi hi, chung lận. </t>
  </si>
  <si>
    <t>Lục tam: Kiến dư duệ, kì ngưu xệ (hay xiệt); Kì nhân thiên thả nghị, vô sơ hữu chung. </t>
  </si>
  <si>
    <t>Cửu tam: Vãng kiển, lai phản. </t>
  </si>
  <si>
    <t>Lục tam: Phụ thả thừa, trí khấu chí; trinh lận. </t>
  </si>
  <si>
    <t>Lục tam: tam nhân hành tắc tổn nhất nhân, nhất nhân hành tắc đắc kì hữu. </t>
  </si>
  <si>
    <t>Lục tam: Ích chi dụng hung sự, vô cữu.</t>
  </si>
  <si>
    <t>Cửu tam: Tráng vu quì (cừu), hữu hung, quân tử quải quải, Độc hành ngộ vũ, nhược nhu hữu uẩn, vô cữu. </t>
  </si>
  <si>
    <t>Cửu tam: Đồn vô phu, kì hành tư thư, lệ, vô đại cữu. </t>
  </si>
  <si>
    <t>Lục tam: Tụy như, ta như, vô du lợi, vãng, vô cữu, tiểu lận.</t>
  </si>
  <si>
    <t>Cửu tam: Thăng, hư ấp. </t>
  </si>
  <si>
    <t>Lục tam: Khốn vu thạch, cứ vu tật lê, nhập vu kì cung, bất kiến kì thê, hung. </t>
  </si>
  <si>
    <t>Cửu tam: tỉnh tiết bất thực, vi ngã tâm trắc. Khả dụng cấp; vương minh, tịnh thụ kì phúc. </t>
  </si>
  <si>
    <t>Cửu tam: chinh hung, trinh lệ, cách ngôn tam tựu, hữu phu. </t>
  </si>
  <si>
    <t>Cửu tam: Đỉnh nhĩ cách, kì hành tắc, trĩ cao bất thực; phương vũ, khuy hối, chung cát. </t>
  </si>
  <si>
    <t>Lục tam: Chấn tô tô, chấn hành vô sảnh. </t>
  </si>
  <si>
    <t>Cửu tam: Cấn kỳ hạn, liệt kỳ di (cũng đọc là dần), lệ huân tâm. </t>
  </si>
  <si>
    <t>Cửu tam: Hồng tiệm vu lục, phu chinh bất phục, phụ dựng bất dục, hung, lợi ngự khấu. </t>
  </si>
  <si>
    <t>Lục tam: qui muội dĩ tu, phản qui dĩ đệ.</t>
  </si>
  <si>
    <t>Cửu tam: Phong kỳ bái, nhật trung kiến muội. Chiết kì hữu quăng, vô cữu. </t>
  </si>
  <si>
    <t>Cửu tam: Lữ, phần kì thứ, táng kì đồng bộc, trinh, lệ.</t>
  </si>
  <si>
    <t>Cửu tam: Tần tốn, lận. </t>
  </si>
  <si>
    <t>Lục tam: Lai đoài, hung. </t>
  </si>
  <si>
    <t>Lục tam: Hoán kì cung, vô hối.</t>
  </si>
  <si>
    <t>Lục tam: Bất tiết nhược, tất ta nhược, vô cữu. </t>
  </si>
  <si>
    <t>Lục tam: Đắc dịch, hoặc cổ, hoặc bãi, hoặc khấp, hoặc ca.</t>
  </si>
  <si>
    <t>Cửu tam: Phất quá phòng chi, tòng hoặc tường chi, hung.</t>
  </si>
  <si>
    <t>Cửu tam: Cao Tôn phạt Quỷ Phương tam niên, khắc chi. Tiểu nhân vật dụng.</t>
  </si>
  <si>
    <t>Lục tam: Vị Tế: chinh hung, lợi thiệp đại xuyên.</t>
  </si>
  <si>
    <t>Cửu tứ: hoặc dược, tại uyên, vô cữu.</t>
  </si>
  <si>
    <t>Lục tứ, quát nang, vô cựu, vô dự .</t>
  </si>
  <si>
    <t>Lục tứ, thừa mã ban như, cấu hôn cấu, vãng cát, vô bất lỵ .</t>
  </si>
  <si>
    <t>Lục tứ: Khốn, mông, lận.</t>
  </si>
  <si>
    <t>Lục tứ: Nhu vu huyết, xuất tự huyệt.</t>
  </si>
  <si>
    <t>Cửu tứ: Bất khắc tụng, phục tức mệnh, du, an trinh cát.</t>
  </si>
  <si>
    <t>Lục tứ: Sư, tả thứ, vô cữu.</t>
  </si>
  <si>
    <t>Lục tứ: Ngoại tỷ chi, trinh cát.</t>
  </si>
  <si>
    <t>Lục tứ: hữu phu, huyết khứ, dịch xuất, vô cữu.</t>
  </si>
  <si>
    <t xml:space="preserve">Cửu tứ: Lý hổ vĩ, sách sách (hoặc sóc sóc) chung cát. </t>
  </si>
  <si>
    <t>Lục tứ: Phiên phiên, bất phú, dĩ kỳ lân, bất giới dĩ phu.</t>
  </si>
  <si>
    <t>Cửu tứ: Hữu mệnh, vô cữu. Trù li chỉ. </t>
  </si>
  <si>
    <t>Cửu tứ: thừa kỳ dung, phất, khắc công, cát. </t>
  </si>
  <si>
    <t>Cửu tứ: phỉ kỳ bành, vô cữu.</t>
  </si>
  <si>
    <t>Lục tứ: vô bất lợi, huy khiêm.</t>
  </si>
  <si>
    <t>Cửu tứ: Do dự, đại hữu đắc; vật nghi, bằng hạp trâm. </t>
  </si>
  <si>
    <t>Cửu tứ: Tùy hữu hoạch, trinh, hung. Hữu phu, tại đạo, dĩ minh hà cữu. </t>
  </si>
  <si>
    <t>Lục tứ: Dụ phụ chi Cổ, vãng kiến lận.</t>
  </si>
  <si>
    <t>Lục tứ: Chí lâm, vô cữu. </t>
  </si>
  <si>
    <t>Lục tứ: Quan quốc chi quang, lợi dụng tân vu vương. </t>
  </si>
  <si>
    <t>Cửu tứ: phệ can trỉ (có người đọc là tỉ) đắc kim thỉ , lợi gian trinh, cát. </t>
  </si>
  <si>
    <t>Lục tứ: Bí như, bà (có người đọc là ba) như, bạch mã hàn như, phỉ khấu, hôn cấu. </t>
  </si>
  <si>
    <t>Lục tứ: Bác sàng dĩ phu, hung.</t>
  </si>
  <si>
    <t>Lục tứ: Trung hành, độc phục. </t>
  </si>
  <si>
    <t>Cửu tứ: khả trinh, vô cữu.</t>
  </si>
  <si>
    <t>Lục tứ: đồng ngưu chi cốc, nguyên cát.</t>
  </si>
  <si>
    <t>Lục tứ: điên di, cát. Hổ thị đam đam, kì dục trục trục, vô cữu. </t>
  </si>
  <si>
    <t>Cửu tứ: Đống long, cát. Hữu tha, lận.</t>
  </si>
  <si>
    <t>Lục tứ: Tôn tửu quĩ, nhị dụng phẫu, nạp ước tự dũ, chung vô cữu. </t>
  </si>
  <si>
    <t>Cửu tứ: Đột như, kì lai như, phần như, tử như, khí như. </t>
  </si>
  <si>
    <t>Cửu tứ: Trinh cát hối vong; đồng đồng vãng lai, bằng tòng nhĩ tư.</t>
  </si>
  <si>
    <t>Cửu tứ: Điền vô cầm. </t>
  </si>
  <si>
    <t>Cửu tứ: Hiếu độn, quân tử cát, tiểu nhân phủ. </t>
  </si>
  <si>
    <t>Cửu tứ: Trinh cát, hối vong, phiên quyết bất luy, tráng vu đại dư chi phúc. </t>
  </si>
  <si>
    <t>Cửu tứ: Tấn như, thạch thử, trinh lệ.</t>
  </si>
  <si>
    <t>Lục tứ: Nhập vu tả phúc, hoạch minh di chi tâm, vu xuất môn đình. </t>
  </si>
  <si>
    <t>Lục tứ: phú gia, đại cát. </t>
  </si>
  <si>
    <t>Cửu tứ: Khuê cô, ngộ nguyên phu, giao phu, lệ vô cữu.</t>
  </si>
  <si>
    <t>Lục tứ: Vãng kiển, lai liên.</t>
  </si>
  <si>
    <t>Cửu tứ: Giải nhi mẫu, bằng chí tư phu. </t>
  </si>
  <si>
    <t>Lục tứ: tổn kì tật, sử thuyên, hữu hỉ, vô cữu. </t>
  </si>
  <si>
    <t>Lục tứ: Trung hành, cáo công tòng; lợi dụng vi y thiên quốc.</t>
  </si>
  <si>
    <t>Cửu tứ: Đồn vô phu, kì hành tư thư, khiên dương hối vong, văn ngôn bất tín. </t>
  </si>
  <si>
    <t>Cửu tứ: Bao vô ngư, khởi hung.</t>
  </si>
  <si>
    <t>Cửu tứ: đại cát, vô cữu.</t>
  </si>
  <si>
    <t>Lục tứ: Vương dụng hanh vu Kì sơn, cát, vô cữu.</t>
  </si>
  <si>
    <t>Cửu tứ: Lai từ từ, Khốn vu kim xa, lận, hữu chung. </t>
  </si>
  <si>
    <t>Lục tứ: Tỉnh trứu, vô cữu.</t>
  </si>
  <si>
    <t>Cửu tứ: Hối vong, hữu phu, cải mệnh, cát. </t>
  </si>
  <si>
    <t>Cửu tứ: Đỉnh chiết túc, phúc công tốc (túc) kì hình ốc, hung. </t>
  </si>
  <si>
    <t>Cửu tứ: chấn, toại nê. </t>
  </si>
  <si>
    <t>Lục tứ: Cấn kỳ thân, vô cữu. </t>
  </si>
  <si>
    <t>Lục tứ: Hồng tiệm vu mộc, hoặc đắc kỳ giốc, vô cữu. </t>
  </si>
  <si>
    <t>Cửu tứ: Qui muội, khiên kì, trì qui, hữu thời. </t>
  </si>
  <si>
    <t>Cửu tứ: Phong ki bộ, nhật trung kiến đẩu, ngộ kì di chủ, cát. </t>
  </si>
  <si>
    <t>Cửu tứ: Lữ vu xử, đắc kì tư phủ, ngã tâm bất khoái. </t>
  </si>
  <si>
    <t>Lục tứ: Hối vong, điền hoạch tam phẩm. </t>
  </si>
  <si>
    <t>Cửu tứ; Thương đoài, vị ninh, giới tật, hữu hỉ. </t>
  </si>
  <si>
    <t>Lục tứ: hoán kì quần, nguyên cát. Hoán kì khâu, phỉ di sở tư. </t>
  </si>
  <si>
    <t>Lục tứ: An tiết, hanh. </t>
  </si>
  <si>
    <t>Lục tứ: Nguyệt cơ vọng, mã thất vong, vô cữu.</t>
  </si>
  <si>
    <t>Cửu tứ: vô cữu, phất quá ngộ chi, vãng lệ, tất giới; vật dụng vĩnh trinh. </t>
  </si>
  <si>
    <t>Lục tứ: Chu hữu y như, chung nhật giới.</t>
  </si>
  <si>
    <t>Cửu tứ: Trinh cát, hối vong. Chấn dụng phạt Quỷ Phương, tam niên. Hữu thưởng vu đại quốc.</t>
  </si>
  <si>
    <t>Cửu ngũ: phi long tại thiên, lợi kiến đại nhân.</t>
  </si>
  <si>
    <t>Lục ngũ,, hoàng thường, nguyên cát .</t>
  </si>
  <si>
    <t>Cửu ngũ, truân kỳ cao, tiểu trinh, cát ; đại trinh, hung .</t>
  </si>
  <si>
    <t>Lục ngũ: Đồng mông cát.</t>
  </si>
  <si>
    <t>Cửu ngũ: Nhu vu tửu thực, trinh cát.</t>
  </si>
  <si>
    <t>Cửu ngũ: Tụng, nguyên cát.</t>
  </si>
  <si>
    <t>Lục ngũ: Điền hữu cầm, lợi chấp ngôn, vô cữu. Trưởng tử xuất sư, đệ tử dư thi, trinh hung.</t>
  </si>
  <si>
    <t>Cửu ngũ. Hiền tỉ. Vương dụng tam khu. Thất tiền cầm. Ấp nhân bất giới. Cát.</t>
  </si>
  <si>
    <t>Cửu ngũ: Hữu phu, luyên như, phú dĩ kỳ lân.</t>
  </si>
  <si>
    <t xml:space="preserve">Cửu ngũ: Quyết lý, trinh lệ. </t>
  </si>
  <si>
    <t>Lục ngũ: Đế Ất qui muội, dĩ chỉ, nguyên cát. </t>
  </si>
  <si>
    <t>Cửu ngũ: Hưu bĩ, đại nhân cát. Kỳ vong, kỳ vong, hệ vu bao tang. </t>
  </si>
  <si>
    <t>Cửu ngũ: Đồng nhân, tiên hào đào nhi Hậu tiếu, đại sư khắc tương ngộ. </t>
  </si>
  <si>
    <t>Lục ngũ: quyết phu giao như, uy như, cát. </t>
  </si>
  <si>
    <t>Lục ngũ: Bất phú dĩ kỳ lân, lợi dụng xâm phạt, vô bất lợi. </t>
  </si>
  <si>
    <t>Lục ngũ: Trinh tật, hằng, bất tử.</t>
  </si>
  <si>
    <t>Cửu ngũ: phu vu gia, cát. </t>
  </si>
  <si>
    <t>Lục ngũ: Cán phụ chi cổ, dụng dự </t>
  </si>
  <si>
    <t>Lục ngũ: Trí lâm, đại quân chi nghi, cát.</t>
  </si>
  <si>
    <t>Cửu ngũ: Quan ngã sinh quân tử, vô cữu.</t>
  </si>
  <si>
    <t>Lục ngũ: phệ can nhục, đắc hoàng kim, trinh, lệ, vô cữu. </t>
  </si>
  <si>
    <t>Lục ngũ: bí vu khâu viên, thúc bạch tiên tiên, lận, chung cát. </t>
  </si>
  <si>
    <t>Lục ngũ: Quán ngư, dĩ cung nhân sủng, vô bất lợi.</t>
  </si>
  <si>
    <t>Lục ngũ: Đôn phục, vô hối.</t>
  </si>
  <si>
    <t>Cửu ngũ: vô vọng chi tật, vật dược, hữu hỉ.</t>
  </si>
  <si>
    <t>Lục ngũ: Phần thỉ chi nha, cát. </t>
  </si>
  <si>
    <t>Lục ngũ: Phật kinh, cư trinh, cát. Bất khả thiệp đại xuyên.</t>
  </si>
  <si>
    <t>Cửu ngũ: Khô dương sinh hoa, lão phụ đắc kì sĩ phu, vô cữu, vô dự.</t>
  </si>
  <si>
    <t>Cửu ngũ: Khảm bất doanh, chỉ kì bình, vô cữu.</t>
  </si>
  <si>
    <t>Lục ngũ: xuất thế đà nhược, thích ta nhược, cát.</t>
  </si>
  <si>
    <t>Cửu ngũ: Cảm kì mỗi, vô hối. </t>
  </si>
  <si>
    <t>Lục ngũ: Hằng kỳ đức, trinh. Phụ nhân cát, phu tử hung. </t>
  </si>
  <si>
    <t>Cửu ngũ: gia độn, trinh cát. </t>
  </si>
  <si>
    <t>Lục ngũ: táng dương vu dị, vô hối. </t>
  </si>
  <si>
    <t>Lục ngũ: Hối vong, thất đắc vật tuất, vãng cát, vô bất lợi.</t>
  </si>
  <si>
    <t>Lục ngũ: cơ tử chi Minh di, lợi trinh.</t>
  </si>
  <si>
    <t>Cửu ngũ: Vương cách hữu gia, vật tuất, cát.</t>
  </si>
  <si>
    <t>Lục ngũ: hối vong, quyết tôn phệ phu, vãng, hà cữu. </t>
  </si>
  <si>
    <t>Cửu ngũ: Đại kiển, bằng lai. </t>
  </si>
  <si>
    <t>Lục ngũ: Quân tử duy hữu giải, cát; hữu phu vu tiểu nhân.</t>
  </si>
  <si>
    <t>Lục ngũ: Hoặc ích chi thập bằng chi quí, phất khắc vi, nguyên cát. </t>
  </si>
  <si>
    <t>Cửu ngũ: Hữu phu, huệ tâm, vật vấn, nguyên cát. Hữu phu, huệ ngã đức. </t>
  </si>
  <si>
    <t>Cửu ngũ: Nghiễn lục, quải quải, trung hành, vô cữu.</t>
  </si>
  <si>
    <t>Cửu ngũ: Dĩ kỉ bao qua, hàm chương, hữu vẫn tự thiên.</t>
  </si>
  <si>
    <t>Cửu ngũ: tụy hữu vị, vô cữu, phỉ phu nguyên vĩnh trinh, hối vong. </t>
  </si>
  <si>
    <t>Lục ngũ: Trinh cát, thăng giai.</t>
  </si>
  <si>
    <t>Cửu ngũ: tị nguyệt, khốn vu xích phất, Nãi từ hữu duyệt, lợi dụng tế tự. </t>
  </si>
  <si>
    <t>Cửu ngũ: Tỉnh liệt, hàn tuyền thực. </t>
  </si>
  <si>
    <t>Cửu ngũ: Đại nhân, hổ biến; vị chiêm hữu phu. </t>
  </si>
  <si>
    <t>Lục ngũ: Đỉnh hoàng nhĩ, kim huyễn, lợi trinh. </t>
  </si>
  <si>
    <t>Lục ngũ: Chấn vãng lai, lệ; ức vô táng, hữu sự. </t>
  </si>
  <si>
    <t>Lục ngũ: Cấn kỳ phụ, ngôn hữu tự, hối vong. </t>
  </si>
  <si>
    <t>Cửu ngũ: Hồng tiệm vu lăng, phụ tam tuế bất dựng. Chung mạc chi thắng, cát. </t>
  </si>
  <si>
    <t>Lục ngũ: Đế Ất qui muội, kì quân chi duệ, bất như kì đệ chi duệ lương, nguyệt cơ vọng, cát.</t>
  </si>
  <si>
    <t>Lục ngũ: Lai chương, hữu khánh, dự, cát. </t>
  </si>
  <si>
    <t>Lục ngũ: Xạ trĩ, nhất thỉ vong, chung dĩ dự mệnh. </t>
  </si>
  <si>
    <t>Cửu ngũ: Trinh cát, hối vong, vô bất lợi, vô sở hữu chung. Tiên canh tam nhật, hậu canh tam nhật, cát </t>
  </si>
  <si>
    <t>Cửu ngũ : Phu vu bác, hữu lệ.</t>
  </si>
  <si>
    <t>Cửu ngũ: Hoán hãn kì đại hiệu, hoán vương cư,vô cữu. </t>
  </si>
  <si>
    <t>Cửu ngũ: Cam tiết, cát. Vãng hữu thượng. </t>
  </si>
  <si>
    <t>Cửu ngũ: Hữu phu luyến như, vô cữu.</t>
  </si>
  <si>
    <t>Lục ngũ: Mật vân bất vũ, tự ngã tây giao; Công dặc, thủ bỉ tại huyệt. </t>
  </si>
  <si>
    <t>Cửu ngũ: Đông lân sát ngưu, bất như tây lân chi thược tế, thực thụ kỳ phúc.</t>
  </si>
  <si>
    <t>Lục ngũ: Trinh, cát, vô hối. Quân tử chi quang hữu phu, cát.</t>
  </si>
  <si>
    <t>Thượng cửu: kháng long hữu hối.</t>
  </si>
  <si>
    <t>Thượng lục, long chiếu vu dạ, kỳ huyết huyền hoàng .</t>
  </si>
  <si>
    <t>Thượng lục, thừa mã ban như, khấp huyết liên như .</t>
  </si>
  <si>
    <t>Thượng cửu: Kích mông, bất lợi vi khấu, lợi ngự khấu.</t>
  </si>
  <si>
    <t>Thượng lục: Nhập vu huyệt, hữu bất tốc chi khách, tam nhân lai, kính chi, chung cát.</t>
  </si>
  <si>
    <t>Thượng cửu: Hoặc tích chi bàn đái, chung triêu, tam sỉ chi.</t>
  </si>
  <si>
    <t>Thượng lục: Đại quân hữu mệnh. Khai quốc thừa gia, tiểu nhân vật dụng.</t>
  </si>
  <si>
    <t>Thượng lục: Tỷ chi vô thủ, hung.</t>
  </si>
  <si>
    <t>Thượng cửu: Ký vũ, ký xử, thượng đức tái. Phụ trinh lệ. Nguyệt cơ vọng, quân tử chinh hung.</t>
  </si>
  <si>
    <t>Thượng cửu: Thị lý, khảo tường, kỳ toàn, nguyên cát.</t>
  </si>
  <si>
    <t>Thượng lục: Thành phục vụ hoàng, vật dụng sư, Tự ấp cáo mệnh, trinh lận. </t>
  </si>
  <si>
    <t>Thượng cửu: Khuynh bĩ, tiên bĩ, hậu hĩ. </t>
  </si>
  <si>
    <t>Thượng cửu: Đồng nhân vu giao, vô hối.</t>
  </si>
  <si>
    <t>Thượng cửu: tự thiên hựu chi, cát, vô bất lợi. </t>
  </si>
  <si>
    <t>Thượng lục: Minh khiêm, lợi dụng hành sư, chính ấp quốc.</t>
  </si>
  <si>
    <t>Thượng lục: Minh dự, thành hữu du, vô cữu. </t>
  </si>
  <si>
    <t>Thượng lục: câu hệ chi, mãi tòng duy chi. Vương dụng hanh vu Tây Sơn. </t>
  </si>
  <si>
    <t>Thượng cửu: Bất sự vương hầu, cao thượng kỳ sự. </t>
  </si>
  <si>
    <t>Thượng lục: Đôn lâm, cát, vô cữu. </t>
  </si>
  <si>
    <t>Thượng cửu: Quan kỳ sinh quân tử , vô cữu. </t>
  </si>
  <si>
    <t>Thượng cửu: Hạ giảo diệt nhĩ, hung. </t>
  </si>
  <si>
    <t>Thượng cửu: Bạch bí, vô cữu. </t>
  </si>
  <si>
    <t>Thượng cửu: Thạc quả bất thực, quân tử đắc dư, tiểu nhân bác lư.</t>
  </si>
  <si>
    <t>Thượng lục: Mê phục, hung, hữu tai sảnh, Dụng hành sư, chung hữu đại bại, dĩ kì quốc quân hung, chí vu thập niên, bất khắc chinh. </t>
  </si>
  <si>
    <t>Thượng cửu: Vô vọng, hành hữu sảnh, vô du lợi. </t>
  </si>
  <si>
    <t>Thượng cửu: hà thiên chi cù, hanh. </t>
  </si>
  <si>
    <t>Thượng cửu: do di, lệ cát. Lợi thiệp đại xuyên.</t>
  </si>
  <si>
    <t xml:space="preserve">Bè tiểu nhân kéo cánh lên,         </t>
  </si>
  <si>
    <t>Cao nhân đem mộc đến,</t>
  </si>
  <si>
    <t>Ngôi tôn: Nguyên, cát, hanh.</t>
  </si>
  <si>
    <t>Nuôi dân trong đất còn phòng hủy thương.</t>
  </si>
  <si>
    <t xml:space="preserve">Thái đi Bĩ đến chẳng xa,            </t>
  </si>
  <si>
    <t xml:space="preserve">         Hành quân ngoài cõi phí công,</t>
  </si>
  <si>
    <t xml:space="preserve">Yên thân lợi xứ hành,   </t>
  </si>
  <si>
    <t>Viết tắt : MHC, MKH =Mệnh hợp cách, mệnh không hợp; QC, GS, NT = Quan chức, Giới sĩ, Người thường; TNK, ĐNK, HC : Thiên địa nguyên khí hóa công.</t>
  </si>
  <si>
    <t>Có thể giữ bền chính thì không lỗi gì.</t>
  </si>
  <si>
    <t>Có nguy, thôi đi thì lợi.</t>
  </si>
  <si>
    <t>TIẾT</t>
  </si>
  <si>
    <t>12047</t>
  </si>
  <si>
    <t>64 quẻ: Mã hóa nhị phân - Tượng sáu hào âm dương - Bảng lập thành tìm hào Nguyên Đường</t>
  </si>
  <si>
    <t>CànNam</t>
  </si>
  <si>
    <t>CànNam1</t>
  </si>
  <si>
    <t>KhônNữ</t>
  </si>
  <si>
    <t>KhônNữ1</t>
  </si>
  <si>
    <t>CànNữsauĐC</t>
  </si>
  <si>
    <t>CànNữsauĐC1</t>
  </si>
  <si>
    <t>Phương Nam tìm tới bạn bè hay hơn.</t>
  </si>
  <si>
    <t>Gái trai tiến bộ chẳng lo ngại gì.</t>
  </si>
  <si>
    <t>Phúc rồi, đừng hỏi: “Phải danh ngọc Hòa ?”</t>
  </si>
  <si>
    <t>Đường mây chỉ nẻo nhẹ cầu công danh.</t>
  </si>
  <si>
    <t>Hoa đèn tươi sáng, tốt không nghi ngờ.</t>
  </si>
  <si>
    <t xml:space="preserve">Tiền của ngày thêm chứa, </t>
  </si>
  <si>
    <t>Tới lui chẳng ngại ngùng.</t>
  </si>
  <si>
    <t>Thì nên thừa dịp, còn đành chờ chi.</t>
  </si>
  <si>
    <t>Khiêm nhường đến thế hẳn người mến theo.</t>
  </si>
  <si>
    <t>Nghĩa công chưa đạt, lòng ta vẫn bền.</t>
  </si>
  <si>
    <t>tiểu vận</t>
  </si>
  <si>
    <t>giáp tý</t>
  </si>
  <si>
    <t>năm</t>
  </si>
  <si>
    <t>ngày</t>
  </si>
  <si>
    <t>giờ</t>
  </si>
  <si>
    <t>ất sửu</t>
  </si>
  <si>
    <t>bính dần</t>
  </si>
  <si>
    <t>đinh mão</t>
  </si>
  <si>
    <t>đại vận</t>
  </si>
  <si>
    <t>mậu thìn</t>
  </si>
  <si>
    <t>kỷ tỵ</t>
  </si>
  <si>
    <t>toàn số</t>
  </si>
  <si>
    <t>canh ngọ</t>
  </si>
  <si>
    <t>quẻ</t>
  </si>
  <si>
    <t>tân mùi</t>
  </si>
  <si>
    <t>Tỉ</t>
  </si>
  <si>
    <t>nhâm thân</t>
  </si>
  <si>
    <t>Tiểu súc</t>
  </si>
  <si>
    <t>quý dậu</t>
  </si>
  <si>
    <t>3. Hào 7 quẻ Càn là hào dụng cửu.</t>
  </si>
  <si>
    <t>ngày giờ</t>
  </si>
  <si>
    <t>tuổi</t>
  </si>
  <si>
    <t>giáp tuất</t>
  </si>
  <si>
    <t xml:space="preserve">    Hào 7 quẻ Khôn là hào dụng lục.</t>
  </si>
  <si>
    <t>hạn chịu</t>
  </si>
  <si>
    <t>ất hợi</t>
  </si>
  <si>
    <t>hào động</t>
  </si>
  <si>
    <t>bính tý</t>
  </si>
  <si>
    <t>Đồng nhân</t>
  </si>
  <si>
    <t>đinh sửu</t>
  </si>
  <si>
    <t>Đại hữu</t>
  </si>
  <si>
    <t>giáp</t>
  </si>
  <si>
    <t>tháng âm</t>
  </si>
  <si>
    <t>mậu dần</t>
  </si>
  <si>
    <t>ất</t>
  </si>
  <si>
    <t>kỷ mão</t>
  </si>
  <si>
    <t>bính</t>
  </si>
  <si>
    <t>canh thìn</t>
  </si>
  <si>
    <t>đinh</t>
  </si>
  <si>
    <t>tân tỵ</t>
  </si>
  <si>
    <t>can hóakhí</t>
  </si>
  <si>
    <t>ngày âm</t>
  </si>
  <si>
    <t>nhâm ngọ</t>
  </si>
  <si>
    <t>kỷ</t>
  </si>
  <si>
    <t>quẻ ngày</t>
  </si>
  <si>
    <t>quý mùi</t>
  </si>
  <si>
    <t>Quán</t>
  </si>
  <si>
    <t>canh</t>
  </si>
  <si>
    <t>chi hạn</t>
  </si>
  <si>
    <t>giáp thân</t>
  </si>
  <si>
    <t>Phệ hạp</t>
  </si>
  <si>
    <t>ất dậu</t>
  </si>
  <si>
    <t>nhâm</t>
  </si>
  <si>
    <t>bính tuất</t>
  </si>
  <si>
    <t>đinh hợi</t>
  </si>
  <si>
    <t>hạn nữ</t>
  </si>
  <si>
    <t>mậu tý</t>
  </si>
  <si>
    <t>Vô vọng</t>
  </si>
  <si>
    <t>tỵ</t>
  </si>
  <si>
    <t>thìn</t>
  </si>
  <si>
    <t>mão</t>
  </si>
  <si>
    <t>dần</t>
  </si>
  <si>
    <t>sửu</t>
  </si>
  <si>
    <t>tí</t>
  </si>
  <si>
    <t>hợi</t>
  </si>
  <si>
    <t>kỷ sửu</t>
  </si>
  <si>
    <t>Đại súc</t>
  </si>
  <si>
    <t>tuất</t>
  </si>
  <si>
    <t>canh dần</t>
  </si>
  <si>
    <t>mùi</t>
  </si>
  <si>
    <t>ngọ</t>
  </si>
  <si>
    <t>tân mão</t>
  </si>
  <si>
    <t>Đại quá</t>
  </si>
  <si>
    <t>dậu</t>
  </si>
  <si>
    <t>thân</t>
  </si>
  <si>
    <t>nhâm thìn</t>
  </si>
  <si>
    <t>quý tỵ</t>
  </si>
  <si>
    <t>giáp ngọ</t>
  </si>
  <si>
    <t>ất mùi</t>
  </si>
  <si>
    <t>bính thân</t>
  </si>
  <si>
    <t>đinh dậu</t>
  </si>
  <si>
    <t>Đại tráng</t>
  </si>
  <si>
    <t>mậu tuất</t>
  </si>
  <si>
    <t>hạn nam</t>
  </si>
  <si>
    <t>kỷ hợi</t>
  </si>
  <si>
    <t>Minh di</t>
  </si>
  <si>
    <t>canh tý</t>
  </si>
  <si>
    <t>Gia nhân</t>
  </si>
  <si>
    <t>tân sửu</t>
  </si>
  <si>
    <t>Khuê</t>
  </si>
  <si>
    <t>nhâm dần</t>
  </si>
  <si>
    <t>quý mão</t>
  </si>
  <si>
    <t>giáp thìn</t>
  </si>
  <si>
    <t>ất tỵ</t>
  </si>
  <si>
    <t>bính ngọ</t>
  </si>
  <si>
    <t>đinh mùi</t>
  </si>
  <si>
    <t>mậu thân</t>
  </si>
  <si>
    <t>kỷ dậu</t>
  </si>
  <si>
    <t>dương</t>
  </si>
  <si>
    <t>âm</t>
  </si>
  <si>
    <t>canh tuất</t>
  </si>
  <si>
    <t>tân hợi</t>
  </si>
  <si>
    <t>nhâm tý</t>
  </si>
  <si>
    <t>quý sửu</t>
  </si>
  <si>
    <t>giáp dần</t>
  </si>
  <si>
    <t>ất mão</t>
  </si>
  <si>
    <t>bính thìn</t>
  </si>
  <si>
    <t>đinh tỵ</t>
  </si>
  <si>
    <t>Qui muội</t>
  </si>
  <si>
    <t>mậu ngọ</t>
  </si>
  <si>
    <t>kỷ mùi</t>
  </si>
  <si>
    <t>canh thân</t>
  </si>
  <si>
    <t>tân dậu</t>
  </si>
  <si>
    <t>Đoái</t>
  </si>
  <si>
    <t>nhâm tuất</t>
  </si>
  <si>
    <t>quý hợi</t>
  </si>
  <si>
    <t>Trung phu</t>
  </si>
  <si>
    <t>Tiểu quá</t>
  </si>
  <si>
    <t>Kí tế</t>
  </si>
  <si>
    <t>Vị tế</t>
  </si>
  <si>
    <t>41907</t>
  </si>
  <si>
    <t>51907</t>
  </si>
  <si>
    <t>NT: Bạn bè làm hại, khí huyết thương tổn. Nữ mệnh lấy chồng du đãng hoặc phá gia, nếu không thì cũng thưa kiện, tiền mất tật mang, có tang phục nữa.</t>
  </si>
  <si>
    <t>92033b</t>
  </si>
  <si>
    <t>102033b</t>
  </si>
  <si>
    <t>112033b</t>
  </si>
  <si>
    <t>NT: Phải tranh đấu rắc rối, có khi đi đến phá hại nguy vong.</t>
  </si>
  <si>
    <t>71908</t>
  </si>
  <si>
    <t>81908</t>
  </si>
  <si>
    <t>91908</t>
  </si>
  <si>
    <t>101908</t>
  </si>
  <si>
    <t>111908</t>
  </si>
  <si>
    <t>121908</t>
  </si>
  <si>
    <t>11909</t>
  </si>
  <si>
    <t>21909</t>
  </si>
  <si>
    <t>31909</t>
  </si>
  <si>
    <t>41909</t>
  </si>
  <si>
    <t>51909</t>
  </si>
  <si>
    <t>61909</t>
  </si>
  <si>
    <t>71909</t>
  </si>
  <si>
    <t>81909</t>
  </si>
  <si>
    <t>NT: Được quý nhân dẫn dắt, doanh mưu được lợi. Tĩnh thì tốt, động thì xấu. Số xấu có tang phục, tế lễ.</t>
  </si>
  <si>
    <t>NT: Nên an thường thì đẹp. Số xấu thì cốt nhục hình thương, thị phi nhũng nhiễu. Người già lo tuổi thọ.</t>
  </si>
  <si>
    <t>NT: Thoát được hiểm. Người già có tiệc mừng yến lão. Số xấu thì chết đuối.</t>
  </si>
  <si>
    <t>NT: Gần bậc tôn trưởng. Người già được kẻ tạ ơn. Phụ nhân được bằng khoán hay được giấy tờ tốt đẹp. Số xấu thì không nói tốt được.</t>
  </si>
  <si>
    <t>Gái bưng giỏ mà không có thức gì chứa (để cúng lễ không xứng đáng làm vợ) trai học trò cắt tiết con dê mà không có máu (để cúng lễ, không xứng làm chồng). Không có gì ích lợi được nữa (hào 6 và hào 2 đều là âm không hợp đạo vợ chồng).</t>
  </si>
  <si>
    <t>Phong là Phong mãn, Phong phú, là Đại (lớn, đầy, thịnh nên e rằng đến cực rồi sẽ suy).</t>
  </si>
  <si>
    <t>Gặp được chủ sánh nhau với mình (hào 4 sánh hào 1 cùng dương cả), tuy cân đều nhau mà không lỗi, tiến đi có sự đáng khen.</t>
  </si>
  <si>
    <t xml:space="preserve">Dưới trên tương ngộ phúc sao !        </t>
  </si>
  <si>
    <t>Lớn thay cái màn bịt kín mình (bị hào 6 xấu), giữa ngày mà thấy cả đám sao nhỏ (tức là ngày tối tăm), mình gãy cánh tay phải (hào 6) biết trách lỗi ai.</t>
  </si>
  <si>
    <t>Lớn thay cái vật che lấp mình, giữa ngày mà trông thấy cả sao đẩu; gặp ông di chủ ngang thưng (hào 4 và hào 1 cùng dương cả), tốt.</t>
  </si>
  <si>
    <t>Kéo dắt nhau trở lại (đường cũ) tốt.</t>
  </si>
  <si>
    <t>21910b</t>
  </si>
  <si>
    <t>31910b</t>
  </si>
  <si>
    <t>41910b</t>
  </si>
  <si>
    <t>51910b</t>
  </si>
  <si>
    <t>61910b</t>
  </si>
  <si>
    <t>71910b</t>
  </si>
  <si>
    <t>81910b</t>
  </si>
  <si>
    <t>91910b</t>
  </si>
  <si>
    <t>101910b</t>
  </si>
  <si>
    <t>111910b</t>
  </si>
  <si>
    <t>121910b</t>
  </si>
  <si>
    <t>11911b</t>
  </si>
  <si>
    <t>21911b</t>
  </si>
  <si>
    <t>31911b</t>
  </si>
  <si>
    <t>GS: Gặp cơ hội tiến thân, lên cao.</t>
  </si>
  <si>
    <t>GS: Được vinh danh lớn.</t>
  </si>
  <si>
    <t>122014b</t>
  </si>
  <si>
    <t>12015b</t>
  </si>
  <si>
    <t>22015b</t>
  </si>
  <si>
    <t>32015b</t>
  </si>
  <si>
    <t>42015b</t>
  </si>
  <si>
    <t>52015b</t>
  </si>
  <si>
    <t>62015b</t>
  </si>
  <si>
    <t>Đại quân (nguyên thủ) có mệnh trời ra mở nước, nối nghiệp nhà, kẻ tiểu nhân chớ có dùng.</t>
  </si>
  <si>
    <t>12014b</t>
  </si>
  <si>
    <t>22014b</t>
  </si>
  <si>
    <t>32014b</t>
  </si>
  <si>
    <t>42014b</t>
  </si>
  <si>
    <t>52014b</t>
  </si>
  <si>
    <t>62014b</t>
  </si>
  <si>
    <t>72014b</t>
  </si>
  <si>
    <t>82014b</t>
  </si>
  <si>
    <t>92014b</t>
  </si>
  <si>
    <t>102014b</t>
  </si>
  <si>
    <t>112014b</t>
  </si>
  <si>
    <t>NT: Mưu vọng toại ý.</t>
  </si>
  <si>
    <t>112028</t>
  </si>
  <si>
    <t>122028</t>
  </si>
  <si>
    <t>12029</t>
  </si>
  <si>
    <t>22029</t>
  </si>
  <si>
    <t>32029</t>
  </si>
  <si>
    <t>42029</t>
  </si>
  <si>
    <t>52029</t>
  </si>
  <si>
    <t>62029</t>
  </si>
  <si>
    <t>72029</t>
  </si>
  <si>
    <t>82029</t>
  </si>
  <si>
    <t>92029</t>
  </si>
  <si>
    <t>102029</t>
  </si>
  <si>
    <t>112029</t>
  </si>
  <si>
    <t>122029</t>
  </si>
  <si>
    <t>12030</t>
  </si>
  <si>
    <t>22030</t>
  </si>
  <si>
    <t>32030</t>
  </si>
  <si>
    <t>42030</t>
  </si>
  <si>
    <t>Cùng người ở khoảng đất ngoài thành, không hối hận.</t>
  </si>
  <si>
    <t>Không dính hại, chẳng lỗi gì, chịu khó nhọc thì không lỗi.</t>
  </si>
  <si>
    <t>Chương trình chỉ dùng cho người được sinh ra ở Hà Nội và khu vực lân cận cùng kinh độ vì lịch tiết khí ứng dụng trong chương trình chỉ tính cho khu vực này. Chương trình chỉ lập được số cho người sinh ra trong khoảng thời gian từ 1-1-1990 đến 31-12-2043, vì phần lịch tiết khí chỉ cập nhật trong khoảng đó. Lịch của chương trình tương tác với cài đặt thời gian trong máy tính này !</t>
  </si>
  <si>
    <t>Không sử dụng Cut &amp; Paste.</t>
  </si>
  <si>
    <r>
      <t xml:space="preserve">Dùng Unicode để gõ có dấu. Chỉ gõ vào cột có chữ mầu </t>
    </r>
    <r>
      <rPr>
        <sz val="10"/>
        <color indexed="18"/>
        <rFont val="Arial"/>
        <family val="2"/>
      </rPr>
      <t>xanh</t>
    </r>
    <r>
      <rPr>
        <sz val="8"/>
        <color indexed="18"/>
        <rFont val="Arial"/>
        <family val="2"/>
      </rPr>
      <t>.</t>
    </r>
  </si>
  <si>
    <t>QC: Mừng thăng ngạch trật.</t>
  </si>
  <si>
    <t>QC: Vinh hiển.</t>
  </si>
  <si>
    <t>QC: Hiển đạt.</t>
  </si>
  <si>
    <t>QC: Trên mến, dân quý. Lộc vị cao.</t>
  </si>
  <si>
    <t>QC: Dùng pháp luật trừ gian.</t>
  </si>
  <si>
    <t>QC: Gia quan tiến chức, giữ việc trọng yếu.</t>
  </si>
  <si>
    <t>QC: Nhờ người mà thành công mới giữ nổi địa vị.</t>
  </si>
  <si>
    <t>QC: Không bền.</t>
  </si>
  <si>
    <t>QC: Phận nhỏ nhưng không nguy.</t>
  </si>
  <si>
    <t>QC: Đương hiển đạt thì đắc chí, thoái chức mà còn gian nan.</t>
  </si>
  <si>
    <t>QC: Hay chấp nhất mất lòng đồng liêu.</t>
  </si>
  <si>
    <t>QC: A dua quyền thế, bị chê cười.</t>
  </si>
  <si>
    <t>QC: Sơ khoáng phận sự.</t>
  </si>
  <si>
    <t>QC: Được vinh thăng.</t>
  </si>
  <si>
    <t>QC: Kiệm đức tránh nạn.</t>
  </si>
  <si>
    <t>QC: Được đền bù công lao.</t>
  </si>
  <si>
    <t>QC: Ở quận ngoài, trong sạch.</t>
  </si>
  <si>
    <t>QC: Giữ chức việc quan trọng trừ gian hoặc cầm quyền chinh phạt.</t>
  </si>
  <si>
    <t>QC: Gần mặt trời.</t>
  </si>
  <si>
    <t>QC: Gặp lãnh đạo sáng suốt.</t>
  </si>
  <si>
    <t>QC: Phòng gian nịnh làm hại.</t>
  </si>
  <si>
    <t>QC: Có tài lương đống quốc gia.</t>
  </si>
  <si>
    <t>QC: Chưa được tinh hẳn, nên chưa sáng sủa.</t>
  </si>
  <si>
    <t>QC: Thăng trật.</t>
  </si>
  <si>
    <t>MHC: Có tài mà không được dùng, có bằng mà chẳng lộc vị, có vợ mà khó có con.</t>
  </si>
  <si>
    <t>82031b</t>
  </si>
  <si>
    <t>92031b</t>
  </si>
  <si>
    <t>102031b</t>
  </si>
  <si>
    <t>112031b</t>
  </si>
  <si>
    <t>122031b</t>
  </si>
  <si>
    <t>12032b</t>
  </si>
  <si>
    <t>22032b</t>
  </si>
  <si>
    <t>Khổ sở về việc giữ tiết (vì thái quá) cứ cố giữ nữa thì xấu, biết hối hận thì khỏi xấu.</t>
  </si>
  <si>
    <t>32004</t>
  </si>
  <si>
    <t>42004</t>
  </si>
  <si>
    <t>52004</t>
  </si>
  <si>
    <t>62004</t>
  </si>
  <si>
    <t>72004</t>
  </si>
  <si>
    <t>82004</t>
  </si>
  <si>
    <t>92004</t>
  </si>
  <si>
    <t>102004</t>
  </si>
  <si>
    <t>112004</t>
  </si>
  <si>
    <t>122004</t>
  </si>
  <si>
    <t>12005</t>
  </si>
  <si>
    <t>22005</t>
  </si>
  <si>
    <t>32005</t>
  </si>
  <si>
    <t>42005</t>
  </si>
  <si>
    <t>52005</t>
  </si>
  <si>
    <t>62005</t>
  </si>
  <si>
    <t>72005</t>
  </si>
  <si>
    <t>82005</t>
  </si>
  <si>
    <t>92005</t>
  </si>
  <si>
    <t>102005</t>
  </si>
  <si>
    <t>QC: Cùng đồng sự hợp tác.</t>
  </si>
  <si>
    <t>QC: Ra quân lập công to.</t>
  </si>
  <si>
    <t>QC: Vất vả về trừ gian.</t>
  </si>
  <si>
    <t>QC: Nên lùi bước, bị biếm phạt.</t>
  </si>
  <si>
    <t>QC: Khó tụ hợp ở Trung Ương, phải đi xa mà vất vả.</t>
  </si>
  <si>
    <t>QC: Thăng lên quận lớn (quận ngày xưa to hơn tỉnh bây giờ).</t>
  </si>
  <si>
    <t>QC: Vào nơi thanh cấm để sửa lỗi.</t>
  </si>
  <si>
    <t>QC: Không được gặp cấp trên sáng suốt, giải nhiệm là hơn.</t>
  </si>
  <si>
    <t>QC: Khinh động, mất chính trị, bị giáng truất.</t>
  </si>
  <si>
    <t>QC: Hay bị dư luận xuyên tạc, trước lao đao, sau mới tốt.</t>
  </si>
  <si>
    <t>MHC: Danh cao, tiếng sạch, xuất chúng, chùm đời, nói thẳng luận ngay, nhưng bị nghị luận xuyên tạc rất nhiều, nên lộc vị chẳng ổn.</t>
  </si>
  <si>
    <t>MHC: Trị phải phòng loạn, an phải nhớ nguy thì bảo được thân, tránh được hại.</t>
  </si>
  <si>
    <t>MHC: Là người ngay thẳng, tiến đức tu nghiệp, có thanh danh.</t>
  </si>
  <si>
    <t>MHC: Sửa lỗi làm lành, rồi có đủ tài giúp nguy cứu khốn.</t>
  </si>
  <si>
    <t>MHC: Đức có thực, cách trị có gốc, ơn trạch dồi dào, sự nghiệp lớn, danh thơm thiên cổ.</t>
  </si>
  <si>
    <t>QC: Ngồi cho có chỗ.</t>
  </si>
  <si>
    <t>QC: Di chuyển, sửa đổi.</t>
  </si>
  <si>
    <t>QC: Gặp họa cách giáng.</t>
  </si>
  <si>
    <t>QC: Muốn hồi hưu.</t>
  </si>
  <si>
    <t>QC: Thôi việc.</t>
  </si>
  <si>
    <t>QC: Bị khiển trách, cách giáng.</t>
  </si>
  <si>
    <t>QC: Lỗi xu nịnh, khuất tất.</t>
  </si>
  <si>
    <t>QC: Ở đô thị thì đổi đi địa phương. Tai ách tiêu tan.</t>
  </si>
  <si>
    <t>QC: Xa xỉ bê bối đến cùng nguy.</t>
  </si>
  <si>
    <t>QC: Phòng bị hại ngầm.</t>
  </si>
  <si>
    <t>QC: Có công tác cử hành hay đi chinh phạt.</t>
  </si>
  <si>
    <t>QC: Nhờ người mà nên mỹ mãn.</t>
  </si>
  <si>
    <t>MHC: Trị không quên loạn, an không quên nguy, thiên mệnh vững, nhân tâm nhớ lâu nên sự nghiệp Ký Tế không đến nỗi nào.</t>
  </si>
  <si>
    <t>MHC: Có tài cứu vớt, đổi loạn thành trị, công lập đương thời tiếng để mai sau.</t>
  </si>
  <si>
    <t>MHC: Dù có lòng muốn ban ơn cứu giúp người cũng chỉ đạt được kết quả nhỏ thôi.</t>
  </si>
  <si>
    <t>101914b</t>
  </si>
  <si>
    <t>111914b</t>
  </si>
  <si>
    <t>121914b</t>
  </si>
  <si>
    <t>11915b</t>
  </si>
  <si>
    <t>Đội cái cùm, đứt tai, xấu (nói người bị hình phạt).</t>
  </si>
  <si>
    <t>Hôm nay :</t>
  </si>
  <si>
    <t>Tiết tháng :</t>
  </si>
  <si>
    <t>Tiết năm :</t>
  </si>
  <si>
    <t>21989</t>
  </si>
  <si>
    <t>31989</t>
  </si>
  <si>
    <t>41989</t>
  </si>
  <si>
    <t>51989</t>
  </si>
  <si>
    <t>61989</t>
  </si>
  <si>
    <t>71989</t>
  </si>
  <si>
    <t>81989</t>
  </si>
  <si>
    <t>91989</t>
  </si>
  <si>
    <t>101989</t>
  </si>
  <si>
    <t>111989</t>
  </si>
  <si>
    <t>121989</t>
  </si>
  <si>
    <t>11990</t>
  </si>
  <si>
    <t>21990</t>
  </si>
  <si>
    <t>31990</t>
  </si>
  <si>
    <t>41990</t>
  </si>
  <si>
    <t>51990</t>
  </si>
  <si>
    <t>61990</t>
  </si>
  <si>
    <t>71990</t>
  </si>
  <si>
    <t>81990</t>
  </si>
  <si>
    <t>91990</t>
  </si>
  <si>
    <t>101990</t>
  </si>
  <si>
    <t>111990</t>
  </si>
  <si>
    <t>121990</t>
  </si>
  <si>
    <t>11991</t>
  </si>
  <si>
    <t>21991</t>
  </si>
  <si>
    <t>31991</t>
  </si>
  <si>
    <t>41991</t>
  </si>
  <si>
    <t>51991</t>
  </si>
  <si>
    <t>61991</t>
  </si>
  <si>
    <t>71991</t>
  </si>
  <si>
    <t>81991</t>
  </si>
  <si>
    <t>91991</t>
  </si>
  <si>
    <t>101991</t>
  </si>
  <si>
    <t>111991</t>
  </si>
  <si>
    <t>121991</t>
  </si>
  <si>
    <t>11992</t>
  </si>
  <si>
    <t>21992</t>
  </si>
  <si>
    <t>31992</t>
  </si>
  <si>
    <t>41992</t>
  </si>
  <si>
    <t>51992</t>
  </si>
  <si>
    <t>61992</t>
  </si>
  <si>
    <t>71992</t>
  </si>
  <si>
    <t>GS: Chưa đỗ đạt, chưa tiến bước.</t>
  </si>
  <si>
    <t>111110</t>
  </si>
  <si>
    <t>111010</t>
  </si>
  <si>
    <t>111100</t>
  </si>
  <si>
    <t>111000</t>
  </si>
  <si>
    <t>011111</t>
  </si>
  <si>
    <t>72022</t>
  </si>
  <si>
    <t>82022</t>
  </si>
  <si>
    <t>92022</t>
  </si>
  <si>
    <t>102022</t>
  </si>
  <si>
    <t>Đi trên sương mỏng, phải nghĩ ngay rằng trời lạnh, giá đông cũng sắp tới. (Thấy điều ác nhỏ, phải nghĩ rằng sẽ thành điều ác lớn).</t>
  </si>
  <si>
    <t>Gió Đông thuận tiện, hân hoan ngập trời.</t>
  </si>
  <si>
    <t>Đang đêm nổi gió, ôi thôi hãi hùng.</t>
  </si>
  <si>
    <t>Không điều gượng gạo, sánh vai tốt lành.</t>
  </si>
  <si>
    <t>Một lòng thành tín trước sau vui hòa.</t>
  </si>
  <si>
    <t>Non Đoài thấy khổ không ?</t>
  </si>
  <si>
    <t>Chỉ kinh chạm trán thì lòng hết vui.</t>
  </si>
  <si>
    <t>(Nhất đôi thảo lý oa minh cổ</t>
  </si>
  <si>
    <t>Tam khuyển sào biên giạ phệ gia)</t>
  </si>
  <si>
    <t>Thu nguyệt với xuân hoa,</t>
  </si>
  <si>
    <t xml:space="preserve">Chỉ bởi thời chưa đến, </t>
  </si>
  <si>
    <t>Lòng rối như vò tơ.</t>
  </si>
  <si>
    <t>Lợi danh thông đạt chẳng ham vàng nhiều.</t>
  </si>
  <si>
    <t>Nhìn vào tâm sự, nguy an rõ rồi.</t>
  </si>
  <si>
    <t>Quyết tâm vin tới, trăng ngàn soi chung.</t>
  </si>
  <si>
    <t>Gió sông quạt mộng, hạc bồng mây xanh.</t>
  </si>
  <si>
    <t>Băng tan hiểm họa, gió thanh khí hòa.</t>
  </si>
  <si>
    <t>21961</t>
  </si>
  <si>
    <t>31961</t>
  </si>
  <si>
    <t>41961</t>
  </si>
  <si>
    <t>51961</t>
  </si>
  <si>
    <t>61961</t>
  </si>
  <si>
    <t>71961</t>
  </si>
  <si>
    <t>81961</t>
  </si>
  <si>
    <t>91961</t>
  </si>
  <si>
    <t>101961</t>
  </si>
  <si>
    <t>111961</t>
  </si>
  <si>
    <t>121961</t>
  </si>
  <si>
    <t>GS: Mưu cầu việc gì càng vội, càng khó thành.</t>
  </si>
  <si>
    <t>GS: Hay bị trở ngại bởi dư luận xuyên tạc.</t>
  </si>
  <si>
    <t>NT: Kiện tụng lâu được giải. Số xấu có biến cố, kém thọ.</t>
  </si>
  <si>
    <t>51966b</t>
  </si>
  <si>
    <t>61966b</t>
  </si>
  <si>
    <t>MHC: Tài đức lớn, lập công lớn, hưởng phú quý.</t>
  </si>
  <si>
    <t>MHC: Hưởng phú quý sẵn có, hoặc nhờ tổ nghiệp.</t>
  </si>
  <si>
    <t>MHC: Cương quá, gặp kẻ không ra người, đủ tài lập công, chỉ đủ cơm áo, chẳng vinh chẳng nhục.</t>
  </si>
  <si>
    <t>MHC: Đổi nguy ra an, cứu vớt được dân, công nghiệp không nhỏ.</t>
  </si>
  <si>
    <t>MHC: Tài cao, vị trọng, đức phục các nước nhỏ, sự nghiệp hiển hách, phúc trạch lớn lao.</t>
  </si>
  <si>
    <t>MHC: Lập chế độ, nghị đức hạnh, thành công đương thời, lưu tiếng đời sau.</t>
  </si>
  <si>
    <t>MHC: Chí thành thịnh đức vì nước, thì dân cảm, vật ứng, trời giúp, công thành, phú quý xiết kể.</t>
  </si>
  <si>
    <t>MHC: Tài lớn chí cao nhưng không gặp thời, bị ngăn trở, nên chỉ làm được việc nhỏ.</t>
  </si>
  <si>
    <t>MKH: Quê, lận, sẻn, có tổ nghiệp mà không biết biến thông, ít hợp nhân tình, khó tránh hối hận.</t>
  </si>
  <si>
    <t>MKH: Hàn vi mà lên nhanh quá, câu chấp không thông nên bị tai hại, duy chỉ ở nơi hang động, thanh hư như nơi tiên cảnh thì tốt lành.</t>
  </si>
  <si>
    <t>MKH: Cậy mạnh làm liều, tham cao, mưu xa, tai họa đều đến, thân gia khó giữ.</t>
  </si>
  <si>
    <t>MKH: Chí cao, ý mãn, cậy tài, làm liều, trời chán, người oán, vong thân chưa biết ngày nào.</t>
  </si>
  <si>
    <t>MKH: Túng dục không tiết độ, trái nghĩa, đổ dễ mà thành khó.</t>
  </si>
  <si>
    <t>MKH: Giữ nghĩa, an phận nghèo.</t>
  </si>
  <si>
    <t>MKH: Cũng cao giá trị, thấy việc hồ đồ, không giữ chí hướng.</t>
  </si>
  <si>
    <t>MKH: Cũng trung thực, hiểu nhân tình, nhà vượng phúc dày.</t>
  </si>
  <si>
    <t>MHC: Sáng nước bước, liệu việc trước, biết ứng biến từ lúc thời bình, nên tránh được họa khi loạn đến (Chữ Tả ngày xưa chỉ chức: Tả tướng, Tả tào v.v...).</t>
  </si>
  <si>
    <t>MHC: Tận tâm với chức vụ. Trong lòng ngoài mặt như in. Phú quý bền lâu.</t>
  </si>
  <si>
    <t>MHC: Người quý lại gặp tri kỷ. Được thuyên chuyển tốt, buồn hóa vui, xấu hóa tốt.</t>
  </si>
  <si>
    <t>MHC: Kính thận đối với trên, mềm dẻo thu phục được kẻ bạo cường, người kim, lòng hoài cổ, đổi khó thành dễ, hóa xấu thành tốt.</t>
  </si>
  <si>
    <t>MHC: Có đức, có lập ngôn, lớn thì làm ngoại giao, nhỏ thì làm giáo sư.</t>
  </si>
  <si>
    <t>MHC: Có tài đức nhưng tới muộn mới phát.</t>
  </si>
  <si>
    <t>MHC: Theo nếp cổ, khoan lượng, ưa nhã nhặn, công danh đạt, phúc lộc thịnh.</t>
  </si>
  <si>
    <t>MHC: Trước tối, sau sáng, tích đức xả kỷ nên hiển đạt, phúc lộc dồi dào.</t>
  </si>
  <si>
    <t>MKH: Hữu tài vô đức, tự tôn tự đại, tuyệt người thân, bỏ bạn hữu, câu chấp không định, phàm việc hư hết, chỉ có làm tăng đạo ở núi rừng là đỡ tai nạn.</t>
  </si>
  <si>
    <t>MKH: Cứ lang thang bôn tẩu, nhà bỏ thân tàn.</t>
  </si>
  <si>
    <t>MKH: Thô lậu, vất vả, tai ách đến.</t>
  </si>
  <si>
    <t>Thượng lục: quá thiệp, diệt đính, hung, vô cữu. </t>
  </si>
  <si>
    <t>Thượng lục: Hệ dụng huy mặc, trí vu từng cức, tam tuế bất đắc, hung. </t>
  </si>
  <si>
    <t>Thượng cửu: Vương dụng xuất chinh, Hữu gia; chiết thủ, hoạch phỉ kì xú, vô cữu. </t>
  </si>
  <si>
    <t>Thượng lục: Hàm kì phụ, giáp , thiệt. </t>
  </si>
  <si>
    <t>Thượng lục: chấn hằng, hung.</t>
  </si>
  <si>
    <t>Thượng cửu: Phi độn, vô bất lợi. </t>
  </si>
  <si>
    <t>Thượng lục: đề dương xúc phiên, bất năng thoái, bất năng toại, vô du lợi, gian tắc cát.</t>
  </si>
  <si>
    <t>Thượng cửu: Tấn kỳ giác, duy dụng phạt ấp, lệ cát, vô cữu, trinh lận.</t>
  </si>
  <si>
    <t>Thượng lục: Bất minh di, sơ đăng vu thiên, hậu nhập vu địa.</t>
  </si>
  <si>
    <t>Thượng cửu: Hữu phu, uy như, chung cát.</t>
  </si>
  <si>
    <t>Thượng cửu: Khuê cô, kiến thỉ phụ đồ, tải quỉ nhất xa. Tiên trương chi hồ, hậu thoát chi hồ, phỉ khấu, hôn cấu. Vãng ngộ vũ tắc cát. </t>
  </si>
  <si>
    <t>Thượng lục: Vãng kiển, lai thạc, cát, lợi kiến đại nhân. </t>
  </si>
  <si>
    <t>Thượng lục: Công dụng xạ chuẩn vu cao dung chi thượng. Hoạch chi, vô bất lợi. </t>
  </si>
  <si>
    <t>Thượng cửu: phất tổn ích chi, trinh cát. Lợi hữu du vãng, đắc thần vô gia . </t>
  </si>
  <si>
    <t>Thượng cửu: Mạc ích chi hoặc kích chi. Lập tâm vật hằng, hung. </t>
  </si>
  <si>
    <t>Thượng lục: vô hào, chung hữu hung. </t>
  </si>
  <si>
    <t>Thượng cửu: Cấu kì giác, lận, vô cữu.</t>
  </si>
  <si>
    <t>Thượng lục: tế tư, thế di, vô cữu. </t>
  </si>
  <si>
    <t>Thượng lục: Minh thăng, lợi vu vật tức chi trinh. </t>
  </si>
  <si>
    <t>Thượng lục: Khốn vu cát lũy, vu niết ngột. Viết động hối, hữu hối, chinh cát. </t>
  </si>
  <si>
    <t>Thượng lục: Tỉnh thu, vật mạc, hữu phu, nguyên cát. </t>
  </si>
  <si>
    <t>Thượng lục: Quân tử báo biến, tiểu nhân cách diện. Chinh hung, cư trinh, cát. </t>
  </si>
  <si>
    <t>Thượng cửu: Đỉnh ngọc huyễn, đại cát, vô bất lợi. </t>
  </si>
  <si>
    <t>Thượng lục: Chấn tác tác, thị quắc quắc, chinh hung. Chấn bất vu kì cung, vu kì lân, vô cữu, hôn cấu hữu ngôn. </t>
  </si>
  <si>
    <t>Thượng cửu: Đôn cấn, cát. </t>
  </si>
  <si>
    <t>Thượng cửu: Hồng tiệm vu quì (chữ 陸 dùng như chữ 逵 quì là đường mây), kì vũ khả dụng vi nghi, cát. </t>
  </si>
  <si>
    <t>Thượng lục: Nữ thừa khuông ,vô thực. Sĩ khuê dương, vô huyết, vô du lợi. </t>
  </si>
  <si>
    <t>Thượng lục: Phong kì ốc, bộ kì gia, khuy kì hộ, Huých kì vô nhân, tam tuế bất địch, hung. </t>
  </si>
  <si>
    <t>Thượng cửu: điểu phần kì sào, lữ nhân tiên tiếu, hậu hào đào, táng ngưu vu dị, hung. </t>
  </si>
  <si>
    <t>Thượng cửu: Tốn tại sàng hạ, táng kì tư phủ, trinh hung. </t>
  </si>
  <si>
    <t>Thượng lục: Dẫn đoài. </t>
  </si>
  <si>
    <t>Thượng cửu: hoán kỳ huyết khử, địch xuất, vô cữu.</t>
  </si>
  <si>
    <t>Thượng lục: Khổ tiết, trinh hung. Hối vong. </t>
  </si>
  <si>
    <t>Thượng cửu: Hàn âm đăng vu thiên, trinh hung.</t>
  </si>
  <si>
    <t>Thượng lục: phất ngộ quá chi, phi điểu li chi. Hung, thị vị tai sảnh. </t>
  </si>
  <si>
    <t>Thượng lục: Nhu kỳ thủ, lệ.</t>
  </si>
  <si>
    <t>Thượng cửu: Hữu phu vu ẩm tửu, vô cữu. Nhu kỳ thủ, hữu phu, thất thị.</t>
  </si>
  <si>
    <r>
      <t>Dụng cửu: Hiện quần long vô thủ, cát</t>
    </r>
    <r>
      <rPr>
        <sz val="9"/>
        <color indexed="8"/>
        <rFont val="Arial"/>
        <family val="2"/>
      </rPr>
      <t>. </t>
    </r>
  </si>
  <si>
    <t>Có</t>
  </si>
  <si>
    <t>TỴ</t>
  </si>
  <si>
    <t>Không</t>
  </si>
  <si>
    <t xml:space="preserve">Tử Vi </t>
  </si>
  <si>
    <t>B</t>
  </si>
  <si>
    <t>D</t>
  </si>
  <si>
    <t>M</t>
  </si>
  <si>
    <t>V</t>
  </si>
  <si>
    <t>Thiên Phủ</t>
  </si>
  <si>
    <t>Vũ Khúc</t>
  </si>
  <si>
    <t>H</t>
  </si>
  <si>
    <t>Thiên Tướng</t>
  </si>
  <si>
    <t>Thất Sát</t>
  </si>
  <si>
    <t>Phá Quân</t>
  </si>
  <si>
    <t>Liêm Trinh</t>
  </si>
  <si>
    <t>Tham Lang</t>
  </si>
  <si>
    <t>Thái Âm</t>
  </si>
  <si>
    <t>Họ tên</t>
  </si>
  <si>
    <t>Thiên Cơ</t>
  </si>
  <si>
    <t>Giới</t>
  </si>
  <si>
    <t>Thiên Đồng</t>
  </si>
  <si>
    <t>Thiên Lương</t>
  </si>
  <si>
    <t>Thái Dương</t>
  </si>
  <si>
    <t>Cự Môn</t>
  </si>
  <si>
    <t>Mệnh</t>
  </si>
  <si>
    <t>văn khúc</t>
  </si>
  <si>
    <t>Cục</t>
  </si>
  <si>
    <t>tả phù</t>
  </si>
  <si>
    <t>mệnh</t>
  </si>
  <si>
    <t>Mệnh cục bình hòa</t>
  </si>
  <si>
    <t>Mệnh khắc cục</t>
  </si>
  <si>
    <t>Mệnh sinh cục</t>
  </si>
  <si>
    <t>Cục khắc mệnh</t>
  </si>
  <si>
    <t>Cục sinh mệnh</t>
  </si>
  <si>
    <t>tứ cục</t>
  </si>
  <si>
    <t>hữu bật</t>
  </si>
  <si>
    <t>tam cục</t>
  </si>
  <si>
    <t>thuỷ</t>
  </si>
  <si>
    <t>nhị cục</t>
  </si>
  <si>
    <t>Năm an sao lưu niên</t>
  </si>
  <si>
    <t>lục cục</t>
  </si>
  <si>
    <t>An sao lưu</t>
  </si>
  <si>
    <t>ngũ cục</t>
  </si>
  <si>
    <t>Chỉ nhập vào ô màu vàng!</t>
  </si>
  <si>
    <t>Liêm</t>
  </si>
  <si>
    <t>Thiên</t>
  </si>
  <si>
    <t>Vũ</t>
  </si>
  <si>
    <t>Tham</t>
  </si>
  <si>
    <t>Cự</t>
  </si>
  <si>
    <t>Thiên lương</t>
  </si>
  <si>
    <t>Thất</t>
  </si>
  <si>
    <t>Phá</t>
  </si>
  <si>
    <t>Trinh</t>
  </si>
  <si>
    <t>Đồng</t>
  </si>
  <si>
    <t>Khúc</t>
  </si>
  <si>
    <t>Dương</t>
  </si>
  <si>
    <t>Cơ</t>
  </si>
  <si>
    <t>Phủ</t>
  </si>
  <si>
    <t>Lang</t>
  </si>
  <si>
    <t>Môn</t>
  </si>
  <si>
    <t>Tướng</t>
  </si>
  <si>
    <t>Quân</t>
  </si>
  <si>
    <t>âm dương</t>
  </si>
  <si>
    <t>Phụ mẫu</t>
  </si>
  <si>
    <t>Phúc đức</t>
  </si>
  <si>
    <t>Điền trạch</t>
  </si>
  <si>
    <t>Quan lộc</t>
  </si>
  <si>
    <t>mệnh thân</t>
  </si>
  <si>
    <t>Nô bộc</t>
  </si>
  <si>
    <t>dần dần</t>
  </si>
  <si>
    <t>sửu mão</t>
  </si>
  <si>
    <t>tý thìn</t>
  </si>
  <si>
    <t>hợi tỵ</t>
  </si>
  <si>
    <t>tuất ngọ</t>
  </si>
  <si>
    <t>dậu mùi</t>
  </si>
  <si>
    <t>thân thân</t>
  </si>
  <si>
    <t>mùi dậu</t>
  </si>
  <si>
    <t>ngọ tuất</t>
  </si>
  <si>
    <t>tỵ hợi</t>
  </si>
  <si>
    <t>thìn tý</t>
  </si>
  <si>
    <t>mão sửu</t>
  </si>
  <si>
    <t>cục</t>
  </si>
  <si>
    <t>mão mão</t>
  </si>
  <si>
    <t>dần thìn</t>
  </si>
  <si>
    <t>sửu tỵ</t>
  </si>
  <si>
    <t>tý ngọ</t>
  </si>
  <si>
    <t>hợi mùi</t>
  </si>
  <si>
    <t>tuất thân</t>
  </si>
  <si>
    <t>dậu dậu</t>
  </si>
  <si>
    <t>thân tuất</t>
  </si>
  <si>
    <t>mùi hợi</t>
  </si>
  <si>
    <t>ngọ tý</t>
  </si>
  <si>
    <t>tỵ sửu</t>
  </si>
  <si>
    <t>thìn dần</t>
  </si>
  <si>
    <t>Tật ách</t>
  </si>
  <si>
    <t>thìn thìn</t>
  </si>
  <si>
    <t>mão tỵ</t>
  </si>
  <si>
    <t>dần ngọ</t>
  </si>
  <si>
    <t>sửu mùi</t>
  </si>
  <si>
    <t>tý thân</t>
  </si>
  <si>
    <t>hợi dậu</t>
  </si>
  <si>
    <t>tuất tuất</t>
  </si>
  <si>
    <t>dậu hợi</t>
  </si>
  <si>
    <t>thân tý</t>
  </si>
  <si>
    <t>mùi sửu</t>
  </si>
  <si>
    <t>ngọ dần</t>
  </si>
  <si>
    <t>tỵ mão</t>
  </si>
  <si>
    <t>ko</t>
  </si>
  <si>
    <t>Tài bạch</t>
  </si>
  <si>
    <t>tỵ tỵ</t>
  </si>
  <si>
    <t>thìn ngọ</t>
  </si>
  <si>
    <t>mão mùi</t>
  </si>
  <si>
    <t>dần thân</t>
  </si>
  <si>
    <t>sửu dậu</t>
  </si>
  <si>
    <t>tý tuất</t>
  </si>
  <si>
    <t>hợi hợi</t>
  </si>
  <si>
    <t>tuất tý</t>
  </si>
  <si>
    <t>dậu sửu</t>
  </si>
  <si>
    <t>thân dần</t>
  </si>
  <si>
    <t>mùi mão</t>
  </si>
  <si>
    <t>ngọ thìn</t>
  </si>
  <si>
    <t>vong</t>
  </si>
  <si>
    <t>Tử tức</t>
  </si>
  <si>
    <t>ngọ ngọ</t>
  </si>
  <si>
    <t>tỵ mùi</t>
  </si>
  <si>
    <t>thìn thân</t>
  </si>
  <si>
    <t>mão dậu</t>
  </si>
  <si>
    <t>dần tuất</t>
  </si>
  <si>
    <t>sửu hợi</t>
  </si>
  <si>
    <t>tý tý</t>
  </si>
  <si>
    <t>hợi sửu</t>
  </si>
  <si>
    <t>tuất dần</t>
  </si>
  <si>
    <t>dậu mão</t>
  </si>
  <si>
    <t>thân thìn</t>
  </si>
  <si>
    <t>mùi tỵ</t>
  </si>
  <si>
    <t>mùi mùi</t>
  </si>
  <si>
    <t>ngọ thân</t>
  </si>
  <si>
    <t>tỵ dậu</t>
  </si>
  <si>
    <t>thìn tuất</t>
  </si>
  <si>
    <t>mão hợi</t>
  </si>
  <si>
    <t>dần tý</t>
  </si>
  <si>
    <t>sửu sửu</t>
  </si>
  <si>
    <t>tý dần</t>
  </si>
  <si>
    <t>hợi mão</t>
  </si>
  <si>
    <t>tuất thìn</t>
  </si>
  <si>
    <t>dậu tỵ</t>
  </si>
  <si>
    <t>thân ngọ</t>
  </si>
  <si>
    <t>triệt</t>
  </si>
  <si>
    <t>Huynh đệ</t>
  </si>
  <si>
    <t>tìm cục</t>
  </si>
  <si>
    <t>năm lưu</t>
  </si>
  <si>
    <t>ấn quang</t>
  </si>
  <si>
    <t>Ấn Quang</t>
  </si>
  <si>
    <t>L.Thái tuế</t>
  </si>
  <si>
    <t>thiên quý</t>
  </si>
  <si>
    <t>14 chính diệu thuộc  hai vòng sao Tử Vi</t>
  </si>
  <si>
    <t>Lưu Lộc</t>
  </si>
  <si>
    <t>thiên khôi</t>
  </si>
  <si>
    <t>Lưu Kình</t>
  </si>
  <si>
    <t>thiên việt</t>
  </si>
  <si>
    <t>Vi</t>
  </si>
  <si>
    <t>Lưu Đà</t>
  </si>
  <si>
    <t>Lưu Khốc</t>
  </si>
  <si>
    <t>Lưu Hư</t>
  </si>
  <si>
    <t>Lộc tồn</t>
  </si>
  <si>
    <t>Lưu Mã</t>
  </si>
  <si>
    <t>hóa lộc</t>
  </si>
  <si>
    <t>Lưu Tang</t>
  </si>
  <si>
    <t>Lưu B.Hổ</t>
  </si>
  <si>
    <t>hóa quyền</t>
  </si>
  <si>
    <t>hóa khoa</t>
  </si>
  <si>
    <t>long trì</t>
  </si>
  <si>
    <t>phượng các</t>
  </si>
  <si>
    <t>hồng loan</t>
  </si>
  <si>
    <t>tam thai</t>
  </si>
  <si>
    <t>Những Sao An Theo Giờ Sinh</t>
  </si>
  <si>
    <t>bát tọa</t>
  </si>
  <si>
    <t>Giờ Sinh</t>
  </si>
  <si>
    <t>Văn Khúc</t>
  </si>
  <si>
    <t>Thai Phụ</t>
  </si>
  <si>
    <t>Phong Cáo</t>
  </si>
  <si>
    <t>Địa Không</t>
  </si>
  <si>
    <t>Địa Kiếp</t>
  </si>
  <si>
    <t>thai phụ</t>
  </si>
  <si>
    <t>tử vi</t>
  </si>
  <si>
    <t>phong cáo</t>
  </si>
  <si>
    <t>đường phù</t>
  </si>
  <si>
    <t>phúc đức</t>
  </si>
  <si>
    <t>long đức</t>
  </si>
  <si>
    <t>thiên giải</t>
  </si>
  <si>
    <t>aquang</t>
  </si>
  <si>
    <t>địa giải</t>
  </si>
  <si>
    <t>quy</t>
  </si>
  <si>
    <t>giải thần</t>
  </si>
  <si>
    <t>thiên quan</t>
  </si>
  <si>
    <t>thiên phúc</t>
  </si>
  <si>
    <t>Bảng 6 Những Sao An Theo Tháng Sinh</t>
  </si>
  <si>
    <t>thiên trù</t>
  </si>
  <si>
    <t>thiên hỷ</t>
  </si>
  <si>
    <t>Tả</t>
  </si>
  <si>
    <t>Hữu</t>
  </si>
  <si>
    <t>Địa</t>
  </si>
  <si>
    <t>Sinh</t>
  </si>
  <si>
    <t>Phù</t>
  </si>
  <si>
    <t>Bật</t>
  </si>
  <si>
    <t>Hình</t>
  </si>
  <si>
    <t>Riêu</t>
  </si>
  <si>
    <t>Y</t>
  </si>
  <si>
    <t>tràng sinh</t>
  </si>
  <si>
    <t>tamthai</t>
  </si>
  <si>
    <t>tọa</t>
  </si>
  <si>
    <t>thương</t>
  </si>
  <si>
    <t>mộc dục</t>
  </si>
  <si>
    <t>sứ</t>
  </si>
  <si>
    <t>quan đới</t>
  </si>
  <si>
    <t>lâm quan</t>
  </si>
  <si>
    <t>đế vượng</t>
  </si>
  <si>
    <t>――――――</t>
  </si>
  <si>
    <t>bác sỹ</t>
  </si>
  <si>
    <t>đẩu q</t>
  </si>
  <si>
    <t>lực sỹ</t>
  </si>
  <si>
    <t>thanh long</t>
  </si>
  <si>
    <t>tướng quân</t>
  </si>
  <si>
    <t>tấu thư</t>
  </si>
  <si>
    <t>tài</t>
  </si>
  <si>
    <t>phi liêm</t>
  </si>
  <si>
    <t>Những Sao An Theo Hàng Can Của Năm Sinh</t>
  </si>
  <si>
    <t>thọ</t>
  </si>
  <si>
    <t>hỷ thần</t>
  </si>
  <si>
    <t>Kình</t>
  </si>
  <si>
    <t>Đà</t>
  </si>
  <si>
    <t>Quốc</t>
  </si>
  <si>
    <t>Đường</t>
  </si>
  <si>
    <t>Lưu</t>
  </si>
  <si>
    <t>Hóa</t>
  </si>
  <si>
    <t>Triệt</t>
  </si>
  <si>
    <t>thiếu dương</t>
  </si>
  <si>
    <t>Tồn</t>
  </si>
  <si>
    <t>La</t>
  </si>
  <si>
    <t>Phú</t>
  </si>
  <si>
    <t>Khôi</t>
  </si>
  <si>
    <t>Việt</t>
  </si>
  <si>
    <t>Phúc</t>
  </si>
  <si>
    <t>Hà</t>
  </si>
  <si>
    <t>Trù</t>
  </si>
  <si>
    <t>văn tinh</t>
  </si>
  <si>
    <t>Quyền</t>
  </si>
  <si>
    <t>Khoa</t>
  </si>
  <si>
    <t>Kỵ</t>
  </si>
  <si>
    <t>thiếu âm</t>
  </si>
  <si>
    <t>Thiếu âm</t>
  </si>
  <si>
    <t>Thân dậu</t>
  </si>
  <si>
    <t>thiên tài</t>
  </si>
  <si>
    <t>Ngọ mùi</t>
  </si>
  <si>
    <t>dưỡng</t>
  </si>
  <si>
    <t>Thìn tỵ</t>
  </si>
  <si>
    <t>thiên thọ</t>
  </si>
  <si>
    <t>Dần mão</t>
  </si>
  <si>
    <t>Tử Vi</t>
  </si>
  <si>
    <t>Tý sửu</t>
  </si>
  <si>
    <t>BẢNG 10 : NHỮNG SAO AN THEO HÀNG CHI CỦA NĂM SINH</t>
  </si>
  <si>
    <t>Long</t>
  </si>
  <si>
    <t>Phượng</t>
  </si>
  <si>
    <t>Nguyệt</t>
  </si>
  <si>
    <t>Hồng</t>
  </si>
  <si>
    <t>Cô</t>
  </si>
  <si>
    <t>Quả</t>
  </si>
  <si>
    <t>Đào</t>
  </si>
  <si>
    <t>Hoa</t>
  </si>
  <si>
    <t>Trì</t>
  </si>
  <si>
    <t>Các</t>
  </si>
  <si>
    <t>Thần</t>
  </si>
  <si>
    <t>Khốc</t>
  </si>
  <si>
    <t>Hư</t>
  </si>
  <si>
    <t>Đức</t>
  </si>
  <si>
    <t>Loan</t>
  </si>
  <si>
    <t>hỷ</t>
  </si>
  <si>
    <t>Tú</t>
  </si>
  <si>
    <t>Mã</t>
  </si>
  <si>
    <t>sát</t>
  </si>
  <si>
    <t>Cái</t>
  </si>
  <si>
    <t>Toái</t>
  </si>
  <si>
    <t>L.TTuế</t>
  </si>
  <si>
    <t>L.Lộc</t>
  </si>
  <si>
    <t>L.Kình</t>
  </si>
  <si>
    <t>L.Đà</t>
  </si>
  <si>
    <t>L.Khốc</t>
  </si>
  <si>
    <t>L.Hư</t>
  </si>
  <si>
    <t>L.Mã</t>
  </si>
  <si>
    <t>L.Tang</t>
  </si>
  <si>
    <t>L.Hổ</t>
  </si>
  <si>
    <t>an tràng sinh</t>
  </si>
  <si>
    <t>Tràng</t>
  </si>
  <si>
    <t>địa kiếp</t>
  </si>
  <si>
    <t>Dục</t>
  </si>
  <si>
    <t>Đái</t>
  </si>
  <si>
    <t>địa không</t>
  </si>
  <si>
    <t>đà la</t>
  </si>
  <si>
    <t>hỏa tinh</t>
  </si>
  <si>
    <t>linh tinh</t>
  </si>
  <si>
    <t>thiên không</t>
  </si>
  <si>
    <t>thiên hình</t>
  </si>
  <si>
    <t>lưu hà</t>
  </si>
  <si>
    <t>hóa kỵ</t>
  </si>
  <si>
    <t>thiên riêu</t>
  </si>
  <si>
    <t>tang môn</t>
  </si>
  <si>
    <t>bạch hổ</t>
  </si>
  <si>
    <t>thiên hư</t>
  </si>
  <si>
    <t>VÒNG SAO LỘC TỒN</t>
  </si>
  <si>
    <t>thiên khốc</t>
  </si>
  <si>
    <t>Xem bảng 7 để biết Lộc tồn an ở cung nào rồi theo hàng ngang an các sao khác.</t>
  </si>
  <si>
    <t>Lực</t>
  </si>
  <si>
    <t>Thanh</t>
  </si>
  <si>
    <t>Tiểu</t>
  </si>
  <si>
    <t>Tấu thư</t>
  </si>
  <si>
    <t>Phi</t>
  </si>
  <si>
    <t>Hỉ thần</t>
  </si>
  <si>
    <t>Bệnh phù</t>
  </si>
  <si>
    <t>Đại</t>
  </si>
  <si>
    <t>Sĩ</t>
  </si>
  <si>
    <t>Hao</t>
  </si>
  <si>
    <t>Binh</t>
  </si>
  <si>
    <t>phá toái</t>
  </si>
  <si>
    <t>Dương nam , Âm nữ</t>
  </si>
  <si>
    <t>bệnh phù</t>
  </si>
  <si>
    <t>tiểu hao</t>
  </si>
  <si>
    <t>phục binh</t>
  </si>
  <si>
    <t>suy</t>
  </si>
  <si>
    <t>bệnh</t>
  </si>
  <si>
    <t>tử</t>
  </si>
  <si>
    <t>mộ</t>
  </si>
  <si>
    <t>tuyệt</t>
  </si>
  <si>
    <t>thai</t>
  </si>
  <si>
    <t>tử phù</t>
  </si>
  <si>
    <t>tuế phá</t>
  </si>
  <si>
    <t>điếu khách</t>
  </si>
  <si>
    <t>trực phù</t>
  </si>
  <si>
    <t>quan phù</t>
  </si>
  <si>
    <t>quan phủ</t>
  </si>
  <si>
    <t>thái tuế</t>
  </si>
  <si>
    <t>thiên thương</t>
  </si>
  <si>
    <t>thiên sứ</t>
  </si>
  <si>
    <t>VÒNG SAO THÁI TUẾ</t>
  </si>
  <si>
    <t>địa võng</t>
  </si>
  <si>
    <t>Thiếu</t>
  </si>
  <si>
    <t>Tang</t>
  </si>
  <si>
    <t>Tuế</t>
  </si>
  <si>
    <t>Bạch</t>
  </si>
  <si>
    <t>Điếu</t>
  </si>
  <si>
    <t>Trực</t>
  </si>
  <si>
    <t>đẩu quân</t>
  </si>
  <si>
    <t>Hổ</t>
  </si>
  <si>
    <t>Khách</t>
  </si>
  <si>
    <t>BẢNG 11 : NHỮNG SAO HỎA TINH VÀ LINH TINH</t>
  </si>
  <si>
    <t>DƯƠNG NAM VÀ ÂM  NỮ</t>
  </si>
  <si>
    <t>Tị  Dậu  Sửu</t>
  </si>
  <si>
    <t>Hợi Mão  Mùi</t>
  </si>
  <si>
    <t>Thân Tý Thìn</t>
  </si>
  <si>
    <t>Dần Ngọ Tuất</t>
  </si>
  <si>
    <t>sinh</t>
  </si>
  <si>
    <t>Linh</t>
  </si>
  <si>
    <t>Giơ</t>
  </si>
  <si>
    <t>HỎA</t>
  </si>
  <si>
    <t>LINH</t>
  </si>
  <si>
    <t>Tử Vi (D)</t>
  </si>
  <si>
    <t>Thiên Phủ(B)</t>
  </si>
  <si>
    <t>Vũ Khúc(D)</t>
  </si>
  <si>
    <t>Thiên Tướng(D)</t>
  </si>
  <si>
    <t>Thất Sát(H)</t>
  </si>
  <si>
    <t>Phá Quân(V)</t>
  </si>
  <si>
    <t>Liêm Trinh(H)</t>
  </si>
  <si>
    <t>Tham Lang(H)</t>
  </si>
  <si>
    <t>Thái Âm(M)</t>
  </si>
  <si>
    <t>Thiên Cơ(D)</t>
  </si>
  <si>
    <t>Thiên Đồng(M)</t>
  </si>
  <si>
    <t>Thiên Lương(V)</t>
  </si>
  <si>
    <t>Thái Dương(V)</t>
  </si>
  <si>
    <t>Cự Môn(V)</t>
  </si>
  <si>
    <t>Làm tan tính cương của dê (4 hào dương là đàn dê) bằng cái dễ dãi của mình (hào 5 âm nhu) nên không có gì ăn năn cả.</t>
  </si>
  <si>
    <t>Con dê đực húc bờ giậu, không lùi được, không thỏa ý được, không lợi gì cả, chịu khó thời tốt.</t>
  </si>
  <si>
    <t>Đảo ngược sự nuôi thì trái lẽ thường (nhờ hào 1 nuôi). Trông vào gò cao nuôi mà tiến đi thì xấu (nhờ hào thượng nuôi).</t>
  </si>
  <si>
    <t>QC: Phòng truất giáng, khiển trách bị nhục.</t>
  </si>
  <si>
    <t>GS: Phòng truất giáng, khiển trách bị nhục.</t>
  </si>
  <si>
    <t>32032b</t>
  </si>
  <si>
    <t>42032b</t>
  </si>
  <si>
    <t>52032b</t>
  </si>
  <si>
    <t>62032b</t>
  </si>
  <si>
    <t>71955b</t>
  </si>
  <si>
    <t>81955b</t>
  </si>
  <si>
    <t>91955b</t>
  </si>
  <si>
    <t>101955b</t>
  </si>
  <si>
    <t>111955b</t>
  </si>
  <si>
    <t>121955b</t>
  </si>
  <si>
    <t>11956b</t>
  </si>
  <si>
    <t>21956b</t>
  </si>
  <si>
    <t>31956b</t>
  </si>
  <si>
    <t>41956b</t>
  </si>
  <si>
    <t>51956b</t>
  </si>
  <si>
    <t>61956b</t>
  </si>
  <si>
    <t>111953</t>
  </si>
  <si>
    <t>100101</t>
  </si>
  <si>
    <t>81955</t>
  </si>
  <si>
    <t>91955</t>
  </si>
  <si>
    <t>101955</t>
  </si>
  <si>
    <t>111955</t>
  </si>
  <si>
    <t>121955</t>
  </si>
  <si>
    <t>11956</t>
  </si>
  <si>
    <t>21956</t>
  </si>
  <si>
    <t>31956</t>
  </si>
  <si>
    <t>41956</t>
  </si>
  <si>
    <t>51956</t>
  </si>
  <si>
    <t>61956</t>
  </si>
  <si>
    <t>71956</t>
  </si>
  <si>
    <t>121999b</t>
  </si>
  <si>
    <t>12000b</t>
  </si>
  <si>
    <t>22000b</t>
  </si>
  <si>
    <t>32000b</t>
  </si>
  <si>
    <t>42000b</t>
  </si>
  <si>
    <t>52000b</t>
  </si>
  <si>
    <t>62000b</t>
  </si>
  <si>
    <t>72000b</t>
  </si>
  <si>
    <t>82000b</t>
  </si>
  <si>
    <t>11917</t>
  </si>
  <si>
    <t>21917</t>
  </si>
  <si>
    <t>31917</t>
  </si>
  <si>
    <t>41917</t>
  </si>
  <si>
    <t>51917</t>
  </si>
  <si>
    <t>61917</t>
  </si>
  <si>
    <t>71917</t>
  </si>
  <si>
    <t>81917</t>
  </si>
  <si>
    <t>91917</t>
  </si>
  <si>
    <t>Tiệc vui sinh ý ngược đời, xa nhau.</t>
  </si>
  <si>
    <t>Trong mây có một khác phàm giai nhân.</t>
  </si>
  <si>
    <t>Sang năm cưỡi cá kình.</t>
  </si>
  <si>
    <t>Doanh châu không chịu ở,</t>
  </si>
  <si>
    <t>Đài điện rắp công khanh.</t>
  </si>
  <si>
    <t xml:space="preserve">Cá mừng mưa ao cạn, </t>
  </si>
  <si>
    <t>71967b</t>
  </si>
  <si>
    <t>81967b</t>
  </si>
  <si>
    <t>91967b</t>
  </si>
  <si>
    <t>101967b</t>
  </si>
  <si>
    <t>111967b</t>
  </si>
  <si>
    <t>121967b</t>
  </si>
  <si>
    <t>11968b</t>
  </si>
  <si>
    <t>21968b</t>
  </si>
  <si>
    <t>31968b</t>
  </si>
  <si>
    <t>12042</t>
  </si>
  <si>
    <t xml:space="preserve">GS: Bị đình trệ thì phục hoạt, khốn lâu ngày được cởi mở. </t>
  </si>
  <si>
    <t>GS: Họa đi phúc sắp lại, kẻ thù lui dần. Lo hóa mừng, mất thành được.</t>
  </si>
  <si>
    <t>Làm cho nhà hưng thịnh, tốt lắm.</t>
  </si>
  <si>
    <t>121917b</t>
  </si>
  <si>
    <t>111936</t>
  </si>
  <si>
    <t>121936</t>
  </si>
  <si>
    <t>11937</t>
  </si>
  <si>
    <t>21937</t>
  </si>
  <si>
    <t>31937</t>
  </si>
  <si>
    <t>41937</t>
  </si>
  <si>
    <t>Tiến lên đến chỗ sừng của mình (hào thượng) nhưng chỉ dùng việc trừng phạt ấp riêng của mình, dù nguy vẫn tốt, không lỗi gì, nhưng được chính cũng là xấu thẹn.</t>
  </si>
  <si>
    <t>Minh Di là Thương (có ánh sáng nhưng bị tổn thương).</t>
  </si>
  <si>
    <t>Rượu ai quá độ bê tha,</t>
  </si>
  <si>
    <t>Mất thời, mê mẩn biết là ra sao.</t>
  </si>
  <si>
    <t>Tổn là Ích (mình chịu tổn một ích để làm lợi ích cho người. Gần như hỷ xả. Tổn mà không mất hẳn, vì có cơ được hồi lại, gần như đầu tư).</t>
  </si>
  <si>
    <t>Thôi việc mình (hào 1) đi mau giúp ích người (hào 4), không lỗi gì, nhưng cũng nên cân nhắc sự tốn kém.</t>
  </si>
  <si>
    <t>Lợi ở sự giữ điều chính, đi ngay (để giúp hào 5) là xấu, không làm tổn đức của mình, tức là giúp ích cho hắn đấy (gương chính, cách giúp tiêu cực).</t>
  </si>
  <si>
    <t>Ba người đi thì tổn một người (quẻ Kiền tổn hào 3 Dương) một người đi thì hắn được bạn (được hào 3 âm đem về).</t>
  </si>
  <si>
    <t>Thình lình (hào 2) đem lợi ích đến cho mình, to lớn như 10 bằng con quy (một số đếm đời xưa), không từ chối được, vì tốt nhất.</t>
  </si>
  <si>
    <t>Chẳng làm tổn ai nữa (Tổn đến cực rồi) mà làm ích cho người (cho hào 3), không lỗi gì, giữ chính nên tốt, ích lợi đấy tiến đi, sẽ được người quy phục mình, không cứ ở nhà riêng nào.</t>
  </si>
  <si>
    <t>Ý HÀO: Bè tiểu nhân đã hết, mà tai họa chưa lùi.</t>
  </si>
  <si>
    <t>MHC: Thấm nhuần cái học của thánh hiền. Văn chương là tinh hoa của đất nước, công danh lập sớm, phúc trạch dồi dào.</t>
  </si>
  <si>
    <t>MHC: Có tài đức lại ra sức làm, gặp được tri kỷ, nên lòng người cảm phục, thế nước vững bền.</t>
  </si>
  <si>
    <t>MHC: Học rộng cổ kim, thấu lẽ thông tắc, giữ chức bên trong, hoặc việc công chính, lớn thì ở Trung Ương, nhỏ thì ở quận xã (hộ tịch, nhân khẩu).</t>
  </si>
  <si>
    <t>MHC: Nhu thuận mà trung, tín thành mà sáng, được người vây cánh, sự nghiệp vẻ vang.</t>
  </si>
  <si>
    <t>Dày dặn về cách ngăn ngừa, tốt.</t>
  </si>
  <si>
    <t>Chẳng sáng mà tối đen, mới thì lên tận trời, sau thì vào tận đất.</t>
  </si>
  <si>
    <t>91911b</t>
  </si>
  <si>
    <t>101911b</t>
  </si>
  <si>
    <t>111911b</t>
  </si>
  <si>
    <t>121911b</t>
  </si>
  <si>
    <t>11912b</t>
  </si>
  <si>
    <t>21912b</t>
  </si>
  <si>
    <t>31912b</t>
  </si>
  <si>
    <t>41912b</t>
  </si>
  <si>
    <t>51912b</t>
  </si>
  <si>
    <t>61912b</t>
  </si>
  <si>
    <t>71912b</t>
  </si>
  <si>
    <t>81912b</t>
  </si>
  <si>
    <t>Ý HÀO: Thời buổi khó khăn. Tiến thì làm việc dân việc nước. Lui thì giữ phận mình.</t>
  </si>
  <si>
    <t>Ý HÀO: Nói rõ đường lối hay phương pháp dạy trẻ.</t>
  </si>
  <si>
    <t>Dùng (chấp nhận) việc xấu mà làm lợi ích cho nó (hào 3 bất trung bất chính). Không lỗi gì, nếu nó giữ lòng tin cứ đạo trung mà làm thì được dùng ngọc khuê để báo cáo lên ông trên (hào 6 ?).</t>
  </si>
  <si>
    <r>
      <t>Lúc ở công sở thì xem mục "</t>
    </r>
    <r>
      <rPr>
        <sz val="9"/>
        <color indexed="53"/>
        <rFont val="Arial"/>
        <family val="2"/>
      </rPr>
      <t>QC</t>
    </r>
    <r>
      <rPr>
        <sz val="9"/>
        <color indexed="18"/>
        <rFont val="Arial"/>
        <family val="2"/>
      </rPr>
      <t>", khi học hành thi thố thì xem mục "</t>
    </r>
    <r>
      <rPr>
        <sz val="9"/>
        <color indexed="53"/>
        <rFont val="Arial"/>
        <family val="2"/>
      </rPr>
      <t>GS</t>
    </r>
    <r>
      <rPr>
        <sz val="9"/>
        <color indexed="18"/>
        <rFont val="Arial"/>
        <family val="2"/>
      </rPr>
      <t>", còn lại thì mọi người đều nên xem mục "</t>
    </r>
    <r>
      <rPr>
        <sz val="9"/>
        <color indexed="53"/>
        <rFont val="Arial"/>
        <family val="2"/>
      </rPr>
      <t>NT</t>
    </r>
    <r>
      <rPr>
        <sz val="9"/>
        <color indexed="18"/>
        <rFont val="Arial"/>
        <family val="2"/>
      </rPr>
      <t>".</t>
    </r>
  </si>
  <si>
    <t>121979</t>
  </si>
  <si>
    <t>11980</t>
  </si>
  <si>
    <t>21980</t>
  </si>
  <si>
    <t>31980</t>
  </si>
  <si>
    <t>41980</t>
  </si>
  <si>
    <t>51980</t>
  </si>
  <si>
    <t>61980</t>
  </si>
  <si>
    <t>71980</t>
  </si>
  <si>
    <t>81980</t>
  </si>
  <si>
    <t>91980</t>
  </si>
  <si>
    <t>101980</t>
  </si>
  <si>
    <t>111980</t>
  </si>
  <si>
    <t>121980</t>
  </si>
  <si>
    <t>11981</t>
  </si>
  <si>
    <t>21981</t>
  </si>
  <si>
    <t>31981</t>
  </si>
  <si>
    <t>MHC: Khoa danh chức vị đều lớn, mà chỉ vì kiêu mãn quá nên bị tai họa.</t>
  </si>
  <si>
    <t>MHC: Phòng loạn ngay từ lúc đương trị, nên đất nước vững yên không lo, công nghiệp lớn, lộc vị cao.</t>
  </si>
  <si>
    <t>Chưa thành, tiến đi thời xấu, qua sông lớn, thì lợi ích.</t>
  </si>
  <si>
    <t>Giữ chính thì mới tốt, và khỏi ăn năn, phải dùng sức chấn động để đi đánh qui phương ba năm, sẽ được thưởng nơi nước lớn.</t>
  </si>
  <si>
    <t>Muốn hay chửa vẹn mười.</t>
  </si>
  <si>
    <t>32036</t>
  </si>
  <si>
    <t>42036</t>
  </si>
  <si>
    <t>52036</t>
  </si>
  <si>
    <t>62036</t>
  </si>
  <si>
    <t>72036</t>
  </si>
  <si>
    <t>82036</t>
  </si>
  <si>
    <t>92036</t>
  </si>
  <si>
    <t>102036</t>
  </si>
  <si>
    <t>112036</t>
  </si>
  <si>
    <t>112036b</t>
  </si>
  <si>
    <t>Cái vạ tự nhiên, ví như buộc con trâu, người qua đường lấy trâu, người ở ấp ấy bị vạ lây.</t>
  </si>
  <si>
    <t>Để tự nhiên, làm thì hại, không lỗi gì.</t>
  </si>
  <si>
    <t>Xe bỏ trục (để khỏi đi).</t>
  </si>
  <si>
    <t>Bền vững như đá, không chờ trọn ngày (đã rõ hết) giữ chính nên tốt.</t>
  </si>
  <si>
    <t>71930</t>
  </si>
  <si>
    <t>81930</t>
  </si>
  <si>
    <t>91930</t>
  </si>
  <si>
    <t>101930</t>
  </si>
  <si>
    <t>111930</t>
  </si>
  <si>
    <t>121930</t>
  </si>
  <si>
    <t>11931</t>
  </si>
  <si>
    <t>21931</t>
  </si>
  <si>
    <t>31931</t>
  </si>
  <si>
    <t>41931</t>
  </si>
  <si>
    <t>31928</t>
  </si>
  <si>
    <t>41928</t>
  </si>
  <si>
    <t>51928</t>
  </si>
  <si>
    <t>61928</t>
  </si>
  <si>
    <t>71928</t>
  </si>
  <si>
    <t>81928</t>
  </si>
  <si>
    <t>91928</t>
  </si>
  <si>
    <t>101928</t>
  </si>
  <si>
    <t>111928</t>
  </si>
  <si>
    <t>121928</t>
  </si>
  <si>
    <t>11929</t>
  </si>
  <si>
    <t>Ẩn tránh mà vẫn bị ràng buộc (bởi 2 hào âm dưới), nên có bệnh và nguy đấy, chỉ nuôi thiếp tôi là tốt.</t>
  </si>
  <si>
    <t>GS: Thôi việc, tổn hại đến cùng.</t>
  </si>
  <si>
    <t>Đoài là Duyệt (hỷ duyệt, vui lòng, vừa ý, song hỷ...).</t>
  </si>
  <si>
    <t>Tin thực vui vẻ, tốt, khỏi ăn năn gì (hào 2 đứng đắn, không thân mật với hào 3 tiểu nhân).</t>
  </si>
  <si>
    <t>QC: Được thăng thưởng, tiến tới.</t>
  </si>
  <si>
    <t>GS: Được thăng thưởng, tiến tới.</t>
  </si>
  <si>
    <t>GS: Tiến bước bằng đường lối vòng ngoài, cũng đi tới, nhưng không thối ý.</t>
  </si>
  <si>
    <t>GS: Có chút điều tiếng, không hại gì quá.</t>
  </si>
  <si>
    <t>GS: Bài vở trúng, công danh thành.</t>
  </si>
  <si>
    <t>GS: Khôi phục nghề tự do.</t>
  </si>
  <si>
    <t>GS: Bé được học, lớn được hành, lợi danh thành tựu.</t>
  </si>
  <si>
    <t>MKH: Không tham, không mưu toan gì cũng được ấm no. Gần người hiền, buôn bán thì có lợi, hoặc làm tăng đạo cũng tốt.</t>
  </si>
  <si>
    <t>71976</t>
  </si>
  <si>
    <t>81976</t>
  </si>
  <si>
    <t>91976</t>
  </si>
  <si>
    <t>122042b</t>
  </si>
  <si>
    <t>12043b</t>
  </si>
  <si>
    <t>22043b</t>
  </si>
  <si>
    <t>32043b</t>
  </si>
  <si>
    <t>42043b</t>
  </si>
  <si>
    <t>52043b</t>
  </si>
  <si>
    <t>62043b</t>
  </si>
  <si>
    <t>72043b</t>
  </si>
  <si>
    <t>82043b</t>
  </si>
  <si>
    <t>92043b</t>
  </si>
  <si>
    <t>102043b</t>
  </si>
  <si>
    <t>11962</t>
  </si>
  <si>
    <t>21962</t>
  </si>
  <si>
    <t>31962</t>
  </si>
  <si>
    <t>41962</t>
  </si>
  <si>
    <t>51962</t>
  </si>
  <si>
    <t>61962</t>
  </si>
  <si>
    <t>71962</t>
  </si>
  <si>
    <t>81962</t>
  </si>
  <si>
    <t>91962</t>
  </si>
  <si>
    <t>101962</t>
  </si>
  <si>
    <t>111962</t>
  </si>
  <si>
    <t>11934b</t>
  </si>
  <si>
    <t>21934b</t>
  </si>
  <si>
    <t>31934b</t>
  </si>
  <si>
    <t>41934b</t>
  </si>
  <si>
    <t>QC: Phải kiêm nhiệm, công việc phồn tạp, cẩn thận lắm mới tránh được sơ sót.</t>
  </si>
  <si>
    <t xml:space="preserve">QC: Thăng trật. </t>
  </si>
  <si>
    <t>31921b</t>
  </si>
  <si>
    <t>NT: Thường nhân đối đãi không tin nhau, vừa vui vừa buồn, tĩnh thì hơn.</t>
  </si>
  <si>
    <t>Tiến lên như ! sầu như ! giữ chính thì tốt, đội nhờ được phúc lớn ở Bà Tổ mình (hào 5).</t>
  </si>
  <si>
    <t>Đường đi gặp khách cùng lòng,</t>
  </si>
  <si>
    <t>Cười cười hát hát trện lòng cấp lưu.</t>
  </si>
  <si>
    <t>Tiến lên như ! con chuột đồng, cố chấp thì nguy.</t>
  </si>
  <si>
    <t>Ăn năn gì cũng hết, mất, được, chớ nên lo, tiến đi thì tốt, không gì là không lợi.</t>
  </si>
  <si>
    <t>42045b</t>
  </si>
  <si>
    <t>52045b</t>
  </si>
  <si>
    <t>62045b</t>
  </si>
  <si>
    <t>72045b</t>
  </si>
  <si>
    <t>82045b</t>
  </si>
  <si>
    <t>92045b</t>
  </si>
  <si>
    <t>102045b</t>
  </si>
  <si>
    <t>112045b</t>
  </si>
  <si>
    <t>21996b</t>
  </si>
  <si>
    <t>31996b</t>
  </si>
  <si>
    <t>41996b</t>
  </si>
  <si>
    <t>122009</t>
  </si>
  <si>
    <t>12010</t>
  </si>
  <si>
    <t>71995</t>
  </si>
  <si>
    <t>81995</t>
  </si>
  <si>
    <t>91995</t>
  </si>
  <si>
    <t>101995</t>
  </si>
  <si>
    <t>111995</t>
  </si>
  <si>
    <t>121995</t>
  </si>
  <si>
    <t>11996</t>
  </si>
  <si>
    <t>21996</t>
  </si>
  <si>
    <t>31996</t>
  </si>
  <si>
    <t>41996</t>
  </si>
  <si>
    <t>51996</t>
  </si>
  <si>
    <t>61996</t>
  </si>
  <si>
    <t>71996</t>
  </si>
  <si>
    <t>81996</t>
  </si>
  <si>
    <t>91996</t>
  </si>
  <si>
    <t>101996</t>
  </si>
  <si>
    <t>111996</t>
  </si>
  <si>
    <t>121996</t>
  </si>
  <si>
    <t>11997</t>
  </si>
  <si>
    <t>21997</t>
  </si>
  <si>
    <t>31997</t>
  </si>
  <si>
    <t>41997</t>
  </si>
  <si>
    <t>51997</t>
  </si>
  <si>
    <t>61997</t>
  </si>
  <si>
    <t>71997</t>
  </si>
  <si>
    <t>81997</t>
  </si>
  <si>
    <t>111952</t>
  </si>
  <si>
    <t>121952</t>
  </si>
  <si>
    <t>11953</t>
  </si>
  <si>
    <t>21953</t>
  </si>
  <si>
    <t>31953</t>
  </si>
  <si>
    <t>41953</t>
  </si>
  <si>
    <t>51953</t>
  </si>
  <si>
    <t>61953</t>
  </si>
  <si>
    <t>71953</t>
  </si>
  <si>
    <t>81953</t>
  </si>
  <si>
    <t>91953</t>
  </si>
  <si>
    <t>101953</t>
  </si>
  <si>
    <t>MHC: Tài đức phụ tá được việc nước, cảm phục được lòng dân, công danh lợi đạt phúc lộc phong doanh.</t>
  </si>
  <si>
    <t>MHC: Sáng suốt không bị mưu gian của tiểu nhân, nghiêm túc về quốc pháp dân phòng, nên công lớn, phúc dày.</t>
  </si>
  <si>
    <t>MHC: Khoan hồng đại lượng dung nạp được quần sinh, hưởng phú quý.</t>
  </si>
  <si>
    <t>MKH: Cũng nổi tiếng văn chương, đức nghiệp; là thiện sĩ chốn hương thôn.</t>
  </si>
  <si>
    <t>MKH: Tuy không được đại dụng nhưng cũng có thanh danh, việc phải làm đi làm lại, trước khó sau dễ.</t>
  </si>
  <si>
    <t>MKH: Chí bất định, dùng bậy người để sinh oán ghét.</t>
  </si>
  <si>
    <t>MKH: Chí khí hơn người, dù chẳng phú quý cũng có tiếng tăm.</t>
  </si>
  <si>
    <t>MKH: Cũng chẳng cạnh tranh, không xa hoa, an bần cẩn thủ.</t>
  </si>
  <si>
    <t>MKH: Cũng có đức, trên quý, dưới phục, hưởng dụng phong túc, tuổi thọ dài lâu.</t>
  </si>
  <si>
    <t xml:space="preserve">Ẩn tên dấu tuổi đợi thời,           </t>
  </si>
  <si>
    <t>Biết cơ tiến thoái trời cho an nhàn.</t>
  </si>
  <si>
    <t>Khắp trong bốn biển, nổi danh hiền tài.</t>
  </si>
  <si>
    <t>Cũng đừng thấy của mà lòa mắt tham.</t>
  </si>
  <si>
    <t>Rồng bay chín cõi Nam Nhi thỏa lòng.</t>
  </si>
  <si>
    <t>Tiến bước huy hoàng.</t>
  </si>
  <si>
    <t xml:space="preserve">Thật thà hiệp lực đồng tâm,       </t>
  </si>
  <si>
    <t xml:space="preserve">Phòng Đông-Bắc, lợi Tây-Nam        </t>
  </si>
  <si>
    <t>Cửa rồng vốn là khách,</t>
  </si>
  <si>
    <t>Gặp rồng đổi cảnh, trăng lầu sáng soi.</t>
  </si>
  <si>
    <t xml:space="preserve">Cây khô hoa mới, </t>
  </si>
  <si>
    <t>Nên chờ qua đông.</t>
  </si>
  <si>
    <t>Muốn yên, thôi chớ rông rài lang thang.</t>
  </si>
  <si>
    <t>NT: Hoang đàng, hỏng việc, khổ sở.</t>
  </si>
  <si>
    <t>Đem tâm cúng lễ sau đều mừng vui.</t>
  </si>
  <si>
    <t>Cùng thời sẽ biến, động nên tốt lành.</t>
  </si>
  <si>
    <t>Mây tan, trăng tỏ, hãy chờ đừng đi.</t>
  </si>
  <si>
    <t>Hẹn kỳ làm lớn Tổ tông phúc dày.</t>
  </si>
  <si>
    <t>Tùng xanh chẳng sợ sương bay, gió lùa.</t>
  </si>
  <si>
    <t>Bên Đông trời mọc, nước reo, núi hùng.</t>
  </si>
  <si>
    <t>Khói tan, giếng lặng, ngon lành nước trong.</t>
  </si>
  <si>
    <t>Tính điều lợi nhỏ đừng hinh động đời.</t>
  </si>
  <si>
    <t>82017</t>
  </si>
  <si>
    <t>92017</t>
  </si>
  <si>
    <t>Trang sức trắng nguyên, không lỗi gì.</t>
  </si>
  <si>
    <t>Chẳng xa đã trở lại, không hối lớn, tốt nhất.</t>
  </si>
  <si>
    <t>QC: Hiếu động, cầu danh lợi nhỏ thì được, lớn thì uổng công.</t>
  </si>
  <si>
    <t>GS: Hiếu động, cầu danh lợi nhỏ thì được, lớn thì uổng công.</t>
  </si>
  <si>
    <t>Chột mà hay nhìn, què mà hay đi, dẫm lên đuôi cọp, nó cắn người, xấu. Kẻ vũ phu mà làm việc của đại quân.</t>
  </si>
  <si>
    <t>Dẫm đuôi cọp, nơm nớp sợ, sau tốt.</t>
  </si>
  <si>
    <t>92034</t>
  </si>
  <si>
    <t>102034</t>
  </si>
  <si>
    <t>Của công đổ bể, hay ho cái gì.</t>
  </si>
  <si>
    <t>Điều canh, đỉnh thực lập công để đời.</t>
  </si>
  <si>
    <t>Cánh bằng chín vạn mây xanh tuyệt vời.</t>
  </si>
  <si>
    <t>Nghe tiếng chẳng trông hình</t>
  </si>
  <si>
    <t>Rồi sau mới xứng tình.</t>
  </si>
  <si>
    <t>31951b</t>
  </si>
  <si>
    <t>41951b</t>
  </si>
  <si>
    <t>51951b</t>
  </si>
  <si>
    <t>61951b</t>
  </si>
  <si>
    <t>71951b</t>
  </si>
  <si>
    <t>81951b</t>
  </si>
  <si>
    <t>91951b</t>
  </si>
  <si>
    <t>101951b</t>
  </si>
  <si>
    <t>111951b</t>
  </si>
  <si>
    <t>121951b</t>
  </si>
  <si>
    <t>11952b</t>
  </si>
  <si>
    <t>21952b</t>
  </si>
  <si>
    <t>31952b</t>
  </si>
  <si>
    <t>41952b</t>
  </si>
  <si>
    <t>51952b</t>
  </si>
  <si>
    <t>61952b</t>
  </si>
  <si>
    <t>71952b</t>
  </si>
  <si>
    <t>81952b</t>
  </si>
  <si>
    <t>91952b</t>
  </si>
  <si>
    <t>101952b</t>
  </si>
  <si>
    <t>111952b</t>
  </si>
  <si>
    <t>121952b</t>
  </si>
  <si>
    <t>11953b</t>
  </si>
  <si>
    <t>21953b</t>
  </si>
  <si>
    <t>31953b</t>
  </si>
  <si>
    <t>41953b</t>
  </si>
  <si>
    <t>Lữ</t>
  </si>
  <si>
    <t>Lữ1</t>
  </si>
  <si>
    <t>31990b</t>
  </si>
  <si>
    <t>41990b</t>
  </si>
  <si>
    <t>51990b</t>
  </si>
  <si>
    <t>61990b</t>
  </si>
  <si>
    <t>71990b</t>
  </si>
  <si>
    <t>81990b</t>
  </si>
  <si>
    <t>91990b</t>
  </si>
  <si>
    <t>101990b</t>
  </si>
  <si>
    <t>111990b</t>
  </si>
  <si>
    <t>121990b</t>
  </si>
  <si>
    <t>11991b</t>
  </si>
  <si>
    <t>21991b</t>
  </si>
  <si>
    <t>31991b</t>
  </si>
  <si>
    <t>41991b</t>
  </si>
  <si>
    <t>21976</t>
  </si>
  <si>
    <t>31976</t>
  </si>
  <si>
    <t>41976</t>
  </si>
  <si>
    <t>51976</t>
  </si>
  <si>
    <t>61976</t>
  </si>
  <si>
    <t>Giáp</t>
  </si>
  <si>
    <t>Ất</t>
  </si>
  <si>
    <t>Bính</t>
  </si>
  <si>
    <t>Đinh</t>
  </si>
  <si>
    <t>Mậu</t>
  </si>
  <si>
    <t>Kỷ</t>
  </si>
  <si>
    <t>Tỵ</t>
  </si>
  <si>
    <t>by: Lê Trung Tú</t>
  </si>
  <si>
    <t>-</t>
  </si>
  <si>
    <t>Cấn</t>
  </si>
  <si>
    <t>Khôn</t>
  </si>
  <si>
    <t>11907b</t>
  </si>
  <si>
    <t>21907b</t>
  </si>
  <si>
    <t>31907b</t>
  </si>
  <si>
    <t>41907b</t>
  </si>
  <si>
    <t>51907b</t>
  </si>
  <si>
    <t>61907b</t>
  </si>
  <si>
    <t>71907b</t>
  </si>
  <si>
    <t>81907b</t>
  </si>
  <si>
    <t>91907b</t>
  </si>
  <si>
    <t>101907b</t>
  </si>
  <si>
    <t>111907b</t>
  </si>
  <si>
    <t>51908</t>
  </si>
  <si>
    <t>61908</t>
  </si>
  <si>
    <t>Kéo dài sự hòa vui (được nữa chăng ?).</t>
  </si>
  <si>
    <t>Dùng cách cứu vớt (cho khỏi lìa tan) có ngựa khỏe, tốt.</t>
  </si>
  <si>
    <t>MHC: Ngôi cao lộc trọng chưa lấy làm vinh, sĩ theo dân mến chưa lấy làm thích, thường cẩn trọng kính úy thì phú quý mới bền.</t>
  </si>
  <si>
    <t>MHC: Tuổi trẻ đỗ đạt, lập công danh, chí lớn, phúc dày.</t>
  </si>
  <si>
    <t>MHC: Theo cổ, hành đạo, tiến thủ, tuy gian nan sau có cơ hội, ngôn lộ ngay thẳng, hoặc làm chức trông coi tế lễ.</t>
  </si>
  <si>
    <t>Lên cao tránh được, qua thì lại thôi.</t>
  </si>
  <si>
    <t xml:space="preserve">Bên Đông lo đau đáu, </t>
  </si>
  <si>
    <t>Trung niên việc mới an.</t>
  </si>
  <si>
    <t>MHC: Bẩm tính cương, chí lớn, uy tín to, dân phục làm được sự nghiệp viễn đại, phúc lộc dày.</t>
  </si>
  <si>
    <t>MHC: Theo chính giữ phận nên được kết quả hay, dù không phát đạt mỹ mãn, cũng tránh được tai nguy.</t>
  </si>
  <si>
    <t>MHC: Có hiền đức, do khoa danh mà dần dần tiến chức nhưng phòng bị gian nịnh xuyên tạc.</t>
  </si>
  <si>
    <t>MHC: Có đức mà chẳng gặp thời, phận dưới mà không người giúp chỉ được việc nhỏ.</t>
  </si>
  <si>
    <t>MHC: Tài to, thời thịnh, cùng ngang đức lẫn nhau, thành nghiệp lớn.</t>
  </si>
  <si>
    <t>MHC: Có tài khác người mà chỉ làm được nhỏ thôi, việc bị ngăn trở, công nhỏ mọn.</t>
  </si>
  <si>
    <t>MHC: Văn có tiến, võ có công, lợi ra ngoài trước nghịch, sau thuận.</t>
  </si>
  <si>
    <t>Hớn hở, chẳng giàu mà lấy được lòng hàng xóm, chẳng răn giới gì mà lấy được lòng tin nhau (3 hào âm cùng một bè).</t>
  </si>
  <si>
    <t>Vua Đế Ất gả em gái, lấy được phúc, tốt nhất.</t>
  </si>
  <si>
    <t>Lòng tuy hối nhỏ cũng phiền lương tâm.</t>
  </si>
  <si>
    <t>61982</t>
  </si>
  <si>
    <t>71982</t>
  </si>
  <si>
    <t>81982</t>
  </si>
  <si>
    <t>91982</t>
  </si>
  <si>
    <t>101982</t>
  </si>
  <si>
    <t>MHC: Chí cao vị lớn, cứu đại nạn cho nước.</t>
  </si>
  <si>
    <t>MHC: Có văn võ, có uy tín, đối nước, đối dân là người hoàn toàn.</t>
  </si>
  <si>
    <t>MHC: Quá xét nét đâm ngờ vực, trước gặp khó khăn sau dễ dàng, hoặc sự hôn nhân trùng điệp, hoặc nhà binh lập được công, mưa là phúc trạch vui người, lợi vật.</t>
  </si>
  <si>
    <t>MHC: Tài to đức lớn, công huân lừng lẫy đương thời, danh dự tên vào thiên cổ.</t>
  </si>
  <si>
    <t>MHC: Văn trị được thời bình, võ dẹp được thời loạn, công huân rất lớn.</t>
  </si>
  <si>
    <t>QC: Bị nghi lộng quyền.</t>
  </si>
  <si>
    <t>Cánh bằng chưa dễ kịp,</t>
  </si>
  <si>
    <t>Nhàn tọa vẻ thanh kiêu.</t>
  </si>
  <si>
    <t xml:space="preserve">Tiến hành nay Bắc với mai Đông, </t>
  </si>
  <si>
    <t>MKH: Cũng thân người hiền xa kẻ gian, điền sản, phong du, hôn nhân 2 lần, hoặc làm phu tráng cũng đủ ăn đủ mặc.</t>
  </si>
  <si>
    <t>NT: Hay thưa kiện. Đại để nên theo thiện tránh tà, trước gian nan, sau an tĩnh.</t>
  </si>
  <si>
    <t>NT: Bị tai ách, hoặc bị đòn.</t>
  </si>
  <si>
    <t>NT: Nhà không yên, thân thích bị thương tổn, người già vận xấu.</t>
  </si>
  <si>
    <t>NT: Phân tán khó yên. Xấu thì yểu chiết.</t>
  </si>
  <si>
    <t>NT: Doanh mưu sau cùng mới được, già hưởng phúc, trẻ không toại ý.</t>
  </si>
  <si>
    <t>NT: Thận trọng lắm mới tránh được tai họa.</t>
  </si>
  <si>
    <t>NT: Sợ hãi, bất hòa, trộm cướp.</t>
  </si>
  <si>
    <t>NT: Phải lao công chán lắm, lo buồn tiến thoái, nếu Nguyên Đường tốt thì có tỳ thiếp đỡ đần.</t>
  </si>
  <si>
    <t>NT: Khó toại ý, bị che lấp mất hay, sinh tranh tụng, chân tay có tật ách, khó làm việc.</t>
  </si>
  <si>
    <t>NT: Cháy nhà, người bị tai ách.</t>
  </si>
  <si>
    <t>NT: Cùng khốn, càng hoạt động càng thất bại, thêm xấu hổ.</t>
  </si>
  <si>
    <t>NT: Quy lụy thêm tai họa, có khi vong thân.</t>
  </si>
  <si>
    <t>NT: Phí phạm, không từng trải.</t>
  </si>
  <si>
    <t>NT: Bị bọn gian tà làm tổn hại.</t>
  </si>
  <si>
    <t>Ký Tế: Hanh tiểu, lợi trinh. Sơ cát, chung loạn</t>
  </si>
  <si>
    <t>Vị Tế: Hanh. Tiểu hồ ngật tế, nhu kỳ vĩ, vô du lợi</t>
  </si>
  <si>
    <t>Sơ cửu: tiềm long vật dụng.</t>
  </si>
  <si>
    <t>Sơ lục, lý sương kiên băng chí .</t>
  </si>
  <si>
    <t>Sơ cửu, bàn hoàn, lỵ cự trinh, lỵ kiến hầu .</t>
  </si>
  <si>
    <t>Sơ lục: Phát mông, lợi dụng hình nhân, dụng thoát chất cốc, dĩ vãng lận.</t>
  </si>
  <si>
    <t>Sơ cửu: Nhu vu giao, lợi dụng hằng, vô cữu.</t>
  </si>
  <si>
    <t>Sơ lục: Bất vinh sở sự, tiểu hữu ngôn, chung cát.</t>
  </si>
  <si>
    <t>Sơ lục: Sư, xuất dĩ luật, phủ tàng, hung.</t>
  </si>
  <si>
    <t>Sơ lục: Hữu phu tỷ chi, vô cữu. Hữu phu doanh phẫu, chung lai hữu tha cát.</t>
  </si>
  <si>
    <t>Sơ cửu: Phục tự đạo, hà kỳ cữu? Cát.</t>
  </si>
  <si>
    <t xml:space="preserve">Sơ cửu: Tố lý, vãng, vô cữu. </t>
  </si>
  <si>
    <t>Sơ cửu: bạt mao nhự, dĩ kỳ vị, chinh cát. </t>
  </si>
  <si>
    <t>Sơ lục: Bạt mao nhự, dĩ kỳ vị, trinh cát hanh. </t>
  </si>
  <si>
    <t>Sơ cửu: Đồng nhân vu môn, vô cữu. </t>
  </si>
  <si>
    <t>Sơ cửu: Vô giao hại, phỉ cữu; nan tắc vô cửu. </t>
  </si>
  <si>
    <t>Sơ lục: khiêm khiêm quân tử, dụng thiệp đại xuyên, cát. </t>
  </si>
  <si>
    <t>Sơ lục: Minh dự, hung.</t>
  </si>
  <si>
    <t>Sơ cửu: Quan hữu du, trinh cát, xuất môn giao hữu công. </t>
  </si>
  <si>
    <t>Sơ lục: Cán phụ chi cổ, hữu tử, khảo vô cữu , lệ, chung cát. </t>
  </si>
  <si>
    <t>Sơ cửu: Hàm lâm, trinh cát.</t>
  </si>
  <si>
    <t>Sơ lục: Đồng quan, tiểu nhân vô cữu, quân tử lận. </t>
  </si>
  <si>
    <t>Sơ cửu: Lí giảo diệt chỉ, vô cữu. </t>
  </si>
  <si>
    <t>Sơ cửu: Bí kì chỉ, xả xa nhi đồ. </t>
  </si>
  <si>
    <t>Sơ lục: Bác sàng dĩ túc, miệt trinh, hung.</t>
  </si>
  <si>
    <t>Sơ cửu: Bất viễn phục, vô kì hối, nguyên cát. </t>
  </si>
  <si>
    <t>Sơ cửu: vô vọng, vãng cát.</t>
  </si>
  <si>
    <t>Sơ cửu: Hữu lệ, lợi dĩ.</t>
  </si>
  <si>
    <t>Sơ cửu: Xã nhỉ linh qui, quan ngã đóa di, hung. </t>
  </si>
  <si>
    <t>Sơ lục: Tạ dụng bạch mao, vô cữu. </t>
  </si>
  <si>
    <t>Sơ lục: Tập khảm, nhập vu khảm năm ( có người đọc là đạm, hạm, lăm), hung. </t>
  </si>
  <si>
    <t>Sơ cửu: Lý thác nhiên, kính chi, vô cửu.</t>
  </si>
  <si>
    <t>Sơ lục: Hàm kì mẫu. </t>
  </si>
  <si>
    <t>Sơ lục: tuấn hằng, trinh hung, vô du lợi.</t>
  </si>
  <si>
    <t>Sơ lục: độn vĩ, lệ, vật dụng hữu du vãng.</t>
  </si>
  <si>
    <t>Sơ cửu: Tráng vu chỉ, chinh hung, hữu phu. </t>
  </si>
  <si>
    <t> Sơ lục: Tấn như, tồi như, trinh cát, võng phu, dụ, vô cữu.</t>
  </si>
  <si>
    <t>Sơ cửu: Minh di, vu phi thùy kì dực. Quân tử vu hành, tam nhật bất thực, hữu du vãng, chủ nhân hữu ngôn. </t>
  </si>
  <si>
    <t>Sơ cửu: nhàn hữu gia, hối vong. </t>
  </si>
  <si>
    <t>Sơ cửu: Hối vong, táng mã, vật trục, tự phục kiến ác nhân, vô cữu. </t>
  </si>
  <si>
    <t>Sơ lục: vãng kiển, lai dự. </t>
  </si>
  <si>
    <t>Sơ lục: Vô cữu. </t>
  </si>
  <si>
    <t>Sơ cửu: Dĩ sự thuyên vãng, vô cữu, chước tổn chi. </t>
  </si>
  <si>
    <t>Sơ cửu: Lợi dụng vi đại tác, nguyên cát, vô cữu. </t>
  </si>
  <si>
    <t>Sơ cửu: Tráng vu tiên chỉ, vãng, bất thắng vi cữu. </t>
  </si>
  <si>
    <t>Sơ lục: Hệ vu Kim nê, trinh cát; hữu du vãng kiến hung. Luy thỉ phu trịch trục. </t>
  </si>
  <si>
    <t>Sơ lục: hữu phu, bất chung, mãi loạn nãi tụy; Nhược hào, nhất ác vi tiếu vật tuất, vãng, vô cữu. </t>
  </si>
  <si>
    <t>Sơ lục: Doãn thăng, đại cát. </t>
  </si>
  <si>
    <t>Sơ lục: Đồn khốn vu châu mộc, nhập vu u cốc, tam tuế bất dịch.</t>
  </si>
  <si>
    <t>Sơ lục: tỉnh nê, bất thực, cựu tỉnh vô cầm. </t>
  </si>
  <si>
    <t>Sơ cửu: củng dụng hoàng ngưu chi cách. </t>
  </si>
  <si>
    <t>Sơ lục: Đỉnh điên chỉ, lợi xuất bĩ, đắc thiếp, dĩ kì tử, vô cữu.</t>
  </si>
  <si>
    <t>Sơ cửu: chấn lai hích hích, hậu tiếu ngôn ách ách, cát. </t>
  </si>
  <si>
    <t>Sơ lục: Cấn kỳ chỉ, vô cữu, lợi vĩnh trinh. </t>
  </si>
  <si>
    <t>Sơ lục: Hồng tiệm vu can, tiểu nhân lệ, hữu ngôn, vô cữu. </t>
  </si>
  <si>
    <t>Sơ cửu: Qui muội dĩ qui đệ, bả năng lý, chinh cát. </t>
  </si>
  <si>
    <t>Sơ cửu: Ngộ kì phối chủ, tuy tuần, vô cữu, vãng hữu thượng. </t>
  </si>
  <si>
    <t>Sơ lục: Lữ toả toả, tư kì sở thủ tai. </t>
  </si>
  <si>
    <t>Sơ lục: tiến thoái, lợi vũ nhân chi trinh. </t>
  </si>
  <si>
    <t>Sơ cửu: Hoà đoái, cát. </t>
  </si>
  <si>
    <t>Sơ lục: Dụng chửng, mã tráng, cát. </t>
  </si>
  <si>
    <t>Sơ cửu: Bất xuất hộ đình, vô cữu. </t>
  </si>
  <si>
    <t>Sơ cửu: Ngu cát, hữu tha, bất yến.</t>
  </si>
  <si>
    <t>Sơ lục: Phi điểu dĩ hung. </t>
  </si>
  <si>
    <t>Sơ cửu: Duê kỳ luân, nhu kỳ vĩ, vô cữu.</t>
  </si>
  <si>
    <t>Sơ lục: Nhu kỳ vĩ, lận.</t>
  </si>
  <si>
    <t>Cửu nhị: hiện long tại điền, lợi kiến đại nhân.</t>
  </si>
  <si>
    <t>Lục nhị, trực phương đại, bất tập, vô bất lỵ .</t>
  </si>
  <si>
    <t>Lục nhị, Truân như chiên như, thừa mã ban như phỉ kiến hôn cấu, nữ tử, trinh, bất tử, thập niên nải tự .</t>
  </si>
  <si>
    <t>Cửu nhị: Bao mông cát, nạp phụ cát, tử khắc gia.</t>
  </si>
  <si>
    <t>Cửu nhị: Nhu vu sa, tiểu hữu ngôn, chung cát.</t>
  </si>
  <si>
    <t>Cửu nhị: Bất khắc tụng, quy nhi bô, kỳ ấp nhân tam bách hộ, vô sảnh.</t>
  </si>
  <si>
    <t>Cửu nhị: Tại sư, trung, cát, vô cữu, vương tam tích mệnh.</t>
  </si>
  <si>
    <t>Lục nhị: Tỷ chi tự nội, trinh cát.</t>
  </si>
  <si>
    <t>Cửu nhị: khiên phục, cát.</t>
  </si>
  <si>
    <t xml:space="preserve">Cửu nhị: Lý đạo thản thản, u nhân trinh cát. </t>
  </si>
  <si>
    <t>Cửu nhị : Bao hoang, dụng bằng hà, bất hà di, Bằng vong, đắc thượng vu trung hành. </t>
  </si>
  <si>
    <t>Lục nhị: Bào thừa, tiểu nhân cát; đại nhân bĩ, hanh.</t>
  </si>
  <si>
    <t>Lục nhị: Đồng nhân vu tôn, lận. </t>
  </si>
  <si>
    <t>Cửu nhị: đại xa dĩ tái, hữu du vãng, vô cửu. </t>
  </si>
  <si>
    <t>Lục nhị: Minh khiêm, trinh cát. </t>
  </si>
  <si>
    <t>Lục nhị: giới vu thạch, bất chung nhật, trinh cát. </t>
  </si>
  <si>
    <t>Lục nhị: Hệ tiểu tử, thất trượng phu.</t>
  </si>
  <si>
    <t>Cửu nhị: Cán mẫu chi cổ, bất khả trinh. </t>
  </si>
  <si>
    <t>Cửu nhị: Hàm lâm, cát, vô bất lợi. </t>
  </si>
  <si>
    <t>Lục nhị: Khuy quan, lợi nữ trinh. </t>
  </si>
  <si>
    <t>Lục nhị: Phệ phu, diệt tị, vô cữu.</t>
  </si>
  <si>
    <t>Lục nhị: Bí kì tu. </t>
  </si>
  <si>
    <t>Lục nhị: Bác sàng dĩ biện, miệt trinh, hung.</t>
  </si>
  <si>
    <t>Lục nhị: Hưu phục, cát.</t>
  </si>
  <si>
    <t>Lục nhị: Bất canh hoạch, bất tri dư, tắc lợi hữu du vãng. </t>
  </si>
  <si>
    <t>Cửu nhị: Dư thoát phúc. </t>
  </si>
  <si>
    <t>Lục nhị: điên di, phất kinh, vu khâu di, chinh hung . </t>
  </si>
  <si>
    <t>Cửu nhị: Khô dương sinh đề, lão phu đắc kì nữ thê, vô bất lợi. </t>
  </si>
  <si>
    <t>Cửu nhị: khảm hữu hiểm, cầu tiểu đắc.</t>
  </si>
  <si>
    <t>Lục nhị: Hoàng ly, nguyên cát.</t>
  </si>
  <si>
    <t>Lục nhị: Hàm kì phì, hung; cư cát. </t>
  </si>
  <si>
    <t>Cửu nhị: hối vong.</t>
  </si>
  <si>
    <t>Lục nhị: chấp chi dụng hoàng ngưu chi cách, mạc chi thăng thoát. </t>
  </si>
  <si>
    <t>Cửu nhị: Trinh cát. </t>
  </si>
  <si>
    <t>Lục nhị: Tấn như, sầu như, trinh cát; thụ tư giới phúc vu kỳ vương mẫu.</t>
  </si>
  <si>
    <t>Lục nhị: Minh di, di vu tả cổ, dụng chửng mã tráng, cát. </t>
  </si>
  <si>
    <t>Lục nhị: vô du loại, tại trung quĩ, trinh cát. </t>
  </si>
  <si>
    <t>Cửu nhị: Ngộ chủ vu hạng, vô cữu.</t>
  </si>
  <si>
    <t>Lục nhị: Vương thần kiển kiển, phỉ cung chi cố. </t>
  </si>
  <si>
    <t>Cửu nhị: Điền hoạch tam hồ, đắc hoàng thỉ, trinh, cát. </t>
  </si>
  <si>
    <t>Cửu nhị: lợi trinh, chính hung, phất tổn ích chi.</t>
  </si>
  <si>
    <t>Lục nhị: Hoặc ích chi thập bằng chi qui, phất khắc vi, vĩnh trinh cát. Vương dụng hưởng vu đế, cát. </t>
  </si>
  <si>
    <t>Cửu nhị: Dịch, hào, mạc dạ hữu nhung, vật tuất. </t>
  </si>
  <si>
    <t>Cửu nhị: Bao hữu ngư, vô cữu; bất lợi tân. </t>
  </si>
  <si>
    <t>Lục nhị: Dẫn, cát, vô cữu, phu, nãi lợi dụng thược. </t>
  </si>
  <si>
    <t>Cửu nhị: Phu, nãi lợi dụng thược, vô cữu.</t>
  </si>
  <si>
    <r>
      <t>Cửu nhị: Khốn vu tửu thực, chu phất lai. Lợi dụng hưởng tự, chinh hung, vô cữu. </t>
    </r>
    <r>
      <rPr>
        <sz val="11"/>
        <rFont val="Calibri"/>
        <family val="2"/>
      </rPr>
      <t> </t>
    </r>
  </si>
  <si>
    <t>Cửu nhị: Tỉnh cốc, xạ phụ, ủng tệ lậu. </t>
  </si>
  <si>
    <t>Lục nhị: Dĩ nhật nãi cách chi, chinh cát, vô cữu. </t>
  </si>
  <si>
    <t>Cửu nhị: Đỉnh hữu thực, ngã cửu hữu tật, bất ngã năng tức, cát. </t>
  </si>
  <si>
    <t>Lục nhị: Chấn lai, lệ; ức táng bối, tê vu cửu lăng, vật trục, thất nhật đắc.</t>
  </si>
  <si>
    <t>Lục nhị: Cấn kỳ phì, bất chứng kỳ tùy, kỳ tâm bất khoái. </t>
  </si>
  <si>
    <t>Lục nhị: Hồng tiệm vu bàn, ẩm thực khản khản, cát.</t>
  </si>
  <si>
    <t>Cửu nhị: Diểu (miểu) năng thị, lợi u nhân chi trinh. </t>
  </si>
  <si>
    <r>
      <t>Lục nhị: phong kì bộ, nhật trung kiến đẩu; Vãng, đắc nghi tật, hữu phu phát nhược, cát. </t>
    </r>
    <r>
      <rPr>
        <sz val="11"/>
        <rFont val="Calibri"/>
        <family val="2"/>
      </rPr>
      <t> </t>
    </r>
  </si>
  <si>
    <t>Lục nhị: Lữ tức thứ, hoài kì tư, đắc đồng bộc, trinh. </t>
  </si>
  <si>
    <t>Cửu nhị: Tốn tại sàng hạ, dụng sử vu phân nhược, cát, vô cữu. </t>
  </si>
  <si>
    <t>Cửu nhị: Phu đoài, cát, hối vong.</t>
  </si>
  <si>
    <t>Cửu nhị: Hoán, bôn kì kỉ, hối vong. </t>
  </si>
  <si>
    <t>Cửu nhị: Bất xuất môn đình, hung.</t>
  </si>
  <si>
    <t>Cửu nhị: Minh hạc tại âm, kỳ tử hoạ chi; ngã hữu hảo tước, ngô dữ nhĩ mỹ chi.</t>
  </si>
  <si>
    <t>Lục nhị: Quá kì tổ, ngộ kì tỉ, bất cập kì quân. Ngộ kì thần ,vô cữu. </t>
  </si>
  <si>
    <t>Lục nhị: Phụ táng kỳ phất, vật trục, thất nhật đắc.</t>
  </si>
  <si>
    <t>Cửu nhị: Duệ kỳ luân, trinh cát.</t>
  </si>
  <si>
    <t>Cửu tam: quân tử chung nhật càn càn, tịch dịch nhược, lệ, vô cữu.</t>
  </si>
  <si>
    <t>Công danh đắc chí thênh thang đường đời.</t>
  </si>
  <si>
    <t>Tai họa sạch như không.</t>
  </si>
  <si>
    <t>Lợi dân ích nước, người reo đón mừng.</t>
  </si>
  <si>
    <t>Cầu ích không ngừng, người oán ghét</t>
  </si>
  <si>
    <t>Đi đường bằng phẳng, người quạnh hiu giữ được điều chính, tốt (hào 2 không có ứng viện nên quạnh hiu).</t>
  </si>
  <si>
    <t>QC: Hay bị trở ngại bởi dư luận xuyên tạc.</t>
  </si>
  <si>
    <t>Văn minh của mặt trời xế bóng, chẳng gõ đồ sành mà hát, hẳn là người già cả có điều than thở, vậy là xấu.</t>
  </si>
  <si>
    <t>Chảy nước mắt như đầm đìa, như lo buồn than van, thế là tốt.</t>
  </si>
  <si>
    <t>Vương dùng việc ra quân chinh phạt. Có điều tốt đẹp là bẻ gãy được tên đầu bọn, chẳng bắt tụi xấu xa theo đuôi, không lỗi gì.</t>
  </si>
  <si>
    <t>Cảm cái bắp chân nên xấu, nóng đi mà chưa đi được, ở yên (đợi) thì tốt.</t>
  </si>
  <si>
    <t>QC: Đề phòng tai họa, xiểm nịnh, gièm pha.</t>
  </si>
  <si>
    <t>Không thờ vương hầu, chỉ sùng cao chí của mình.</t>
  </si>
  <si>
    <t>NT: Có hung thi tán, có mưu vọng thì thành. Số xấu chẳng lợi. Có triệu chứng chôn cất trên gò cao.</t>
  </si>
  <si>
    <t>TT</t>
  </si>
  <si>
    <t>Tiến lên như ! Bị ngăn chẹt như ! Cứ giữ chính là tốt, ai không tin, (mặc) cứ khoan thai không lỗi gì.</t>
  </si>
  <si>
    <t>62000</t>
  </si>
  <si>
    <t>72000</t>
  </si>
  <si>
    <t>82000</t>
  </si>
  <si>
    <t>92000</t>
  </si>
  <si>
    <t>102000</t>
  </si>
  <si>
    <t>112000</t>
  </si>
  <si>
    <t>122000</t>
  </si>
  <si>
    <t>12001</t>
  </si>
  <si>
    <t>22001</t>
  </si>
  <si>
    <t>32001</t>
  </si>
  <si>
    <t>42001</t>
  </si>
  <si>
    <t>52001</t>
  </si>
  <si>
    <t>62001</t>
  </si>
  <si>
    <t>72001</t>
  </si>
  <si>
    <t>82001</t>
  </si>
  <si>
    <t>92001</t>
  </si>
  <si>
    <t>102001</t>
  </si>
  <si>
    <t>112001</t>
  </si>
  <si>
    <t xml:space="preserve">Việc gì thành kính cũng xuôi,           </t>
  </si>
  <si>
    <t xml:space="preserve">Trên đe dưới búa đã chồn,        </t>
  </si>
  <si>
    <t xml:space="preserve">Hình thương đến thế là nhiều,        </t>
  </si>
  <si>
    <t xml:space="preserve">Kim mộc khó bề yên.      </t>
  </si>
  <si>
    <t xml:space="preserve">Muốn xem an lạc nơi nào,           </t>
  </si>
  <si>
    <t xml:space="preserve">Gió đông mạnh, đỉnh núi xanh           </t>
  </si>
  <si>
    <t xml:space="preserve">Sửa nhà gặp được thợ hay,          </t>
  </si>
  <si>
    <t xml:space="preserve">Gặp thời tri kỷ tương phùng,         </t>
  </si>
  <si>
    <t xml:space="preserve">Trời an tĩnh, bóng nhạn thâu             </t>
  </si>
  <si>
    <t xml:space="preserve">Mây che, đường tối, trăng mờ         </t>
  </si>
  <si>
    <t xml:space="preserve">Kiên tâm giữ bản phận mình,             </t>
  </si>
  <si>
    <t xml:space="preserve">Gặp thời đừng ngại biến canh,      </t>
  </si>
  <si>
    <t xml:space="preserve">Cải cách phải hợp lòng dân,       </t>
  </si>
  <si>
    <t xml:space="preserve">Kịp thời cách cố đỉnh tân,      </t>
  </si>
  <si>
    <t>122021b</t>
  </si>
  <si>
    <t>12022b</t>
  </si>
  <si>
    <t>22022b</t>
  </si>
  <si>
    <t>32022b</t>
  </si>
  <si>
    <t>42022b</t>
  </si>
  <si>
    <t>61962b</t>
  </si>
  <si>
    <t>71962b</t>
  </si>
  <si>
    <t>81962b</t>
  </si>
  <si>
    <t>91962b</t>
  </si>
  <si>
    <t>101962b</t>
  </si>
  <si>
    <t>111962b</t>
  </si>
  <si>
    <t>121962b</t>
  </si>
  <si>
    <t>11963b</t>
  </si>
  <si>
    <t>21963b</t>
  </si>
  <si>
    <t>31963b</t>
  </si>
  <si>
    <t>41963b</t>
  </si>
  <si>
    <t>GS: Không trở ngại.</t>
  </si>
  <si>
    <t>42031</t>
  </si>
  <si>
    <t>52031</t>
  </si>
  <si>
    <t>62031</t>
  </si>
  <si>
    <t>21924</t>
  </si>
  <si>
    <t>31924</t>
  </si>
  <si>
    <t>41924</t>
  </si>
  <si>
    <t>Tai qua nạn khỏi, mừng vui đến liền.</t>
  </si>
  <si>
    <t>MHC: Được tổ nghiệp mà không quản trị nổi, cậy tài thông minh, làm bậy, sau mê tối không tỉnh, khó tránh tai họa.</t>
  </si>
  <si>
    <t>MHC: Cậy tài ở trên đỉnh cao, kiêu nhũng sau mắc họa.</t>
  </si>
  <si>
    <t>MHC: Khiêm tốn tự hạ làm cho kẻ cường bạo cũng mến phục, tuy không được đắc dụng, cũng giữ được bản thân.</t>
  </si>
  <si>
    <t>MHC: Đẹp trên vui dưới, hòa khí tưng bừng, phúc trạch vẫn thế.</t>
  </si>
  <si>
    <t>MHC: Gan trung đởm nghĩa, cứu hiểm họa cho dân, công thành việc trọn, hưởng vị cao, lộc dày.</t>
  </si>
  <si>
    <t>MHC: Kiệm ước, liêm khiết, giảm phí, giản dị, cũng có vẻ không hợp nhân tình, nhưng cũng không tổn tài hại vật.</t>
  </si>
  <si>
    <t>MHC: Tuổi thanh niên đã có bằng cao, làm nên chức lớn, nhưng chỉ vì cố chấp không biết thông biến, nên chẳng được lâu.</t>
  </si>
  <si>
    <t>MHC: Kiêu mạn, túng dục, không dằn được lòng mình, khoe khoang thích miệng, thị thế ngạo vật, tuy công danh được toại ý nguyện, nhưng phúc trạch khó bền.</t>
  </si>
  <si>
    <t>Thuận dòng nên thả cánh buồm gió căng.</t>
  </si>
  <si>
    <t>Bàn đào kết quả, định ngày nghi quy.</t>
  </si>
  <si>
    <t>Vườn phố đã đầy xuân.</t>
  </si>
  <si>
    <t>Gần rằm, trăng vẫn đạo hằng, không kiêu.</t>
  </si>
  <si>
    <t>Tấm lòng thành kính, Tổ Tông cảm rồi.</t>
  </si>
  <si>
    <t>Giúp nhau nên nghiệp, ganh nhau thì tàn.</t>
  </si>
  <si>
    <t>Việc không thành việc, đau bằm cánh tay.</t>
  </si>
  <si>
    <t>Lợi danh thay đổi, trận cùng nhạn bay.</t>
  </si>
  <si>
    <t>Trời tà nhuộm cảnh, trăng mờ cửa son.</t>
  </si>
  <si>
    <t>Đêm thu trăng sáng, mây vần bốn phương.</t>
  </si>
  <si>
    <t>91914b</t>
  </si>
  <si>
    <t>Thân</t>
  </si>
  <si>
    <t>Dậu</t>
  </si>
  <si>
    <t>Tuất</t>
  </si>
  <si>
    <t>Hợi</t>
  </si>
  <si>
    <t>Sửu</t>
  </si>
  <si>
    <t>Bác</t>
  </si>
  <si>
    <t>Ngày</t>
  </si>
  <si>
    <t>NT: Được quý nhân giúp đỡ, toại nguyện. Số xấu: Phòng bị đuổi (hoặc nhà cửa v.v...) luôn luôn bị điều nọ tiếng kia.</t>
  </si>
  <si>
    <t>21918b</t>
  </si>
  <si>
    <t>31918b</t>
  </si>
  <si>
    <t>41918b</t>
  </si>
  <si>
    <t>51918b</t>
  </si>
  <si>
    <t>61918b</t>
  </si>
  <si>
    <t>71918b</t>
  </si>
  <si>
    <t>81918b</t>
  </si>
  <si>
    <t>91918b</t>
  </si>
  <si>
    <t>101918b</t>
  </si>
  <si>
    <t>Tụy1</t>
  </si>
  <si>
    <t>Bĩ</t>
  </si>
  <si>
    <t>Bĩ1</t>
  </si>
  <si>
    <t>Tiểu hàn</t>
  </si>
  <si>
    <t>Ngập cả đầu, nguy.</t>
  </si>
  <si>
    <t>Kéo lết cái bánh xe (đi từ từ) giữ chính là tốt.</t>
  </si>
  <si>
    <t>62021</t>
  </si>
  <si>
    <t>72021</t>
  </si>
  <si>
    <t>82021</t>
  </si>
  <si>
    <t>92021</t>
  </si>
  <si>
    <t>102021</t>
  </si>
  <si>
    <t>112021</t>
  </si>
  <si>
    <t>122021</t>
  </si>
  <si>
    <t>81950b</t>
  </si>
  <si>
    <t>Đánh đổ được bĩ, trước bĩ sau mừng.</t>
  </si>
  <si>
    <t>91960b</t>
  </si>
  <si>
    <t>12022</t>
  </si>
  <si>
    <t xml:space="preserve">QC: Thấy cơ hội thì tiến được. </t>
  </si>
  <si>
    <t>———</t>
  </si>
  <si>
    <t>Quan</t>
  </si>
  <si>
    <t>—   —</t>
  </si>
  <si>
    <t>NT: Được quý nhân giúp đỡ, việc thành. Tu hành tiến đạo đức. Nữ mệnh tốt, có danh.</t>
  </si>
  <si>
    <t xml:space="preserve">      Con đường mở rộng đi đâu,</t>
  </si>
  <si>
    <t xml:space="preserve">Phòng tật bệnh, gan việc thường  </t>
  </si>
  <si>
    <t>Mưu to chớ ngả, rẽ đường đưa tin.</t>
  </si>
  <si>
    <t xml:space="preserve">Đất hiểm lại đường cùng,    </t>
  </si>
  <si>
    <t>Ngôi chính khiêm nhường ở,</t>
  </si>
  <si>
    <t xml:space="preserve">Tốt bền tự chẳng sao.           </t>
  </si>
  <si>
    <t xml:space="preserve">Người quân tử, buổi tráng cường  </t>
  </si>
  <si>
    <t>MKH: Hoài nghi lo lắng, không quả quyết, chỉ làm được việc nhỏ.</t>
  </si>
  <si>
    <t>MKH: Cũng có phúc, ít tai nạn, có tiếng về kỹ nghệ.</t>
  </si>
  <si>
    <t>MKH: Cũng có tài đức, làm thượng khách nước nhỏ (có thể ngày nay là Đại Sứ).</t>
  </si>
  <si>
    <t>MKH: Chỉ là trọc phú.</t>
  </si>
  <si>
    <t>MKH: Tuổi trẻ lao đao, muộn có kết quả.</t>
  </si>
  <si>
    <t>MKH: Mưu xấu họa xấu, tự mình hại mình.</t>
  </si>
  <si>
    <t>MKH: Làm khách đường xa, lính đóng xa, cô độc.</t>
  </si>
  <si>
    <t>MKH: Bình sinh thong thả, y thực phong túc.</t>
  </si>
  <si>
    <t>MKH: Chỉ gần quý nhân thôi, tài nhỏ, việc bé.</t>
  </si>
  <si>
    <t>MKH: Điên đảo, ham chơi, tổn tài phá gia, hoặc bị hổ đuổi, sống vất vả.</t>
  </si>
  <si>
    <t>Người Quân tử nhún nhường, dùng cách ấy vượt được sông lớn, tốt.</t>
  </si>
  <si>
    <t>Khó nhọc mà vẫn nhún nhường, người Quân tử có hậu, tốt.</t>
  </si>
  <si>
    <t>QC: Sĩ nông công thương đều thông đạt mà vẫn nhũn nhặn.</t>
  </si>
  <si>
    <t>GS: Sĩ nông công thương đều thông đạt mà vẫn nhũn nhặn.</t>
  </si>
  <si>
    <t>NT: Sĩ nông công thương đều thông đạt mà vẫn nhũn nhặn.</t>
  </si>
  <si>
    <t>Chẳng giàu mà lấy được lòng hàng xóm (hào 5 đứng đầu 5 hào âm); dùng việc xâm phạt, không gì là chẳng ích lợi (vì âm nhiều nên phải dùng uy vũ).</t>
  </si>
  <si>
    <t>Dự là Duyệt (hòa vui). Lại sanh tháng 5 là cách công danh phú quý. Sấm nổ tháng 3, tháng 8 cũng vang lừng, đại phú quý. Những tháng khác, phúc nhỏ.</t>
  </si>
  <si>
    <t>Lá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</si>
</sst>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1010000]d/m/yy;@"/>
    <numFmt numFmtId="166" formatCode="[$-1010000]d/m/yyyy;@"/>
    <numFmt numFmtId="167" formatCode="[$-1010409]d/m/yyyy\ h:mm\ AM/PM;@"/>
    <numFmt numFmtId="168" formatCode="[$-1000000]h:mm;@"/>
    <numFmt numFmtId="169" formatCode="d\-mmm\-yyyy"/>
    <numFmt numFmtId="170" formatCode="0.000"/>
    <numFmt numFmtId="171" formatCode="0.0000"/>
  </numFmts>
  <fonts count="189">
    <font>
      <sz val="10"/>
      <name val="Arial"/>
    </font>
    <font>
      <sz val="10"/>
      <name val="Arial"/>
    </font>
    <font>
      <sz val="8"/>
      <name val="Arial"/>
      <family val="2"/>
    </font>
    <font>
      <sz val="8"/>
      <name val="Arial"/>
      <family val="2"/>
    </font>
    <font>
      <sz val="10"/>
      <name val="Arial"/>
      <family val="2"/>
    </font>
    <font>
      <sz val="10"/>
      <name val="Arial"/>
      <family val="2"/>
    </font>
    <font>
      <sz val="8"/>
      <color indexed="18"/>
      <name val="Arial"/>
      <family val="2"/>
    </font>
    <font>
      <sz val="8"/>
      <name val="Times New Roman"/>
      <family val="1"/>
    </font>
    <font>
      <sz val="7"/>
      <name val="Arial"/>
      <family val="2"/>
    </font>
    <font>
      <u/>
      <sz val="10"/>
      <color indexed="12"/>
      <name val="Arial"/>
      <family val="2"/>
    </font>
    <font>
      <sz val="8"/>
      <color indexed="10"/>
      <name val="Arial"/>
      <family val="2"/>
    </font>
    <font>
      <sz val="8"/>
      <color indexed="20"/>
      <name val="Arial"/>
      <family val="2"/>
    </font>
    <font>
      <b/>
      <sz val="8"/>
      <color indexed="10"/>
      <name val="Arial"/>
      <family val="2"/>
    </font>
    <font>
      <b/>
      <sz val="10"/>
      <color indexed="10"/>
      <name val="Arial"/>
      <family val="2"/>
    </font>
    <font>
      <sz val="10"/>
      <color indexed="18"/>
      <name val="Arial"/>
      <family val="2"/>
    </font>
    <font>
      <b/>
      <sz val="8"/>
      <color indexed="20"/>
      <name val="Arial"/>
      <family val="2"/>
    </font>
    <font>
      <sz val="10"/>
      <color indexed="10"/>
      <name val="Arial"/>
      <family val="2"/>
    </font>
    <font>
      <b/>
      <sz val="12"/>
      <color indexed="10"/>
      <name val="Arial"/>
      <family val="2"/>
    </font>
    <font>
      <sz val="8"/>
      <color indexed="18"/>
      <name val="Arial Narrow"/>
      <family val="2"/>
    </font>
    <font>
      <sz val="8"/>
      <color indexed="17"/>
      <name val="Arial"/>
      <family val="2"/>
    </font>
    <font>
      <sz val="8"/>
      <color indexed="17"/>
      <name val="Times New Roman"/>
      <family val="1"/>
    </font>
    <font>
      <sz val="8"/>
      <color indexed="60"/>
      <name val="Arial"/>
      <family val="2"/>
    </font>
    <font>
      <sz val="8"/>
      <color indexed="20"/>
      <name val="Arial Narrow"/>
      <family val="2"/>
    </font>
    <font>
      <sz val="8"/>
      <color indexed="17"/>
      <name val="Arial"/>
      <family val="2"/>
    </font>
    <font>
      <sz val="8"/>
      <color indexed="53"/>
      <name val="Arial"/>
      <family val="2"/>
    </font>
    <font>
      <sz val="10"/>
      <color indexed="10"/>
      <name val="Arial"/>
      <family val="2"/>
    </font>
    <font>
      <sz val="8"/>
      <color indexed="20"/>
      <name val="Arial"/>
      <family val="2"/>
    </font>
    <font>
      <sz val="8"/>
      <color indexed="18"/>
      <name val="Arial"/>
      <family val="2"/>
    </font>
    <font>
      <sz val="8"/>
      <color indexed="12"/>
      <name val="Arial"/>
      <family val="2"/>
    </font>
    <font>
      <sz val="8"/>
      <color indexed="10"/>
      <name val="Arial"/>
      <family val="2"/>
    </font>
    <font>
      <sz val="9"/>
      <name val="Tahoma"/>
      <family val="2"/>
    </font>
    <font>
      <sz val="8"/>
      <color indexed="10"/>
      <name val="Arial Narrow"/>
      <family val="2"/>
    </font>
    <font>
      <b/>
      <sz val="10"/>
      <color indexed="12"/>
      <name val="Arial"/>
      <family val="2"/>
    </font>
    <font>
      <b/>
      <sz val="9"/>
      <color indexed="10"/>
      <name val="Arial"/>
      <family val="2"/>
    </font>
    <font>
      <sz val="7"/>
      <color indexed="18"/>
      <name val="Times New Roman"/>
      <family val="1"/>
    </font>
    <font>
      <sz val="8"/>
      <color indexed="18"/>
      <name val="Times New Roman"/>
      <family val="1"/>
    </font>
    <font>
      <sz val="8"/>
      <color indexed="17"/>
      <name val="Arial Narrow"/>
      <family val="2"/>
    </font>
    <font>
      <sz val="10"/>
      <color indexed="12"/>
      <name val="Arial"/>
      <family val="2"/>
    </font>
    <font>
      <sz val="8"/>
      <color indexed="12"/>
      <name val="Arial"/>
      <family val="2"/>
    </font>
    <font>
      <sz val="8"/>
      <color indexed="53"/>
      <name val="Arial"/>
      <family val="2"/>
    </font>
    <font>
      <sz val="7"/>
      <color indexed="18"/>
      <name val="Arial"/>
      <family val="2"/>
    </font>
    <font>
      <b/>
      <sz val="14"/>
      <color indexed="17"/>
      <name val="Arial"/>
      <family val="2"/>
    </font>
    <font>
      <sz val="6"/>
      <color indexed="14"/>
      <name val="Arial"/>
      <family val="2"/>
    </font>
    <font>
      <sz val="10"/>
      <color indexed="20"/>
      <name val="Arial"/>
      <family val="2"/>
    </font>
    <font>
      <b/>
      <sz val="14"/>
      <color indexed="10"/>
      <name val="Arial"/>
      <family val="2"/>
    </font>
    <font>
      <sz val="14"/>
      <name val="Arial"/>
      <family val="2"/>
    </font>
    <font>
      <sz val="2"/>
      <name val="Arial"/>
      <family val="2"/>
    </font>
    <font>
      <sz val="10"/>
      <color indexed="12"/>
      <name val="Times New Roman"/>
      <family val="1"/>
    </font>
    <font>
      <sz val="10"/>
      <name val="Arial"/>
      <family val="2"/>
    </font>
    <font>
      <b/>
      <sz val="8"/>
      <name val="Times New Roman"/>
      <family val="1"/>
    </font>
    <font>
      <b/>
      <sz val="8"/>
      <color indexed="18"/>
      <name val="Times New Roman"/>
      <family val="1"/>
    </font>
    <font>
      <b/>
      <sz val="8"/>
      <color indexed="33"/>
      <name val="Times New Roman"/>
      <family val="1"/>
    </font>
    <font>
      <b/>
      <i/>
      <sz val="8"/>
      <name val="Times New Roman"/>
      <family val="1"/>
    </font>
    <font>
      <b/>
      <i/>
      <sz val="8"/>
      <color indexed="10"/>
      <name val="Times New Roman"/>
      <family val="1"/>
    </font>
    <font>
      <b/>
      <sz val="8"/>
      <color indexed="17"/>
      <name val="Times New Roman"/>
      <family val="1"/>
    </font>
    <font>
      <b/>
      <sz val="8"/>
      <color indexed="10"/>
      <name val="Times New Roman"/>
      <family val="1"/>
    </font>
    <font>
      <b/>
      <sz val="8"/>
      <color indexed="12"/>
      <name val="Times New Roman"/>
      <family val="1"/>
    </font>
    <font>
      <b/>
      <i/>
      <sz val="8"/>
      <color indexed="17"/>
      <name val="Times New Roman"/>
      <family val="1"/>
    </font>
    <font>
      <sz val="8"/>
      <color indexed="10"/>
      <name val="Times New Roman"/>
      <family val="1"/>
    </font>
    <font>
      <sz val="8"/>
      <name val="VNI-Times"/>
    </font>
    <font>
      <sz val="8"/>
      <color indexed="81"/>
      <name val="Tahoma"/>
      <family val="2"/>
    </font>
    <font>
      <sz val="8"/>
      <color indexed="9"/>
      <name val="Arial"/>
      <family val="2"/>
    </font>
    <font>
      <sz val="9"/>
      <color indexed="18"/>
      <name val="Arial"/>
      <family val="2"/>
    </font>
    <font>
      <sz val="9"/>
      <color indexed="18"/>
      <name val="Arial"/>
      <family val="2"/>
    </font>
    <font>
      <sz val="6"/>
      <color indexed="10"/>
      <name val="Arial"/>
      <family val="2"/>
    </font>
    <font>
      <sz val="8"/>
      <color indexed="20"/>
      <name val="Times New Roman"/>
      <family val="1"/>
    </font>
    <font>
      <sz val="9"/>
      <color indexed="10"/>
      <name val="Arial"/>
      <family val="2"/>
    </font>
    <font>
      <b/>
      <sz val="8"/>
      <color indexed="10"/>
      <name val="Arial Narrow"/>
      <family val="2"/>
    </font>
    <font>
      <sz val="8"/>
      <color indexed="62"/>
      <name val="Arial"/>
      <family val="2"/>
    </font>
    <font>
      <b/>
      <sz val="9"/>
      <color indexed="12"/>
      <name val="Arial"/>
      <family val="2"/>
    </font>
    <font>
      <b/>
      <sz val="9"/>
      <color indexed="20"/>
      <name val="Arial"/>
      <family val="2"/>
    </font>
    <font>
      <b/>
      <sz val="10"/>
      <color indexed="10"/>
      <name val="Arial Narrow"/>
      <family val="2"/>
    </font>
    <font>
      <b/>
      <sz val="8"/>
      <color indexed="12"/>
      <name val="Arial"/>
      <family val="2"/>
    </font>
    <font>
      <sz val="9"/>
      <color indexed="12"/>
      <name val="Arial"/>
      <family val="2"/>
    </font>
    <font>
      <sz val="8"/>
      <color indexed="16"/>
      <name val="Arial"/>
      <family val="2"/>
    </font>
    <font>
      <sz val="8"/>
      <color indexed="18"/>
      <name val=".VnTime"/>
      <family val="2"/>
    </font>
    <font>
      <sz val="9"/>
      <name val="Arial"/>
      <family val="2"/>
    </font>
    <font>
      <sz val="9"/>
      <color indexed="12"/>
      <name val="Arial"/>
      <family val="2"/>
    </font>
    <font>
      <b/>
      <sz val="14"/>
      <color indexed="18"/>
      <name val="Arial"/>
      <family val="2"/>
    </font>
    <font>
      <b/>
      <sz val="14"/>
      <color indexed="18"/>
      <name val="Times New Roman"/>
      <family val="1"/>
    </font>
    <font>
      <sz val="10"/>
      <color indexed="18"/>
      <name val="Arial"/>
      <family val="2"/>
    </font>
    <font>
      <sz val="10"/>
      <color indexed="18"/>
      <name val="Times New Roman"/>
      <family val="1"/>
    </font>
    <font>
      <sz val="11"/>
      <color indexed="10"/>
      <name val="Times New Roman"/>
      <family val="1"/>
    </font>
    <font>
      <sz val="11"/>
      <name val="Times New Roman"/>
      <family val="1"/>
    </font>
    <font>
      <sz val="11"/>
      <name val="Arial"/>
      <family val="2"/>
    </font>
    <font>
      <i/>
      <sz val="11"/>
      <color indexed="10"/>
      <name val="Times New Roman"/>
      <family val="1"/>
    </font>
    <font>
      <sz val="8"/>
      <color indexed="60"/>
      <name val="Times New Roman"/>
      <family val="1"/>
    </font>
    <font>
      <sz val="10"/>
      <name val="Times New Roman"/>
      <family val="1"/>
    </font>
    <font>
      <b/>
      <sz val="10"/>
      <color indexed="17"/>
      <name val="Arial"/>
      <family val="2"/>
    </font>
    <font>
      <sz val="10"/>
      <color indexed="17"/>
      <name val="Times New Roman"/>
      <family val="1"/>
    </font>
    <font>
      <sz val="10"/>
      <color indexed="17"/>
      <name val="Arial"/>
      <family val="2"/>
    </font>
    <font>
      <b/>
      <sz val="14"/>
      <color indexed="17"/>
      <name val="Arial"/>
      <family val="2"/>
    </font>
    <font>
      <sz val="10"/>
      <color indexed="17"/>
      <name val="MS Song"/>
      <family val="3"/>
      <charset val="134"/>
    </font>
    <font>
      <sz val="8"/>
      <color indexed="54"/>
      <name val="Arial"/>
      <family val="2"/>
    </font>
    <font>
      <i/>
      <sz val="9"/>
      <color indexed="18"/>
      <name val="Times New Roman"/>
      <family val="1"/>
    </font>
    <font>
      <sz val="14"/>
      <color indexed="17"/>
      <name val="Arial"/>
      <family val="2"/>
    </font>
    <font>
      <sz val="14"/>
      <color indexed="17"/>
      <name val="Arial"/>
      <family val="2"/>
    </font>
    <font>
      <sz val="8"/>
      <color indexed="22"/>
      <name val="Arial"/>
      <family val="2"/>
    </font>
    <font>
      <sz val="8"/>
      <color indexed="22"/>
      <name val="Arial Narrow"/>
      <family val="2"/>
    </font>
    <font>
      <sz val="8"/>
      <color indexed="22"/>
      <name val="Arial"/>
      <family val="2"/>
    </font>
    <font>
      <sz val="8"/>
      <color indexed="62"/>
      <name val="Arial"/>
      <family val="2"/>
    </font>
    <font>
      <sz val="7"/>
      <color indexed="22"/>
      <name val="Arial Narrow"/>
      <family val="2"/>
    </font>
    <font>
      <sz val="10"/>
      <color indexed="17"/>
      <name val="Arial"/>
      <family val="2"/>
    </font>
    <font>
      <b/>
      <sz val="10"/>
      <color indexed="18"/>
      <name val="Arial"/>
      <family val="2"/>
    </font>
    <font>
      <sz val="7"/>
      <color indexed="12"/>
      <name val="Arial"/>
      <family val="2"/>
    </font>
    <font>
      <sz val="9"/>
      <color indexed="53"/>
      <name val="Arial"/>
      <family val="2"/>
    </font>
    <font>
      <sz val="7"/>
      <color indexed="53"/>
      <name val="Arial"/>
      <family val="2"/>
    </font>
    <font>
      <b/>
      <sz val="10"/>
      <name val="Times New Roman"/>
      <family val="1"/>
    </font>
    <font>
      <b/>
      <sz val="16"/>
      <color indexed="17"/>
      <name val="Arial"/>
      <family val="2"/>
    </font>
    <font>
      <b/>
      <sz val="12"/>
      <color indexed="17"/>
      <name val="Arial"/>
      <family val="2"/>
    </font>
    <font>
      <sz val="10"/>
      <color indexed="60"/>
      <name val="Arial"/>
      <family val="2"/>
    </font>
    <font>
      <b/>
      <sz val="10"/>
      <color indexed="60"/>
      <name val="Arial"/>
      <family val="2"/>
    </font>
    <font>
      <sz val="10"/>
      <color indexed="60"/>
      <name val="Arial Narrow"/>
      <family val="2"/>
    </font>
    <font>
      <sz val="7"/>
      <color indexed="10"/>
      <name val="Arial"/>
      <family val="2"/>
    </font>
    <font>
      <b/>
      <sz val="14"/>
      <color indexed="12"/>
      <name val="Arial"/>
      <family val="2"/>
    </font>
    <font>
      <b/>
      <sz val="14"/>
      <color indexed="12"/>
      <name val="Arial"/>
      <family val="2"/>
    </font>
    <font>
      <b/>
      <sz val="10"/>
      <color indexed="60"/>
      <name val="Arial"/>
      <family val="2"/>
    </font>
    <font>
      <sz val="10"/>
      <color indexed="60"/>
      <name val="Times New Roman"/>
      <family val="1"/>
    </font>
    <font>
      <b/>
      <sz val="8"/>
      <color indexed="17"/>
      <name val="Arial"/>
      <family val="2"/>
    </font>
    <font>
      <u/>
      <sz val="8"/>
      <color indexed="12"/>
      <name val="Arial"/>
      <family val="2"/>
    </font>
    <font>
      <sz val="9"/>
      <color indexed="60"/>
      <name val="Arial"/>
      <family val="2"/>
    </font>
    <font>
      <sz val="9"/>
      <color indexed="60"/>
      <name val="Arial"/>
      <family val="2"/>
    </font>
    <font>
      <sz val="8"/>
      <color indexed="14"/>
      <name val="Arial"/>
      <family val="2"/>
    </font>
    <font>
      <sz val="8"/>
      <color indexed="55"/>
      <name val="Arial"/>
      <family val="2"/>
    </font>
    <font>
      <sz val="8"/>
      <color indexed="54"/>
      <name val="Arial"/>
      <family val="2"/>
    </font>
    <font>
      <sz val="8"/>
      <color indexed="55"/>
      <name val="Arial Narrow"/>
      <family val="2"/>
    </font>
    <font>
      <sz val="8"/>
      <color indexed="61"/>
      <name val="Arial Narrow"/>
      <family val="2"/>
    </font>
    <font>
      <sz val="10"/>
      <color indexed="10"/>
      <name val="Times New Roman"/>
      <family val="1"/>
    </font>
    <font>
      <sz val="8"/>
      <name val="Arial Narrow"/>
      <family val="2"/>
    </font>
    <font>
      <b/>
      <sz val="16"/>
      <color indexed="17"/>
      <name val="MS Reference Serif"/>
      <family val="1"/>
    </font>
    <font>
      <sz val="8"/>
      <color indexed="54"/>
      <name val="Arial Narrow"/>
      <family val="2"/>
    </font>
    <font>
      <b/>
      <sz val="11"/>
      <color indexed="12"/>
      <name val="MS Reference Serif"/>
      <family val="1"/>
    </font>
    <font>
      <b/>
      <sz val="9"/>
      <color indexed="12"/>
      <name val="MS Reference Serif"/>
      <family val="1"/>
    </font>
    <font>
      <b/>
      <sz val="14"/>
      <color indexed="10"/>
      <name val="Arial Narrow"/>
      <family val="2"/>
    </font>
    <font>
      <b/>
      <sz val="9"/>
      <color indexed="12"/>
      <name val="Arial Narrow"/>
      <family val="2"/>
    </font>
    <font>
      <sz val="8"/>
      <color indexed="60"/>
      <name val="Arial"/>
      <family val="2"/>
    </font>
    <font>
      <sz val="7"/>
      <color indexed="17"/>
      <name val="Times New Roman"/>
      <family val="1"/>
    </font>
    <font>
      <sz val="8"/>
      <color indexed="53"/>
      <name val="Arial Narrow"/>
      <family val="2"/>
    </font>
    <font>
      <b/>
      <sz val="16"/>
      <color indexed="17"/>
      <name val="Arial Narrow"/>
      <family val="2"/>
    </font>
    <font>
      <sz val="9"/>
      <color indexed="16"/>
      <name val="Arial"/>
      <family val="2"/>
    </font>
    <font>
      <sz val="8"/>
      <color indexed="12"/>
      <name val="Arial Narrow"/>
      <family val="2"/>
    </font>
    <font>
      <sz val="8"/>
      <color indexed="21"/>
      <name val="Arial Narrow"/>
      <family val="2"/>
    </font>
    <font>
      <sz val="6"/>
      <color indexed="53"/>
      <name val="Arial"/>
      <family val="2"/>
    </font>
    <font>
      <sz val="8"/>
      <color indexed="8"/>
      <name val="Arial"/>
      <family val="2"/>
    </font>
    <font>
      <sz val="9"/>
      <color indexed="53"/>
      <name val="Arial Narrow"/>
      <family val="2"/>
    </font>
    <font>
      <b/>
      <sz val="10"/>
      <color indexed="20"/>
      <name val="MS Reference Serif"/>
      <family val="1"/>
    </font>
    <font>
      <b/>
      <sz val="10"/>
      <color indexed="18"/>
      <name val="MS Reference Serif"/>
      <family val="1"/>
    </font>
    <font>
      <b/>
      <sz val="9"/>
      <color indexed="18"/>
      <name val="Arial"/>
      <family val="2"/>
    </font>
    <font>
      <b/>
      <sz val="12"/>
      <color indexed="12"/>
      <name val="Arial"/>
      <family val="2"/>
    </font>
    <font>
      <sz val="10"/>
      <color indexed="22"/>
      <name val="Arial"/>
      <family val="2"/>
    </font>
    <font>
      <b/>
      <sz val="10"/>
      <name val="Arial"/>
      <family val="2"/>
    </font>
    <font>
      <sz val="10"/>
      <name val="VNI-Times"/>
    </font>
    <font>
      <i/>
      <sz val="10"/>
      <color indexed="12"/>
      <name val="Arial"/>
      <family val="2"/>
    </font>
    <font>
      <i/>
      <sz val="10"/>
      <name val="Arial"/>
      <family val="2"/>
    </font>
    <font>
      <i/>
      <sz val="10"/>
      <color indexed="60"/>
      <name val="Arial"/>
      <family val="2"/>
    </font>
    <font>
      <b/>
      <i/>
      <sz val="10"/>
      <color indexed="30"/>
      <name val="Arial"/>
      <family val="2"/>
    </font>
    <font>
      <b/>
      <sz val="10"/>
      <color indexed="16"/>
      <name val="Arial"/>
      <family val="2"/>
    </font>
    <font>
      <sz val="9"/>
      <name val="Arial"/>
      <family val="2"/>
    </font>
    <font>
      <b/>
      <i/>
      <sz val="9"/>
      <color indexed="10"/>
      <name val="Arial"/>
      <family val="2"/>
    </font>
    <font>
      <b/>
      <i/>
      <sz val="9"/>
      <name val="Arial"/>
      <family val="2"/>
    </font>
    <font>
      <b/>
      <i/>
      <sz val="10"/>
      <color indexed="10"/>
      <name val="Arial"/>
      <family val="2"/>
    </font>
    <font>
      <b/>
      <sz val="10"/>
      <color indexed="62"/>
      <name val="Arial"/>
      <family val="2"/>
    </font>
    <font>
      <b/>
      <sz val="8"/>
      <name val="Arial"/>
      <family val="2"/>
    </font>
    <font>
      <sz val="11"/>
      <color indexed="8"/>
      <name val="Arial"/>
      <family val="2"/>
    </font>
    <font>
      <sz val="10"/>
      <color indexed="8"/>
      <name val="Arial"/>
      <family val="2"/>
    </font>
    <font>
      <b/>
      <sz val="9"/>
      <name val="Arial"/>
      <family val="2"/>
    </font>
    <font>
      <b/>
      <sz val="10"/>
      <color indexed="8"/>
      <name val="Arial"/>
      <family val="2"/>
    </font>
    <font>
      <b/>
      <sz val="9"/>
      <color indexed="8"/>
      <name val="Arial"/>
      <family val="2"/>
    </font>
    <font>
      <sz val="9"/>
      <color indexed="8"/>
      <name val="Arial"/>
      <family val="2"/>
    </font>
    <font>
      <sz val="10"/>
      <color indexed="8"/>
      <name val="Tahoma"/>
      <family val="2"/>
    </font>
    <font>
      <sz val="8"/>
      <color indexed="8"/>
      <name val="Arial"/>
      <family val="2"/>
    </font>
    <font>
      <i/>
      <sz val="10"/>
      <color indexed="8"/>
      <name val="Arial"/>
      <family val="2"/>
    </font>
    <font>
      <i/>
      <sz val="9"/>
      <color indexed="8"/>
      <name val="Arial"/>
      <family val="2"/>
    </font>
    <font>
      <sz val="11"/>
      <name val="Calibri"/>
      <family val="2"/>
    </font>
    <font>
      <sz val="12"/>
      <color indexed="8"/>
      <name val="Arial"/>
      <family val="2"/>
    </font>
    <font>
      <b/>
      <sz val="8.5"/>
      <name val="Arial"/>
      <family val="2"/>
    </font>
    <font>
      <sz val="8.5"/>
      <name val="Arial"/>
      <family val="2"/>
    </font>
    <font>
      <b/>
      <sz val="12"/>
      <color indexed="8"/>
      <name val="Arial"/>
      <family val="2"/>
    </font>
    <font>
      <sz val="12"/>
      <name val="Arial"/>
      <family val="2"/>
    </font>
    <font>
      <b/>
      <sz val="13"/>
      <color indexed="8"/>
      <name val="Arial"/>
      <family val="2"/>
    </font>
    <font>
      <sz val="7.5"/>
      <color indexed="8"/>
      <name val="Arial"/>
      <family val="2"/>
    </font>
    <font>
      <sz val="8.5"/>
      <color indexed="8"/>
      <name val="Arial"/>
      <family val="2"/>
    </font>
    <font>
      <b/>
      <sz val="15"/>
      <color indexed="8"/>
      <name val="Arial"/>
      <family val="2"/>
    </font>
    <font>
      <b/>
      <sz val="14"/>
      <color indexed="8"/>
      <name val="Arial"/>
      <family val="2"/>
    </font>
    <font>
      <sz val="5.5"/>
      <color indexed="8"/>
      <name val="Arial"/>
      <family val="2"/>
    </font>
    <font>
      <sz val="6.5"/>
      <color indexed="8"/>
      <name val="Arial"/>
      <family val="2"/>
    </font>
    <font>
      <sz val="9.5"/>
      <color indexed="8"/>
      <name val="Arial"/>
      <family val="2"/>
    </font>
    <font>
      <i/>
      <sz val="9"/>
      <name val="Arial"/>
      <family val="2"/>
    </font>
    <font>
      <sz val="10"/>
      <name val="Calibri"/>
      <family val="2"/>
    </font>
  </fonts>
  <fills count="23">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43"/>
        <bgColor indexed="64"/>
      </patternFill>
    </fill>
    <fill>
      <patternFill patternType="solid">
        <fgColor indexed="29"/>
        <bgColor indexed="64"/>
      </patternFill>
    </fill>
    <fill>
      <patternFill patternType="solid">
        <fgColor indexed="26"/>
        <bgColor indexed="64"/>
      </patternFill>
    </fill>
    <fill>
      <patternFill patternType="solid">
        <fgColor indexed="42"/>
        <bgColor indexed="64"/>
      </patternFill>
    </fill>
    <fill>
      <patternFill patternType="solid">
        <fgColor indexed="29"/>
        <bgColor indexed="29"/>
      </patternFill>
    </fill>
    <fill>
      <patternFill patternType="solid">
        <fgColor indexed="43"/>
        <bgColor indexed="26"/>
      </patternFill>
    </fill>
    <fill>
      <patternFill patternType="solid">
        <fgColor indexed="27"/>
        <bgColor indexed="64"/>
      </patternFill>
    </fill>
    <fill>
      <patternFill patternType="solid">
        <fgColor indexed="11"/>
        <bgColor indexed="64"/>
      </patternFill>
    </fill>
    <fill>
      <patternFill patternType="solid">
        <fgColor indexed="15"/>
        <bgColor indexed="64"/>
      </patternFill>
    </fill>
    <fill>
      <patternFill patternType="solid">
        <fgColor indexed="9"/>
        <bgColor indexed="64"/>
      </patternFill>
    </fill>
    <fill>
      <patternFill patternType="solid">
        <fgColor indexed="44"/>
        <bgColor indexed="64"/>
      </patternFill>
    </fill>
    <fill>
      <patternFill patternType="solid">
        <fgColor indexed="15"/>
        <bgColor indexed="27"/>
      </patternFill>
    </fill>
    <fill>
      <patternFill patternType="solid">
        <fgColor indexed="24"/>
        <bgColor indexed="64"/>
      </patternFill>
    </fill>
    <fill>
      <patternFill patternType="solid">
        <fgColor indexed="51"/>
        <bgColor indexed="64"/>
      </patternFill>
    </fill>
    <fill>
      <patternFill patternType="solid">
        <fgColor indexed="47"/>
        <bgColor indexed="64"/>
      </patternFill>
    </fill>
    <fill>
      <patternFill patternType="solid">
        <fgColor indexed="30"/>
        <bgColor indexed="64"/>
      </patternFill>
    </fill>
    <fill>
      <patternFill patternType="solid">
        <fgColor indexed="12"/>
        <bgColor indexed="64"/>
      </patternFill>
    </fill>
    <fill>
      <patternFill patternType="solid">
        <fgColor indexed="52"/>
        <bgColor indexed="64"/>
      </patternFill>
    </fill>
    <fill>
      <patternFill patternType="solid">
        <fgColor indexed="14"/>
        <bgColor indexed="64"/>
      </patternFill>
    </fill>
  </fills>
  <borders count="1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style="hair">
        <color indexed="45"/>
      </left>
      <right style="hair">
        <color indexed="45"/>
      </right>
      <top style="thin">
        <color indexed="64"/>
      </top>
      <bottom/>
      <diagonal/>
    </border>
    <border>
      <left style="hair">
        <color indexed="45"/>
      </left>
      <right style="hair">
        <color indexed="45"/>
      </right>
      <top/>
      <bottom/>
      <diagonal/>
    </border>
    <border>
      <left style="hair">
        <color indexed="45"/>
      </left>
      <right style="hair">
        <color indexed="45"/>
      </right>
      <top/>
      <bottom style="thin">
        <color indexed="64"/>
      </bottom>
      <diagonal/>
    </border>
    <border>
      <left style="thin">
        <color indexed="12"/>
      </left>
      <right style="thin">
        <color indexed="12"/>
      </right>
      <top style="thin">
        <color indexed="12"/>
      </top>
      <bottom style="thin">
        <color indexed="12"/>
      </bottom>
      <diagonal/>
    </border>
    <border>
      <left style="thin">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double">
        <color indexed="10"/>
      </top>
      <bottom style="hair">
        <color indexed="10"/>
      </bottom>
      <diagonal/>
    </border>
    <border>
      <left style="double">
        <color indexed="64"/>
      </left>
      <right/>
      <top/>
      <bottom/>
      <diagonal/>
    </border>
    <border>
      <left/>
      <right style="double">
        <color indexed="64"/>
      </right>
      <top/>
      <bottom/>
      <diagonal/>
    </border>
    <border>
      <left style="double">
        <color indexed="10"/>
      </left>
      <right/>
      <top style="hair">
        <color indexed="10"/>
      </top>
      <bottom style="hair">
        <color indexed="10"/>
      </bottom>
      <diagonal/>
    </border>
    <border>
      <left/>
      <right/>
      <top style="hair">
        <color indexed="10"/>
      </top>
      <bottom style="hair">
        <color indexed="10"/>
      </bottom>
      <diagonal/>
    </border>
    <border>
      <left/>
      <right style="double">
        <color indexed="10"/>
      </right>
      <top style="hair">
        <color indexed="10"/>
      </top>
      <bottom style="hair">
        <color indexed="10"/>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hair">
        <color indexed="64"/>
      </bottom>
      <diagonal/>
    </border>
    <border>
      <left/>
      <right/>
      <top style="double">
        <color indexed="64"/>
      </top>
      <bottom style="hair">
        <color indexed="64"/>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style="thin">
        <color indexed="64"/>
      </left>
      <right/>
      <top style="thin">
        <color indexed="64"/>
      </top>
      <bottom style="thin">
        <color indexed="64"/>
      </bottom>
      <diagonal/>
    </border>
    <border>
      <left style="double">
        <color indexed="14"/>
      </left>
      <right style="thin">
        <color indexed="14"/>
      </right>
      <top style="double">
        <color indexed="14"/>
      </top>
      <bottom style="thin">
        <color indexed="14"/>
      </bottom>
      <diagonal/>
    </border>
    <border>
      <left style="thin">
        <color indexed="14"/>
      </left>
      <right style="thin">
        <color indexed="14"/>
      </right>
      <top style="double">
        <color indexed="14"/>
      </top>
      <bottom style="thin">
        <color indexed="14"/>
      </bottom>
      <diagonal/>
    </border>
    <border>
      <left style="thin">
        <color indexed="14"/>
      </left>
      <right style="double">
        <color indexed="14"/>
      </right>
      <top style="double">
        <color indexed="14"/>
      </top>
      <bottom style="thin">
        <color indexed="14"/>
      </bottom>
      <diagonal/>
    </border>
    <border>
      <left style="double">
        <color indexed="14"/>
      </left>
      <right style="thin">
        <color indexed="14"/>
      </right>
      <top style="thin">
        <color indexed="14"/>
      </top>
      <bottom style="double">
        <color indexed="14"/>
      </bottom>
      <diagonal/>
    </border>
    <border>
      <left style="thin">
        <color indexed="14"/>
      </left>
      <right style="thin">
        <color indexed="14"/>
      </right>
      <top style="thin">
        <color indexed="14"/>
      </top>
      <bottom style="double">
        <color indexed="14"/>
      </bottom>
      <diagonal/>
    </border>
    <border>
      <left style="thin">
        <color indexed="14"/>
      </left>
      <right style="double">
        <color indexed="14"/>
      </right>
      <top style="thin">
        <color indexed="14"/>
      </top>
      <bottom style="double">
        <color indexed="14"/>
      </bottom>
      <diagonal/>
    </border>
    <border>
      <left style="double">
        <color indexed="20"/>
      </left>
      <right style="thin">
        <color indexed="20"/>
      </right>
      <top style="double">
        <color indexed="20"/>
      </top>
      <bottom style="thin">
        <color indexed="20"/>
      </bottom>
      <diagonal/>
    </border>
    <border>
      <left style="thin">
        <color indexed="20"/>
      </left>
      <right style="thin">
        <color indexed="20"/>
      </right>
      <top style="double">
        <color indexed="20"/>
      </top>
      <bottom style="thin">
        <color indexed="20"/>
      </bottom>
      <diagonal/>
    </border>
    <border>
      <left style="thin">
        <color indexed="20"/>
      </left>
      <right style="double">
        <color indexed="20"/>
      </right>
      <top style="double">
        <color indexed="20"/>
      </top>
      <bottom style="thin">
        <color indexed="20"/>
      </bottom>
      <diagonal/>
    </border>
    <border>
      <left style="double">
        <color indexed="20"/>
      </left>
      <right style="thin">
        <color indexed="20"/>
      </right>
      <top style="thin">
        <color indexed="20"/>
      </top>
      <bottom style="double">
        <color indexed="20"/>
      </bottom>
      <diagonal/>
    </border>
    <border>
      <left style="thin">
        <color indexed="20"/>
      </left>
      <right style="thin">
        <color indexed="20"/>
      </right>
      <top style="thin">
        <color indexed="20"/>
      </top>
      <bottom style="double">
        <color indexed="20"/>
      </bottom>
      <diagonal/>
    </border>
    <border>
      <left style="thin">
        <color indexed="20"/>
      </left>
      <right style="double">
        <color indexed="20"/>
      </right>
      <top style="thin">
        <color indexed="20"/>
      </top>
      <bottom style="double">
        <color indexed="20"/>
      </bottom>
      <diagonal/>
    </border>
    <border>
      <left style="double">
        <color indexed="64"/>
      </left>
      <right style="thin">
        <color indexed="64"/>
      </right>
      <top style="double">
        <color indexed="64"/>
      </top>
      <bottom/>
      <diagonal/>
    </border>
    <border>
      <left/>
      <right style="thin">
        <color indexed="64"/>
      </right>
      <top style="double">
        <color indexed="64"/>
      </top>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style="thin">
        <color indexed="64"/>
      </top>
      <bottom/>
      <diagonal/>
    </border>
    <border>
      <left/>
      <right style="double">
        <color indexed="64"/>
      </right>
      <top style="thin">
        <color indexed="64"/>
      </top>
      <bottom/>
      <diagonal/>
    </border>
    <border>
      <left style="double">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right style="double">
        <color indexed="64"/>
      </right>
      <top style="hair">
        <color indexed="64"/>
      </top>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right style="double">
        <color indexed="17"/>
      </right>
      <top/>
      <bottom/>
      <diagonal/>
    </border>
    <border>
      <left style="thin">
        <color indexed="12"/>
      </left>
      <right/>
      <top style="thin">
        <color indexed="12"/>
      </top>
      <bottom style="thin">
        <color indexed="12"/>
      </bottom>
      <diagonal/>
    </border>
    <border>
      <left/>
      <right/>
      <top style="dotted">
        <color indexed="18"/>
      </top>
      <bottom/>
      <diagonal/>
    </border>
    <border>
      <left/>
      <right/>
      <top/>
      <bottom style="dotted">
        <color indexed="18"/>
      </bottom>
      <diagonal/>
    </border>
    <border>
      <left style="double">
        <color indexed="10"/>
      </left>
      <right/>
      <top style="double">
        <color indexed="10"/>
      </top>
      <bottom style="hair">
        <color indexed="10"/>
      </bottom>
      <diagonal/>
    </border>
    <border>
      <left style="double">
        <color indexed="64"/>
      </left>
      <right/>
      <top style="double">
        <color indexed="64"/>
      </top>
      <bottom style="hair">
        <color indexed="10"/>
      </bottom>
      <diagonal/>
    </border>
    <border>
      <left style="hair">
        <color indexed="64"/>
      </left>
      <right style="hair">
        <color indexed="64"/>
      </right>
      <top style="dotted">
        <color indexed="18"/>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hair">
        <color indexed="64"/>
      </top>
      <bottom style="dotted">
        <color indexed="18"/>
      </bottom>
      <diagonal/>
    </border>
    <border>
      <left/>
      <right/>
      <top/>
      <bottom style="double">
        <color indexed="17"/>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right/>
      <top/>
      <bottom style="thin">
        <color indexed="45"/>
      </bottom>
      <diagonal/>
    </border>
    <border>
      <left style="thin">
        <color indexed="45"/>
      </left>
      <right style="thin">
        <color indexed="45"/>
      </right>
      <top style="thin">
        <color indexed="45"/>
      </top>
      <bottom/>
      <diagonal/>
    </border>
    <border>
      <left style="thin">
        <color indexed="45"/>
      </left>
      <right style="thin">
        <color indexed="45"/>
      </right>
      <top style="thin">
        <color indexed="45"/>
      </top>
      <bottom style="thin">
        <color indexed="45"/>
      </bottom>
      <diagonal/>
    </border>
    <border>
      <left style="thin">
        <color indexed="45"/>
      </left>
      <right style="thin">
        <color indexed="45"/>
      </right>
      <top style="thin">
        <color indexed="45"/>
      </top>
      <bottom style="hair">
        <color indexed="45"/>
      </bottom>
      <diagonal/>
    </border>
    <border>
      <left style="thin">
        <color indexed="45"/>
      </left>
      <right style="thin">
        <color indexed="45"/>
      </right>
      <top/>
      <bottom style="hair">
        <color indexed="45"/>
      </bottom>
      <diagonal/>
    </border>
    <border>
      <left style="hair">
        <color indexed="45"/>
      </left>
      <right style="hair">
        <color indexed="45"/>
      </right>
      <top style="hair">
        <color indexed="45"/>
      </top>
      <bottom style="hair">
        <color indexed="45"/>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thin">
        <color indexed="45"/>
      </right>
      <top/>
      <bottom style="thin">
        <color indexed="45"/>
      </bottom>
      <diagonal/>
    </border>
    <border>
      <left style="thin">
        <color indexed="45"/>
      </left>
      <right style="thin">
        <color indexed="64"/>
      </right>
      <top style="thin">
        <color indexed="45"/>
      </top>
      <bottom style="thin">
        <color indexed="45"/>
      </bottom>
      <diagonal/>
    </border>
    <border>
      <left style="thin">
        <color indexed="64"/>
      </left>
      <right style="thin">
        <color indexed="45"/>
      </right>
      <top style="thin">
        <color indexed="45"/>
      </top>
      <bottom style="thin">
        <color indexed="45"/>
      </bottom>
      <diagonal/>
    </border>
    <border>
      <left/>
      <right/>
      <top style="double">
        <color indexed="17"/>
      </top>
      <bottom/>
      <diagonal/>
    </border>
    <border>
      <left/>
      <right style="double">
        <color indexed="17"/>
      </right>
      <top style="double">
        <color indexed="17"/>
      </top>
      <bottom/>
      <diagonal/>
    </border>
    <border>
      <left style="hair">
        <color indexed="64"/>
      </left>
      <right style="thin">
        <color indexed="64"/>
      </right>
      <top style="hair">
        <color indexed="64"/>
      </top>
      <bottom style="thin">
        <color indexed="64"/>
      </bottom>
      <diagonal/>
    </border>
    <border>
      <left/>
      <right style="double">
        <color indexed="17"/>
      </right>
      <top/>
      <bottom style="double">
        <color indexed="17"/>
      </bottom>
      <diagonal/>
    </border>
    <border>
      <left style="double">
        <color indexed="17"/>
      </left>
      <right/>
      <top style="double">
        <color indexed="17"/>
      </top>
      <bottom/>
      <diagonal/>
    </border>
    <border>
      <left style="double">
        <color indexed="17"/>
      </left>
      <right/>
      <top/>
      <bottom/>
      <diagonal/>
    </border>
    <border>
      <left style="double">
        <color indexed="17"/>
      </left>
      <right/>
      <top/>
      <bottom style="double">
        <color indexed="17"/>
      </bottom>
      <diagonal/>
    </border>
    <border>
      <left style="hair">
        <color indexed="45"/>
      </left>
      <right style="hair">
        <color indexed="45"/>
      </right>
      <top style="hair">
        <color indexed="45"/>
      </top>
      <bottom style="thin">
        <color indexed="64"/>
      </bottom>
      <diagonal/>
    </border>
    <border>
      <left style="thin">
        <color indexed="45"/>
      </left>
      <right style="thin">
        <color indexed="45"/>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double">
        <color indexed="18"/>
      </top>
      <bottom style="dotted">
        <color indexed="18"/>
      </bottom>
      <diagonal/>
    </border>
    <border>
      <left/>
      <right style="hair">
        <color indexed="45"/>
      </right>
      <top style="hair">
        <color indexed="45"/>
      </top>
      <bottom style="hair">
        <color indexed="45"/>
      </bottom>
      <diagonal/>
    </border>
    <border>
      <left style="hair">
        <color indexed="45"/>
      </left>
      <right/>
      <top style="hair">
        <color indexed="45"/>
      </top>
      <bottom style="hair">
        <color indexed="45"/>
      </bottom>
      <diagonal/>
    </border>
    <border>
      <left/>
      <right/>
      <top style="hair">
        <color indexed="45"/>
      </top>
      <bottom style="hair">
        <color indexed="45"/>
      </bottom>
      <diagonal/>
    </border>
    <border>
      <left style="thin">
        <color indexed="45"/>
      </left>
      <right/>
      <top style="thin">
        <color indexed="45"/>
      </top>
      <bottom/>
      <diagonal/>
    </border>
    <border>
      <left/>
      <right style="thin">
        <color indexed="45"/>
      </right>
      <top style="thin">
        <color indexed="45"/>
      </top>
      <bottom/>
      <diagonal/>
    </border>
    <border>
      <left style="thin">
        <color indexed="45"/>
      </left>
      <right/>
      <top/>
      <bottom style="hair">
        <color indexed="45"/>
      </bottom>
      <diagonal/>
    </border>
    <border>
      <left/>
      <right style="thin">
        <color indexed="45"/>
      </right>
      <top/>
      <bottom style="hair">
        <color indexed="45"/>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right style="double">
        <color indexed="64"/>
      </right>
      <top style="double">
        <color indexed="64"/>
      </top>
      <bottom style="hair">
        <color indexed="64"/>
      </bottom>
      <diagonal/>
    </border>
    <border>
      <left style="double">
        <color indexed="10"/>
      </left>
      <right/>
      <top style="hair">
        <color indexed="10"/>
      </top>
      <bottom style="double">
        <color indexed="10"/>
      </bottom>
      <diagonal/>
    </border>
    <border>
      <left/>
      <right/>
      <top style="hair">
        <color indexed="10"/>
      </top>
      <bottom style="double">
        <color indexed="10"/>
      </bottom>
      <diagonal/>
    </border>
    <border>
      <left/>
      <right style="double">
        <color indexed="10"/>
      </right>
      <top style="hair">
        <color indexed="10"/>
      </top>
      <bottom style="double">
        <color indexed="10"/>
      </bottom>
      <diagonal/>
    </border>
    <border>
      <left/>
      <right/>
      <top/>
      <bottom style="double">
        <color indexed="10"/>
      </bottom>
      <diagonal/>
    </border>
    <border>
      <left/>
      <right style="double">
        <color indexed="10"/>
      </right>
      <top style="double">
        <color indexed="10"/>
      </top>
      <bottom style="hair">
        <color indexed="10"/>
      </bottom>
      <diagonal/>
    </border>
    <border>
      <left style="thin">
        <color indexed="64"/>
      </left>
      <right/>
      <top style="thin">
        <color indexed="45"/>
      </top>
      <bottom/>
      <diagonal/>
    </border>
    <border>
      <left/>
      <right style="thin">
        <color indexed="64"/>
      </right>
      <top style="thin">
        <color indexed="45"/>
      </top>
      <bottom/>
      <diagonal/>
    </border>
  </borders>
  <cellStyleXfs count="6">
    <xf numFmtId="0" fontId="0" fillId="0" borderId="0"/>
    <xf numFmtId="164" fontId="1" fillId="0" borderId="0" applyFont="0" applyFill="0" applyBorder="0" applyAlignment="0" applyProtection="0"/>
    <xf numFmtId="0" fontId="9" fillId="0" borderId="0" applyNumberFormat="0" applyFill="0" applyBorder="0" applyAlignment="0" applyProtection="0">
      <alignment vertical="top"/>
      <protection locked="0"/>
    </xf>
    <xf numFmtId="0" fontId="4" fillId="0" borderId="0"/>
    <xf numFmtId="0" fontId="151" fillId="0" borderId="0"/>
    <xf numFmtId="0" fontId="1" fillId="0" borderId="0"/>
  </cellStyleXfs>
  <cellXfs count="1043">
    <xf numFmtId="0" fontId="0" fillId="0" borderId="0" xfId="0"/>
    <xf numFmtId="0" fontId="0" fillId="0" borderId="0" xfId="0" applyProtection="1">
      <protection hidden="1"/>
    </xf>
    <xf numFmtId="0" fontId="10" fillId="0" borderId="0" xfId="0" applyFont="1" applyAlignment="1" applyProtection="1">
      <alignment horizontal="center"/>
      <protection hidden="1"/>
    </xf>
    <xf numFmtId="0" fontId="12" fillId="0" borderId="0" xfId="0" applyFont="1" applyAlignment="1" applyProtection="1">
      <alignment horizontal="left" vertical="center"/>
      <protection hidden="1"/>
    </xf>
    <xf numFmtId="0" fontId="12"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0" fillId="0" borderId="0" xfId="0" applyAlignment="1" applyProtection="1">
      <alignment horizontal="left"/>
      <protection hidden="1"/>
    </xf>
    <xf numFmtId="0" fontId="14" fillId="0" borderId="0" xfId="0" applyFont="1" applyAlignment="1" applyProtection="1">
      <alignment horizontal="right"/>
      <protection hidden="1"/>
    </xf>
    <xf numFmtId="0" fontId="26" fillId="0" borderId="0" xfId="0" applyFont="1" applyProtection="1">
      <protection hidden="1"/>
    </xf>
    <xf numFmtId="0" fontId="3" fillId="0" borderId="0" xfId="0" applyFont="1" applyProtection="1">
      <protection hidden="1"/>
    </xf>
    <xf numFmtId="0" fontId="27" fillId="0" borderId="0" xfId="0" applyFont="1" applyProtection="1">
      <protection hidden="1"/>
    </xf>
    <xf numFmtId="0" fontId="14" fillId="0" borderId="0" xfId="0" applyFont="1" applyProtection="1">
      <protection hidden="1"/>
    </xf>
    <xf numFmtId="0" fontId="6" fillId="0" borderId="0" xfId="0" applyFont="1" applyAlignment="1" applyProtection="1">
      <alignment horizontal="center"/>
      <protection hidden="1"/>
    </xf>
    <xf numFmtId="0" fontId="6" fillId="0" borderId="0" xfId="0" applyFont="1" applyProtection="1">
      <protection hidden="1"/>
    </xf>
    <xf numFmtId="0" fontId="29" fillId="0" borderId="0" xfId="0" applyFont="1" applyProtection="1">
      <protection hidden="1"/>
    </xf>
    <xf numFmtId="0" fontId="32" fillId="0" borderId="0" xfId="0" applyFont="1" applyProtection="1">
      <protection hidden="1"/>
    </xf>
    <xf numFmtId="0" fontId="3" fillId="0" borderId="0" xfId="0" applyFont="1" applyAlignment="1" applyProtection="1">
      <alignment horizontal="right"/>
      <protection hidden="1"/>
    </xf>
    <xf numFmtId="0" fontId="3" fillId="0" borderId="0" xfId="0" applyFont="1" applyAlignment="1" applyProtection="1">
      <alignment horizontal="center"/>
      <protection hidden="1"/>
    </xf>
    <xf numFmtId="0" fontId="29" fillId="0" borderId="1" xfId="0" applyFont="1" applyBorder="1" applyAlignment="1" applyProtection="1">
      <alignment horizontal="center"/>
      <protection hidden="1"/>
    </xf>
    <xf numFmtId="0" fontId="29" fillId="0" borderId="0" xfId="0" applyFont="1" applyAlignment="1" applyProtection="1">
      <alignment horizontal="center"/>
      <protection hidden="1"/>
    </xf>
    <xf numFmtId="0" fontId="38" fillId="0" borderId="0" xfId="0" applyFont="1" applyProtection="1">
      <protection hidden="1"/>
    </xf>
    <xf numFmtId="0" fontId="27" fillId="0" borderId="0" xfId="0" applyFont="1" applyAlignment="1" applyProtection="1">
      <alignment horizontal="right" vertical="center"/>
      <protection hidden="1"/>
    </xf>
    <xf numFmtId="0" fontId="3" fillId="0" borderId="0" xfId="0" applyFont="1" applyAlignment="1" applyProtection="1">
      <alignment vertical="center"/>
      <protection hidden="1"/>
    </xf>
    <xf numFmtId="0" fontId="27" fillId="0" borderId="0" xfId="0" applyFont="1" applyAlignment="1" applyProtection="1">
      <alignment vertical="center"/>
      <protection hidden="1"/>
    </xf>
    <xf numFmtId="0" fontId="38" fillId="0" borderId="0" xfId="0" applyFont="1" applyAlignment="1" applyProtection="1">
      <alignment vertical="center"/>
      <protection hidden="1"/>
    </xf>
    <xf numFmtId="0" fontId="10" fillId="0" borderId="2" xfId="0" applyFont="1" applyBorder="1" applyAlignment="1" applyProtection="1">
      <alignment horizontal="center"/>
      <protection hidden="1"/>
    </xf>
    <xf numFmtId="0" fontId="3" fillId="0" borderId="2" xfId="0" applyFont="1" applyBorder="1" applyProtection="1">
      <protection hidden="1"/>
    </xf>
    <xf numFmtId="0" fontId="6" fillId="0" borderId="3" xfId="0" applyFont="1" applyBorder="1" applyAlignment="1" applyProtection="1">
      <alignment horizontal="center"/>
      <protection hidden="1"/>
    </xf>
    <xf numFmtId="0" fontId="3" fillId="0" borderId="3" xfId="0" applyFont="1" applyBorder="1" applyProtection="1">
      <protection hidden="1"/>
    </xf>
    <xf numFmtId="0" fontId="6" fillId="0" borderId="2" xfId="0" applyFont="1" applyBorder="1" applyAlignment="1" applyProtection="1">
      <alignment horizontal="center"/>
      <protection hidden="1"/>
    </xf>
    <xf numFmtId="0" fontId="14" fillId="0" borderId="2" xfId="0" applyFont="1" applyBorder="1" applyProtection="1">
      <protection hidden="1"/>
    </xf>
    <xf numFmtId="0" fontId="6" fillId="0" borderId="0" xfId="0" applyFont="1" applyAlignment="1" applyProtection="1">
      <alignment horizontal="right" vertical="center"/>
      <protection hidden="1"/>
    </xf>
    <xf numFmtId="0" fontId="43" fillId="0" borderId="0" xfId="0" applyFont="1" applyProtection="1">
      <protection hidden="1"/>
    </xf>
    <xf numFmtId="0" fontId="27" fillId="0" borderId="0" xfId="0" applyFont="1" applyAlignment="1" applyProtection="1">
      <alignment horizontal="right"/>
      <protection hidden="1"/>
    </xf>
    <xf numFmtId="0" fontId="3" fillId="0" borderId="4" xfId="0" applyFont="1" applyBorder="1" applyAlignment="1" applyProtection="1">
      <alignment horizontal="left"/>
      <protection hidden="1"/>
    </xf>
    <xf numFmtId="167" fontId="29" fillId="0" borderId="0" xfId="0" applyNumberFormat="1" applyFont="1" applyAlignment="1" applyProtection="1">
      <alignment horizontal="center"/>
      <protection hidden="1"/>
    </xf>
    <xf numFmtId="0" fontId="38" fillId="0" borderId="0" xfId="0" applyFont="1" applyAlignment="1" applyProtection="1">
      <alignment horizontal="right"/>
      <protection hidden="1"/>
    </xf>
    <xf numFmtId="0" fontId="6" fillId="0" borderId="5" xfId="0" applyFont="1" applyBorder="1" applyAlignment="1" applyProtection="1">
      <alignment horizontal="center"/>
      <protection hidden="1"/>
    </xf>
    <xf numFmtId="0" fontId="10" fillId="0" borderId="6" xfId="0" applyFont="1" applyBorder="1" applyAlignment="1" applyProtection="1">
      <alignment horizontal="center"/>
      <protection hidden="1"/>
    </xf>
    <xf numFmtId="0" fontId="10" fillId="0" borderId="7" xfId="0" applyFont="1" applyBorder="1" applyAlignment="1" applyProtection="1">
      <alignment horizontal="center"/>
      <protection hidden="1"/>
    </xf>
    <xf numFmtId="0" fontId="6" fillId="0" borderId="6" xfId="0" applyFont="1" applyBorder="1" applyAlignment="1" applyProtection="1">
      <alignment horizontal="center"/>
      <protection hidden="1"/>
    </xf>
    <xf numFmtId="0" fontId="6" fillId="0" borderId="7" xfId="0" applyFont="1" applyBorder="1" applyAlignment="1" applyProtection="1">
      <alignment horizontal="center"/>
      <protection hidden="1"/>
    </xf>
    <xf numFmtId="0" fontId="3" fillId="0" borderId="8" xfId="0" applyFont="1" applyBorder="1" applyProtection="1">
      <protection hidden="1"/>
    </xf>
    <xf numFmtId="0" fontId="12" fillId="0" borderId="8" xfId="0" applyFont="1" applyBorder="1" applyAlignment="1" applyProtection="1">
      <alignment vertical="center"/>
      <protection hidden="1"/>
    </xf>
    <xf numFmtId="0" fontId="3" fillId="0" borderId="8" xfId="0" applyFont="1" applyBorder="1" applyAlignment="1" applyProtection="1">
      <alignment horizontal="center"/>
      <protection hidden="1"/>
    </xf>
    <xf numFmtId="0" fontId="23" fillId="0" borderId="0" xfId="0" applyFont="1" applyAlignment="1" applyProtection="1">
      <alignment horizontal="right" vertical="center"/>
      <protection hidden="1"/>
    </xf>
    <xf numFmtId="0" fontId="29" fillId="0" borderId="0" xfId="0" applyFont="1" applyAlignment="1" applyProtection="1">
      <alignment horizontal="center" vertical="center" shrinkToFit="1"/>
      <protection hidden="1"/>
    </xf>
    <xf numFmtId="0" fontId="23" fillId="0" borderId="0" xfId="0" applyFont="1" applyAlignment="1" applyProtection="1">
      <alignment vertical="center"/>
      <protection hidden="1"/>
    </xf>
    <xf numFmtId="0" fontId="0" fillId="0" borderId="0" xfId="0" applyAlignment="1" applyProtection="1">
      <alignment vertical="center"/>
      <protection hidden="1"/>
    </xf>
    <xf numFmtId="0" fontId="45" fillId="0" borderId="2" xfId="0" applyFont="1" applyBorder="1" applyProtection="1">
      <protection hidden="1"/>
    </xf>
    <xf numFmtId="0" fontId="13" fillId="0" borderId="0" xfId="0" applyFont="1" applyAlignment="1" applyProtection="1">
      <alignment horizontal="center" vertical="center"/>
      <protection hidden="1"/>
    </xf>
    <xf numFmtId="0" fontId="7" fillId="0" borderId="0" xfId="0" applyFont="1" applyProtection="1">
      <protection hidden="1"/>
    </xf>
    <xf numFmtId="0" fontId="7" fillId="0" borderId="9" xfId="0" applyFont="1" applyBorder="1" applyProtection="1">
      <protection hidden="1"/>
    </xf>
    <xf numFmtId="0" fontId="7" fillId="0" borderId="0" xfId="5" applyFont="1" applyAlignment="1" applyProtection="1">
      <alignment horizontal="right"/>
      <protection hidden="1"/>
    </xf>
    <xf numFmtId="0" fontId="49" fillId="0" borderId="0" xfId="5" applyFont="1" applyAlignment="1" applyProtection="1">
      <alignment horizontal="center"/>
      <protection hidden="1"/>
    </xf>
    <xf numFmtId="0" fontId="7" fillId="0" borderId="0" xfId="5" applyFont="1" applyProtection="1">
      <protection hidden="1"/>
    </xf>
    <xf numFmtId="0" fontId="7" fillId="0" borderId="9" xfId="5" applyFont="1" applyBorder="1" applyProtection="1">
      <protection hidden="1"/>
    </xf>
    <xf numFmtId="0" fontId="49" fillId="0" borderId="10" xfId="5" applyFont="1" applyBorder="1" applyAlignment="1" applyProtection="1">
      <alignment horizontal="right"/>
      <protection hidden="1"/>
    </xf>
    <xf numFmtId="0" fontId="49" fillId="0" borderId="11" xfId="5" applyFont="1" applyBorder="1" applyAlignment="1" applyProtection="1">
      <alignment horizontal="center"/>
      <protection hidden="1"/>
    </xf>
    <xf numFmtId="14" fontId="51" fillId="0" borderId="12" xfId="5" applyNumberFormat="1" applyFont="1" applyBorder="1" applyProtection="1">
      <protection hidden="1"/>
    </xf>
    <xf numFmtId="0" fontId="7" fillId="0" borderId="13" xfId="5" applyFont="1" applyBorder="1" applyProtection="1">
      <protection hidden="1"/>
    </xf>
    <xf numFmtId="0" fontId="49" fillId="0" borderId="3" xfId="5" applyFont="1" applyBorder="1" applyAlignment="1" applyProtection="1">
      <alignment horizontal="center"/>
      <protection hidden="1"/>
    </xf>
    <xf numFmtId="14" fontId="51" fillId="0" borderId="3" xfId="5" applyNumberFormat="1" applyFont="1" applyBorder="1" applyProtection="1">
      <protection hidden="1"/>
    </xf>
    <xf numFmtId="14" fontId="49" fillId="0" borderId="3" xfId="5" applyNumberFormat="1" applyFont="1" applyBorder="1" applyProtection="1">
      <protection hidden="1"/>
    </xf>
    <xf numFmtId="14" fontId="7" fillId="0" borderId="3" xfId="5" applyNumberFormat="1" applyFont="1" applyBorder="1" applyProtection="1">
      <protection hidden="1"/>
    </xf>
    <xf numFmtId="14" fontId="7" fillId="0" borderId="14" xfId="5" applyNumberFormat="1" applyFont="1" applyBorder="1" applyProtection="1">
      <protection hidden="1"/>
    </xf>
    <xf numFmtId="0" fontId="49" fillId="0" borderId="15" xfId="0" applyFont="1" applyBorder="1" applyAlignment="1" applyProtection="1">
      <alignment horizontal="center"/>
      <protection hidden="1"/>
    </xf>
    <xf numFmtId="0" fontId="49" fillId="0" borderId="16" xfId="5" applyFont="1" applyBorder="1" applyAlignment="1" applyProtection="1">
      <alignment horizontal="right"/>
      <protection hidden="1"/>
    </xf>
    <xf numFmtId="14" fontId="51" fillId="0" borderId="17" xfId="5" applyNumberFormat="1" applyFont="1" applyBorder="1" applyProtection="1">
      <protection hidden="1"/>
    </xf>
    <xf numFmtId="0" fontId="7" fillId="0" borderId="4" xfId="5" applyFont="1" applyBorder="1" applyProtection="1">
      <protection hidden="1"/>
    </xf>
    <xf numFmtId="0" fontId="52" fillId="0" borderId="18" xfId="0" applyFont="1" applyBorder="1" applyAlignment="1" applyProtection="1">
      <alignment horizontal="right"/>
      <protection hidden="1"/>
    </xf>
    <xf numFmtId="0" fontId="49" fillId="0" borderId="19" xfId="0" applyFont="1" applyBorder="1" applyAlignment="1" applyProtection="1">
      <alignment horizontal="center"/>
      <protection hidden="1"/>
    </xf>
    <xf numFmtId="0" fontId="53" fillId="0" borderId="19" xfId="0" applyFont="1" applyBorder="1" applyAlignment="1" applyProtection="1">
      <alignment horizontal="center"/>
      <protection hidden="1"/>
    </xf>
    <xf numFmtId="0" fontId="7" fillId="0" borderId="19" xfId="0" applyFont="1" applyBorder="1" applyProtection="1">
      <protection hidden="1"/>
    </xf>
    <xf numFmtId="0" fontId="7" fillId="0" borderId="20" xfId="0" applyFont="1" applyBorder="1" applyProtection="1">
      <protection hidden="1"/>
    </xf>
    <xf numFmtId="0" fontId="7" fillId="0" borderId="16" xfId="5" applyFont="1" applyBorder="1" applyAlignment="1" applyProtection="1">
      <alignment horizontal="right"/>
      <protection hidden="1"/>
    </xf>
    <xf numFmtId="0" fontId="51" fillId="0" borderId="17" xfId="5" applyFont="1" applyBorder="1" applyAlignment="1" applyProtection="1">
      <alignment horizontal="center"/>
      <protection hidden="1"/>
    </xf>
    <xf numFmtId="14" fontId="7" fillId="0" borderId="0" xfId="5" applyNumberFormat="1" applyFont="1" applyProtection="1">
      <protection hidden="1"/>
    </xf>
    <xf numFmtId="0" fontId="7" fillId="0" borderId="21" xfId="5" applyFont="1" applyBorder="1" applyAlignment="1" applyProtection="1">
      <alignment horizontal="right"/>
      <protection hidden="1"/>
    </xf>
    <xf numFmtId="0" fontId="49" fillId="0" borderId="22" xfId="5" applyFont="1" applyBorder="1" applyAlignment="1" applyProtection="1">
      <alignment horizontal="center"/>
      <protection hidden="1"/>
    </xf>
    <xf numFmtId="0" fontId="51" fillId="0" borderId="23" xfId="5" applyFont="1" applyBorder="1" applyAlignment="1" applyProtection="1">
      <alignment horizontal="center"/>
      <protection hidden="1"/>
    </xf>
    <xf numFmtId="0" fontId="7" fillId="0" borderId="24" xfId="5" applyFont="1" applyBorder="1" applyProtection="1">
      <protection hidden="1"/>
    </xf>
    <xf numFmtId="0" fontId="7" fillId="0" borderId="25" xfId="5" applyFont="1" applyBorder="1" applyAlignment="1" applyProtection="1">
      <alignment horizontal="center"/>
      <protection hidden="1"/>
    </xf>
    <xf numFmtId="0" fontId="54" fillId="0" borderId="14" xfId="5" applyFont="1" applyBorder="1" applyProtection="1">
      <protection hidden="1"/>
    </xf>
    <xf numFmtId="0" fontId="7" fillId="0" borderId="3" xfId="5" applyFont="1" applyBorder="1" applyProtection="1">
      <protection hidden="1"/>
    </xf>
    <xf numFmtId="0" fontId="7" fillId="0" borderId="14" xfId="5" applyFont="1" applyBorder="1" applyProtection="1">
      <protection hidden="1"/>
    </xf>
    <xf numFmtId="0" fontId="7" fillId="0" borderId="26" xfId="5" applyFont="1" applyBorder="1" applyProtection="1">
      <protection hidden="1"/>
    </xf>
    <xf numFmtId="0" fontId="54" fillId="0" borderId="4" xfId="5" applyFont="1" applyBorder="1" applyProtection="1">
      <protection hidden="1"/>
    </xf>
    <xf numFmtId="0" fontId="54" fillId="0" borderId="0" xfId="5" applyFont="1" applyProtection="1">
      <protection hidden="1"/>
    </xf>
    <xf numFmtId="0" fontId="49" fillId="0" borderId="4" xfId="5" applyFont="1" applyBorder="1" applyProtection="1">
      <protection hidden="1"/>
    </xf>
    <xf numFmtId="0" fontId="54" fillId="0" borderId="27" xfId="5" applyFont="1" applyBorder="1" applyProtection="1">
      <protection hidden="1"/>
    </xf>
    <xf numFmtId="169" fontId="7" fillId="0" borderId="0" xfId="5" applyNumberFormat="1" applyFont="1" applyProtection="1">
      <protection hidden="1"/>
    </xf>
    <xf numFmtId="0" fontId="7" fillId="0" borderId="28" xfId="5" applyFont="1" applyBorder="1" applyProtection="1">
      <protection hidden="1"/>
    </xf>
    <xf numFmtId="0" fontId="49" fillId="0" borderId="2" xfId="5" applyFont="1" applyBorder="1" applyAlignment="1" applyProtection="1">
      <alignment horizontal="center"/>
      <protection hidden="1"/>
    </xf>
    <xf numFmtId="0" fontId="55" fillId="0" borderId="2" xfId="5" applyFont="1" applyBorder="1" applyProtection="1">
      <protection hidden="1"/>
    </xf>
    <xf numFmtId="0" fontId="7" fillId="0" borderId="29" xfId="5" applyFont="1" applyBorder="1" applyProtection="1">
      <protection hidden="1"/>
    </xf>
    <xf numFmtId="0" fontId="7" fillId="0" borderId="2" xfId="5" applyFont="1" applyBorder="1" applyProtection="1">
      <protection hidden="1"/>
    </xf>
    <xf numFmtId="0" fontId="7" fillId="0" borderId="30" xfId="5" applyFont="1" applyBorder="1" applyProtection="1">
      <protection hidden="1"/>
    </xf>
    <xf numFmtId="0" fontId="53" fillId="0" borderId="19" xfId="1" applyNumberFormat="1" applyFont="1" applyFill="1" applyBorder="1" applyAlignment="1" applyProtection="1">
      <alignment horizontal="center"/>
      <protection hidden="1"/>
    </xf>
    <xf numFmtId="170" fontId="7" fillId="0" borderId="0" xfId="5" applyNumberFormat="1" applyFont="1" applyProtection="1">
      <protection hidden="1"/>
    </xf>
    <xf numFmtId="1" fontId="7" fillId="0" borderId="0" xfId="5" applyNumberFormat="1" applyFont="1" applyProtection="1">
      <protection hidden="1"/>
    </xf>
    <xf numFmtId="0" fontId="7" fillId="0" borderId="13" xfId="0" applyFont="1" applyBorder="1" applyProtection="1">
      <protection hidden="1"/>
    </xf>
    <xf numFmtId="0" fontId="49" fillId="0" borderId="3" xfId="0" applyFont="1" applyBorder="1" applyAlignment="1" applyProtection="1">
      <alignment horizontal="center"/>
      <protection hidden="1"/>
    </xf>
    <xf numFmtId="0" fontId="7" fillId="0" borderId="3" xfId="0" applyFont="1" applyBorder="1" applyProtection="1">
      <protection hidden="1"/>
    </xf>
    <xf numFmtId="0" fontId="7" fillId="0" borderId="14" xfId="0" applyFont="1" applyBorder="1" applyProtection="1">
      <protection hidden="1"/>
    </xf>
    <xf numFmtId="0" fontId="56" fillId="0" borderId="0" xfId="5" applyFont="1" applyProtection="1">
      <protection hidden="1"/>
    </xf>
    <xf numFmtId="0" fontId="7" fillId="0" borderId="4" xfId="0" applyFont="1" applyBorder="1" applyProtection="1">
      <protection hidden="1"/>
    </xf>
    <xf numFmtId="15" fontId="57" fillId="0" borderId="0" xfId="0" applyNumberFormat="1" applyFont="1" applyAlignment="1" applyProtection="1">
      <alignment horizontal="center" vertical="center"/>
      <protection hidden="1"/>
    </xf>
    <xf numFmtId="0" fontId="57" fillId="0" borderId="0" xfId="0" applyFont="1" applyAlignment="1" applyProtection="1">
      <alignment horizontal="center"/>
      <protection hidden="1"/>
    </xf>
    <xf numFmtId="0" fontId="7" fillId="0" borderId="13" xfId="5" applyFont="1" applyBorder="1" applyAlignment="1" applyProtection="1">
      <alignment horizontal="right"/>
      <protection hidden="1"/>
    </xf>
    <xf numFmtId="0" fontId="49" fillId="0" borderId="3" xfId="5" applyFont="1" applyBorder="1" applyAlignment="1" applyProtection="1">
      <alignment horizontal="right"/>
      <protection hidden="1"/>
    </xf>
    <xf numFmtId="0" fontId="49" fillId="0" borderId="3" xfId="5" applyFont="1" applyBorder="1" applyProtection="1">
      <protection hidden="1"/>
    </xf>
    <xf numFmtId="0" fontId="55" fillId="0" borderId="0" xfId="5" applyFont="1" applyAlignment="1" applyProtection="1">
      <alignment horizontal="center"/>
      <protection hidden="1"/>
    </xf>
    <xf numFmtId="0" fontId="55" fillId="0" borderId="4" xfId="5" applyFont="1" applyBorder="1" applyAlignment="1" applyProtection="1">
      <alignment horizontal="center"/>
      <protection hidden="1"/>
    </xf>
    <xf numFmtId="0" fontId="49" fillId="0" borderId="9" xfId="5" applyFont="1" applyBorder="1" applyAlignment="1" applyProtection="1">
      <alignment horizontal="right"/>
      <protection hidden="1"/>
    </xf>
    <xf numFmtId="0" fontId="49" fillId="0" borderId="0" xfId="5" applyFont="1" applyProtection="1">
      <protection hidden="1"/>
    </xf>
    <xf numFmtId="0" fontId="49" fillId="0" borderId="0" xfId="5" applyFont="1" applyAlignment="1" applyProtection="1">
      <alignment horizontal="right"/>
      <protection hidden="1"/>
    </xf>
    <xf numFmtId="0" fontId="7" fillId="0" borderId="0" xfId="5" applyFont="1" applyAlignment="1" applyProtection="1">
      <alignment horizontal="center"/>
      <protection hidden="1"/>
    </xf>
    <xf numFmtId="0" fontId="49" fillId="0" borderId="0" xfId="5" applyFont="1" applyAlignment="1" applyProtection="1">
      <alignment horizontal="left"/>
      <protection hidden="1"/>
    </xf>
    <xf numFmtId="171" fontId="7" fillId="0" borderId="0" xfId="5" applyNumberFormat="1" applyFont="1" applyProtection="1">
      <protection hidden="1"/>
    </xf>
    <xf numFmtId="0" fontId="7" fillId="0" borderId="0" xfId="0" applyFont="1" applyAlignment="1" applyProtection="1">
      <alignment horizontal="center"/>
      <protection hidden="1"/>
    </xf>
    <xf numFmtId="0" fontId="7" fillId="0" borderId="4" xfId="0" applyFont="1" applyBorder="1" applyAlignment="1" applyProtection="1">
      <alignment horizontal="center"/>
      <protection hidden="1"/>
    </xf>
    <xf numFmtId="0" fontId="7" fillId="0" borderId="31" xfId="0" applyFont="1" applyBorder="1" applyAlignment="1" applyProtection="1">
      <alignment horizontal="right"/>
      <protection hidden="1"/>
    </xf>
    <xf numFmtId="0" fontId="7" fillId="0" borderId="32" xfId="0" applyFont="1" applyBorder="1" applyAlignment="1" applyProtection="1">
      <alignment horizontal="center"/>
      <protection hidden="1"/>
    </xf>
    <xf numFmtId="0" fontId="49" fillId="0" borderId="28" xfId="5" applyFont="1" applyBorder="1" applyAlignment="1" applyProtection="1">
      <alignment horizontal="right"/>
      <protection hidden="1"/>
    </xf>
    <xf numFmtId="0" fontId="49" fillId="0" borderId="2" xfId="5" applyFont="1" applyBorder="1" applyProtection="1">
      <protection hidden="1"/>
    </xf>
    <xf numFmtId="0" fontId="49" fillId="0" borderId="2" xfId="5" applyFont="1" applyBorder="1" applyAlignment="1" applyProtection="1">
      <alignment horizontal="right"/>
      <protection hidden="1"/>
    </xf>
    <xf numFmtId="0" fontId="49" fillId="0" borderId="2" xfId="5" applyFont="1" applyBorder="1" applyAlignment="1" applyProtection="1">
      <alignment horizontal="left"/>
      <protection hidden="1"/>
    </xf>
    <xf numFmtId="0" fontId="7" fillId="0" borderId="33" xfId="0" applyFont="1" applyBorder="1" applyAlignment="1" applyProtection="1">
      <alignment horizontal="right"/>
      <protection hidden="1"/>
    </xf>
    <xf numFmtId="0" fontId="7" fillId="0" borderId="34" xfId="0" applyFont="1" applyBorder="1" applyAlignment="1" applyProtection="1">
      <alignment horizontal="center"/>
      <protection hidden="1"/>
    </xf>
    <xf numFmtId="1" fontId="54" fillId="0" borderId="34" xfId="0" applyNumberFormat="1" applyFont="1" applyBorder="1" applyAlignment="1" applyProtection="1">
      <alignment horizontal="center"/>
      <protection hidden="1"/>
    </xf>
    <xf numFmtId="0" fontId="58" fillId="0" borderId="34" xfId="0" applyFont="1" applyBorder="1" applyAlignment="1" applyProtection="1">
      <alignment horizontal="right"/>
      <protection hidden="1"/>
    </xf>
    <xf numFmtId="0" fontId="58" fillId="0" borderId="35" xfId="0" applyFont="1" applyBorder="1" applyProtection="1">
      <protection hidden="1"/>
    </xf>
    <xf numFmtId="0" fontId="58" fillId="0" borderId="34" xfId="0" applyFont="1" applyBorder="1" applyAlignment="1" applyProtection="1">
      <alignment horizontal="center"/>
      <protection hidden="1"/>
    </xf>
    <xf numFmtId="0" fontId="54" fillId="0" borderId="35" xfId="0" applyFont="1" applyBorder="1" applyProtection="1">
      <protection hidden="1"/>
    </xf>
    <xf numFmtId="0" fontId="54" fillId="0" borderId="34" xfId="0" applyFont="1" applyBorder="1" applyAlignment="1" applyProtection="1">
      <alignment horizontal="center"/>
      <protection hidden="1"/>
    </xf>
    <xf numFmtId="0" fontId="55" fillId="0" borderId="0" xfId="5" applyFont="1" applyProtection="1">
      <protection hidden="1"/>
    </xf>
    <xf numFmtId="0" fontId="7" fillId="0" borderId="36" xfId="0" applyFont="1" applyBorder="1" applyAlignment="1" applyProtection="1">
      <alignment horizontal="right"/>
      <protection hidden="1"/>
    </xf>
    <xf numFmtId="0" fontId="7" fillId="0" borderId="37" xfId="0" applyFont="1" applyBorder="1" applyAlignment="1" applyProtection="1">
      <alignment horizontal="center"/>
      <protection hidden="1"/>
    </xf>
    <xf numFmtId="0" fontId="54" fillId="0" borderId="37" xfId="0" applyFont="1" applyBorder="1" applyAlignment="1" applyProtection="1">
      <alignment horizontal="center"/>
      <protection hidden="1"/>
    </xf>
    <xf numFmtId="0" fontId="58" fillId="0" borderId="37" xfId="0" applyFont="1" applyBorder="1" applyAlignment="1" applyProtection="1">
      <alignment horizontal="right"/>
      <protection hidden="1"/>
    </xf>
    <xf numFmtId="0" fontId="58" fillId="0" borderId="38" xfId="0" applyFont="1" applyBorder="1" applyProtection="1">
      <protection hidden="1"/>
    </xf>
    <xf numFmtId="0" fontId="54" fillId="0" borderId="3" xfId="5" applyFont="1" applyBorder="1" applyProtection="1">
      <protection hidden="1"/>
    </xf>
    <xf numFmtId="0" fontId="7" fillId="0" borderId="1" xfId="5" applyFont="1" applyBorder="1" applyProtection="1">
      <protection hidden="1"/>
    </xf>
    <xf numFmtId="0" fontId="7" fillId="0" borderId="9" xfId="5" applyFont="1" applyBorder="1" applyAlignment="1" applyProtection="1">
      <alignment horizontal="right"/>
      <protection hidden="1"/>
    </xf>
    <xf numFmtId="0" fontId="7" fillId="0" borderId="28" xfId="5" applyFont="1" applyBorder="1" applyAlignment="1" applyProtection="1">
      <alignment horizontal="right"/>
      <protection hidden="1"/>
    </xf>
    <xf numFmtId="0" fontId="54" fillId="0" borderId="2" xfId="5" applyFont="1" applyBorder="1" applyProtection="1">
      <protection hidden="1"/>
    </xf>
    <xf numFmtId="0" fontId="55" fillId="0" borderId="14" xfId="5" applyFont="1" applyBorder="1" applyProtection="1">
      <protection hidden="1"/>
    </xf>
    <xf numFmtId="0" fontId="54" fillId="0" borderId="29" xfId="5" applyFont="1" applyBorder="1" applyProtection="1">
      <protection hidden="1"/>
    </xf>
    <xf numFmtId="0" fontId="54" fillId="0" borderId="0" xfId="0" applyFont="1" applyAlignment="1" applyProtection="1">
      <alignment horizontal="center"/>
      <protection hidden="1"/>
    </xf>
    <xf numFmtId="2" fontId="7" fillId="0" borderId="0" xfId="5" applyNumberFormat="1" applyFont="1" applyProtection="1">
      <protection hidden="1"/>
    </xf>
    <xf numFmtId="0" fontId="7" fillId="0" borderId="28" xfId="0" applyFont="1" applyBorder="1" applyProtection="1">
      <protection hidden="1"/>
    </xf>
    <xf numFmtId="0" fontId="7" fillId="0" borderId="2" xfId="0" applyFont="1" applyBorder="1" applyAlignment="1" applyProtection="1">
      <alignment horizontal="center"/>
      <protection hidden="1"/>
    </xf>
    <xf numFmtId="0" fontId="7" fillId="0" borderId="29" xfId="0" applyFont="1" applyBorder="1" applyAlignment="1" applyProtection="1">
      <alignment horizontal="center"/>
      <protection hidden="1"/>
    </xf>
    <xf numFmtId="0" fontId="59" fillId="0" borderId="0" xfId="5" applyFont="1" applyAlignment="1" applyProtection="1">
      <alignment horizontal="right"/>
      <protection hidden="1"/>
    </xf>
    <xf numFmtId="0" fontId="59" fillId="0" borderId="0" xfId="5" applyFont="1" applyProtection="1">
      <protection hidden="1"/>
    </xf>
    <xf numFmtId="0" fontId="59" fillId="0" borderId="9" xfId="5" applyFont="1" applyBorder="1" applyProtection="1">
      <protection hidden="1"/>
    </xf>
    <xf numFmtId="0" fontId="7" fillId="0" borderId="1" xfId="0" applyFont="1" applyBorder="1" applyAlignment="1" applyProtection="1">
      <alignment horizontal="center"/>
      <protection hidden="1"/>
    </xf>
    <xf numFmtId="0" fontId="7" fillId="0" borderId="25" xfId="0" applyFont="1" applyBorder="1" applyAlignment="1" applyProtection="1">
      <alignment horizontal="center"/>
      <protection hidden="1"/>
    </xf>
    <xf numFmtId="0" fontId="7" fillId="0" borderId="0" xfId="0" applyFont="1" applyAlignment="1" applyProtection="1">
      <alignment horizontal="right"/>
      <protection hidden="1"/>
    </xf>
    <xf numFmtId="0" fontId="55" fillId="0" borderId="0" xfId="0" applyFont="1" applyProtection="1">
      <protection hidden="1"/>
    </xf>
    <xf numFmtId="0" fontId="56" fillId="0" borderId="0" xfId="0" applyFont="1" applyProtection="1">
      <protection hidden="1"/>
    </xf>
    <xf numFmtId="0" fontId="7" fillId="0" borderId="39" xfId="0" applyFont="1" applyBorder="1" applyProtection="1">
      <protection hidden="1"/>
    </xf>
    <xf numFmtId="0" fontId="7" fillId="0" borderId="24" xfId="0" applyFont="1" applyBorder="1" applyProtection="1">
      <protection hidden="1"/>
    </xf>
    <xf numFmtId="0" fontId="7" fillId="0" borderId="25" xfId="0" applyFont="1" applyBorder="1" applyProtection="1">
      <protection hidden="1"/>
    </xf>
    <xf numFmtId="0" fontId="49" fillId="0" borderId="40" xfId="0" applyFont="1" applyBorder="1" applyAlignment="1" applyProtection="1">
      <alignment horizontal="center"/>
      <protection hidden="1"/>
    </xf>
    <xf numFmtId="0" fontId="7" fillId="0" borderId="41" xfId="0" applyFont="1" applyBorder="1" applyAlignment="1" applyProtection="1">
      <alignment horizontal="center"/>
      <protection hidden="1"/>
    </xf>
    <xf numFmtId="0" fontId="7" fillId="0" borderId="42" xfId="0" applyFont="1" applyBorder="1" applyAlignment="1" applyProtection="1">
      <alignment horizontal="center"/>
      <protection hidden="1"/>
    </xf>
    <xf numFmtId="0" fontId="55" fillId="0" borderId="43" xfId="0" applyFont="1" applyBorder="1" applyAlignment="1" applyProtection="1">
      <alignment horizontal="center"/>
      <protection hidden="1"/>
    </xf>
    <xf numFmtId="0" fontId="7" fillId="0" borderId="44" xfId="0" applyFont="1" applyBorder="1" applyAlignment="1" applyProtection="1">
      <alignment horizontal="center"/>
      <protection hidden="1"/>
    </xf>
    <xf numFmtId="0" fontId="54" fillId="0" borderId="44" xfId="0" applyFont="1" applyBorder="1" applyAlignment="1" applyProtection="1">
      <alignment horizontal="center"/>
      <protection hidden="1"/>
    </xf>
    <xf numFmtId="0" fontId="7" fillId="0" borderId="45" xfId="0" applyFont="1" applyBorder="1" applyAlignment="1" applyProtection="1">
      <alignment horizontal="center"/>
      <protection hidden="1"/>
    </xf>
    <xf numFmtId="0" fontId="49" fillId="0" borderId="46" xfId="0" applyFont="1" applyBorder="1" applyAlignment="1" applyProtection="1">
      <alignment horizontal="center"/>
      <protection hidden="1"/>
    </xf>
    <xf numFmtId="0" fontId="7" fillId="0" borderId="47" xfId="0" applyFont="1" applyBorder="1" applyAlignment="1" applyProtection="1">
      <alignment horizontal="center"/>
      <protection hidden="1"/>
    </xf>
    <xf numFmtId="0" fontId="7" fillId="0" borderId="48" xfId="0" applyFont="1" applyBorder="1" applyAlignment="1" applyProtection="1">
      <alignment horizontal="center"/>
      <protection hidden="1"/>
    </xf>
    <xf numFmtId="0" fontId="7" fillId="0" borderId="2" xfId="0" applyFont="1" applyBorder="1" applyProtection="1">
      <protection hidden="1"/>
    </xf>
    <xf numFmtId="0" fontId="7" fillId="0" borderId="29" xfId="0" applyFont="1" applyBorder="1" applyProtection="1">
      <protection hidden="1"/>
    </xf>
    <xf numFmtId="0" fontId="56" fillId="0" borderId="49" xfId="0" applyFont="1" applyBorder="1" applyAlignment="1" applyProtection="1">
      <alignment horizontal="center"/>
      <protection hidden="1"/>
    </xf>
    <xf numFmtId="0" fontId="7" fillId="0" borderId="50" xfId="0" applyFont="1" applyBorder="1" applyAlignment="1" applyProtection="1">
      <alignment horizontal="center"/>
      <protection hidden="1"/>
    </xf>
    <xf numFmtId="0" fontId="54" fillId="0" borderId="50" xfId="0" applyFont="1" applyBorder="1" applyAlignment="1" applyProtection="1">
      <alignment horizontal="center"/>
      <protection hidden="1"/>
    </xf>
    <xf numFmtId="0" fontId="7" fillId="0" borderId="51" xfId="0" applyFont="1" applyBorder="1" applyAlignment="1" applyProtection="1">
      <alignment horizontal="center"/>
      <protection hidden="1"/>
    </xf>
    <xf numFmtId="0" fontId="49" fillId="0" borderId="0" xfId="0" applyFont="1" applyAlignment="1" applyProtection="1">
      <alignment horizontal="centerContinuous"/>
      <protection hidden="1"/>
    </xf>
    <xf numFmtId="0" fontId="7" fillId="0" borderId="0" xfId="0" applyFont="1" applyAlignment="1" applyProtection="1">
      <alignment horizontal="centerContinuous"/>
      <protection hidden="1"/>
    </xf>
    <xf numFmtId="0" fontId="7" fillId="0" borderId="52" xfId="0" applyFont="1" applyBorder="1" applyAlignment="1" applyProtection="1">
      <alignment horizontal="center"/>
      <protection hidden="1"/>
    </xf>
    <xf numFmtId="0" fontId="7" fillId="0" borderId="53" xfId="0" applyFont="1" applyBorder="1" applyAlignment="1" applyProtection="1">
      <alignment horizontal="center"/>
      <protection hidden="1"/>
    </xf>
    <xf numFmtId="1" fontId="7" fillId="0" borderId="53" xfId="0" applyNumberFormat="1" applyFont="1" applyBorder="1" applyAlignment="1" applyProtection="1">
      <alignment horizontal="center"/>
      <protection hidden="1"/>
    </xf>
    <xf numFmtId="0" fontId="7" fillId="0" borderId="12" xfId="0" applyFont="1" applyBorder="1" applyAlignment="1" applyProtection="1">
      <alignment horizontal="center"/>
      <protection hidden="1"/>
    </xf>
    <xf numFmtId="0" fontId="7" fillId="0" borderId="54" xfId="0" applyFont="1" applyBorder="1" applyAlignment="1" applyProtection="1">
      <alignment horizontal="center"/>
      <protection hidden="1"/>
    </xf>
    <xf numFmtId="0" fontId="7" fillId="0" borderId="55" xfId="0" applyFont="1" applyBorder="1" applyAlignment="1" applyProtection="1">
      <alignment horizontal="center"/>
      <protection hidden="1"/>
    </xf>
    <xf numFmtId="0" fontId="7" fillId="0" borderId="56" xfId="0" applyFont="1" applyBorder="1" applyAlignment="1" applyProtection="1">
      <alignment horizontal="center"/>
      <protection hidden="1"/>
    </xf>
    <xf numFmtId="0" fontId="59" fillId="0" borderId="0" xfId="0" applyFont="1" applyProtection="1">
      <protection hidden="1"/>
    </xf>
    <xf numFmtId="0" fontId="49" fillId="0" borderId="52" xfId="0" applyFont="1" applyBorder="1" applyAlignment="1" applyProtection="1">
      <alignment horizontal="center"/>
      <protection hidden="1"/>
    </xf>
    <xf numFmtId="0" fontId="49" fillId="0" borderId="11" xfId="0" applyFont="1" applyBorder="1" applyAlignment="1" applyProtection="1">
      <alignment horizontal="centerContinuous"/>
      <protection hidden="1"/>
    </xf>
    <xf numFmtId="0" fontId="49" fillId="0" borderId="53" xfId="0" applyFont="1" applyBorder="1" applyAlignment="1" applyProtection="1">
      <alignment horizontal="centerContinuous"/>
      <protection hidden="1"/>
    </xf>
    <xf numFmtId="0" fontId="49" fillId="0" borderId="12" xfId="0" applyFont="1" applyBorder="1" applyAlignment="1" applyProtection="1">
      <alignment horizontal="centerContinuous"/>
      <protection hidden="1"/>
    </xf>
    <xf numFmtId="0" fontId="49" fillId="0" borderId="53" xfId="0" applyFont="1" applyBorder="1" applyAlignment="1" applyProtection="1">
      <alignment horizontal="center"/>
      <protection hidden="1"/>
    </xf>
    <xf numFmtId="0" fontId="49" fillId="0" borderId="12" xfId="0" quotePrefix="1" applyFont="1" applyBorder="1" applyAlignment="1" applyProtection="1">
      <alignment horizontal="center"/>
      <protection hidden="1"/>
    </xf>
    <xf numFmtId="0" fontId="7" fillId="0" borderId="57" xfId="0" applyFont="1" applyBorder="1" applyProtection="1">
      <protection hidden="1"/>
    </xf>
    <xf numFmtId="0" fontId="7" fillId="0" borderId="58" xfId="0" applyFont="1" applyBorder="1" applyProtection="1">
      <protection hidden="1"/>
    </xf>
    <xf numFmtId="0" fontId="7" fillId="0" borderId="59" xfId="0" applyFont="1" applyBorder="1" applyProtection="1">
      <protection hidden="1"/>
    </xf>
    <xf numFmtId="0" fontId="7" fillId="0" borderId="60" xfId="0" applyFont="1" applyBorder="1" applyProtection="1">
      <protection hidden="1"/>
    </xf>
    <xf numFmtId="0" fontId="7" fillId="0" borderId="61" xfId="0" applyFont="1" applyBorder="1" applyProtection="1">
      <protection hidden="1"/>
    </xf>
    <xf numFmtId="0" fontId="7" fillId="0" borderId="62" xfId="0" applyFont="1" applyBorder="1" applyProtection="1">
      <protection hidden="1"/>
    </xf>
    <xf numFmtId="0" fontId="7" fillId="0" borderId="63" xfId="0" applyFont="1" applyBorder="1" applyProtection="1">
      <protection hidden="1"/>
    </xf>
    <xf numFmtId="0" fontId="7" fillId="0" borderId="64" xfId="0" applyFont="1" applyBorder="1" applyProtection="1">
      <protection hidden="1"/>
    </xf>
    <xf numFmtId="0" fontId="7" fillId="0" borderId="38" xfId="0" applyFont="1" applyBorder="1" applyProtection="1">
      <protection hidden="1"/>
    </xf>
    <xf numFmtId="0" fontId="7" fillId="0" borderId="37" xfId="0" applyFont="1" applyBorder="1" applyProtection="1">
      <protection hidden="1"/>
    </xf>
    <xf numFmtId="0" fontId="7" fillId="0" borderId="2" xfId="0" applyFont="1" applyBorder="1" applyAlignment="1" applyProtection="1">
      <alignment horizontal="right"/>
      <protection hidden="1"/>
    </xf>
    <xf numFmtId="0" fontId="45" fillId="0" borderId="2" xfId="0" applyFont="1" applyBorder="1" applyAlignment="1" applyProtection="1">
      <alignment horizontal="center"/>
      <protection hidden="1"/>
    </xf>
    <xf numFmtId="0" fontId="45" fillId="0" borderId="29" xfId="0" applyFont="1" applyBorder="1" applyAlignment="1" applyProtection="1">
      <alignment horizontal="left"/>
      <protection hidden="1"/>
    </xf>
    <xf numFmtId="167" fontId="29" fillId="0" borderId="65" xfId="0" applyNumberFormat="1" applyFont="1" applyBorder="1" applyAlignment="1" applyProtection="1">
      <alignment vertical="center"/>
      <protection hidden="1"/>
    </xf>
    <xf numFmtId="0" fontId="29" fillId="0" borderId="65" xfId="0" applyFont="1" applyBorder="1" applyAlignment="1" applyProtection="1">
      <alignment vertical="center" shrinkToFit="1"/>
      <protection hidden="1"/>
    </xf>
    <xf numFmtId="0" fontId="27" fillId="0" borderId="0" xfId="0" applyFont="1" applyAlignment="1" applyProtection="1">
      <alignment horizontal="center"/>
      <protection hidden="1"/>
    </xf>
    <xf numFmtId="0" fontId="3" fillId="0" borderId="0" xfId="0" applyFont="1" applyAlignment="1" applyProtection="1">
      <alignment horizontal="left"/>
      <protection hidden="1"/>
    </xf>
    <xf numFmtId="0" fontId="36" fillId="0" borderId="0" xfId="0" applyFont="1" applyAlignment="1" applyProtection="1">
      <alignment horizontal="center" shrinkToFit="1"/>
      <protection hidden="1"/>
    </xf>
    <xf numFmtId="0" fontId="0" fillId="0" borderId="0" xfId="0" applyAlignment="1" applyProtection="1">
      <alignment horizontal="center"/>
      <protection hidden="1"/>
    </xf>
    <xf numFmtId="0" fontId="6" fillId="0" borderId="0" xfId="0" applyFont="1" applyAlignment="1" applyProtection="1">
      <alignment horizontal="center" vertical="center"/>
      <protection hidden="1"/>
    </xf>
    <xf numFmtId="1" fontId="36" fillId="0" borderId="0" xfId="0" applyNumberFormat="1" applyFont="1" applyAlignment="1" applyProtection="1">
      <alignment horizontal="center" shrinkToFit="1"/>
      <protection hidden="1"/>
    </xf>
    <xf numFmtId="0" fontId="27" fillId="0" borderId="0" xfId="0" applyFont="1" applyAlignment="1" applyProtection="1">
      <alignment horizontal="center" vertical="center"/>
      <protection hidden="1"/>
    </xf>
    <xf numFmtId="0" fontId="27" fillId="0" borderId="0" xfId="0" applyFont="1" applyAlignment="1" applyProtection="1">
      <alignment horizontal="left"/>
      <protection hidden="1"/>
    </xf>
    <xf numFmtId="0" fontId="20" fillId="0" borderId="26" xfId="0" applyFont="1" applyBorder="1" applyAlignment="1" applyProtection="1">
      <alignment horizontal="center"/>
      <protection hidden="1"/>
    </xf>
    <xf numFmtId="0" fontId="20" fillId="0" borderId="27" xfId="0" applyFont="1" applyBorder="1" applyAlignment="1" applyProtection="1">
      <alignment horizontal="center"/>
      <protection hidden="1"/>
    </xf>
    <xf numFmtId="0" fontId="3" fillId="0" borderId="66" xfId="0" applyFont="1" applyBorder="1" applyAlignment="1" applyProtection="1">
      <alignment horizontal="left"/>
      <protection hidden="1"/>
    </xf>
    <xf numFmtId="0" fontId="12" fillId="0" borderId="66" xfId="0" applyFont="1" applyBorder="1" applyAlignment="1" applyProtection="1">
      <alignment horizontal="left" vertical="center"/>
      <protection hidden="1"/>
    </xf>
    <xf numFmtId="0" fontId="6" fillId="0" borderId="0" xfId="0" applyFont="1" applyAlignment="1" applyProtection="1">
      <alignment horizontal="left"/>
      <protection hidden="1"/>
    </xf>
    <xf numFmtId="0" fontId="3" fillId="0" borderId="2" xfId="0" applyFont="1" applyBorder="1" applyAlignment="1" applyProtection="1">
      <alignment horizontal="left"/>
      <protection hidden="1"/>
    </xf>
    <xf numFmtId="0" fontId="3" fillId="0" borderId="3" xfId="0" applyFont="1" applyBorder="1" applyAlignment="1" applyProtection="1">
      <alignment horizontal="left"/>
      <protection hidden="1"/>
    </xf>
    <xf numFmtId="0" fontId="63" fillId="0" borderId="0" xfId="0" applyFont="1" applyAlignment="1" applyProtection="1">
      <alignment horizontal="center" vertical="center"/>
      <protection hidden="1"/>
    </xf>
    <xf numFmtId="0" fontId="24" fillId="0" borderId="0" xfId="0" applyFont="1" applyAlignment="1" applyProtection="1">
      <alignment horizontal="center" vertical="center"/>
      <protection hidden="1"/>
    </xf>
    <xf numFmtId="0" fontId="41" fillId="0" borderId="0" xfId="0" applyFont="1" applyAlignment="1" applyProtection="1">
      <alignment vertical="center"/>
      <protection hidden="1"/>
    </xf>
    <xf numFmtId="0" fontId="5" fillId="0" borderId="67" xfId="0" applyFont="1" applyBorder="1" applyAlignment="1" applyProtection="1">
      <alignment horizontal="right"/>
      <protection hidden="1"/>
    </xf>
    <xf numFmtId="0" fontId="35" fillId="0" borderId="0" xfId="0" applyFont="1" applyAlignment="1" applyProtection="1">
      <alignment vertical="center"/>
      <protection hidden="1"/>
    </xf>
    <xf numFmtId="0" fontId="34" fillId="0" borderId="67" xfId="0" applyFont="1" applyBorder="1" applyAlignment="1" applyProtection="1">
      <alignment horizontal="left" vertical="center"/>
      <protection hidden="1"/>
    </xf>
    <xf numFmtId="0" fontId="34" fillId="0" borderId="0" xfId="0" applyFont="1" applyAlignment="1" applyProtection="1">
      <alignment horizontal="left" vertical="center"/>
      <protection hidden="1"/>
    </xf>
    <xf numFmtId="0" fontId="35" fillId="0" borderId="0" xfId="0" applyFont="1" applyAlignment="1" applyProtection="1">
      <alignment horizontal="left" vertical="center"/>
      <protection hidden="1"/>
    </xf>
    <xf numFmtId="0" fontId="8" fillId="0" borderId="0" xfId="0" applyFont="1" applyAlignment="1" applyProtection="1">
      <alignment horizontal="left" vertical="center"/>
      <protection hidden="1"/>
    </xf>
    <xf numFmtId="0" fontId="35" fillId="0" borderId="67" xfId="0" applyFont="1" applyBorder="1" applyAlignment="1" applyProtection="1">
      <alignment vertical="center"/>
      <protection hidden="1"/>
    </xf>
    <xf numFmtId="0" fontId="34" fillId="0" borderId="68" xfId="0" applyFont="1" applyBorder="1" applyAlignment="1" applyProtection="1">
      <alignment horizontal="left" vertical="center"/>
      <protection hidden="1"/>
    </xf>
    <xf numFmtId="0" fontId="7" fillId="0" borderId="0" xfId="0" applyFont="1" applyAlignment="1" applyProtection="1">
      <alignment vertical="center"/>
      <protection hidden="1"/>
    </xf>
    <xf numFmtId="0" fontId="33" fillId="0" borderId="67" xfId="0" applyFont="1" applyBorder="1" applyAlignment="1" applyProtection="1">
      <alignment horizontal="center" vertical="center"/>
      <protection hidden="1"/>
    </xf>
    <xf numFmtId="0" fontId="29" fillId="2" borderId="1" xfId="0" applyFont="1" applyFill="1" applyBorder="1" applyAlignment="1" applyProtection="1">
      <alignment horizontal="center"/>
      <protection locked="0"/>
    </xf>
    <xf numFmtId="0" fontId="0" fillId="0" borderId="4" xfId="0" applyBorder="1" applyProtection="1">
      <protection hidden="1"/>
    </xf>
    <xf numFmtId="0" fontId="0" fillId="0" borderId="2" xfId="0" applyBorder="1" applyProtection="1">
      <protection hidden="1"/>
    </xf>
    <xf numFmtId="0" fontId="0" fillId="0" borderId="29" xfId="0" applyBorder="1" applyProtection="1">
      <protection hidden="1"/>
    </xf>
    <xf numFmtId="0" fontId="3" fillId="0" borderId="4" xfId="0" applyFont="1" applyBorder="1" applyProtection="1">
      <protection hidden="1"/>
    </xf>
    <xf numFmtId="167" fontId="3" fillId="0" borderId="4" xfId="0" applyNumberFormat="1" applyFont="1" applyBorder="1" applyProtection="1">
      <protection hidden="1"/>
    </xf>
    <xf numFmtId="0" fontId="29" fillId="0" borderId="0" xfId="0" applyFont="1" applyAlignment="1" applyProtection="1">
      <alignment horizontal="right"/>
      <protection hidden="1"/>
    </xf>
    <xf numFmtId="0" fontId="29" fillId="0" borderId="0" xfId="0" applyFont="1" applyAlignment="1" applyProtection="1">
      <alignment horizontal="left"/>
      <protection hidden="1"/>
    </xf>
    <xf numFmtId="0" fontId="0" fillId="0" borderId="67" xfId="0" applyBorder="1" applyAlignment="1" applyProtection="1">
      <alignment horizontal="center" vertical="center"/>
      <protection hidden="1"/>
    </xf>
    <xf numFmtId="0" fontId="7" fillId="0" borderId="67" xfId="0" applyFont="1" applyBorder="1" applyAlignment="1" applyProtection="1">
      <alignment vertical="center"/>
      <protection hidden="1"/>
    </xf>
    <xf numFmtId="0" fontId="0" fillId="0" borderId="67" xfId="0" applyBorder="1" applyAlignment="1" applyProtection="1">
      <alignment vertical="center"/>
      <protection hidden="1"/>
    </xf>
    <xf numFmtId="0" fontId="30" fillId="0" borderId="0" xfId="0" applyFont="1" applyAlignment="1" applyProtection="1">
      <alignment vertical="center"/>
      <protection hidden="1"/>
    </xf>
    <xf numFmtId="0" fontId="7" fillId="0" borderId="68" xfId="0" applyFont="1" applyBorder="1" applyAlignment="1" applyProtection="1">
      <alignment vertical="center"/>
      <protection hidden="1"/>
    </xf>
    <xf numFmtId="0" fontId="0" fillId="0" borderId="68" xfId="0" applyBorder="1" applyAlignment="1" applyProtection="1">
      <alignment vertical="center"/>
      <protection hidden="1"/>
    </xf>
    <xf numFmtId="0" fontId="0" fillId="0" borderId="0" xfId="0" applyAlignment="1" applyProtection="1">
      <alignment horizontal="center" vertical="center"/>
      <protection hidden="1"/>
    </xf>
    <xf numFmtId="0" fontId="7" fillId="0" borderId="0" xfId="0" applyFont="1" applyAlignment="1" applyProtection="1">
      <alignment horizontal="right" vertical="center"/>
      <protection hidden="1"/>
    </xf>
    <xf numFmtId="0" fontId="5" fillId="0" borderId="0" xfId="0" applyFont="1" applyAlignment="1" applyProtection="1">
      <alignment horizontal="right"/>
      <protection hidden="1"/>
    </xf>
    <xf numFmtId="0" fontId="0" fillId="0" borderId="0" xfId="0" applyAlignment="1" applyProtection="1">
      <alignment horizontal="right"/>
      <protection hidden="1"/>
    </xf>
    <xf numFmtId="0" fontId="69"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71" fillId="0" borderId="0" xfId="0" applyFont="1" applyAlignment="1" applyProtection="1">
      <alignment horizontal="center" vertical="center"/>
      <protection hidden="1"/>
    </xf>
    <xf numFmtId="0" fontId="31" fillId="0" borderId="1" xfId="0" applyFont="1" applyBorder="1" applyAlignment="1" applyProtection="1">
      <alignment horizontal="center" shrinkToFit="1"/>
      <protection hidden="1"/>
    </xf>
    <xf numFmtId="0" fontId="19" fillId="0" borderId="0" xfId="0" applyFont="1" applyAlignment="1" applyProtection="1">
      <alignment horizontal="right"/>
      <protection hidden="1"/>
    </xf>
    <xf numFmtId="0" fontId="41" fillId="0" borderId="0" xfId="0" applyFont="1" applyAlignment="1" applyProtection="1">
      <alignment horizontal="left"/>
      <protection hidden="1"/>
    </xf>
    <xf numFmtId="0" fontId="49" fillId="0" borderId="69" xfId="0" applyFont="1" applyBorder="1" applyAlignment="1" applyProtection="1">
      <alignment horizontal="right"/>
      <protection hidden="1"/>
    </xf>
    <xf numFmtId="0" fontId="49" fillId="0" borderId="18" xfId="0" applyFont="1" applyBorder="1" applyAlignment="1" applyProtection="1">
      <alignment horizontal="right"/>
      <protection hidden="1"/>
    </xf>
    <xf numFmtId="0" fontId="55" fillId="0" borderId="19" xfId="0" applyFont="1" applyBorder="1" applyAlignment="1" applyProtection="1">
      <alignment horizontal="center"/>
      <protection hidden="1"/>
    </xf>
    <xf numFmtId="1" fontId="55" fillId="0" borderId="19" xfId="0" applyNumberFormat="1" applyFont="1" applyBorder="1" applyAlignment="1" applyProtection="1">
      <alignment horizontal="center"/>
      <protection hidden="1"/>
    </xf>
    <xf numFmtId="0" fontId="55" fillId="0" borderId="19" xfId="1" applyNumberFormat="1" applyFont="1" applyFill="1" applyBorder="1" applyAlignment="1" applyProtection="1">
      <alignment horizontal="center"/>
      <protection hidden="1"/>
    </xf>
    <xf numFmtId="0" fontId="49" fillId="0" borderId="70" xfId="0" applyFont="1" applyBorder="1" applyAlignment="1" applyProtection="1">
      <alignment horizontal="right"/>
      <protection hidden="1"/>
    </xf>
    <xf numFmtId="0" fontId="13" fillId="0" borderId="0" xfId="0" applyFont="1" applyAlignment="1" applyProtection="1">
      <alignment horizontal="center" vertical="center" wrapText="1"/>
      <protection hidden="1"/>
    </xf>
    <xf numFmtId="0" fontId="13" fillId="0" borderId="0" xfId="0" applyFont="1" applyAlignment="1" applyProtection="1">
      <alignment horizontal="right" vertical="center" wrapText="1"/>
      <protection hidden="1"/>
    </xf>
    <xf numFmtId="0" fontId="25" fillId="0" borderId="0" xfId="0" applyFont="1" applyAlignment="1" applyProtection="1">
      <alignment vertical="center" wrapText="1"/>
      <protection hidden="1"/>
    </xf>
    <xf numFmtId="0" fontId="47" fillId="0" borderId="0" xfId="0" applyFont="1" applyAlignment="1" applyProtection="1">
      <alignment horizontal="left" vertical="center" wrapText="1"/>
      <protection hidden="1"/>
    </xf>
    <xf numFmtId="0" fontId="48" fillId="0" borderId="0" xfId="0" applyFont="1" applyAlignment="1" applyProtection="1">
      <alignment horizontal="right" vertical="center" wrapText="1"/>
      <protection hidden="1"/>
    </xf>
    <xf numFmtId="0" fontId="48" fillId="0" borderId="0" xfId="0" applyFont="1" applyAlignment="1" applyProtection="1">
      <alignment vertical="center" wrapText="1"/>
      <protection hidden="1"/>
    </xf>
    <xf numFmtId="0" fontId="0" fillId="0" borderId="28" xfId="0" applyBorder="1" applyProtection="1">
      <protection hidden="1"/>
    </xf>
    <xf numFmtId="0" fontId="70" fillId="0" borderId="0" xfId="0" applyFont="1" applyAlignment="1" applyProtection="1">
      <alignment horizontal="center" vertical="center"/>
      <protection hidden="1"/>
    </xf>
    <xf numFmtId="0" fontId="21" fillId="0" borderId="0" xfId="0" applyFont="1" applyAlignment="1" applyProtection="1">
      <alignment horizontal="center" vertical="center"/>
      <protection hidden="1"/>
    </xf>
    <xf numFmtId="0" fontId="21" fillId="0" borderId="68" xfId="0" applyFont="1" applyBorder="1" applyAlignment="1" applyProtection="1">
      <alignment horizontal="center" vertical="center"/>
      <protection hidden="1"/>
    </xf>
    <xf numFmtId="0" fontId="6" fillId="0" borderId="0" xfId="0" applyFont="1" applyAlignment="1" applyProtection="1">
      <alignment horizontal="right"/>
      <protection hidden="1"/>
    </xf>
    <xf numFmtId="0" fontId="6" fillId="0" borderId="68" xfId="0" applyFont="1" applyBorder="1" applyAlignment="1" applyProtection="1">
      <alignment horizontal="right"/>
      <protection hidden="1"/>
    </xf>
    <xf numFmtId="0" fontId="62" fillId="0" borderId="0" xfId="0" applyFont="1" applyAlignment="1" applyProtection="1">
      <alignment horizontal="left" wrapText="1"/>
      <protection hidden="1"/>
    </xf>
    <xf numFmtId="0" fontId="76" fillId="0" borderId="0" xfId="0" applyFont="1" applyProtection="1">
      <protection hidden="1"/>
    </xf>
    <xf numFmtId="0" fontId="62" fillId="0" borderId="0" xfId="0" applyFont="1" applyProtection="1">
      <protection hidden="1"/>
    </xf>
    <xf numFmtId="0" fontId="76" fillId="0" borderId="0" xfId="0" applyFont="1" applyAlignment="1" applyProtection="1">
      <alignment wrapText="1"/>
      <protection hidden="1"/>
    </xf>
    <xf numFmtId="0" fontId="62" fillId="0" borderId="0" xfId="0" applyFont="1" applyAlignment="1" applyProtection="1">
      <alignment wrapText="1"/>
      <protection hidden="1"/>
    </xf>
    <xf numFmtId="0" fontId="62" fillId="0" borderId="0" xfId="0" applyFont="1" applyAlignment="1" applyProtection="1">
      <alignment horizontal="left" vertical="top" wrapText="1"/>
      <protection hidden="1"/>
    </xf>
    <xf numFmtId="0" fontId="77" fillId="0" borderId="0" xfId="0" applyFont="1" applyAlignment="1" applyProtection="1">
      <alignment wrapText="1"/>
      <protection hidden="1"/>
    </xf>
    <xf numFmtId="0" fontId="77" fillId="0" borderId="0" xfId="0" applyFont="1" applyAlignment="1" applyProtection="1">
      <alignment horizontal="left" wrapText="1"/>
      <protection hidden="1"/>
    </xf>
    <xf numFmtId="0" fontId="77" fillId="0" borderId="0" xfId="0" applyFont="1" applyProtection="1">
      <protection hidden="1"/>
    </xf>
    <xf numFmtId="0" fontId="77" fillId="0" borderId="0" xfId="0" applyFont="1" applyAlignment="1" applyProtection="1">
      <alignment horizontal="right"/>
      <protection hidden="1"/>
    </xf>
    <xf numFmtId="0" fontId="76" fillId="0" borderId="0" xfId="0" applyFont="1"/>
    <xf numFmtId="0" fontId="29" fillId="0" borderId="0" xfId="0" applyFont="1" applyAlignment="1" applyProtection="1">
      <alignment horizontal="right" vertical="center"/>
      <protection hidden="1"/>
    </xf>
    <xf numFmtId="0" fontId="29" fillId="0" borderId="4" xfId="0" applyFont="1" applyBorder="1" applyAlignment="1" applyProtection="1">
      <alignment horizontal="left" vertical="center"/>
      <protection hidden="1"/>
    </xf>
    <xf numFmtId="0" fontId="29" fillId="0" borderId="2" xfId="0" applyFont="1" applyBorder="1" applyAlignment="1" applyProtection="1">
      <alignment horizontal="right" vertical="center"/>
      <protection hidden="1"/>
    </xf>
    <xf numFmtId="0" fontId="29" fillId="0" borderId="29" xfId="0" applyFont="1" applyBorder="1" applyAlignment="1" applyProtection="1">
      <alignment vertical="center"/>
      <protection hidden="1"/>
    </xf>
    <xf numFmtId="0" fontId="27" fillId="0" borderId="9" xfId="0" applyFont="1" applyBorder="1" applyAlignment="1" applyProtection="1">
      <alignment horizontal="right"/>
      <protection hidden="1"/>
    </xf>
    <xf numFmtId="0" fontId="40" fillId="0" borderId="0" xfId="0" applyFont="1" applyAlignment="1" applyProtection="1">
      <alignment horizontal="right" vertical="center"/>
      <protection hidden="1"/>
    </xf>
    <xf numFmtId="0" fontId="40" fillId="0" borderId="0" xfId="0" applyFont="1" applyAlignment="1" applyProtection="1">
      <alignment horizontal="left" vertical="center"/>
      <protection hidden="1"/>
    </xf>
    <xf numFmtId="0" fontId="78" fillId="0" borderId="2" xfId="0" applyFont="1" applyBorder="1" applyAlignment="1" applyProtection="1">
      <alignment horizontal="right" vertical="center" wrapText="1"/>
      <protection hidden="1"/>
    </xf>
    <xf numFmtId="0" fontId="78" fillId="0" borderId="0" xfId="0" applyFont="1" applyAlignment="1" applyProtection="1">
      <alignment horizontal="center" vertical="center" wrapText="1"/>
      <protection hidden="1"/>
    </xf>
    <xf numFmtId="0" fontId="79" fillId="0" borderId="0" xfId="0" applyFont="1" applyAlignment="1" applyProtection="1">
      <alignment horizontal="center" vertical="center" wrapText="1"/>
      <protection hidden="1"/>
    </xf>
    <xf numFmtId="0" fontId="81" fillId="0" borderId="0" xfId="0" applyFont="1" applyAlignment="1" applyProtection="1">
      <alignment horizontal="left" vertical="center" wrapText="1"/>
      <protection hidden="1"/>
    </xf>
    <xf numFmtId="0" fontId="80" fillId="0" borderId="0" xfId="0" applyFont="1" applyAlignment="1" applyProtection="1">
      <alignment vertical="center" wrapText="1"/>
      <protection hidden="1"/>
    </xf>
    <xf numFmtId="0" fontId="81" fillId="0" borderId="2" xfId="0" applyFont="1" applyBorder="1" applyAlignment="1" applyProtection="1">
      <alignment horizontal="left" vertical="center" wrapText="1"/>
      <protection hidden="1"/>
    </xf>
    <xf numFmtId="0" fontId="83" fillId="0" borderId="0" xfId="0" applyFont="1"/>
    <xf numFmtId="0" fontId="84" fillId="0" borderId="0" xfId="0" applyFont="1" applyProtection="1">
      <protection hidden="1"/>
    </xf>
    <xf numFmtId="0" fontId="85" fillId="0" borderId="0" xfId="0" applyFont="1"/>
    <xf numFmtId="0" fontId="85" fillId="0" borderId="0" xfId="0" applyFont="1" applyAlignment="1">
      <alignment horizontal="centerContinuous"/>
    </xf>
    <xf numFmtId="0" fontId="76" fillId="0" borderId="0" xfId="0" applyFont="1" applyAlignment="1" applyProtection="1">
      <alignment horizontal="centerContinuous"/>
      <protection hidden="1"/>
    </xf>
    <xf numFmtId="0" fontId="85" fillId="0" borderId="0" xfId="0" applyFont="1" applyAlignment="1">
      <alignment horizontal="right"/>
    </xf>
    <xf numFmtId="0" fontId="76" fillId="0" borderId="0" xfId="0" applyFont="1" applyAlignment="1" applyProtection="1">
      <alignment horizontal="left"/>
      <protection hidden="1"/>
    </xf>
    <xf numFmtId="0" fontId="12" fillId="0" borderId="0" xfId="0" applyFont="1" applyAlignment="1">
      <alignment horizontal="center" vertical="center"/>
    </xf>
    <xf numFmtId="0" fontId="20" fillId="0" borderId="71" xfId="0" applyFont="1" applyBorder="1"/>
    <xf numFmtId="0" fontId="20" fillId="0" borderId="72" xfId="0" applyFont="1" applyBorder="1"/>
    <xf numFmtId="0" fontId="20" fillId="0" borderId="73" xfId="0" applyFont="1" applyBorder="1"/>
    <xf numFmtId="0" fontId="12" fillId="0" borderId="72" xfId="0" applyFont="1" applyBorder="1" applyAlignment="1">
      <alignment horizontal="left" vertical="center"/>
    </xf>
    <xf numFmtId="0" fontId="86" fillId="0" borderId="71" xfId="0" applyFont="1" applyBorder="1"/>
    <xf numFmtId="0" fontId="86" fillId="0" borderId="72" xfId="0" applyFont="1" applyBorder="1"/>
    <xf numFmtId="0" fontId="86" fillId="0" borderId="73" xfId="0" applyFont="1" applyBorder="1"/>
    <xf numFmtId="0" fontId="12" fillId="0" borderId="74" xfId="0" applyFont="1" applyBorder="1" applyAlignment="1">
      <alignment vertical="center"/>
    </xf>
    <xf numFmtId="0" fontId="21" fillId="0" borderId="0" xfId="0" applyFont="1" applyAlignment="1" applyProtection="1">
      <alignment vertical="center"/>
      <protection hidden="1"/>
    </xf>
    <xf numFmtId="0" fontId="28" fillId="0" borderId="0" xfId="0" applyFont="1" applyAlignment="1" applyProtection="1">
      <alignment vertical="center"/>
      <protection hidden="1"/>
    </xf>
    <xf numFmtId="0" fontId="40" fillId="0" borderId="0" xfId="0" applyFont="1" applyAlignment="1" applyProtection="1">
      <alignment horizontal="center" vertical="center"/>
      <protection hidden="1"/>
    </xf>
    <xf numFmtId="0" fontId="29" fillId="0" borderId="0" xfId="0" applyFont="1" applyAlignment="1" applyProtection="1">
      <alignment vertical="center"/>
      <protection hidden="1"/>
    </xf>
    <xf numFmtId="0" fontId="15" fillId="0" borderId="0" xfId="0" applyFont="1" applyAlignment="1" applyProtection="1">
      <alignment vertical="center"/>
      <protection hidden="1"/>
    </xf>
    <xf numFmtId="0" fontId="3" fillId="0" borderId="75" xfId="0" applyFont="1" applyBorder="1" applyAlignment="1" applyProtection="1">
      <alignment vertical="center"/>
      <protection hidden="1"/>
    </xf>
    <xf numFmtId="0" fontId="32" fillId="0" borderId="0" xfId="0" applyFont="1" applyAlignment="1" applyProtection="1">
      <alignment horizontal="right" vertical="center" wrapText="1"/>
      <protection hidden="1"/>
    </xf>
    <xf numFmtId="0" fontId="44" fillId="0" borderId="0" xfId="0" applyFont="1" applyAlignment="1" applyProtection="1">
      <alignment horizontal="center" vertical="center" wrapText="1"/>
      <protection hidden="1"/>
    </xf>
    <xf numFmtId="0" fontId="3" fillId="0" borderId="67" xfId="0" applyFont="1" applyBorder="1" applyAlignment="1" applyProtection="1">
      <alignment vertical="center"/>
      <protection hidden="1"/>
    </xf>
    <xf numFmtId="0" fontId="88" fillId="0" borderId="0" xfId="0" applyFont="1" applyAlignment="1" applyProtection="1">
      <alignment horizontal="right" vertical="center" wrapText="1"/>
      <protection hidden="1"/>
    </xf>
    <xf numFmtId="0" fontId="91" fillId="0" borderId="0" xfId="0" applyFont="1" applyAlignment="1" applyProtection="1">
      <alignment horizontal="right" vertical="center" wrapText="1"/>
      <protection hidden="1"/>
    </xf>
    <xf numFmtId="0" fontId="28" fillId="0" borderId="0" xfId="0" applyFont="1" applyAlignment="1" applyProtection="1">
      <alignment horizontal="left"/>
      <protection hidden="1"/>
    </xf>
    <xf numFmtId="0" fontId="28" fillId="0" borderId="0" xfId="0" applyFont="1" applyProtection="1">
      <protection hidden="1"/>
    </xf>
    <xf numFmtId="0" fontId="93" fillId="0" borderId="0" xfId="0" applyFont="1" applyProtection="1">
      <protection hidden="1"/>
    </xf>
    <xf numFmtId="0" fontId="2" fillId="0" borderId="0" xfId="0" applyFont="1" applyProtection="1">
      <protection hidden="1"/>
    </xf>
    <xf numFmtId="0" fontId="5" fillId="0" borderId="0" xfId="0" applyFont="1" applyProtection="1">
      <protection hidden="1"/>
    </xf>
    <xf numFmtId="0" fontId="93" fillId="0" borderId="0" xfId="0" applyFont="1" applyAlignment="1" applyProtection="1">
      <alignment horizontal="left"/>
      <protection hidden="1"/>
    </xf>
    <xf numFmtId="0" fontId="28" fillId="0" borderId="67" xfId="0" applyFont="1" applyBorder="1" applyAlignment="1" applyProtection="1">
      <alignment horizontal="left"/>
      <protection hidden="1"/>
    </xf>
    <xf numFmtId="0" fontId="5" fillId="0" borderId="0" xfId="0" applyFont="1" applyAlignment="1" applyProtection="1">
      <alignment vertical="center"/>
      <protection hidden="1"/>
    </xf>
    <xf numFmtId="0" fontId="6" fillId="0" borderId="67" xfId="0" applyFont="1" applyBorder="1" applyAlignment="1" applyProtection="1">
      <alignment horizontal="left" vertical="center"/>
      <protection hidden="1"/>
    </xf>
    <xf numFmtId="0" fontId="11" fillId="0" borderId="0" xfId="0" applyFont="1" applyAlignment="1" applyProtection="1">
      <alignment vertical="top"/>
      <protection hidden="1"/>
    </xf>
    <xf numFmtId="0" fontId="6" fillId="0" borderId="0" xfId="0" applyFont="1" applyAlignment="1" applyProtection="1">
      <alignment horizontal="left" vertical="center"/>
      <protection hidden="1"/>
    </xf>
    <xf numFmtId="0" fontId="5" fillId="0" borderId="68" xfId="0" applyFont="1" applyBorder="1" applyProtection="1">
      <protection hidden="1"/>
    </xf>
    <xf numFmtId="0" fontId="2" fillId="0" borderId="68" xfId="0" applyFont="1" applyBorder="1" applyProtection="1">
      <protection hidden="1"/>
    </xf>
    <xf numFmtId="0" fontId="27" fillId="0" borderId="67" xfId="0" applyFont="1" applyBorder="1" applyAlignment="1" applyProtection="1">
      <alignment horizontal="right"/>
      <protection hidden="1"/>
    </xf>
    <xf numFmtId="0" fontId="75" fillId="0" borderId="0" xfId="0" applyFont="1" applyAlignment="1" applyProtection="1">
      <alignment horizontal="right"/>
      <protection hidden="1"/>
    </xf>
    <xf numFmtId="0" fontId="96" fillId="0" borderId="0" xfId="0" applyFont="1" applyAlignment="1" applyProtection="1">
      <alignment horizontal="right" vertical="center" wrapText="1"/>
      <protection hidden="1"/>
    </xf>
    <xf numFmtId="0" fontId="89" fillId="0" borderId="0" xfId="0" quotePrefix="1" applyFont="1" applyAlignment="1" applyProtection="1">
      <alignment horizontal="left" vertical="center" wrapText="1"/>
      <protection hidden="1"/>
    </xf>
    <xf numFmtId="0" fontId="89" fillId="0" borderId="2" xfId="0" quotePrefix="1" applyFont="1" applyBorder="1" applyAlignment="1" applyProtection="1">
      <alignment horizontal="left" vertical="center" wrapText="1"/>
      <protection hidden="1"/>
    </xf>
    <xf numFmtId="0" fontId="48" fillId="0" borderId="0" xfId="0" quotePrefix="1" applyFont="1" applyAlignment="1" applyProtection="1">
      <alignment vertical="center" wrapText="1"/>
      <protection hidden="1"/>
    </xf>
    <xf numFmtId="0" fontId="12" fillId="0" borderId="0" xfId="0" applyFont="1" applyAlignment="1" applyProtection="1">
      <alignment horizontal="center"/>
      <protection hidden="1"/>
    </xf>
    <xf numFmtId="0" fontId="97" fillId="0" borderId="68" xfId="0" applyFont="1" applyBorder="1" applyAlignment="1" applyProtection="1">
      <alignment horizontal="center" vertical="center"/>
      <protection hidden="1"/>
    </xf>
    <xf numFmtId="0" fontId="35" fillId="0" borderId="68" xfId="0" applyFont="1" applyBorder="1" applyAlignment="1" applyProtection="1">
      <alignment vertical="center"/>
      <protection hidden="1"/>
    </xf>
    <xf numFmtId="0" fontId="50" fillId="0" borderId="0" xfId="0" applyFont="1" applyAlignment="1" applyProtection="1">
      <alignment vertical="center"/>
      <protection hidden="1"/>
    </xf>
    <xf numFmtId="0" fontId="97" fillId="0" borderId="0" xfId="0" applyFont="1" applyAlignment="1" applyProtection="1">
      <alignment horizontal="center" vertical="center"/>
      <protection hidden="1"/>
    </xf>
    <xf numFmtId="0" fontId="98" fillId="0" borderId="0" xfId="0" applyFont="1" applyAlignment="1" applyProtection="1">
      <alignment horizontal="right"/>
      <protection hidden="1"/>
    </xf>
    <xf numFmtId="0" fontId="98" fillId="0" borderId="0" xfId="0" applyFont="1" applyProtection="1">
      <protection hidden="1"/>
    </xf>
    <xf numFmtId="0" fontId="35" fillId="0" borderId="0" xfId="0" applyFont="1" applyAlignment="1" applyProtection="1">
      <alignment horizontal="right" vertical="center"/>
      <protection hidden="1"/>
    </xf>
    <xf numFmtId="0" fontId="35" fillId="0" borderId="68" xfId="0" applyFont="1" applyBorder="1" applyAlignment="1" applyProtection="1">
      <alignment horizontal="right" vertical="center"/>
      <protection hidden="1"/>
    </xf>
    <xf numFmtId="0" fontId="39" fillId="0" borderId="0" xfId="0" applyFont="1" applyAlignment="1" applyProtection="1">
      <alignment vertical="center"/>
      <protection hidden="1"/>
    </xf>
    <xf numFmtId="0" fontId="101" fillId="0" borderId="0" xfId="0" applyFont="1" applyAlignment="1" applyProtection="1">
      <alignment horizontal="left" vertical="center"/>
      <protection hidden="1"/>
    </xf>
    <xf numFmtId="0" fontId="90" fillId="0" borderId="0" xfId="0" applyFont="1" applyAlignment="1" applyProtection="1">
      <alignment horizontal="right" vertical="center" wrapText="1"/>
      <protection hidden="1"/>
    </xf>
    <xf numFmtId="0" fontId="50" fillId="0" borderId="0" xfId="0" applyFont="1" applyAlignment="1" applyProtection="1">
      <alignment horizontal="right" vertical="center"/>
      <protection hidden="1"/>
    </xf>
    <xf numFmtId="0" fontId="35" fillId="0" borderId="67" xfId="0" applyFont="1" applyBorder="1" applyAlignment="1" applyProtection="1">
      <alignment horizontal="right" vertical="center"/>
      <protection hidden="1"/>
    </xf>
    <xf numFmtId="0" fontId="95" fillId="0" borderId="0" xfId="0" applyFont="1" applyAlignment="1" applyProtection="1">
      <alignment horizontal="right" vertical="center" wrapText="1"/>
      <protection hidden="1"/>
    </xf>
    <xf numFmtId="0" fontId="41" fillId="0" borderId="0" xfId="0" applyFont="1" applyAlignment="1" applyProtection="1">
      <alignment horizontal="right" vertical="center" wrapText="1"/>
      <protection hidden="1"/>
    </xf>
    <xf numFmtId="0" fontId="102" fillId="0" borderId="0" xfId="0" applyFont="1" applyAlignment="1" applyProtection="1">
      <alignment horizontal="left" vertical="center" wrapText="1"/>
      <protection hidden="1"/>
    </xf>
    <xf numFmtId="0" fontId="90" fillId="0" borderId="0" xfId="0" applyFont="1" applyAlignment="1" applyProtection="1">
      <alignment horizontal="left" vertical="center" wrapText="1"/>
      <protection hidden="1"/>
    </xf>
    <xf numFmtId="0" fontId="90" fillId="0" borderId="0" xfId="0" quotePrefix="1" applyFont="1" applyAlignment="1" applyProtection="1">
      <alignment horizontal="left" vertical="center" wrapText="1"/>
      <protection hidden="1"/>
    </xf>
    <xf numFmtId="0" fontId="41" fillId="0" borderId="2" xfId="0" applyFont="1" applyBorder="1" applyAlignment="1" applyProtection="1">
      <alignment horizontal="left" vertical="center" wrapText="1"/>
      <protection hidden="1"/>
    </xf>
    <xf numFmtId="0" fontId="91" fillId="0" borderId="2" xfId="0" applyFont="1" applyBorder="1" applyAlignment="1" applyProtection="1">
      <alignment horizontal="left" vertical="center" wrapText="1"/>
      <protection hidden="1"/>
    </xf>
    <xf numFmtId="0" fontId="88" fillId="0" borderId="0" xfId="0" applyFont="1" applyAlignment="1" applyProtection="1">
      <alignment horizontal="left" vertical="center" wrapText="1"/>
      <protection hidden="1"/>
    </xf>
    <xf numFmtId="0" fontId="88" fillId="0" borderId="2" xfId="0" applyFont="1" applyBorder="1" applyAlignment="1" applyProtection="1">
      <alignment horizontal="left" vertical="center" wrapText="1"/>
      <protection hidden="1"/>
    </xf>
    <xf numFmtId="0" fontId="90" fillId="0" borderId="2" xfId="0" applyFont="1" applyBorder="1" applyAlignment="1" applyProtection="1">
      <alignment horizontal="left" vertical="center" wrapText="1"/>
      <protection hidden="1"/>
    </xf>
    <xf numFmtId="0" fontId="102" fillId="0" borderId="0" xfId="0" applyFont="1" applyAlignment="1" applyProtection="1">
      <alignment horizontal="right" vertical="center" wrapText="1"/>
      <protection hidden="1"/>
    </xf>
    <xf numFmtId="0" fontId="102" fillId="0" borderId="2" xfId="0" applyFont="1" applyBorder="1" applyAlignment="1" applyProtection="1">
      <alignment horizontal="left" vertical="center" wrapText="1"/>
      <protection hidden="1"/>
    </xf>
    <xf numFmtId="0" fontId="96" fillId="0" borderId="0" xfId="0" quotePrefix="1" applyFont="1" applyAlignment="1" applyProtection="1">
      <alignment horizontal="right" vertical="center" wrapText="1"/>
      <protection hidden="1"/>
    </xf>
    <xf numFmtId="0" fontId="91" fillId="0" borderId="0" xfId="0" quotePrefix="1" applyFont="1" applyAlignment="1" applyProtection="1">
      <alignment horizontal="right" vertical="center" wrapText="1"/>
      <protection hidden="1"/>
    </xf>
    <xf numFmtId="0" fontId="69" fillId="0" borderId="0" xfId="0" applyFont="1" applyAlignment="1" applyProtection="1">
      <alignment horizontal="left" vertical="top" wrapText="1"/>
      <protection hidden="1"/>
    </xf>
    <xf numFmtId="0" fontId="15" fillId="0" borderId="76" xfId="0" applyFont="1" applyBorder="1" applyAlignment="1" applyProtection="1">
      <alignment horizontal="center" vertical="center"/>
      <protection hidden="1"/>
    </xf>
    <xf numFmtId="0" fontId="2" fillId="0" borderId="0" xfId="0" applyFont="1" applyAlignment="1" applyProtection="1">
      <alignment vertical="center"/>
      <protection hidden="1"/>
    </xf>
    <xf numFmtId="0" fontId="15" fillId="0" borderId="77" xfId="0" applyFont="1" applyBorder="1" applyAlignment="1" applyProtection="1">
      <alignment horizontal="center" vertical="center"/>
      <protection hidden="1"/>
    </xf>
    <xf numFmtId="0" fontId="2" fillId="0" borderId="3" xfId="0" applyFont="1" applyBorder="1" applyProtection="1">
      <protection hidden="1"/>
    </xf>
    <xf numFmtId="0" fontId="10" fillId="0" borderId="3" xfId="0" applyFont="1" applyBorder="1" applyAlignment="1" applyProtection="1">
      <alignment horizontal="center" vertical="top" wrapText="1"/>
      <protection hidden="1"/>
    </xf>
    <xf numFmtId="167" fontId="2" fillId="0" borderId="0" xfId="0" applyNumberFormat="1" applyFont="1" applyProtection="1">
      <protection hidden="1"/>
    </xf>
    <xf numFmtId="167" fontId="2" fillId="0" borderId="0" xfId="0" applyNumberFormat="1" applyFont="1" applyAlignment="1" applyProtection="1">
      <alignment vertical="center"/>
      <protection hidden="1"/>
    </xf>
    <xf numFmtId="0" fontId="6" fillId="0" borderId="0" xfId="0" applyFont="1" applyAlignment="1" applyProtection="1">
      <alignment horizontal="center" vertical="top" wrapText="1"/>
      <protection hidden="1"/>
    </xf>
    <xf numFmtId="0" fontId="28" fillId="0" borderId="0" xfId="0" applyFont="1" applyAlignment="1" applyProtection="1">
      <alignment horizontal="center" vertical="top" wrapText="1"/>
      <protection hidden="1"/>
    </xf>
    <xf numFmtId="0" fontId="10" fillId="0" borderId="0" xfId="0" applyFont="1" applyAlignment="1" applyProtection="1">
      <alignment horizontal="center" vertical="top" wrapText="1"/>
      <protection hidden="1"/>
    </xf>
    <xf numFmtId="0" fontId="2" fillId="0" borderId="0" xfId="0" applyFont="1" applyAlignment="1" applyProtection="1">
      <alignment horizontal="right" vertical="center"/>
      <protection hidden="1"/>
    </xf>
    <xf numFmtId="0" fontId="2" fillId="0" borderId="0" xfId="0" applyFont="1" applyAlignment="1" applyProtection="1">
      <alignment horizontal="left" vertical="center"/>
      <protection hidden="1"/>
    </xf>
    <xf numFmtId="167" fontId="2" fillId="0" borderId="0" xfId="0" applyNumberFormat="1" applyFont="1" applyAlignment="1" applyProtection="1">
      <alignment horizontal="right" vertical="center"/>
      <protection hidden="1"/>
    </xf>
    <xf numFmtId="0" fontId="27" fillId="0" borderId="9" xfId="0" applyFont="1" applyBorder="1" applyAlignment="1" applyProtection="1">
      <alignment horizontal="center"/>
      <protection hidden="1"/>
    </xf>
    <xf numFmtId="0" fontId="99" fillId="0" borderId="68" xfId="0" applyFont="1" applyBorder="1" applyAlignment="1" applyProtection="1">
      <alignment horizontal="center" vertical="center"/>
      <protection hidden="1"/>
    </xf>
    <xf numFmtId="0" fontId="3" fillId="0" borderId="3" xfId="0" applyFont="1" applyBorder="1" applyAlignment="1" applyProtection="1">
      <alignment horizontal="center"/>
      <protection hidden="1"/>
    </xf>
    <xf numFmtId="0" fontId="3" fillId="0" borderId="2" xfId="0" applyFont="1" applyBorder="1" applyAlignment="1" applyProtection="1">
      <alignment horizontal="center"/>
      <protection hidden="1"/>
    </xf>
    <xf numFmtId="0" fontId="44" fillId="0" borderId="28" xfId="0" applyFont="1" applyBorder="1" applyProtection="1">
      <protection hidden="1"/>
    </xf>
    <xf numFmtId="0" fontId="44" fillId="0" borderId="2" xfId="0" applyFont="1" applyBorder="1" applyProtection="1">
      <protection hidden="1"/>
    </xf>
    <xf numFmtId="0" fontId="20" fillId="0" borderId="30" xfId="0" applyFont="1" applyBorder="1" applyAlignment="1" applyProtection="1">
      <alignment horizontal="center"/>
      <protection hidden="1"/>
    </xf>
    <xf numFmtId="0" fontId="14" fillId="0" borderId="2" xfId="0" applyFont="1" applyBorder="1" applyAlignment="1" applyProtection="1">
      <alignment horizontal="right"/>
      <protection hidden="1"/>
    </xf>
    <xf numFmtId="0" fontId="24" fillId="0" borderId="2" xfId="0" applyFont="1" applyBorder="1" applyAlignment="1" applyProtection="1">
      <alignment horizontal="center" vertical="center"/>
      <protection hidden="1"/>
    </xf>
    <xf numFmtId="0" fontId="3" fillId="0" borderId="9" xfId="0" applyFont="1" applyBorder="1" applyAlignment="1" applyProtection="1">
      <alignment horizontal="right"/>
      <protection hidden="1"/>
    </xf>
    <xf numFmtId="0" fontId="26" fillId="0" borderId="9" xfId="0" applyFont="1" applyBorder="1" applyAlignment="1" applyProtection="1">
      <alignment horizontal="right"/>
      <protection hidden="1"/>
    </xf>
    <xf numFmtId="0" fontId="3" fillId="0" borderId="28" xfId="0" applyFont="1" applyBorder="1" applyAlignment="1" applyProtection="1">
      <alignment horizontal="right"/>
      <protection hidden="1"/>
    </xf>
    <xf numFmtId="0" fontId="3" fillId="0" borderId="29" xfId="0" applyFont="1" applyBorder="1" applyProtection="1">
      <protection hidden="1"/>
    </xf>
    <xf numFmtId="0" fontId="16" fillId="0" borderId="1" xfId="0" applyFont="1" applyBorder="1" applyAlignment="1" applyProtection="1">
      <alignment horizontal="center" vertical="center"/>
      <protection hidden="1"/>
    </xf>
    <xf numFmtId="0" fontId="62" fillId="0" borderId="0" xfId="0" applyFont="1" applyAlignment="1" applyProtection="1">
      <alignment horizontal="left"/>
      <protection hidden="1"/>
    </xf>
    <xf numFmtId="0" fontId="106" fillId="0" borderId="0" xfId="0" applyFont="1" applyAlignment="1" applyProtection="1">
      <alignment horizontal="right" vertical="center"/>
      <protection hidden="1"/>
    </xf>
    <xf numFmtId="0" fontId="94" fillId="0" borderId="0" xfId="0" applyFont="1" applyAlignment="1" applyProtection="1">
      <alignment vertical="center"/>
      <protection hidden="1"/>
    </xf>
    <xf numFmtId="0" fontId="99" fillId="0" borderId="0" xfId="0" applyFont="1" applyAlignment="1" applyProtection="1">
      <alignment horizontal="center" vertical="center"/>
      <protection hidden="1"/>
    </xf>
    <xf numFmtId="0" fontId="33" fillId="0" borderId="0" xfId="0" applyFont="1" applyAlignment="1" applyProtection="1">
      <alignment horizontal="center" vertical="center"/>
      <protection hidden="1"/>
    </xf>
    <xf numFmtId="0" fontId="87" fillId="0" borderId="0" xfId="0" applyFont="1" applyAlignment="1">
      <alignment horizontal="justify" vertical="center"/>
    </xf>
    <xf numFmtId="0" fontId="89" fillId="0" borderId="0" xfId="0" applyFont="1" applyAlignment="1">
      <alignment horizontal="right" vertical="center"/>
    </xf>
    <xf numFmtId="0" fontId="89" fillId="0" borderId="0" xfId="0" applyFont="1" applyAlignment="1">
      <alignment horizontal="left" vertical="center"/>
    </xf>
    <xf numFmtId="0" fontId="114" fillId="0" borderId="2" xfId="0" applyFont="1" applyBorder="1" applyAlignment="1" applyProtection="1">
      <alignment horizontal="center" vertical="center" wrapText="1"/>
      <protection hidden="1"/>
    </xf>
    <xf numFmtId="0" fontId="115" fillId="0" borderId="2" xfId="0" applyFont="1" applyBorder="1" applyAlignment="1" applyProtection="1">
      <alignment horizontal="right" vertical="center" wrapText="1"/>
      <protection hidden="1"/>
    </xf>
    <xf numFmtId="0" fontId="47" fillId="0" borderId="2" xfId="0" applyFont="1" applyBorder="1" applyAlignment="1" applyProtection="1">
      <alignment vertical="center" wrapText="1"/>
      <protection hidden="1"/>
    </xf>
    <xf numFmtId="0" fontId="47" fillId="0" borderId="0" xfId="0" applyFont="1" applyAlignment="1">
      <alignment horizontal="justify" vertical="center"/>
    </xf>
    <xf numFmtId="0" fontId="115" fillId="0" borderId="2" xfId="0" applyFont="1" applyBorder="1" applyAlignment="1" applyProtection="1">
      <alignment horizontal="center" vertical="center" wrapText="1"/>
      <protection hidden="1"/>
    </xf>
    <xf numFmtId="0" fontId="116" fillId="0" borderId="0" xfId="0" applyFont="1" applyAlignment="1" applyProtection="1">
      <alignment horizontal="center" vertical="center" wrapText="1"/>
      <protection hidden="1"/>
    </xf>
    <xf numFmtId="0" fontId="116" fillId="0" borderId="0" xfId="0" applyFont="1" applyAlignment="1" applyProtection="1">
      <alignment horizontal="right" vertical="center" wrapText="1"/>
      <protection hidden="1"/>
    </xf>
    <xf numFmtId="0" fontId="117" fillId="0" borderId="0" xfId="0" applyFont="1" applyAlignment="1" applyProtection="1">
      <alignment horizontal="left" vertical="center" wrapText="1"/>
      <protection hidden="1"/>
    </xf>
    <xf numFmtId="0" fontId="110" fillId="0" borderId="0" xfId="0" applyFont="1" applyAlignment="1" applyProtection="1">
      <alignment vertical="center" wrapText="1"/>
      <protection hidden="1"/>
    </xf>
    <xf numFmtId="0" fontId="117" fillId="0" borderId="3" xfId="0" applyFont="1" applyBorder="1" applyAlignment="1" applyProtection="1">
      <alignment horizontal="left" vertical="center" wrapText="1"/>
      <protection hidden="1"/>
    </xf>
    <xf numFmtId="0" fontId="89" fillId="0" borderId="2" xfId="0" applyFont="1" applyBorder="1" applyAlignment="1">
      <alignment horizontal="left" vertical="center"/>
    </xf>
    <xf numFmtId="0" fontId="89" fillId="0" borderId="2" xfId="0" quotePrefix="1" applyFont="1" applyBorder="1" applyAlignment="1">
      <alignment horizontal="left" vertical="center"/>
    </xf>
    <xf numFmtId="0" fontId="108" fillId="0" borderId="0" xfId="0" applyFont="1" applyAlignment="1" applyProtection="1">
      <alignment vertical="center"/>
      <protection hidden="1"/>
    </xf>
    <xf numFmtId="0" fontId="108" fillId="0" borderId="78" xfId="0" applyFont="1" applyBorder="1" applyAlignment="1" applyProtection="1">
      <alignment vertical="center"/>
      <protection hidden="1"/>
    </xf>
    <xf numFmtId="0" fontId="111" fillId="0" borderId="79" xfId="0" applyFont="1" applyBorder="1" applyAlignment="1" applyProtection="1">
      <alignment horizontal="center" vertical="center"/>
      <protection hidden="1"/>
    </xf>
    <xf numFmtId="0" fontId="119" fillId="0" borderId="0" xfId="2" applyFont="1" applyAlignment="1" applyProtection="1">
      <alignment horizontal="right"/>
      <protection hidden="1"/>
    </xf>
    <xf numFmtId="0" fontId="80" fillId="0" borderId="0" xfId="0" applyFont="1" applyAlignment="1" applyProtection="1">
      <alignment horizontal="center" vertical="center"/>
      <protection locked="0"/>
    </xf>
    <xf numFmtId="0" fontId="80" fillId="0" borderId="0" xfId="0" applyFont="1" applyAlignment="1" applyProtection="1">
      <alignment vertical="center"/>
      <protection hidden="1"/>
    </xf>
    <xf numFmtId="0" fontId="111" fillId="0" borderId="80" xfId="0" applyFont="1" applyBorder="1" applyAlignment="1" applyProtection="1">
      <alignment horizontal="centerContinuous" vertical="center"/>
      <protection hidden="1"/>
    </xf>
    <xf numFmtId="0" fontId="120" fillId="0" borderId="81" xfId="0" applyFont="1" applyBorder="1" applyAlignment="1" applyProtection="1">
      <alignment horizontal="center" vertical="center"/>
      <protection hidden="1"/>
    </xf>
    <xf numFmtId="0" fontId="120" fillId="0" borderId="82" xfId="0" applyFont="1" applyBorder="1" applyAlignment="1" applyProtection="1">
      <alignment horizontal="center" vertical="center"/>
      <protection hidden="1"/>
    </xf>
    <xf numFmtId="0" fontId="110" fillId="0" borderId="83" xfId="0" applyFont="1" applyBorder="1" applyAlignment="1" applyProtection="1">
      <alignment vertical="center"/>
      <protection hidden="1"/>
    </xf>
    <xf numFmtId="0" fontId="80" fillId="0" borderId="83" xfId="0" applyFont="1" applyBorder="1" applyAlignment="1" applyProtection="1">
      <alignment horizontal="right" vertical="center"/>
      <protection locked="0"/>
    </xf>
    <xf numFmtId="0" fontId="80" fillId="0" borderId="83" xfId="0" applyFont="1" applyBorder="1" applyAlignment="1" applyProtection="1">
      <alignment horizontal="center" vertical="center"/>
      <protection locked="0"/>
    </xf>
    <xf numFmtId="0" fontId="110" fillId="0" borderId="0" xfId="0" applyFont="1" applyAlignment="1" applyProtection="1">
      <alignment vertical="center"/>
      <protection hidden="1"/>
    </xf>
    <xf numFmtId="0" fontId="80" fillId="0" borderId="0" xfId="0" applyFont="1" applyAlignment="1" applyProtection="1">
      <alignment horizontal="right" vertical="center"/>
      <protection locked="0"/>
    </xf>
    <xf numFmtId="0" fontId="62" fillId="0" borderId="0" xfId="0" applyFont="1" applyAlignment="1" applyProtection="1">
      <alignment horizontal="center" vertical="center"/>
      <protection locked="0"/>
    </xf>
    <xf numFmtId="0" fontId="121" fillId="0" borderId="82" xfId="0" applyFont="1" applyBorder="1" applyAlignment="1" applyProtection="1">
      <alignment horizontal="center" vertical="center"/>
      <protection hidden="1"/>
    </xf>
    <xf numFmtId="0" fontId="3" fillId="0" borderId="0" xfId="0" applyFont="1" applyAlignment="1" applyProtection="1">
      <alignment horizontal="centerContinuous" vertical="center"/>
      <protection hidden="1"/>
    </xf>
    <xf numFmtId="0" fontId="11" fillId="0" borderId="0" xfId="0" applyFont="1" applyAlignment="1" applyProtection="1">
      <alignment horizontal="right"/>
      <protection hidden="1"/>
    </xf>
    <xf numFmtId="0" fontId="27" fillId="0" borderId="13" xfId="0" applyFont="1" applyBorder="1" applyAlignment="1" applyProtection="1">
      <alignment horizontal="right"/>
      <protection hidden="1"/>
    </xf>
    <xf numFmtId="0" fontId="3" fillId="0" borderId="14" xfId="0" applyFont="1" applyBorder="1" applyProtection="1">
      <protection hidden="1"/>
    </xf>
    <xf numFmtId="0" fontId="38" fillId="0" borderId="28" xfId="0" applyFont="1" applyBorder="1" applyAlignment="1" applyProtection="1">
      <alignment horizontal="right"/>
      <protection hidden="1"/>
    </xf>
    <xf numFmtId="0" fontId="27" fillId="0" borderId="2" xfId="0" applyFont="1" applyBorder="1" applyProtection="1">
      <protection hidden="1"/>
    </xf>
    <xf numFmtId="0" fontId="3" fillId="0" borderId="13" xfId="0" applyFont="1" applyBorder="1" applyAlignment="1" applyProtection="1">
      <alignment horizontal="right"/>
      <protection hidden="1"/>
    </xf>
    <xf numFmtId="0" fontId="3" fillId="0" borderId="3" xfId="0" applyFont="1" applyBorder="1" applyAlignment="1" applyProtection="1">
      <alignment horizontal="right"/>
      <protection hidden="1"/>
    </xf>
    <xf numFmtId="167" fontId="3" fillId="0" borderId="14" xfId="0" applyNumberFormat="1" applyFont="1" applyBorder="1" applyProtection="1">
      <protection hidden="1"/>
    </xf>
    <xf numFmtId="0" fontId="45" fillId="0" borderId="2" xfId="0" applyFont="1" applyBorder="1" applyAlignment="1" applyProtection="1">
      <alignment horizontal="left"/>
      <protection hidden="1"/>
    </xf>
    <xf numFmtId="0" fontId="3" fillId="0" borderId="9" xfId="0" applyFont="1" applyBorder="1" applyAlignment="1" applyProtection="1">
      <alignment horizontal="left"/>
      <protection hidden="1"/>
    </xf>
    <xf numFmtId="0" fontId="3" fillId="0" borderId="9" xfId="0" applyFont="1" applyBorder="1" applyAlignment="1" applyProtection="1">
      <alignment horizontal="center"/>
      <protection hidden="1"/>
    </xf>
    <xf numFmtId="0" fontId="3" fillId="0" borderId="13" xfId="0" applyFont="1" applyBorder="1" applyAlignment="1" applyProtection="1">
      <alignment horizontal="center"/>
      <protection hidden="1"/>
    </xf>
    <xf numFmtId="0" fontId="3" fillId="0" borderId="14" xfId="0" applyFont="1" applyBorder="1" applyAlignment="1" applyProtection="1">
      <alignment horizontal="center"/>
      <protection hidden="1"/>
    </xf>
    <xf numFmtId="0" fontId="3" fillId="0" borderId="4" xfId="0" applyFont="1" applyBorder="1" applyAlignment="1" applyProtection="1">
      <alignment horizontal="center"/>
      <protection hidden="1"/>
    </xf>
    <xf numFmtId="0" fontId="3" fillId="0" borderId="28" xfId="0" applyFont="1" applyBorder="1" applyAlignment="1" applyProtection="1">
      <alignment horizontal="center"/>
      <protection hidden="1"/>
    </xf>
    <xf numFmtId="0" fontId="3" fillId="0" borderId="29" xfId="0" applyFont="1" applyBorder="1" applyAlignment="1" applyProtection="1">
      <alignment horizontal="center"/>
      <protection hidden="1"/>
    </xf>
    <xf numFmtId="0" fontId="23" fillId="0" borderId="0" xfId="0" applyFont="1" applyAlignment="1" applyProtection="1">
      <alignment horizontal="center"/>
      <protection hidden="1"/>
    </xf>
    <xf numFmtId="0" fontId="23" fillId="0" borderId="4" xfId="0" applyFont="1" applyBorder="1" applyAlignment="1" applyProtection="1">
      <alignment horizontal="center"/>
      <protection hidden="1"/>
    </xf>
    <xf numFmtId="0" fontId="40" fillId="0" borderId="13" xfId="0" applyFont="1" applyBorder="1" applyAlignment="1" applyProtection="1">
      <alignment horizontal="right" vertical="center"/>
      <protection hidden="1"/>
    </xf>
    <xf numFmtId="0" fontId="40" fillId="0" borderId="3" xfId="0" applyFont="1" applyBorder="1" applyAlignment="1" applyProtection="1">
      <alignment horizontal="left" vertical="center"/>
      <protection hidden="1"/>
    </xf>
    <xf numFmtId="0" fontId="40" fillId="0" borderId="3" xfId="0" applyFont="1" applyBorder="1" applyAlignment="1" applyProtection="1">
      <alignment horizontal="right" vertical="center"/>
      <protection hidden="1"/>
    </xf>
    <xf numFmtId="0" fontId="40" fillId="0" borderId="9" xfId="0" applyFont="1" applyBorder="1" applyAlignment="1" applyProtection="1">
      <alignment horizontal="right" vertical="center"/>
      <protection hidden="1"/>
    </xf>
    <xf numFmtId="0" fontId="40" fillId="0" borderId="28" xfId="0" applyFont="1" applyBorder="1" applyAlignment="1" applyProtection="1">
      <alignment horizontal="right" vertical="center"/>
      <protection hidden="1"/>
    </xf>
    <xf numFmtId="0" fontId="40" fillId="0" borderId="2" xfId="0" applyFont="1" applyBorder="1" applyAlignment="1" applyProtection="1">
      <alignment horizontal="left" vertical="center"/>
      <protection hidden="1"/>
    </xf>
    <xf numFmtId="0" fontId="40" fillId="0" borderId="2" xfId="0" applyFont="1" applyBorder="1" applyAlignment="1" applyProtection="1">
      <alignment horizontal="right" vertical="center"/>
      <protection hidden="1"/>
    </xf>
    <xf numFmtId="1" fontId="3" fillId="0" borderId="84" xfId="0" applyNumberFormat="1" applyFont="1" applyBorder="1" applyAlignment="1" applyProtection="1">
      <alignment horizontal="center"/>
      <protection hidden="1"/>
    </xf>
    <xf numFmtId="0" fontId="3" fillId="0" borderId="85" xfId="0" applyFont="1" applyBorder="1" applyAlignment="1" applyProtection="1">
      <alignment horizontal="center"/>
      <protection hidden="1"/>
    </xf>
    <xf numFmtId="1" fontId="3" fillId="0" borderId="86" xfId="0" applyNumberFormat="1" applyFont="1" applyBorder="1" applyAlignment="1" applyProtection="1">
      <alignment horizontal="center"/>
      <protection hidden="1"/>
    </xf>
    <xf numFmtId="0" fontId="3" fillId="0" borderId="87" xfId="0" applyFont="1" applyBorder="1" applyAlignment="1" applyProtection="1">
      <alignment horizontal="center"/>
      <protection hidden="1"/>
    </xf>
    <xf numFmtId="0" fontId="3" fillId="0" borderId="86" xfId="0" applyFont="1" applyBorder="1" applyAlignment="1" applyProtection="1">
      <alignment horizontal="center"/>
      <protection hidden="1"/>
    </xf>
    <xf numFmtId="0" fontId="3" fillId="0" borderId="88" xfId="0" applyFont="1" applyBorder="1" applyAlignment="1" applyProtection="1">
      <alignment horizontal="center"/>
      <protection hidden="1"/>
    </xf>
    <xf numFmtId="167" fontId="26" fillId="0" borderId="24" xfId="0" applyNumberFormat="1" applyFont="1" applyBorder="1" applyAlignment="1" applyProtection="1">
      <alignment horizontal="center" vertical="center"/>
      <protection hidden="1"/>
    </xf>
    <xf numFmtId="166" fontId="38" fillId="0" borderId="26" xfId="0" applyNumberFormat="1" applyFont="1" applyBorder="1" applyAlignment="1" applyProtection="1">
      <alignment horizontal="center"/>
      <protection hidden="1"/>
    </xf>
    <xf numFmtId="168" fontId="38" fillId="0" borderId="27" xfId="0" applyNumberFormat="1" applyFont="1" applyBorder="1" applyAlignment="1" applyProtection="1">
      <alignment horizontal="center"/>
      <protection hidden="1"/>
    </xf>
    <xf numFmtId="167" fontId="29" fillId="0" borderId="27" xfId="0" applyNumberFormat="1" applyFont="1" applyBorder="1" applyAlignment="1" applyProtection="1">
      <alignment horizontal="center"/>
      <protection hidden="1"/>
    </xf>
    <xf numFmtId="0" fontId="38" fillId="0" borderId="27" xfId="0" applyFont="1" applyBorder="1" applyAlignment="1" applyProtection="1">
      <alignment horizontal="center" vertical="center"/>
      <protection hidden="1"/>
    </xf>
    <xf numFmtId="0" fontId="27" fillId="0" borderId="27" xfId="0" applyFont="1" applyBorder="1" applyAlignment="1" applyProtection="1">
      <alignment horizontal="center"/>
      <protection hidden="1"/>
    </xf>
    <xf numFmtId="167" fontId="26" fillId="0" borderId="27" xfId="0" applyNumberFormat="1" applyFont="1" applyBorder="1" applyAlignment="1" applyProtection="1">
      <alignment horizontal="center" vertical="center"/>
      <protection hidden="1"/>
    </xf>
    <xf numFmtId="167" fontId="26" fillId="0" borderId="30" xfId="0" applyNumberFormat="1" applyFont="1" applyBorder="1" applyAlignment="1" applyProtection="1">
      <alignment horizontal="center" vertical="center"/>
      <protection hidden="1"/>
    </xf>
    <xf numFmtId="0" fontId="27" fillId="0" borderId="26" xfId="0" applyFont="1" applyBorder="1" applyAlignment="1" applyProtection="1">
      <alignment horizontal="center"/>
      <protection hidden="1"/>
    </xf>
    <xf numFmtId="0" fontId="27" fillId="0" borderId="30" xfId="0" applyFont="1" applyBorder="1" applyAlignment="1" applyProtection="1">
      <alignment horizontal="center"/>
      <protection hidden="1"/>
    </xf>
    <xf numFmtId="167" fontId="36" fillId="0" borderId="0" xfId="0" applyNumberFormat="1" applyFont="1" applyAlignment="1" applyProtection="1">
      <alignment shrinkToFit="1"/>
      <protection hidden="1"/>
    </xf>
    <xf numFmtId="167" fontId="10" fillId="0" borderId="0" xfId="0" applyNumberFormat="1" applyFont="1" applyProtection="1">
      <protection hidden="1"/>
    </xf>
    <xf numFmtId="0" fontId="27" fillId="0" borderId="2" xfId="0" quotePrefix="1" applyFont="1" applyBorder="1" applyAlignment="1" applyProtection="1">
      <alignment horizontal="center"/>
      <protection hidden="1"/>
    </xf>
    <xf numFmtId="0" fontId="27" fillId="0" borderId="0" xfId="0" applyFont="1" applyAlignment="1" applyProtection="1">
      <alignment horizontal="left" vertical="center"/>
      <protection hidden="1"/>
    </xf>
    <xf numFmtId="0" fontId="74" fillId="0" borderId="0" xfId="0" applyFont="1" applyAlignment="1" applyProtection="1">
      <alignment horizontal="center" vertical="center"/>
      <protection hidden="1"/>
    </xf>
    <xf numFmtId="0" fontId="27" fillId="0" borderId="2" xfId="0" applyFont="1" applyBorder="1" applyAlignment="1" applyProtection="1">
      <alignment horizontal="center"/>
      <protection hidden="1"/>
    </xf>
    <xf numFmtId="0" fontId="27" fillId="0" borderId="29" xfId="0" quotePrefix="1" applyFont="1" applyBorder="1" applyAlignment="1" applyProtection="1">
      <alignment horizontal="center"/>
      <protection hidden="1"/>
    </xf>
    <xf numFmtId="0" fontId="29" fillId="0" borderId="3" xfId="0" applyFont="1" applyBorder="1" applyAlignment="1" applyProtection="1">
      <alignment horizontal="center" vertical="center"/>
      <protection hidden="1"/>
    </xf>
    <xf numFmtId="0" fontId="27" fillId="0" borderId="14" xfId="0" applyFont="1" applyBorder="1" applyAlignment="1" applyProtection="1">
      <alignment horizontal="center"/>
      <protection hidden="1"/>
    </xf>
    <xf numFmtId="0" fontId="27" fillId="0" borderId="4" xfId="0" applyFont="1" applyBorder="1" applyAlignment="1" applyProtection="1">
      <alignment horizontal="center"/>
      <protection hidden="1"/>
    </xf>
    <xf numFmtId="1" fontId="29" fillId="0" borderId="13" xfId="0" applyNumberFormat="1" applyFont="1" applyBorder="1" applyAlignment="1" applyProtection="1">
      <alignment horizontal="center"/>
      <protection hidden="1"/>
    </xf>
    <xf numFmtId="0" fontId="29" fillId="0" borderId="14" xfId="0" applyFont="1" applyBorder="1" applyAlignment="1" applyProtection="1">
      <alignment horizontal="center"/>
      <protection hidden="1"/>
    </xf>
    <xf numFmtId="0" fontId="38" fillId="0" borderId="9" xfId="0" applyFont="1" applyBorder="1" applyAlignment="1" applyProtection="1">
      <alignment horizontal="center"/>
      <protection hidden="1"/>
    </xf>
    <xf numFmtId="0" fontId="38" fillId="0" borderId="4" xfId="0" applyFont="1" applyBorder="1" applyAlignment="1" applyProtection="1">
      <alignment horizontal="center"/>
      <protection hidden="1"/>
    </xf>
    <xf numFmtId="0" fontId="3" fillId="0" borderId="89" xfId="0" applyFont="1" applyBorder="1" applyAlignment="1" applyProtection="1">
      <alignment horizontal="center"/>
      <protection hidden="1"/>
    </xf>
    <xf numFmtId="0" fontId="3" fillId="0" borderId="90" xfId="0" applyFont="1" applyBorder="1" applyProtection="1">
      <protection hidden="1"/>
    </xf>
    <xf numFmtId="0" fontId="3" fillId="0" borderId="91" xfId="0" applyFont="1" applyBorder="1" applyAlignment="1" applyProtection="1">
      <alignment horizontal="center"/>
      <protection hidden="1"/>
    </xf>
    <xf numFmtId="167" fontId="29" fillId="0" borderId="1" xfId="0" applyNumberFormat="1" applyFont="1" applyBorder="1" applyAlignment="1" applyProtection="1">
      <alignment horizontal="center"/>
      <protection hidden="1"/>
    </xf>
    <xf numFmtId="167" fontId="10" fillId="0" borderId="39" xfId="0" applyNumberFormat="1" applyFont="1" applyBorder="1" applyAlignment="1" applyProtection="1">
      <alignment horizontal="center"/>
      <protection hidden="1"/>
    </xf>
    <xf numFmtId="0" fontId="44" fillId="0" borderId="2" xfId="0" applyFont="1" applyBorder="1" applyAlignment="1" applyProtection="1">
      <alignment horizontal="center"/>
      <protection hidden="1"/>
    </xf>
    <xf numFmtId="167" fontId="36" fillId="0" borderId="0" xfId="0" applyNumberFormat="1" applyFont="1" applyAlignment="1" applyProtection="1">
      <alignment horizontal="center"/>
      <protection hidden="1"/>
    </xf>
    <xf numFmtId="0" fontId="26" fillId="0" borderId="0" xfId="0" applyFont="1" applyAlignment="1" applyProtection="1">
      <alignment vertical="center"/>
      <protection hidden="1"/>
    </xf>
    <xf numFmtId="0" fontId="32" fillId="0" borderId="0" xfId="0" applyFont="1" applyAlignment="1" applyProtection="1">
      <alignment vertical="center"/>
      <protection locked="0"/>
    </xf>
    <xf numFmtId="0" fontId="3" fillId="0" borderId="65" xfId="0" applyFont="1" applyBorder="1" applyAlignment="1" applyProtection="1">
      <alignment vertical="center"/>
      <protection hidden="1"/>
    </xf>
    <xf numFmtId="0" fontId="46" fillId="0" borderId="0" xfId="0" applyFont="1" applyAlignment="1" applyProtection="1">
      <alignment vertical="center"/>
      <protection hidden="1"/>
    </xf>
    <xf numFmtId="0" fontId="29" fillId="0" borderId="65" xfId="0" applyFont="1" applyBorder="1" applyAlignment="1" applyProtection="1">
      <alignment vertical="center"/>
      <protection hidden="1"/>
    </xf>
    <xf numFmtId="0" fontId="15" fillId="0" borderId="0" xfId="0" applyFont="1" applyAlignment="1" applyProtection="1">
      <alignment horizontal="left" vertical="center"/>
      <protection hidden="1"/>
    </xf>
    <xf numFmtId="0" fontId="6" fillId="0" borderId="0" xfId="0" applyFont="1" applyAlignment="1" applyProtection="1">
      <alignment horizontal="center" vertical="top"/>
      <protection hidden="1"/>
    </xf>
    <xf numFmtId="0" fontId="21" fillId="0" borderId="0" xfId="0" applyFont="1" applyAlignment="1" applyProtection="1">
      <alignment horizontal="center" vertical="top"/>
      <protection hidden="1"/>
    </xf>
    <xf numFmtId="167" fontId="100" fillId="0" borderId="0" xfId="0" applyNumberFormat="1" applyFont="1" applyAlignment="1" applyProtection="1">
      <alignment vertical="center"/>
      <protection hidden="1"/>
    </xf>
    <xf numFmtId="0" fontId="123" fillId="0" borderId="0" xfId="0" applyFont="1" applyAlignment="1" applyProtection="1">
      <alignment horizontal="right" vertical="center"/>
      <protection hidden="1"/>
    </xf>
    <xf numFmtId="0" fontId="74" fillId="0" borderId="0" xfId="0" applyFont="1" applyAlignment="1" applyProtection="1">
      <alignment vertical="center"/>
      <protection hidden="1"/>
    </xf>
    <xf numFmtId="0" fontId="113" fillId="0" borderId="0" xfId="0" applyFont="1" applyAlignment="1" applyProtection="1">
      <alignment horizontal="right" vertical="center"/>
      <protection hidden="1"/>
    </xf>
    <xf numFmtId="0" fontId="42" fillId="0" borderId="0" xfId="0" applyFont="1" applyAlignment="1" applyProtection="1">
      <alignment horizontal="centerContinuous" vertical="center"/>
      <protection hidden="1"/>
    </xf>
    <xf numFmtId="0" fontId="74" fillId="0" borderId="0" xfId="0" applyFont="1" applyAlignment="1" applyProtection="1">
      <alignment horizontal="left" vertical="center"/>
      <protection hidden="1"/>
    </xf>
    <xf numFmtId="0" fontId="41" fillId="0" borderId="92" xfId="0" applyFont="1" applyBorder="1" applyAlignment="1" applyProtection="1">
      <alignment horizontal="centerContinuous" vertical="center"/>
      <protection hidden="1"/>
    </xf>
    <xf numFmtId="0" fontId="109" fillId="0" borderId="92" xfId="0" applyFont="1" applyBorder="1" applyAlignment="1" applyProtection="1">
      <alignment horizontal="centerContinuous" vertical="center"/>
      <protection hidden="1"/>
    </xf>
    <xf numFmtId="0" fontId="41" fillId="0" borderId="93" xfId="0" applyFont="1" applyBorder="1" applyAlignment="1" applyProtection="1">
      <alignment horizontal="centerContinuous" vertical="center"/>
      <protection hidden="1"/>
    </xf>
    <xf numFmtId="0" fontId="6" fillId="0" borderId="0" xfId="0" applyFont="1" applyAlignment="1" applyProtection="1">
      <alignment horizontal="center" vertical="top" shrinkToFit="1"/>
      <protection hidden="1"/>
    </xf>
    <xf numFmtId="0" fontId="21" fillId="0" borderId="0" xfId="0" applyFont="1" applyAlignment="1" applyProtection="1">
      <alignment horizontal="center" vertical="top" shrinkToFit="1"/>
      <protection hidden="1"/>
    </xf>
    <xf numFmtId="0" fontId="124" fillId="0" borderId="0" xfId="0" applyFont="1" applyAlignment="1" applyProtection="1">
      <alignment horizontal="right"/>
      <protection hidden="1"/>
    </xf>
    <xf numFmtId="0" fontId="124" fillId="0" borderId="27" xfId="0" applyFont="1" applyBorder="1" applyAlignment="1" applyProtection="1">
      <alignment horizontal="center"/>
      <protection hidden="1"/>
    </xf>
    <xf numFmtId="0" fontId="74" fillId="0" borderId="13" xfId="0" applyFont="1" applyBorder="1" applyAlignment="1" applyProtection="1">
      <alignment horizontal="right"/>
      <protection hidden="1"/>
    </xf>
    <xf numFmtId="0" fontId="74" fillId="0" borderId="9" xfId="0" applyFont="1" applyBorder="1" applyAlignment="1" applyProtection="1">
      <alignment horizontal="right"/>
      <protection hidden="1"/>
    </xf>
    <xf numFmtId="0" fontId="74" fillId="0" borderId="28" xfId="0" applyFont="1" applyBorder="1" applyAlignment="1" applyProtection="1">
      <alignment horizontal="right"/>
      <protection hidden="1"/>
    </xf>
    <xf numFmtId="0" fontId="3" fillId="0" borderId="2" xfId="0" applyFont="1" applyBorder="1" applyAlignment="1" applyProtection="1">
      <alignment horizontal="right"/>
      <protection hidden="1"/>
    </xf>
    <xf numFmtId="167" fontId="3" fillId="0" borderId="29" xfId="0" applyNumberFormat="1" applyFont="1" applyBorder="1" applyProtection="1">
      <protection hidden="1"/>
    </xf>
    <xf numFmtId="0" fontId="38" fillId="0" borderId="13" xfId="0" applyFont="1" applyBorder="1" applyProtection="1">
      <protection hidden="1"/>
    </xf>
    <xf numFmtId="0" fontId="29" fillId="0" borderId="3" xfId="0" applyFont="1" applyBorder="1" applyAlignment="1" applyProtection="1">
      <alignment horizontal="center"/>
      <protection hidden="1"/>
    </xf>
    <xf numFmtId="0" fontId="38" fillId="0" borderId="2" xfId="0" applyFont="1" applyBorder="1" applyAlignment="1" applyProtection="1">
      <alignment horizontal="right"/>
      <protection hidden="1"/>
    </xf>
    <xf numFmtId="0" fontId="27" fillId="0" borderId="4" xfId="0" applyFont="1" applyBorder="1" applyAlignment="1" applyProtection="1">
      <alignment horizontal="centerContinuous"/>
      <protection hidden="1"/>
    </xf>
    <xf numFmtId="0" fontId="3" fillId="0" borderId="94" xfId="0" applyFont="1" applyBorder="1" applyAlignment="1" applyProtection="1">
      <alignment horizontal="center"/>
      <protection hidden="1"/>
    </xf>
    <xf numFmtId="0" fontId="104" fillId="0" borderId="1" xfId="0" applyFont="1" applyBorder="1" applyAlignment="1" applyProtection="1">
      <alignment horizontal="right" vertical="center"/>
      <protection hidden="1"/>
    </xf>
    <xf numFmtId="0" fontId="104" fillId="0" borderId="29" xfId="0" applyFont="1" applyBorder="1" applyAlignment="1" applyProtection="1">
      <alignment horizontal="left" vertical="center"/>
      <protection hidden="1"/>
    </xf>
    <xf numFmtId="0" fontId="27" fillId="0" borderId="14" xfId="0" applyFont="1" applyBorder="1" applyAlignment="1" applyProtection="1">
      <alignment horizontal="left"/>
      <protection hidden="1"/>
    </xf>
    <xf numFmtId="0" fontId="27" fillId="0" borderId="4" xfId="0" applyFont="1" applyBorder="1" applyAlignment="1" applyProtection="1">
      <alignment horizontal="left"/>
      <protection hidden="1"/>
    </xf>
    <xf numFmtId="0" fontId="27" fillId="0" borderId="29" xfId="0" applyFont="1" applyBorder="1" applyAlignment="1" applyProtection="1">
      <alignment horizontal="left"/>
      <protection hidden="1"/>
    </xf>
    <xf numFmtId="0" fontId="27" fillId="0" borderId="13" xfId="0" applyFont="1" applyBorder="1" applyAlignment="1" applyProtection="1">
      <alignment horizontal="center"/>
      <protection hidden="1"/>
    </xf>
    <xf numFmtId="0" fontId="27" fillId="0" borderId="3" xfId="0" applyFont="1" applyBorder="1" applyAlignment="1" applyProtection="1">
      <alignment horizontal="center"/>
      <protection hidden="1"/>
    </xf>
    <xf numFmtId="0" fontId="74" fillId="0" borderId="9" xfId="0" applyFont="1" applyBorder="1" applyAlignment="1" applyProtection="1">
      <alignment horizontal="center" vertical="center"/>
      <protection hidden="1"/>
    </xf>
    <xf numFmtId="0" fontId="74" fillId="0" borderId="0" xfId="0" applyFont="1" applyAlignment="1" applyProtection="1">
      <alignment horizontal="center"/>
      <protection hidden="1"/>
    </xf>
    <xf numFmtId="0" fontId="27" fillId="0" borderId="9" xfId="0" applyFont="1" applyBorder="1" applyAlignment="1" applyProtection="1">
      <alignment horizontal="center" vertical="center"/>
      <protection hidden="1"/>
    </xf>
    <xf numFmtId="0" fontId="3" fillId="0" borderId="0" xfId="0" applyFont="1" applyAlignment="1" applyProtection="1">
      <alignment horizontal="centerContinuous"/>
      <protection hidden="1"/>
    </xf>
    <xf numFmtId="0" fontId="0" fillId="0" borderId="0" xfId="0" applyAlignment="1" applyProtection="1">
      <alignment horizontal="centerContinuous"/>
      <protection hidden="1"/>
    </xf>
    <xf numFmtId="0" fontId="27" fillId="0" borderId="0" xfId="0" applyFont="1" applyAlignment="1" applyProtection="1">
      <alignment horizontal="centerContinuous"/>
      <protection hidden="1"/>
    </xf>
    <xf numFmtId="0" fontId="74" fillId="0" borderId="0" xfId="0" applyFont="1" applyProtection="1">
      <protection hidden="1"/>
    </xf>
    <xf numFmtId="0" fontId="27" fillId="0" borderId="28" xfId="0" applyFont="1" applyBorder="1" applyAlignment="1" applyProtection="1">
      <alignment horizontal="right"/>
      <protection hidden="1"/>
    </xf>
    <xf numFmtId="167" fontId="18" fillId="0" borderId="0" xfId="0" applyNumberFormat="1" applyFont="1" applyAlignment="1" applyProtection="1">
      <alignment horizontal="center"/>
      <protection hidden="1"/>
    </xf>
    <xf numFmtId="0" fontId="29" fillId="0" borderId="1" xfId="0" applyFont="1" applyBorder="1" applyProtection="1">
      <protection hidden="1"/>
    </xf>
    <xf numFmtId="0" fontId="74" fillId="0" borderId="1" xfId="0" applyFont="1" applyBorder="1" applyAlignment="1" applyProtection="1">
      <alignment horizontal="left"/>
      <protection hidden="1"/>
    </xf>
    <xf numFmtId="167" fontId="123" fillId="0" borderId="75" xfId="0" applyNumberFormat="1" applyFont="1" applyBorder="1" applyAlignment="1" applyProtection="1">
      <alignment horizontal="centerContinuous" vertical="center"/>
      <protection hidden="1"/>
    </xf>
    <xf numFmtId="0" fontId="123" fillId="0" borderId="0" xfId="0" applyFont="1" applyAlignment="1" applyProtection="1">
      <alignment vertical="center"/>
      <protection hidden="1"/>
    </xf>
    <xf numFmtId="0" fontId="99" fillId="0" borderId="75" xfId="0" applyFont="1" applyBorder="1" applyAlignment="1" applyProtection="1">
      <alignment vertical="center"/>
      <protection hidden="1"/>
    </xf>
    <xf numFmtId="0" fontId="61" fillId="0" borderId="95" xfId="0" applyFont="1" applyBorder="1" applyAlignment="1" applyProtection="1">
      <alignment vertical="center"/>
      <protection hidden="1"/>
    </xf>
    <xf numFmtId="0" fontId="125" fillId="0" borderId="75" xfId="0" applyFont="1" applyBorder="1" applyAlignment="1" applyProtection="1">
      <alignment horizontal="centerContinuous" vertical="center"/>
      <protection hidden="1"/>
    </xf>
    <xf numFmtId="0" fontId="3" fillId="0" borderId="0" xfId="0" applyFont="1" applyAlignment="1" applyProtection="1">
      <alignment horizontal="right" vertical="center"/>
      <protection hidden="1"/>
    </xf>
    <xf numFmtId="1" fontId="27" fillId="0" borderId="0" xfId="0" applyNumberFormat="1" applyFont="1" applyAlignment="1" applyProtection="1">
      <alignment horizontal="center" vertical="center"/>
      <protection hidden="1"/>
    </xf>
    <xf numFmtId="0" fontId="37" fillId="0" borderId="0" xfId="0" applyFont="1" applyAlignment="1" applyProtection="1">
      <alignment vertical="center"/>
      <protection hidden="1"/>
    </xf>
    <xf numFmtId="0" fontId="80" fillId="0" borderId="0" xfId="0" quotePrefix="1" applyFont="1" applyAlignment="1" applyProtection="1">
      <alignment horizontal="right" vertical="center"/>
      <protection hidden="1"/>
    </xf>
    <xf numFmtId="0" fontId="97" fillId="0" borderId="0" xfId="0" applyFont="1" applyAlignment="1" applyProtection="1">
      <alignment vertical="center"/>
      <protection hidden="1"/>
    </xf>
    <xf numFmtId="0" fontId="126" fillId="0" borderId="0" xfId="0" applyFont="1" applyAlignment="1" applyProtection="1">
      <alignment horizontal="right" vertical="center"/>
      <protection hidden="1"/>
    </xf>
    <xf numFmtId="0" fontId="27" fillId="0" borderId="0" xfId="0" applyFont="1" applyAlignment="1" applyProtection="1">
      <alignment horizontal="right" vertical="center" wrapText="1"/>
      <protection hidden="1"/>
    </xf>
    <xf numFmtId="0" fontId="27" fillId="0" borderId="2" xfId="0" applyFont="1" applyBorder="1" applyAlignment="1" applyProtection="1">
      <alignment horizontal="right" vertical="center" wrapText="1"/>
      <protection hidden="1"/>
    </xf>
    <xf numFmtId="0" fontId="38" fillId="0" borderId="1" xfId="0" applyFont="1" applyBorder="1" applyAlignment="1" applyProtection="1">
      <alignment horizontal="right"/>
      <protection hidden="1"/>
    </xf>
    <xf numFmtId="0" fontId="3" fillId="0" borderId="1" xfId="0" applyFont="1" applyBorder="1" applyAlignment="1" applyProtection="1">
      <alignment horizontal="right"/>
      <protection hidden="1"/>
    </xf>
    <xf numFmtId="0" fontId="12" fillId="0" borderId="1" xfId="0" applyFont="1" applyBorder="1" applyAlignment="1" applyProtection="1">
      <alignment horizontal="center" vertical="center"/>
      <protection hidden="1"/>
    </xf>
    <xf numFmtId="0" fontId="127" fillId="0" borderId="0" xfId="0" applyFont="1" applyAlignment="1" applyProtection="1">
      <alignment vertical="center"/>
      <protection hidden="1"/>
    </xf>
    <xf numFmtId="0" fontId="38" fillId="0" borderId="3" xfId="0" applyFont="1" applyBorder="1" applyProtection="1">
      <protection hidden="1"/>
    </xf>
    <xf numFmtId="0" fontId="38" fillId="0" borderId="39" xfId="0" applyFont="1" applyBorder="1" applyAlignment="1" applyProtection="1">
      <alignment horizontal="center" vertical="center"/>
      <protection hidden="1"/>
    </xf>
    <xf numFmtId="0" fontId="3" fillId="0" borderId="13" xfId="0" applyFont="1" applyBorder="1" applyAlignment="1" applyProtection="1">
      <alignment horizontal="left"/>
      <protection hidden="1"/>
    </xf>
    <xf numFmtId="0" fontId="27" fillId="0" borderId="26" xfId="0" applyFont="1" applyBorder="1" applyAlignment="1" applyProtection="1">
      <alignment horizontal="left" vertical="center"/>
      <protection hidden="1"/>
    </xf>
    <xf numFmtId="0" fontId="3" fillId="0" borderId="30" xfId="0" applyFont="1" applyBorder="1" applyProtection="1">
      <protection hidden="1"/>
    </xf>
    <xf numFmtId="0" fontId="38" fillId="0" borderId="28" xfId="0" applyFont="1" applyBorder="1" applyAlignment="1" applyProtection="1">
      <alignment horizontal="center" vertical="center"/>
      <protection hidden="1"/>
    </xf>
    <xf numFmtId="0" fontId="38" fillId="0" borderId="29" xfId="0" applyFont="1" applyBorder="1" applyAlignment="1" applyProtection="1">
      <alignment horizontal="center"/>
      <protection hidden="1"/>
    </xf>
    <xf numFmtId="0" fontId="29" fillId="0" borderId="28" xfId="0" applyFont="1" applyBorder="1" applyAlignment="1" applyProtection="1">
      <alignment horizontal="left"/>
      <protection hidden="1"/>
    </xf>
    <xf numFmtId="0" fontId="0" fillId="0" borderId="27" xfId="0" applyBorder="1" applyProtection="1">
      <protection hidden="1"/>
    </xf>
    <xf numFmtId="0" fontId="108" fillId="0" borderId="96" xfId="0" applyFont="1" applyBorder="1" applyAlignment="1" applyProtection="1">
      <alignment vertical="center"/>
      <protection hidden="1"/>
    </xf>
    <xf numFmtId="0" fontId="108" fillId="0" borderId="97" xfId="0" applyFont="1" applyBorder="1" applyAlignment="1" applyProtection="1">
      <alignment vertical="center"/>
      <protection hidden="1"/>
    </xf>
    <xf numFmtId="0" fontId="108" fillId="0" borderId="98" xfId="0" applyFont="1" applyBorder="1" applyAlignment="1" applyProtection="1">
      <alignment vertical="center"/>
      <protection hidden="1"/>
    </xf>
    <xf numFmtId="0" fontId="122" fillId="0" borderId="0" xfId="0" applyFont="1" applyAlignment="1" applyProtection="1">
      <alignment horizontal="right"/>
      <protection hidden="1"/>
    </xf>
    <xf numFmtId="0" fontId="27" fillId="0" borderId="1" xfId="0" applyFont="1" applyBorder="1" applyAlignment="1" applyProtection="1">
      <alignment horizontal="center"/>
      <protection hidden="1"/>
    </xf>
    <xf numFmtId="0" fontId="29" fillId="0" borderId="1" xfId="0" applyFont="1" applyBorder="1" applyAlignment="1" applyProtection="1">
      <alignment horizontal="right"/>
      <protection hidden="1"/>
    </xf>
    <xf numFmtId="0" fontId="38" fillId="0" borderId="1" xfId="0" applyFont="1" applyBorder="1" applyAlignment="1" applyProtection="1">
      <alignment horizontal="center"/>
      <protection hidden="1"/>
    </xf>
    <xf numFmtId="0" fontId="3" fillId="0" borderId="25" xfId="0" applyFont="1" applyBorder="1" applyAlignment="1" applyProtection="1">
      <alignment horizontal="centerContinuous"/>
      <protection hidden="1"/>
    </xf>
    <xf numFmtId="0" fontId="128" fillId="0" borderId="0" xfId="0" applyFont="1" applyAlignment="1" applyProtection="1">
      <alignment vertical="center"/>
      <protection hidden="1"/>
    </xf>
    <xf numFmtId="0" fontId="128" fillId="0" borderId="0" xfId="0" applyFont="1" applyAlignment="1" applyProtection="1">
      <alignment horizontal="centerContinuous" vertical="center"/>
      <protection hidden="1"/>
    </xf>
    <xf numFmtId="0" fontId="100" fillId="0" borderId="0" xfId="0" applyFont="1" applyAlignment="1" applyProtection="1">
      <alignment vertical="center"/>
      <protection hidden="1"/>
    </xf>
    <xf numFmtId="0" fontId="38" fillId="0" borderId="0" xfId="0" applyFont="1" applyAlignment="1" applyProtection="1">
      <alignment horizontal="left" vertical="center"/>
      <protection hidden="1"/>
    </xf>
    <xf numFmtId="0" fontId="102" fillId="0" borderId="0" xfId="0" applyFont="1" applyAlignment="1" applyProtection="1">
      <alignment vertical="center"/>
      <protection hidden="1"/>
    </xf>
    <xf numFmtId="0" fontId="32" fillId="0" borderId="92" xfId="0" applyFont="1" applyBorder="1" applyProtection="1">
      <protection hidden="1"/>
    </xf>
    <xf numFmtId="0" fontId="32" fillId="0" borderId="0" xfId="0" applyFont="1" applyAlignment="1" applyProtection="1">
      <alignment vertical="top"/>
      <protection hidden="1"/>
    </xf>
    <xf numFmtId="0" fontId="129" fillId="0" borderId="0" xfId="0" applyFont="1" applyAlignment="1" applyProtection="1">
      <alignment horizontal="centerContinuous" vertical="center"/>
      <protection hidden="1"/>
    </xf>
    <xf numFmtId="0" fontId="38" fillId="0" borderId="13" xfId="0" applyFont="1" applyBorder="1" applyAlignment="1" applyProtection="1">
      <alignment horizontal="right"/>
      <protection hidden="1"/>
    </xf>
    <xf numFmtId="0" fontId="29" fillId="0" borderId="9" xfId="0" applyFont="1" applyBorder="1" applyAlignment="1" applyProtection="1">
      <alignment horizontal="center" vertical="center"/>
      <protection hidden="1"/>
    </xf>
    <xf numFmtId="0" fontId="29" fillId="0" borderId="4" xfId="0" applyFont="1" applyBorder="1" applyAlignment="1" applyProtection="1">
      <alignment horizontal="center" vertical="center"/>
      <protection hidden="1"/>
    </xf>
    <xf numFmtId="0" fontId="27" fillId="0" borderId="0" xfId="0" applyFont="1" applyAlignment="1" applyProtection="1">
      <alignment horizontal="center" vertical="center" wrapText="1"/>
      <protection hidden="1"/>
    </xf>
    <xf numFmtId="0" fontId="29" fillId="0" borderId="39" xfId="0" applyFont="1" applyBorder="1" applyAlignment="1" applyProtection="1">
      <alignment horizontal="left"/>
      <protection hidden="1"/>
    </xf>
    <xf numFmtId="0" fontId="125" fillId="0" borderId="0" xfId="0" applyFont="1" applyAlignment="1" applyProtection="1">
      <alignment vertical="center"/>
      <protection hidden="1"/>
    </xf>
    <xf numFmtId="0" fontId="98" fillId="0" borderId="0" xfId="0" applyFont="1" applyAlignment="1" applyProtection="1">
      <alignment horizontal="right" vertical="center"/>
      <protection hidden="1"/>
    </xf>
    <xf numFmtId="167" fontId="123" fillId="0" borderId="75" xfId="0" applyNumberFormat="1" applyFont="1" applyBorder="1" applyAlignment="1" applyProtection="1">
      <alignment vertical="center"/>
      <protection hidden="1"/>
    </xf>
    <xf numFmtId="0" fontId="125" fillId="0" borderId="0" xfId="0" applyFont="1" applyAlignment="1" applyProtection="1">
      <alignment horizontal="center" vertical="center"/>
      <protection hidden="1"/>
    </xf>
    <xf numFmtId="0" fontId="3" fillId="0" borderId="75" xfId="0" applyFont="1" applyBorder="1" applyAlignment="1" applyProtection="1">
      <alignment horizontal="centerContinuous" vertical="center"/>
      <protection hidden="1"/>
    </xf>
    <xf numFmtId="167" fontId="29" fillId="0" borderId="0" xfId="0" applyNumberFormat="1" applyFont="1" applyAlignment="1" applyProtection="1">
      <alignment horizontal="centerContinuous"/>
      <protection hidden="1"/>
    </xf>
    <xf numFmtId="0" fontId="0" fillId="0" borderId="97" xfId="0" applyBorder="1" applyAlignment="1" applyProtection="1">
      <alignment vertical="center"/>
      <protection hidden="1"/>
    </xf>
    <xf numFmtId="167" fontId="125" fillId="0" borderId="0" xfId="0" applyNumberFormat="1" applyFont="1" applyAlignment="1" applyProtection="1">
      <alignment horizontal="centerContinuous"/>
      <protection hidden="1"/>
    </xf>
    <xf numFmtId="167" fontId="125" fillId="0" borderId="97" xfId="0" applyNumberFormat="1" applyFont="1" applyBorder="1" applyAlignment="1" applyProtection="1">
      <alignment horizontal="centerContinuous"/>
      <protection hidden="1"/>
    </xf>
    <xf numFmtId="0" fontId="3" fillId="0" borderId="97" xfId="0" applyFont="1" applyBorder="1" applyAlignment="1" applyProtection="1">
      <alignment vertical="center"/>
      <protection hidden="1"/>
    </xf>
    <xf numFmtId="0" fontId="128" fillId="0" borderId="0" xfId="0" applyFont="1" applyAlignment="1" applyProtection="1">
      <alignment horizontal="centerContinuous"/>
      <protection hidden="1"/>
    </xf>
    <xf numFmtId="0" fontId="18" fillId="0" borderId="0" xfId="0" applyFont="1" applyAlignment="1" applyProtection="1">
      <alignment horizontal="centerContinuous" vertical="center"/>
      <protection hidden="1"/>
    </xf>
    <xf numFmtId="0" fontId="18" fillId="0" borderId="0" xfId="0" applyFont="1" applyAlignment="1" applyProtection="1">
      <alignment vertical="center"/>
      <protection hidden="1"/>
    </xf>
    <xf numFmtId="0" fontId="128" fillId="0" borderId="0" xfId="0" applyFont="1" applyProtection="1">
      <protection hidden="1"/>
    </xf>
    <xf numFmtId="0" fontId="130" fillId="0" borderId="0" xfId="0" applyFont="1" applyAlignment="1" applyProtection="1">
      <alignment horizontal="center"/>
      <protection hidden="1"/>
    </xf>
    <xf numFmtId="0" fontId="130" fillId="0" borderId="0" xfId="0" applyFont="1" applyAlignment="1" applyProtection="1">
      <alignment horizontal="center" vertical="center"/>
      <protection hidden="1"/>
    </xf>
    <xf numFmtId="0" fontId="125" fillId="0" borderId="75" xfId="0" applyFont="1" applyBorder="1" applyAlignment="1" applyProtection="1">
      <alignment horizontal="center" vertical="center"/>
      <protection hidden="1"/>
    </xf>
    <xf numFmtId="0" fontId="132" fillId="0" borderId="0" xfId="0" applyFont="1" applyAlignment="1" applyProtection="1">
      <alignment horizontal="center" vertical="center"/>
      <protection hidden="1"/>
    </xf>
    <xf numFmtId="0" fontId="0" fillId="0" borderId="9" xfId="0" applyBorder="1" applyProtection="1">
      <protection hidden="1"/>
    </xf>
    <xf numFmtId="0" fontId="6" fillId="0" borderId="9" xfId="0" applyFont="1" applyBorder="1" applyAlignment="1" applyProtection="1">
      <alignment horizontal="center"/>
      <protection hidden="1"/>
    </xf>
    <xf numFmtId="0" fontId="12" fillId="0" borderId="9" xfId="0" applyFont="1" applyBorder="1" applyAlignment="1" applyProtection="1">
      <alignment vertical="center"/>
      <protection hidden="1"/>
    </xf>
    <xf numFmtId="0" fontId="6" fillId="0" borderId="28" xfId="0" applyFont="1" applyBorder="1" applyAlignment="1" applyProtection="1">
      <alignment horizontal="center"/>
      <protection hidden="1"/>
    </xf>
    <xf numFmtId="0" fontId="27" fillId="0" borderId="9" xfId="0" applyFont="1" applyBorder="1" applyProtection="1">
      <protection hidden="1"/>
    </xf>
    <xf numFmtId="0" fontId="29" fillId="0" borderId="9" xfId="0" applyFont="1" applyBorder="1" applyAlignment="1" applyProtection="1">
      <alignment horizontal="center"/>
      <protection hidden="1"/>
    </xf>
    <xf numFmtId="0" fontId="6" fillId="0" borderId="2" xfId="0" applyFont="1" applyBorder="1" applyAlignment="1" applyProtection="1">
      <alignment horizontal="right" vertical="center"/>
      <protection hidden="1"/>
    </xf>
    <xf numFmtId="0" fontId="26" fillId="0" borderId="0" xfId="0" applyFont="1" applyAlignment="1" applyProtection="1">
      <alignment horizontal="right"/>
      <protection hidden="1"/>
    </xf>
    <xf numFmtId="0" fontId="10" fillId="0" borderId="0" xfId="0" applyFont="1" applyAlignment="1" applyProtection="1">
      <alignment horizontal="right"/>
      <protection hidden="1"/>
    </xf>
    <xf numFmtId="167" fontId="36" fillId="0" borderId="0" xfId="0" applyNumberFormat="1" applyFont="1" applyAlignment="1" applyProtection="1">
      <alignment horizontal="right"/>
      <protection hidden="1"/>
    </xf>
    <xf numFmtId="0" fontId="31" fillId="0" borderId="0" xfId="0" applyFont="1" applyAlignment="1" applyProtection="1">
      <alignment horizontal="right" shrinkToFit="1"/>
      <protection hidden="1"/>
    </xf>
    <xf numFmtId="1" fontId="12" fillId="0" borderId="0" xfId="0" applyNumberFormat="1" applyFont="1" applyAlignment="1" applyProtection="1">
      <alignment vertical="center"/>
      <protection hidden="1"/>
    </xf>
    <xf numFmtId="0" fontId="28" fillId="0" borderId="0" xfId="0" applyFont="1" applyAlignment="1" applyProtection="1">
      <alignment horizontal="center" vertical="center"/>
      <protection hidden="1"/>
    </xf>
    <xf numFmtId="0" fontId="72" fillId="0" borderId="0" xfId="0" applyFont="1" applyAlignment="1" applyProtection="1">
      <alignment horizontal="center"/>
      <protection hidden="1"/>
    </xf>
    <xf numFmtId="0" fontId="44" fillId="0" borderId="28" xfId="0" applyFont="1" applyBorder="1" applyAlignment="1" applyProtection="1">
      <alignment horizontal="left"/>
      <protection hidden="1"/>
    </xf>
    <xf numFmtId="0" fontId="127" fillId="0" borderId="0" xfId="0" applyFont="1" applyAlignment="1" applyProtection="1">
      <alignment horizontal="right" vertical="center"/>
      <protection hidden="1"/>
    </xf>
    <xf numFmtId="0" fontId="13" fillId="0" borderId="9" xfId="0" applyFont="1" applyBorder="1" applyAlignment="1" applyProtection="1">
      <alignment horizontal="center" vertical="center"/>
      <protection hidden="1"/>
    </xf>
    <xf numFmtId="0" fontId="10" fillId="0" borderId="9" xfId="0" applyFont="1" applyBorder="1" applyAlignment="1" applyProtection="1">
      <alignment horizontal="center" vertical="center"/>
      <protection hidden="1"/>
    </xf>
    <xf numFmtId="0" fontId="35" fillId="0" borderId="0" xfId="0" applyFont="1" applyAlignment="1" applyProtection="1">
      <alignment horizontal="center"/>
      <protection hidden="1"/>
    </xf>
    <xf numFmtId="0" fontId="6" fillId="0" borderId="99" xfId="0" applyFont="1" applyBorder="1" applyAlignment="1" applyProtection="1">
      <alignment horizontal="center" vertical="center"/>
      <protection hidden="1"/>
    </xf>
    <xf numFmtId="0" fontId="38" fillId="0" borderId="0" xfId="0" applyFont="1" applyAlignment="1" applyProtection="1">
      <alignment horizontal="center" vertical="center"/>
      <protection hidden="1"/>
    </xf>
    <xf numFmtId="0" fontId="27" fillId="0" borderId="29" xfId="0" applyFont="1" applyBorder="1" applyAlignment="1" applyProtection="1">
      <alignment horizontal="center"/>
      <protection hidden="1"/>
    </xf>
    <xf numFmtId="0" fontId="29" fillId="0" borderId="4" xfId="0" applyFont="1" applyBorder="1" applyAlignment="1" applyProtection="1">
      <alignment horizontal="center"/>
      <protection hidden="1"/>
    </xf>
    <xf numFmtId="0" fontId="27" fillId="0" borderId="2" xfId="0" applyFont="1" applyBorder="1" applyAlignment="1" applyProtection="1">
      <alignment horizontal="left"/>
      <protection hidden="1"/>
    </xf>
    <xf numFmtId="0" fontId="27" fillId="0" borderId="3" xfId="0" applyFont="1" applyBorder="1" applyAlignment="1" applyProtection="1">
      <alignment horizontal="left"/>
      <protection hidden="1"/>
    </xf>
    <xf numFmtId="0" fontId="18" fillId="0" borderId="100" xfId="0" applyFont="1" applyBorder="1" applyAlignment="1" applyProtection="1">
      <alignment horizontal="center" vertical="center"/>
      <protection hidden="1"/>
    </xf>
    <xf numFmtId="0" fontId="18" fillId="0" borderId="0" xfId="0" applyFont="1" applyAlignment="1" applyProtection="1">
      <alignment horizontal="left"/>
      <protection hidden="1"/>
    </xf>
    <xf numFmtId="0" fontId="133" fillId="0" borderId="2" xfId="0" applyFont="1" applyBorder="1" applyProtection="1">
      <protection hidden="1"/>
    </xf>
    <xf numFmtId="0" fontId="67" fillId="0" borderId="100" xfId="0" applyFont="1" applyBorder="1" applyAlignment="1" applyProtection="1">
      <alignment horizontal="center" vertical="center"/>
      <protection hidden="1"/>
    </xf>
    <xf numFmtId="0" fontId="134" fillId="0" borderId="100" xfId="0" applyFont="1" applyBorder="1" applyAlignment="1" applyProtection="1">
      <alignment horizontal="center" vertical="center"/>
      <protection hidden="1"/>
    </xf>
    <xf numFmtId="0" fontId="18" fillId="0" borderId="9" xfId="0" applyFont="1" applyBorder="1" applyAlignment="1" applyProtection="1">
      <alignment horizontal="center"/>
      <protection hidden="1"/>
    </xf>
    <xf numFmtId="0" fontId="18" fillId="0" borderId="28" xfId="0" applyFont="1" applyBorder="1" applyAlignment="1" applyProtection="1">
      <alignment horizontal="center"/>
      <protection hidden="1"/>
    </xf>
    <xf numFmtId="0" fontId="18" fillId="0" borderId="13" xfId="0" applyFont="1" applyBorder="1" applyAlignment="1" applyProtection="1">
      <alignment horizontal="right"/>
      <protection hidden="1"/>
    </xf>
    <xf numFmtId="0" fontId="18" fillId="0" borderId="9" xfId="0" applyFont="1" applyBorder="1" applyAlignment="1" applyProtection="1">
      <alignment horizontal="right"/>
      <protection hidden="1"/>
    </xf>
    <xf numFmtId="0" fontId="18" fillId="0" borderId="28" xfId="0" applyFont="1" applyBorder="1" applyAlignment="1" applyProtection="1">
      <alignment horizontal="right"/>
      <protection hidden="1"/>
    </xf>
    <xf numFmtId="0" fontId="27" fillId="0" borderId="29" xfId="0" applyFont="1" applyBorder="1" applyProtection="1">
      <protection hidden="1"/>
    </xf>
    <xf numFmtId="0" fontId="136" fillId="0" borderId="0" xfId="0" applyFont="1" applyAlignment="1" applyProtection="1">
      <alignment horizontal="left" vertical="center"/>
      <protection hidden="1"/>
    </xf>
    <xf numFmtId="0" fontId="98" fillId="0" borderId="68" xfId="0" applyFont="1" applyBorder="1" applyAlignment="1" applyProtection="1">
      <alignment horizontal="right"/>
      <protection hidden="1"/>
    </xf>
    <xf numFmtId="0" fontId="20" fillId="0" borderId="13" xfId="0" applyFont="1" applyBorder="1" applyAlignment="1" applyProtection="1">
      <alignment horizontal="center"/>
      <protection hidden="1"/>
    </xf>
    <xf numFmtId="0" fontId="20" fillId="0" borderId="9" xfId="0" applyFont="1" applyBorder="1" applyAlignment="1" applyProtection="1">
      <alignment horizontal="center"/>
      <protection hidden="1"/>
    </xf>
    <xf numFmtId="0" fontId="38" fillId="0" borderId="0" xfId="0" applyFont="1" applyAlignment="1" applyProtection="1">
      <alignment horizontal="center"/>
      <protection hidden="1"/>
    </xf>
    <xf numFmtId="0" fontId="27" fillId="3" borderId="0" xfId="0" applyFont="1" applyFill="1" applyAlignment="1" applyProtection="1">
      <alignment horizontal="center"/>
      <protection hidden="1"/>
    </xf>
    <xf numFmtId="0" fontId="135" fillId="0" borderId="4" xfId="0" applyFont="1" applyBorder="1" applyAlignment="1" applyProtection="1">
      <alignment horizontal="center"/>
      <protection hidden="1"/>
    </xf>
    <xf numFmtId="0" fontId="64" fillId="0" borderId="28" xfId="0" applyFont="1" applyBorder="1" applyAlignment="1" applyProtection="1">
      <alignment horizontal="center"/>
      <protection hidden="1"/>
    </xf>
    <xf numFmtId="0" fontId="29" fillId="4" borderId="2" xfId="0" applyFont="1" applyFill="1" applyBorder="1" applyAlignment="1" applyProtection="1">
      <alignment horizontal="left"/>
      <protection hidden="1"/>
    </xf>
    <xf numFmtId="0" fontId="135" fillId="0" borderId="29" xfId="0" applyFont="1" applyBorder="1" applyAlignment="1" applyProtection="1">
      <alignment horizontal="center"/>
      <protection hidden="1"/>
    </xf>
    <xf numFmtId="0" fontId="64" fillId="0" borderId="101" xfId="0" applyFont="1" applyBorder="1" applyAlignment="1" applyProtection="1">
      <alignment horizontal="center"/>
      <protection hidden="1"/>
    </xf>
    <xf numFmtId="0" fontId="29" fillId="4" borderId="22" xfId="0" applyFont="1" applyFill="1" applyBorder="1" applyAlignment="1" applyProtection="1">
      <alignment horizontal="left"/>
      <protection hidden="1"/>
    </xf>
    <xf numFmtId="0" fontId="135" fillId="0" borderId="102" xfId="0" applyFont="1" applyBorder="1" applyAlignment="1" applyProtection="1">
      <alignment horizontal="center"/>
      <protection hidden="1"/>
    </xf>
    <xf numFmtId="0" fontId="137" fillId="0" borderId="0" xfId="0" applyFont="1" applyProtection="1">
      <protection hidden="1"/>
    </xf>
    <xf numFmtId="0" fontId="138" fillId="0" borderId="0" xfId="0" applyFont="1" applyAlignment="1" applyProtection="1">
      <alignment vertical="center"/>
      <protection hidden="1"/>
    </xf>
    <xf numFmtId="0" fontId="138" fillId="0" borderId="78" xfId="0" applyFont="1" applyBorder="1" applyAlignment="1" applyProtection="1">
      <alignment vertical="center"/>
      <protection hidden="1"/>
    </xf>
    <xf numFmtId="0" fontId="112" fillId="0" borderId="83" xfId="0" applyFont="1" applyBorder="1" applyAlignment="1" applyProtection="1">
      <alignment horizontal="center" vertical="center"/>
      <protection hidden="1"/>
    </xf>
    <xf numFmtId="0" fontId="112" fillId="0" borderId="0" xfId="0" applyFont="1" applyAlignment="1" applyProtection="1">
      <alignment horizontal="center" vertical="center"/>
      <protection hidden="1"/>
    </xf>
    <xf numFmtId="0" fontId="63" fillId="0" borderId="0" xfId="0" applyFont="1" applyAlignment="1" applyProtection="1">
      <alignment vertical="center"/>
      <protection hidden="1"/>
    </xf>
    <xf numFmtId="167" fontId="139" fillId="0" borderId="83" xfId="0" applyNumberFormat="1" applyFont="1" applyBorder="1" applyAlignment="1" applyProtection="1">
      <alignment vertical="center"/>
      <protection hidden="1"/>
    </xf>
    <xf numFmtId="167" fontId="139" fillId="0" borderId="0" xfId="0" applyNumberFormat="1" applyFont="1" applyAlignment="1" applyProtection="1">
      <alignment vertical="center"/>
      <protection hidden="1"/>
    </xf>
    <xf numFmtId="165" fontId="55" fillId="0" borderId="69" xfId="0" applyNumberFormat="1" applyFont="1" applyBorder="1" applyAlignment="1" applyProtection="1">
      <alignment horizontal="right"/>
      <protection hidden="1"/>
    </xf>
    <xf numFmtId="0" fontId="74" fillId="0" borderId="3" xfId="0" applyFont="1" applyBorder="1" applyAlignment="1" applyProtection="1">
      <alignment horizontal="left"/>
      <protection hidden="1"/>
    </xf>
    <xf numFmtId="0" fontId="117" fillId="0" borderId="0" xfId="0" applyFont="1" applyAlignment="1">
      <alignment horizontal="justify" vertical="center"/>
    </xf>
    <xf numFmtId="0" fontId="117" fillId="0" borderId="0" xfId="0" applyFont="1" applyAlignment="1">
      <alignment horizontal="center" vertical="center"/>
    </xf>
    <xf numFmtId="0" fontId="87" fillId="0" borderId="0" xfId="0" applyFont="1" applyAlignment="1">
      <alignment horizontal="left" vertical="center"/>
    </xf>
    <xf numFmtId="0" fontId="87" fillId="0" borderId="2" xfId="0" applyFont="1" applyBorder="1" applyAlignment="1">
      <alignment horizontal="left" vertical="center"/>
    </xf>
    <xf numFmtId="0" fontId="87" fillId="0" borderId="2" xfId="0" applyFont="1" applyBorder="1" applyAlignment="1">
      <alignment horizontal="justify" vertical="center"/>
    </xf>
    <xf numFmtId="0" fontId="117" fillId="0" borderId="0" xfId="0" applyFont="1" applyAlignment="1">
      <alignment vertical="center"/>
    </xf>
    <xf numFmtId="0" fontId="87" fillId="0" borderId="0" xfId="0" applyFont="1" applyAlignment="1">
      <alignment horizontal="right" vertical="center"/>
    </xf>
    <xf numFmtId="167" fontId="31" fillId="0" borderId="0" xfId="0" applyNumberFormat="1" applyFont="1" applyAlignment="1" applyProtection="1">
      <alignment horizontal="center"/>
      <protection hidden="1"/>
    </xf>
    <xf numFmtId="0" fontId="142" fillId="0" borderId="0" xfId="0" applyFont="1" applyAlignment="1" applyProtection="1">
      <alignment horizontal="left" vertical="center"/>
      <protection hidden="1"/>
    </xf>
    <xf numFmtId="0" fontId="137" fillId="0" borderId="68" xfId="0" applyFont="1" applyBorder="1" applyAlignment="1" applyProtection="1">
      <alignment vertical="center"/>
      <protection hidden="1"/>
    </xf>
    <xf numFmtId="0" fontId="143" fillId="0" borderId="0" xfId="0" applyFont="1" applyAlignment="1" applyProtection="1">
      <alignment vertical="center"/>
      <protection hidden="1"/>
    </xf>
    <xf numFmtId="0" fontId="63" fillId="0" borderId="0" xfId="0" applyFont="1" applyAlignment="1" applyProtection="1">
      <alignment horizontal="left"/>
      <protection hidden="1"/>
    </xf>
    <xf numFmtId="0" fontId="144" fillId="0" borderId="0" xfId="0" applyFont="1" applyProtection="1">
      <protection hidden="1"/>
    </xf>
    <xf numFmtId="0" fontId="44" fillId="0" borderId="9" xfId="0" applyFont="1" applyBorder="1" applyProtection="1">
      <protection hidden="1"/>
    </xf>
    <xf numFmtId="0" fontId="45" fillId="0" borderId="0" xfId="0" applyFont="1" applyProtection="1">
      <protection hidden="1"/>
    </xf>
    <xf numFmtId="0" fontId="44" fillId="0" borderId="0" xfId="0" applyFont="1" applyAlignment="1" applyProtection="1">
      <alignment horizontal="center"/>
      <protection hidden="1"/>
    </xf>
    <xf numFmtId="0" fontId="44" fillId="0" borderId="0" xfId="0" applyFont="1" applyProtection="1">
      <protection hidden="1"/>
    </xf>
    <xf numFmtId="0" fontId="44" fillId="0" borderId="0" xfId="0" applyFont="1" applyAlignment="1" applyProtection="1">
      <alignment horizontal="left"/>
      <protection hidden="1"/>
    </xf>
    <xf numFmtId="0" fontId="12" fillId="0" borderId="0" xfId="0" applyFont="1" applyProtection="1">
      <protection hidden="1"/>
    </xf>
    <xf numFmtId="0" fontId="2" fillId="0" borderId="4" xfId="0" applyFont="1" applyBorder="1" applyProtection="1">
      <protection hidden="1"/>
    </xf>
    <xf numFmtId="0" fontId="11" fillId="0" borderId="0" xfId="0" applyFont="1" applyAlignment="1" applyProtection="1">
      <alignment horizontal="center" vertical="center"/>
      <protection hidden="1"/>
    </xf>
    <xf numFmtId="0" fontId="68" fillId="0" borderId="0" xfId="0" applyFont="1" applyAlignment="1" applyProtection="1">
      <alignment horizontal="center" vertical="center"/>
      <protection hidden="1"/>
    </xf>
    <xf numFmtId="166" fontId="3" fillId="0" borderId="0" xfId="0" applyNumberFormat="1" applyFont="1" applyAlignment="1" applyProtection="1">
      <alignment horizontal="right"/>
      <protection hidden="1"/>
    </xf>
    <xf numFmtId="167" fontId="31" fillId="0" borderId="0" xfId="0" applyNumberFormat="1" applyFont="1" applyProtection="1">
      <protection hidden="1"/>
    </xf>
    <xf numFmtId="1" fontId="36" fillId="0" borderId="0" xfId="0" applyNumberFormat="1" applyFont="1" applyAlignment="1" applyProtection="1">
      <alignment horizontal="center"/>
      <protection hidden="1"/>
    </xf>
    <xf numFmtId="0" fontId="19" fillId="0" borderId="9" xfId="0" applyFont="1" applyBorder="1" applyAlignment="1" applyProtection="1">
      <alignment horizontal="center"/>
      <protection hidden="1"/>
    </xf>
    <xf numFmtId="0" fontId="6" fillId="0" borderId="0" xfId="0" applyFont="1" applyAlignment="1" applyProtection="1">
      <alignment horizontal="center" vertical="center"/>
      <protection locked="0"/>
    </xf>
    <xf numFmtId="0" fontId="36" fillId="0" borderId="0" xfId="0" applyFont="1" applyAlignment="1" applyProtection="1">
      <alignment horizontal="center"/>
      <protection hidden="1"/>
    </xf>
    <xf numFmtId="0" fontId="118" fillId="0" borderId="9" xfId="0" applyFont="1" applyBorder="1" applyAlignment="1" applyProtection="1">
      <alignment horizontal="center" vertical="center"/>
      <protection hidden="1"/>
    </xf>
    <xf numFmtId="0" fontId="73" fillId="0" borderId="9" xfId="0" applyFont="1" applyBorder="1" applyAlignment="1" applyProtection="1">
      <alignment horizontal="center" vertical="center"/>
      <protection hidden="1"/>
    </xf>
    <xf numFmtId="0" fontId="28" fillId="0" borderId="0" xfId="0" applyFont="1" applyAlignment="1" applyProtection="1">
      <alignment horizontal="center"/>
      <protection hidden="1"/>
    </xf>
    <xf numFmtId="0" fontId="36" fillId="0" borderId="0" xfId="0" applyFont="1" applyAlignment="1" applyProtection="1">
      <alignment horizontal="left"/>
      <protection hidden="1"/>
    </xf>
    <xf numFmtId="0" fontId="118" fillId="0" borderId="0" xfId="0" applyFont="1" applyAlignment="1">
      <alignment horizontal="center"/>
    </xf>
    <xf numFmtId="0" fontId="118" fillId="0" borderId="9" xfId="0" applyFont="1" applyBorder="1" applyAlignment="1" applyProtection="1">
      <alignment horizontal="center"/>
      <protection hidden="1"/>
    </xf>
    <xf numFmtId="0" fontId="22" fillId="0" borderId="0" xfId="0" applyFont="1" applyAlignment="1" applyProtection="1">
      <alignment horizontal="center"/>
      <protection hidden="1"/>
    </xf>
    <xf numFmtId="0" fontId="118" fillId="0" borderId="0" xfId="0" applyFont="1" applyAlignment="1" applyProtection="1">
      <alignment horizontal="center"/>
      <protection hidden="1"/>
    </xf>
    <xf numFmtId="0" fontId="24" fillId="0" borderId="0" xfId="0" applyFont="1" applyAlignment="1" applyProtection="1">
      <alignment horizontal="center"/>
      <protection hidden="1"/>
    </xf>
    <xf numFmtId="0" fontId="118" fillId="0" borderId="9" xfId="0" applyFont="1" applyBorder="1" applyAlignment="1">
      <alignment horizontal="center"/>
    </xf>
    <xf numFmtId="0" fontId="29" fillId="0" borderId="0" xfId="0" applyFont="1" applyAlignment="1" applyProtection="1">
      <alignment horizontal="center"/>
      <protection locked="0"/>
    </xf>
    <xf numFmtId="1" fontId="10" fillId="0" borderId="0" xfId="0" applyNumberFormat="1" applyFont="1" applyAlignment="1" applyProtection="1">
      <alignment horizontal="center" vertical="center"/>
      <protection hidden="1"/>
    </xf>
    <xf numFmtId="166" fontId="3" fillId="0" borderId="0" xfId="0" applyNumberFormat="1" applyFont="1" applyProtection="1">
      <protection hidden="1"/>
    </xf>
    <xf numFmtId="165" fontId="31" fillId="0" borderId="0" xfId="0" applyNumberFormat="1" applyFont="1" applyAlignment="1" applyProtection="1">
      <alignment horizontal="center"/>
      <protection hidden="1"/>
    </xf>
    <xf numFmtId="0" fontId="141" fillId="0" borderId="0" xfId="0" applyFont="1" applyAlignment="1" applyProtection="1">
      <alignment horizontal="center"/>
      <protection hidden="1"/>
    </xf>
    <xf numFmtId="165" fontId="36" fillId="0" borderId="0" xfId="0" applyNumberFormat="1" applyFont="1" applyAlignment="1" applyProtection="1">
      <alignment horizontal="center"/>
      <protection hidden="1"/>
    </xf>
    <xf numFmtId="1" fontId="140" fillId="0" borderId="0" xfId="0" applyNumberFormat="1" applyFont="1" applyAlignment="1" applyProtection="1">
      <alignment horizontal="center"/>
      <protection hidden="1"/>
    </xf>
    <xf numFmtId="1" fontId="66" fillId="0" borderId="0" xfId="0" applyNumberFormat="1" applyFont="1" applyAlignment="1" applyProtection="1">
      <alignment horizontal="center" vertical="center"/>
      <protection hidden="1"/>
    </xf>
    <xf numFmtId="0" fontId="15" fillId="0" borderId="0" xfId="0" applyFont="1" applyAlignment="1" applyProtection="1">
      <alignment horizontal="right" vertical="top"/>
      <protection hidden="1"/>
    </xf>
    <xf numFmtId="0" fontId="31" fillId="0" borderId="0" xfId="0" applyFont="1" applyAlignment="1">
      <alignment horizontal="center"/>
    </xf>
    <xf numFmtId="165" fontId="31" fillId="0" borderId="9" xfId="0" applyNumberFormat="1" applyFont="1" applyBorder="1" applyAlignment="1" applyProtection="1">
      <alignment horizontal="center"/>
      <protection hidden="1"/>
    </xf>
    <xf numFmtId="16" fontId="128" fillId="0" borderId="0" xfId="0" applyNumberFormat="1" applyFont="1" applyProtection="1">
      <protection hidden="1"/>
    </xf>
    <xf numFmtId="0" fontId="18" fillId="0" borderId="0" xfId="0" applyFont="1" applyProtection="1">
      <protection hidden="1"/>
    </xf>
    <xf numFmtId="165" fontId="36" fillId="0" borderId="0" xfId="0" applyNumberFormat="1" applyFont="1" applyProtection="1">
      <protection hidden="1"/>
    </xf>
    <xf numFmtId="0" fontId="29" fillId="0" borderId="9" xfId="0" applyFont="1" applyBorder="1" applyAlignment="1" applyProtection="1">
      <alignment horizontal="left"/>
      <protection hidden="1"/>
    </xf>
    <xf numFmtId="0" fontId="64" fillId="0" borderId="0" xfId="0" applyFont="1" applyAlignment="1" applyProtection="1">
      <alignment horizontal="center"/>
      <protection hidden="1"/>
    </xf>
    <xf numFmtId="0" fontId="31" fillId="0" borderId="0" xfId="0" applyFont="1" applyProtection="1">
      <protection hidden="1"/>
    </xf>
    <xf numFmtId="16" fontId="22" fillId="0" borderId="0" xfId="0" applyNumberFormat="1" applyFont="1" applyAlignment="1" applyProtection="1">
      <alignment horizontal="center"/>
      <protection hidden="1"/>
    </xf>
    <xf numFmtId="0" fontId="18" fillId="0" borderId="0" xfId="0" applyFont="1" applyAlignment="1" applyProtection="1">
      <alignment horizontal="right"/>
      <protection hidden="1"/>
    </xf>
    <xf numFmtId="0" fontId="65" fillId="0" borderId="0" xfId="0" applyFont="1" applyAlignment="1" applyProtection="1">
      <alignment horizontal="center" vertical="center"/>
      <protection hidden="1"/>
    </xf>
    <xf numFmtId="0" fontId="39" fillId="0" borderId="0" xfId="0" applyFont="1" applyAlignment="1" applyProtection="1">
      <alignment horizontal="center"/>
      <protection hidden="1"/>
    </xf>
    <xf numFmtId="17" fontId="18" fillId="0" borderId="0" xfId="0" applyNumberFormat="1" applyFont="1" applyAlignment="1" applyProtection="1">
      <alignment horizontal="right"/>
      <protection hidden="1"/>
    </xf>
    <xf numFmtId="16" fontId="31" fillId="0" borderId="0" xfId="0" applyNumberFormat="1" applyFont="1" applyAlignment="1" applyProtection="1">
      <alignment vertical="center" shrinkToFit="1"/>
      <protection hidden="1"/>
    </xf>
    <xf numFmtId="0" fontId="31" fillId="0" borderId="0" xfId="0" applyFont="1" applyAlignment="1" applyProtection="1">
      <alignment horizontal="center"/>
      <protection locked="0"/>
    </xf>
    <xf numFmtId="0" fontId="128" fillId="0" borderId="0" xfId="0" applyFont="1" applyAlignment="1" applyProtection="1">
      <alignment horizontal="center"/>
      <protection hidden="1"/>
    </xf>
    <xf numFmtId="0" fontId="31" fillId="0" borderId="0" xfId="0" applyFont="1" applyAlignment="1" applyProtection="1">
      <alignment horizontal="right" vertical="center"/>
      <protection hidden="1"/>
    </xf>
    <xf numFmtId="0" fontId="67" fillId="0" borderId="0" xfId="0" applyFont="1" applyProtection="1">
      <protection hidden="1"/>
    </xf>
    <xf numFmtId="0" fontId="11" fillId="0" borderId="0" xfId="0" applyFont="1" applyAlignment="1" applyProtection="1">
      <alignment horizontal="right" vertical="center"/>
      <protection hidden="1"/>
    </xf>
    <xf numFmtId="0" fontId="27" fillId="0" borderId="0" xfId="0" applyFont="1" applyAlignment="1" applyProtection="1">
      <alignment horizontal="center" vertical="top"/>
      <protection hidden="1"/>
    </xf>
    <xf numFmtId="0" fontId="18" fillId="0" borderId="0" xfId="0" applyFont="1" applyAlignment="1" applyProtection="1">
      <alignment horizontal="right" vertical="center"/>
      <protection hidden="1"/>
    </xf>
    <xf numFmtId="0" fontId="127" fillId="0" borderId="67" xfId="0" applyFont="1" applyBorder="1" applyAlignment="1" applyProtection="1">
      <alignment horizontal="right" vertical="center"/>
      <protection hidden="1"/>
    </xf>
    <xf numFmtId="0" fontId="127" fillId="0" borderId="68" xfId="0" applyFont="1" applyBorder="1" applyAlignment="1" applyProtection="1">
      <alignment horizontal="right" vertical="center"/>
      <protection hidden="1"/>
    </xf>
    <xf numFmtId="0" fontId="62" fillId="0" borderId="83" xfId="0" applyFont="1" applyBorder="1" applyAlignment="1" applyProtection="1">
      <alignment horizontal="center" vertical="center"/>
      <protection locked="0"/>
    </xf>
    <xf numFmtId="0" fontId="11" fillId="0" borderId="0" xfId="0" applyFont="1" applyAlignment="1" applyProtection="1">
      <alignment horizontal="right" vertical="top"/>
      <protection hidden="1"/>
    </xf>
    <xf numFmtId="0" fontId="17" fillId="0" borderId="0" xfId="0" applyFont="1" applyAlignment="1" applyProtection="1">
      <alignment horizontal="center" vertical="center"/>
      <protection hidden="1"/>
    </xf>
    <xf numFmtId="0" fontId="70" fillId="0" borderId="68" xfId="0" applyFont="1" applyBorder="1" applyAlignment="1" applyProtection="1">
      <alignment vertical="center"/>
      <protection hidden="1"/>
    </xf>
    <xf numFmtId="0" fontId="109" fillId="0" borderId="68" xfId="0" applyFont="1" applyBorder="1" applyAlignment="1" applyProtection="1">
      <alignment vertical="center"/>
      <protection hidden="1"/>
    </xf>
    <xf numFmtId="0" fontId="41" fillId="0" borderId="0" xfId="0" applyFont="1" applyAlignment="1" applyProtection="1">
      <alignment horizontal="right" vertical="center"/>
      <protection hidden="1"/>
    </xf>
    <xf numFmtId="0" fontId="147" fillId="0" borderId="68" xfId="0" applyFont="1" applyBorder="1" applyAlignment="1" applyProtection="1">
      <alignment vertical="center"/>
      <protection hidden="1"/>
    </xf>
    <xf numFmtId="0" fontId="70" fillId="0" borderId="103" xfId="0" applyFont="1" applyBorder="1" applyAlignment="1" applyProtection="1">
      <alignment vertical="center"/>
      <protection hidden="1"/>
    </xf>
    <xf numFmtId="0" fontId="109" fillId="0" borderId="103" xfId="0" applyFont="1" applyBorder="1" applyAlignment="1" applyProtection="1">
      <alignment vertical="center"/>
      <protection hidden="1"/>
    </xf>
    <xf numFmtId="0" fontId="33" fillId="0" borderId="103" xfId="0" applyFont="1" applyBorder="1" applyAlignment="1" applyProtection="1">
      <alignment horizontal="centerContinuous" vertical="center"/>
      <protection hidden="1"/>
    </xf>
    <xf numFmtId="0" fontId="145" fillId="0" borderId="103" xfId="0" applyFont="1" applyBorder="1" applyAlignment="1" applyProtection="1">
      <alignment horizontal="centerContinuous" vertical="center"/>
      <protection hidden="1"/>
    </xf>
    <xf numFmtId="0" fontId="33" fillId="0" borderId="68" xfId="0" applyFont="1" applyBorder="1" applyAlignment="1" applyProtection="1">
      <alignment horizontal="centerContinuous" vertical="center"/>
      <protection hidden="1"/>
    </xf>
    <xf numFmtId="0" fontId="146" fillId="0" borderId="68" xfId="0" applyFont="1" applyBorder="1" applyAlignment="1" applyProtection="1">
      <alignment horizontal="centerContinuous" vertical="center"/>
      <protection hidden="1"/>
    </xf>
    <xf numFmtId="0" fontId="103" fillId="0" borderId="0" xfId="0" applyFont="1" applyAlignment="1" applyProtection="1">
      <alignment horizontal="centerContinuous" vertical="center"/>
      <protection hidden="1"/>
    </xf>
    <xf numFmtId="0" fontId="17" fillId="0" borderId="0" xfId="0" applyFont="1" applyAlignment="1" applyProtection="1">
      <alignment horizontal="centerContinuous" vertical="center"/>
      <protection hidden="1"/>
    </xf>
    <xf numFmtId="0" fontId="41" fillId="0" borderId="0" xfId="0" applyFont="1" applyAlignment="1" applyProtection="1">
      <alignment horizontal="centerContinuous" vertical="center"/>
      <protection hidden="1"/>
    </xf>
    <xf numFmtId="0" fontId="103" fillId="0" borderId="0" xfId="0" applyFont="1" applyAlignment="1" applyProtection="1">
      <alignment horizontal="right" vertical="center"/>
      <protection hidden="1"/>
    </xf>
    <xf numFmtId="0" fontId="148" fillId="0" borderId="0" xfId="0" applyFont="1" applyAlignment="1" applyProtection="1">
      <alignment horizontal="center" vertical="center"/>
      <protection hidden="1"/>
    </xf>
    <xf numFmtId="0" fontId="0" fillId="0" borderId="0" xfId="0" applyAlignment="1" applyProtection="1">
      <alignment horizontal="centerContinuous" vertical="center"/>
      <protection hidden="1"/>
    </xf>
    <xf numFmtId="0" fontId="112" fillId="0" borderId="79" xfId="0" applyFont="1" applyBorder="1" applyAlignment="1" applyProtection="1">
      <alignment horizontal="center" vertical="center" wrapText="1"/>
      <protection hidden="1"/>
    </xf>
    <xf numFmtId="0" fontId="112" fillId="0" borderId="82" xfId="0" applyFont="1" applyBorder="1" applyAlignment="1" applyProtection="1">
      <alignment horizontal="center" vertical="center"/>
      <protection hidden="1"/>
    </xf>
    <xf numFmtId="0" fontId="149" fillId="0" borderId="0" xfId="0" applyFont="1" applyAlignment="1" applyProtection="1">
      <alignment vertical="center"/>
      <protection hidden="1"/>
    </xf>
    <xf numFmtId="0" fontId="150" fillId="0" borderId="0" xfId="4" applyFont="1"/>
    <xf numFmtId="0" fontId="5" fillId="0" borderId="0" xfId="4" applyFont="1"/>
    <xf numFmtId="0" fontId="32" fillId="0" borderId="0" xfId="4" applyFont="1"/>
    <xf numFmtId="0" fontId="116" fillId="0" borderId="0" xfId="4" applyFont="1"/>
    <xf numFmtId="0" fontId="150" fillId="5" borderId="0" xfId="4" applyFont="1" applyFill="1"/>
    <xf numFmtId="0" fontId="5" fillId="3" borderId="0" xfId="4" applyFont="1" applyFill="1"/>
    <xf numFmtId="0" fontId="13" fillId="0" borderId="0" xfId="4" applyFont="1"/>
    <xf numFmtId="0" fontId="152" fillId="0" borderId="0" xfId="4" applyFont="1"/>
    <xf numFmtId="0" fontId="153" fillId="0" borderId="0" xfId="4" applyFont="1"/>
    <xf numFmtId="0" fontId="154" fillId="0" borderId="0" xfId="4" applyFont="1"/>
    <xf numFmtId="0" fontId="155" fillId="0" borderId="0" xfId="4" applyFont="1" applyAlignment="1">
      <alignment horizontal="right"/>
    </xf>
    <xf numFmtId="0" fontId="5" fillId="6" borderId="0" xfId="4" applyFont="1" applyFill="1"/>
    <xf numFmtId="2" fontId="5" fillId="0" borderId="0" xfId="4" applyNumberFormat="1" applyFont="1"/>
    <xf numFmtId="0" fontId="150" fillId="3" borderId="0" xfId="4" applyFont="1" applyFill="1"/>
    <xf numFmtId="0" fontId="156" fillId="3" borderId="0" xfId="4" applyFont="1" applyFill="1"/>
    <xf numFmtId="0" fontId="157" fillId="0" borderId="0" xfId="4" applyFont="1"/>
    <xf numFmtId="0" fontId="158" fillId="0" borderId="0" xfId="4" applyFont="1"/>
    <xf numFmtId="0" fontId="159" fillId="0" borderId="0" xfId="4" applyFont="1"/>
    <xf numFmtId="0" fontId="37" fillId="0" borderId="0" xfId="4" applyFont="1"/>
    <xf numFmtId="0" fontId="150" fillId="7" borderId="0" xfId="4" applyFont="1" applyFill="1"/>
    <xf numFmtId="0" fontId="16" fillId="0" borderId="0" xfId="4" applyFont="1"/>
    <xf numFmtId="0" fontId="147" fillId="0" borderId="0" xfId="4" applyFont="1" applyAlignment="1">
      <alignment horizontal="right"/>
    </xf>
    <xf numFmtId="0" fontId="5" fillId="8" borderId="0" xfId="4" applyFont="1" applyFill="1"/>
    <xf numFmtId="0" fontId="5" fillId="5" borderId="0" xfId="4" applyFont="1" applyFill="1"/>
    <xf numFmtId="0" fontId="5" fillId="2" borderId="0" xfId="4" applyFont="1" applyFill="1"/>
    <xf numFmtId="0" fontId="160" fillId="0" borderId="0" xfId="4" applyFont="1" applyAlignment="1">
      <alignment horizontal="center"/>
    </xf>
    <xf numFmtId="0" fontId="66" fillId="0" borderId="0" xfId="4" applyFont="1"/>
    <xf numFmtId="0" fontId="5" fillId="0" borderId="0" xfId="4" applyFont="1" applyAlignment="1">
      <alignment horizontal="center"/>
    </xf>
    <xf numFmtId="0" fontId="161" fillId="0" borderId="0" xfId="4" applyFont="1"/>
    <xf numFmtId="0" fontId="5" fillId="9" borderId="0" xfId="4" applyFont="1" applyFill="1"/>
    <xf numFmtId="0" fontId="5" fillId="7" borderId="0" xfId="4" applyFont="1" applyFill="1"/>
    <xf numFmtId="0" fontId="162" fillId="0" borderId="0" xfId="4" applyFont="1"/>
    <xf numFmtId="0" fontId="5" fillId="10" borderId="0" xfId="4" applyFont="1" applyFill="1"/>
    <xf numFmtId="0" fontId="163" fillId="0" borderId="0" xfId="4" applyFont="1"/>
    <xf numFmtId="0" fontId="164" fillId="0" borderId="0" xfId="4" applyFont="1"/>
    <xf numFmtId="0" fontId="165" fillId="0" borderId="0" xfId="4" applyFont="1"/>
    <xf numFmtId="0" fontId="5" fillId="11" borderId="0" xfId="4" applyFont="1" applyFill="1"/>
    <xf numFmtId="0" fontId="5" fillId="12" borderId="0" xfId="4" applyFont="1" applyFill="1"/>
    <xf numFmtId="0" fontId="2" fillId="0" borderId="0" xfId="4" applyFont="1"/>
    <xf numFmtId="0" fontId="16" fillId="13" borderId="0" xfId="4" applyFont="1" applyFill="1"/>
    <xf numFmtId="0" fontId="150" fillId="14" borderId="0" xfId="4" applyFont="1" applyFill="1"/>
    <xf numFmtId="0" fontId="5" fillId="14" borderId="0" xfId="4" applyFont="1" applyFill="1"/>
    <xf numFmtId="0" fontId="166" fillId="7" borderId="0" xfId="4" applyFont="1" applyFill="1"/>
    <xf numFmtId="0" fontId="5" fillId="15" borderId="0" xfId="4" applyFont="1" applyFill="1"/>
    <xf numFmtId="0" fontId="167" fillId="0" borderId="0" xfId="4" applyFont="1"/>
    <xf numFmtId="0" fontId="150" fillId="0" borderId="0" xfId="4" applyFont="1" applyAlignment="1">
      <alignment horizontal="left"/>
    </xf>
    <xf numFmtId="0" fontId="168" fillId="0" borderId="0" xfId="4" applyFont="1"/>
    <xf numFmtId="0" fontId="5" fillId="7" borderId="0" xfId="4" applyFont="1" applyFill="1" applyAlignment="1">
      <alignment horizontal="center"/>
    </xf>
    <xf numFmtId="0" fontId="5" fillId="0" borderId="0" xfId="4" applyFont="1" applyAlignment="1">
      <alignment horizontal="left"/>
    </xf>
    <xf numFmtId="0" fontId="164" fillId="7" borderId="0" xfId="4" applyFont="1" applyFill="1"/>
    <xf numFmtId="0" fontId="166" fillId="0" borderId="0" xfId="4" applyFont="1"/>
    <xf numFmtId="0" fontId="164" fillId="13" borderId="0" xfId="4" applyFont="1" applyFill="1"/>
    <xf numFmtId="0" fontId="5" fillId="13" borderId="0" xfId="4" applyFont="1" applyFill="1"/>
    <xf numFmtId="0" fontId="150" fillId="0" borderId="0" xfId="4" applyFont="1" applyAlignment="1">
      <alignment horizontal="center"/>
    </xf>
    <xf numFmtId="14" fontId="5" fillId="0" borderId="0" xfId="4" applyNumberFormat="1" applyFont="1"/>
    <xf numFmtId="0" fontId="168" fillId="6" borderId="0" xfId="4" applyFont="1" applyFill="1"/>
    <xf numFmtId="0" fontId="164" fillId="6" borderId="0" xfId="4" applyFont="1" applyFill="1"/>
    <xf numFmtId="0" fontId="150" fillId="16" borderId="0" xfId="4" applyFont="1" applyFill="1"/>
    <xf numFmtId="0" fontId="168" fillId="13" borderId="0" xfId="4" applyFont="1" applyFill="1"/>
    <xf numFmtId="0" fontId="169" fillId="0" borderId="0" xfId="4" applyFont="1"/>
    <xf numFmtId="0" fontId="5" fillId="4" borderId="0" xfId="4" applyFont="1" applyFill="1"/>
    <xf numFmtId="0" fontId="5" fillId="0" borderId="0" xfId="4" applyFont="1" applyAlignment="1">
      <alignment horizontal="right"/>
    </xf>
    <xf numFmtId="0" fontId="5" fillId="17" borderId="0" xfId="4" applyFont="1" applyFill="1"/>
    <xf numFmtId="0" fontId="170" fillId="0" borderId="0" xfId="4" applyFont="1"/>
    <xf numFmtId="0" fontId="171" fillId="2" borderId="0" xfId="4" applyFont="1" applyFill="1"/>
    <xf numFmtId="0" fontId="170" fillId="2" borderId="0" xfId="4" applyFont="1" applyFill="1"/>
    <xf numFmtId="0" fontId="164" fillId="2" borderId="0" xfId="4" applyFont="1" applyFill="1"/>
    <xf numFmtId="0" fontId="172" fillId="0" borderId="0" xfId="4" applyFont="1"/>
    <xf numFmtId="0" fontId="165" fillId="10" borderId="0" xfId="4" applyFont="1" applyFill="1" applyAlignment="1">
      <alignment horizontal="center" vertical="center"/>
    </xf>
    <xf numFmtId="0" fontId="165" fillId="13" borderId="0" xfId="4" applyFont="1" applyFill="1"/>
    <xf numFmtId="0" fontId="165" fillId="0" borderId="0" xfId="4" applyFont="1" applyAlignment="1">
      <alignment horizontal="center" vertical="center"/>
    </xf>
    <xf numFmtId="0" fontId="165" fillId="10" borderId="9" xfId="4" applyFont="1" applyFill="1" applyBorder="1" applyAlignment="1">
      <alignment horizontal="center" vertical="center"/>
    </xf>
    <xf numFmtId="0" fontId="165" fillId="0" borderId="0" xfId="4" applyFont="1" applyAlignment="1">
      <alignment vertical="center"/>
    </xf>
    <xf numFmtId="0" fontId="165" fillId="10" borderId="9" xfId="4" applyFont="1" applyFill="1" applyBorder="1" applyAlignment="1">
      <alignment vertical="top"/>
    </xf>
    <xf numFmtId="0" fontId="165" fillId="0" borderId="0" xfId="4" applyFont="1" applyAlignment="1">
      <alignment vertical="top"/>
    </xf>
    <xf numFmtId="0" fontId="165" fillId="13" borderId="0" xfId="4" applyFont="1" applyFill="1" applyAlignment="1">
      <alignment vertical="top"/>
    </xf>
    <xf numFmtId="0" fontId="165" fillId="0" borderId="4" xfId="4" applyFont="1" applyBorder="1" applyAlignment="1">
      <alignment horizontal="center" vertical="center"/>
    </xf>
    <xf numFmtId="0" fontId="150" fillId="0" borderId="0" xfId="4" applyFont="1" applyAlignment="1">
      <alignment horizontal="center" vertical="center"/>
    </xf>
    <xf numFmtId="0" fontId="157" fillId="13" borderId="0" xfId="4" applyFont="1" applyFill="1"/>
    <xf numFmtId="0" fontId="165" fillId="13" borderId="9" xfId="4" applyFont="1" applyFill="1" applyBorder="1"/>
    <xf numFmtId="0" fontId="162" fillId="13" borderId="0" xfId="4" applyFont="1" applyFill="1" applyAlignment="1">
      <alignment vertical="center"/>
    </xf>
    <xf numFmtId="0" fontId="165" fillId="13" borderId="9" xfId="4" applyFont="1" applyFill="1" applyBorder="1" applyAlignment="1">
      <alignment vertical="top"/>
    </xf>
    <xf numFmtId="0" fontId="157" fillId="13" borderId="4" xfId="4" applyFont="1" applyFill="1" applyBorder="1"/>
    <xf numFmtId="0" fontId="174" fillId="0" borderId="0" xfId="4" applyFont="1" applyAlignment="1">
      <alignment vertical="top" wrapText="1"/>
    </xf>
    <xf numFmtId="0" fontId="164" fillId="0" borderId="0" xfId="4" applyFont="1" applyAlignment="1">
      <alignment vertical="top" wrapText="1"/>
    </xf>
    <xf numFmtId="0" fontId="168" fillId="13" borderId="0" xfId="4" applyFont="1" applyFill="1" applyAlignment="1">
      <alignment vertical="center"/>
    </xf>
    <xf numFmtId="0" fontId="66" fillId="13" borderId="0" xfId="4" applyFont="1" applyFill="1" applyAlignment="1">
      <alignment vertical="center"/>
    </xf>
    <xf numFmtId="0" fontId="157" fillId="13" borderId="9" xfId="4" applyFont="1" applyFill="1" applyBorder="1" applyAlignment="1">
      <alignment vertical="center"/>
    </xf>
    <xf numFmtId="0" fontId="157" fillId="13" borderId="0" xfId="4" applyFont="1" applyFill="1" applyAlignment="1">
      <alignment vertical="center"/>
    </xf>
    <xf numFmtId="0" fontId="168" fillId="13" borderId="9" xfId="4" applyFont="1" applyFill="1" applyBorder="1" applyAlignment="1">
      <alignment vertical="center"/>
    </xf>
    <xf numFmtId="0" fontId="157" fillId="13" borderId="4" xfId="4" applyFont="1" applyFill="1" applyBorder="1" applyAlignment="1">
      <alignment vertical="center"/>
    </xf>
    <xf numFmtId="0" fontId="2" fillId="13" borderId="0" xfId="4" applyFont="1" applyFill="1"/>
    <xf numFmtId="0" fontId="2" fillId="13" borderId="0" xfId="4" applyFont="1" applyFill="1" applyAlignment="1">
      <alignment vertical="center"/>
    </xf>
    <xf numFmtId="0" fontId="165" fillId="0" borderId="0" xfId="4" applyFont="1" applyAlignment="1">
      <alignment horizontal="center" vertical="center" wrapText="1"/>
    </xf>
    <xf numFmtId="0" fontId="157" fillId="0" borderId="9" xfId="4" applyFont="1" applyBorder="1"/>
    <xf numFmtId="0" fontId="157" fillId="0" borderId="4" xfId="4" applyFont="1" applyBorder="1"/>
    <xf numFmtId="0" fontId="165" fillId="3" borderId="3" xfId="4" applyFont="1" applyFill="1" applyBorder="1" applyAlignment="1">
      <alignment horizontal="center" vertical="center" wrapText="1"/>
    </xf>
    <xf numFmtId="0" fontId="165" fillId="13" borderId="14" xfId="4" applyFont="1" applyFill="1" applyBorder="1" applyAlignment="1">
      <alignment horizontal="center" vertical="center" wrapText="1"/>
    </xf>
    <xf numFmtId="0" fontId="120" fillId="0" borderId="13" xfId="4" applyFont="1" applyBorder="1" applyAlignment="1">
      <alignment horizontal="left" vertical="center"/>
    </xf>
    <xf numFmtId="0" fontId="120" fillId="13" borderId="3" xfId="4" applyFont="1" applyFill="1" applyBorder="1" applyAlignment="1">
      <alignment horizontal="center" vertical="center"/>
    </xf>
    <xf numFmtId="0" fontId="120" fillId="0" borderId="14" xfId="4" applyFont="1" applyBorder="1" applyAlignment="1">
      <alignment horizontal="right" vertical="center"/>
    </xf>
    <xf numFmtId="0" fontId="165" fillId="10" borderId="13" xfId="4" applyFont="1" applyFill="1" applyBorder="1" applyAlignment="1">
      <alignment vertical="center" shrinkToFit="1"/>
    </xf>
    <xf numFmtId="0" fontId="165" fillId="13" borderId="0" xfId="4" applyFont="1" applyFill="1" applyAlignment="1">
      <alignment vertical="center"/>
    </xf>
    <xf numFmtId="0" fontId="157" fillId="13" borderId="9" xfId="4" applyFont="1" applyFill="1" applyBorder="1"/>
    <xf numFmtId="0" fontId="170" fillId="13" borderId="0" xfId="4" applyFont="1" applyFill="1" applyAlignment="1">
      <alignment vertical="center"/>
    </xf>
    <xf numFmtId="0" fontId="157" fillId="10" borderId="0" xfId="4" applyFont="1" applyFill="1"/>
    <xf numFmtId="0" fontId="165" fillId="10" borderId="0" xfId="4" applyFont="1" applyFill="1"/>
    <xf numFmtId="0" fontId="33" fillId="13" borderId="9" xfId="4" applyFont="1" applyFill="1" applyBorder="1" applyAlignment="1">
      <alignment vertical="center" wrapText="1"/>
    </xf>
    <xf numFmtId="0" fontId="157" fillId="10" borderId="0" xfId="4" applyFont="1" applyFill="1" applyAlignment="1">
      <alignment vertical="center"/>
    </xf>
    <xf numFmtId="0" fontId="157" fillId="7" borderId="0" xfId="4" applyFont="1" applyFill="1"/>
    <xf numFmtId="0" fontId="120" fillId="13" borderId="9" xfId="4" applyFont="1" applyFill="1" applyBorder="1" applyAlignment="1">
      <alignment horizontal="left"/>
    </xf>
    <xf numFmtId="0" fontId="120" fillId="13" borderId="0" xfId="4" applyFont="1" applyFill="1" applyAlignment="1">
      <alignment horizontal="right"/>
    </xf>
    <xf numFmtId="0" fontId="165" fillId="13" borderId="9" xfId="4" applyFont="1" applyFill="1" applyBorder="1" applyAlignment="1">
      <alignment horizontal="center" vertical="center"/>
    </xf>
    <xf numFmtId="0" fontId="157" fillId="13" borderId="0" xfId="4" applyFont="1" applyFill="1" applyAlignment="1">
      <alignment horizontal="right" vertical="center"/>
    </xf>
    <xf numFmtId="0" fontId="165" fillId="10" borderId="0" xfId="4" applyFont="1" applyFill="1" applyAlignment="1">
      <alignment vertical="center"/>
    </xf>
    <xf numFmtId="0" fontId="175" fillId="10" borderId="0" xfId="4" applyFont="1" applyFill="1" applyAlignment="1">
      <alignment vertical="center"/>
    </xf>
    <xf numFmtId="0" fontId="5" fillId="0" borderId="0" xfId="4" applyFont="1" applyAlignment="1">
      <alignment vertical="center"/>
    </xf>
    <xf numFmtId="0" fontId="157" fillId="0" borderId="0" xfId="4" applyFont="1" applyAlignment="1">
      <alignment vertical="center"/>
    </xf>
    <xf numFmtId="0" fontId="162" fillId="10" borderId="3" xfId="4" applyFont="1" applyFill="1" applyBorder="1" applyAlignment="1">
      <alignment horizontal="center" vertical="center"/>
    </xf>
    <xf numFmtId="0" fontId="165" fillId="13" borderId="3" xfId="4" applyFont="1" applyFill="1" applyBorder="1" applyAlignment="1">
      <alignment vertical="center"/>
    </xf>
    <xf numFmtId="0" fontId="165" fillId="13" borderId="14" xfId="4" applyFont="1" applyFill="1" applyBorder="1" applyAlignment="1">
      <alignment horizontal="center" vertical="center"/>
    </xf>
    <xf numFmtId="0" fontId="165" fillId="10" borderId="13" xfId="4" applyFont="1" applyFill="1" applyBorder="1" applyAlignment="1">
      <alignment horizontal="center" vertical="center"/>
    </xf>
    <xf numFmtId="0" fontId="165" fillId="0" borderId="3" xfId="4" applyFont="1" applyBorder="1" applyAlignment="1">
      <alignment vertical="top"/>
    </xf>
    <xf numFmtId="0" fontId="165" fillId="0" borderId="9" xfId="4" applyFont="1" applyBorder="1"/>
    <xf numFmtId="0" fontId="157" fillId="13" borderId="9" xfId="4" applyFont="1" applyFill="1" applyBorder="1" applyAlignment="1">
      <alignment horizontal="left"/>
    </xf>
    <xf numFmtId="0" fontId="157" fillId="2" borderId="0" xfId="4" applyFont="1" applyFill="1" applyAlignment="1">
      <alignment vertical="center"/>
    </xf>
    <xf numFmtId="0" fontId="157" fillId="13" borderId="0" xfId="4" applyFont="1" applyFill="1" applyAlignment="1">
      <alignment horizontal="right"/>
    </xf>
    <xf numFmtId="0" fontId="168" fillId="13" borderId="4" xfId="4" applyFont="1" applyFill="1" applyBorder="1" applyAlignment="1">
      <alignment vertical="center"/>
    </xf>
    <xf numFmtId="0" fontId="120" fillId="13" borderId="9" xfId="4" applyFont="1" applyFill="1" applyBorder="1"/>
    <xf numFmtId="0" fontId="150" fillId="7" borderId="0" xfId="4" applyFont="1" applyFill="1" applyAlignment="1">
      <alignment horizontal="center" vertical="center"/>
    </xf>
    <xf numFmtId="0" fontId="165" fillId="7" borderId="0" xfId="4" applyFont="1" applyFill="1" applyAlignment="1">
      <alignment horizontal="center" vertical="center"/>
    </xf>
    <xf numFmtId="0" fontId="165" fillId="13" borderId="0" xfId="4" applyFont="1" applyFill="1" applyAlignment="1">
      <alignment horizontal="center" vertical="center"/>
    </xf>
    <xf numFmtId="0" fontId="165" fillId="13" borderId="4" xfId="4" applyFont="1" applyFill="1" applyBorder="1" applyAlignment="1">
      <alignment horizontal="center" vertical="center"/>
    </xf>
    <xf numFmtId="0" fontId="66" fillId="13" borderId="0" xfId="4" applyFont="1" applyFill="1"/>
    <xf numFmtId="0" fontId="168" fillId="13" borderId="4" xfId="4" applyFont="1" applyFill="1" applyBorder="1" applyAlignment="1">
      <alignment vertical="top"/>
    </xf>
    <xf numFmtId="0" fontId="120" fillId="0" borderId="28" xfId="4" applyFont="1" applyBorder="1" applyAlignment="1">
      <alignment horizontal="left" vertical="top"/>
    </xf>
    <xf numFmtId="0" fontId="120" fillId="13" borderId="2" xfId="4" applyFont="1" applyFill="1" applyBorder="1" applyAlignment="1">
      <alignment horizontal="center"/>
    </xf>
    <xf numFmtId="0" fontId="120" fillId="13" borderId="2" xfId="4" applyFont="1" applyFill="1" applyBorder="1" applyAlignment="1">
      <alignment horizontal="center" vertical="center"/>
    </xf>
    <xf numFmtId="0" fontId="120" fillId="0" borderId="29" xfId="4" applyFont="1" applyBorder="1" applyAlignment="1">
      <alignment horizontal="right"/>
    </xf>
    <xf numFmtId="0" fontId="168" fillId="0" borderId="9" xfId="4" applyFont="1" applyBorder="1" applyAlignment="1">
      <alignment vertical="center"/>
    </xf>
    <xf numFmtId="0" fontId="5" fillId="18" borderId="0" xfId="4" applyFont="1" applyFill="1"/>
    <xf numFmtId="0" fontId="164" fillId="18" borderId="0" xfId="4" applyFont="1" applyFill="1"/>
    <xf numFmtId="0" fontId="174" fillId="18" borderId="0" xfId="4" applyFont="1" applyFill="1" applyAlignment="1">
      <alignment vertical="top" wrapText="1"/>
    </xf>
    <xf numFmtId="0" fontId="157" fillId="18" borderId="0" xfId="4" applyFont="1" applyFill="1"/>
    <xf numFmtId="0" fontId="165" fillId="13" borderId="3" xfId="4" applyFont="1" applyFill="1" applyBorder="1" applyAlignment="1">
      <alignment horizontal="center" vertical="center"/>
    </xf>
    <xf numFmtId="0" fontId="168" fillId="0" borderId="0" xfId="4" applyFont="1" applyAlignment="1">
      <alignment vertical="top" wrapText="1"/>
    </xf>
    <xf numFmtId="0" fontId="176" fillId="13" borderId="0" xfId="4" applyFont="1" applyFill="1" applyAlignment="1">
      <alignment vertical="center"/>
    </xf>
    <xf numFmtId="0" fontId="157" fillId="13" borderId="9" xfId="4" applyFont="1" applyFill="1" applyBorder="1" applyAlignment="1">
      <alignment vertical="center" shrinkToFit="1"/>
    </xf>
    <xf numFmtId="0" fontId="157" fillId="19" borderId="0" xfId="4" applyFont="1" applyFill="1"/>
    <xf numFmtId="0" fontId="5" fillId="19" borderId="0" xfId="4" applyFont="1" applyFill="1"/>
    <xf numFmtId="0" fontId="164" fillId="19" borderId="0" xfId="4" applyFont="1" applyFill="1"/>
    <xf numFmtId="0" fontId="174" fillId="19" borderId="0" xfId="4" applyFont="1" applyFill="1" applyAlignment="1">
      <alignment vertical="top" wrapText="1"/>
    </xf>
    <xf numFmtId="0" fontId="163" fillId="19" borderId="0" xfId="4" applyFont="1" applyFill="1"/>
    <xf numFmtId="0" fontId="2" fillId="19" borderId="3" xfId="4" applyFont="1" applyFill="1" applyBorder="1"/>
    <xf numFmtId="0" fontId="164" fillId="19" borderId="3" xfId="4" applyFont="1" applyFill="1" applyBorder="1"/>
    <xf numFmtId="0" fontId="168" fillId="19" borderId="3" xfId="4" applyFont="1" applyFill="1" applyBorder="1"/>
    <xf numFmtId="0" fontId="164" fillId="20" borderId="0" xfId="4" applyFont="1" applyFill="1"/>
    <xf numFmtId="0" fontId="5" fillId="21" borderId="0" xfId="4" applyFont="1" applyFill="1"/>
    <xf numFmtId="0" fontId="157" fillId="22" borderId="0" xfId="4" applyFont="1" applyFill="1"/>
    <xf numFmtId="0" fontId="177" fillId="0" borderId="0" xfId="4" applyFont="1" applyAlignment="1">
      <alignment horizontal="left" indent="1"/>
    </xf>
    <xf numFmtId="0" fontId="177" fillId="0" borderId="0" xfId="4" applyFont="1" applyAlignment="1">
      <alignment horizontal="left" indent="3"/>
    </xf>
    <xf numFmtId="0" fontId="5" fillId="0" borderId="0" xfId="4" quotePrefix="1" applyFont="1" applyAlignment="1">
      <alignment vertical="center"/>
    </xf>
    <xf numFmtId="0" fontId="166" fillId="0" borderId="0" xfId="4" applyFont="1" applyAlignment="1">
      <alignment horizontal="left" indent="1"/>
    </xf>
    <xf numFmtId="0" fontId="166" fillId="0" borderId="0" xfId="4" applyFont="1" applyAlignment="1">
      <alignment vertical="top" wrapText="1"/>
    </xf>
    <xf numFmtId="0" fontId="177" fillId="0" borderId="0" xfId="4" applyFont="1"/>
    <xf numFmtId="0" fontId="178" fillId="0" borderId="0" xfId="4" applyFont="1"/>
    <xf numFmtId="0" fontId="166" fillId="0" borderId="0" xfId="4" applyFont="1" applyAlignment="1">
      <alignment horizontal="left" indent="2"/>
    </xf>
    <xf numFmtId="0" fontId="179" fillId="0" borderId="0" xfId="4" applyFont="1" applyAlignment="1">
      <alignment horizontal="left" indent="2"/>
    </xf>
    <xf numFmtId="0" fontId="177" fillId="0" borderId="0" xfId="4" applyFont="1" applyAlignment="1">
      <alignment vertical="top" wrapText="1"/>
    </xf>
    <xf numFmtId="0" fontId="180" fillId="0" borderId="0" xfId="4" applyFont="1"/>
    <xf numFmtId="0" fontId="157" fillId="2" borderId="0" xfId="4" applyFont="1" applyFill="1"/>
    <xf numFmtId="0" fontId="181" fillId="0" borderId="0" xfId="4" applyFont="1"/>
    <xf numFmtId="0" fontId="182" fillId="0" borderId="0" xfId="4" applyFont="1" applyAlignment="1">
      <alignment horizontal="left" indent="1"/>
    </xf>
    <xf numFmtId="0" fontId="183" fillId="0" borderId="0" xfId="4" applyFont="1" applyAlignment="1">
      <alignment vertical="top" wrapText="1"/>
    </xf>
    <xf numFmtId="0" fontId="184" fillId="0" borderId="0" xfId="4" applyFont="1"/>
    <xf numFmtId="0" fontId="179" fillId="0" borderId="0" xfId="4" applyFont="1" applyAlignment="1">
      <alignment horizontal="left" indent="1"/>
    </xf>
    <xf numFmtId="0" fontId="174" fillId="0" borderId="0" xfId="4" applyFont="1"/>
    <xf numFmtId="0" fontId="185" fillId="0" borderId="0" xfId="4" applyFont="1"/>
    <xf numFmtId="0" fontId="186" fillId="0" borderId="0" xfId="4" applyFont="1"/>
    <xf numFmtId="17" fontId="183" fillId="0" borderId="0" xfId="4" applyNumberFormat="1" applyFont="1" applyAlignment="1">
      <alignment vertical="top" wrapText="1"/>
    </xf>
    <xf numFmtId="0" fontId="157" fillId="0" borderId="0" xfId="0" applyFont="1"/>
    <xf numFmtId="0" fontId="5" fillId="0" borderId="0" xfId="0" applyFont="1"/>
    <xf numFmtId="0" fontId="5" fillId="2" borderId="0" xfId="0" applyFont="1" applyFill="1"/>
    <xf numFmtId="0" fontId="174" fillId="0" borderId="0" xfId="0" applyFont="1" applyAlignment="1">
      <alignment vertical="top" wrapText="1"/>
    </xf>
    <xf numFmtId="0" fontId="4" fillId="0" borderId="0" xfId="0" applyFont="1"/>
    <xf numFmtId="0" fontId="187" fillId="13" borderId="0" xfId="4" applyFont="1" applyFill="1" applyAlignment="1">
      <alignment vertical="center"/>
    </xf>
    <xf numFmtId="0" fontId="14" fillId="0" borderId="83" xfId="0" applyFont="1" applyBorder="1" applyAlignment="1" applyProtection="1">
      <alignment horizontal="right" vertical="center"/>
      <protection locked="0"/>
    </xf>
    <xf numFmtId="0" fontId="14" fillId="0" borderId="83" xfId="0" applyFont="1" applyBorder="1" applyAlignment="1" applyProtection="1">
      <alignment horizontal="center" vertical="center"/>
      <protection locked="0"/>
    </xf>
    <xf numFmtId="0" fontId="157" fillId="0" borderId="0" xfId="4" applyFont="1" applyAlignment="1">
      <alignment horizontal="center"/>
    </xf>
    <xf numFmtId="0" fontId="188" fillId="0" borderId="0" xfId="4" applyFont="1" applyAlignment="1">
      <alignment horizontal="center"/>
    </xf>
    <xf numFmtId="0" fontId="158" fillId="0" borderId="0" xfId="4" applyFont="1" applyAlignment="1">
      <alignment horizontal="center"/>
    </xf>
    <xf numFmtId="0" fontId="14" fillId="0" borderId="83" xfId="3" applyFont="1" applyBorder="1" applyAlignment="1" applyProtection="1">
      <alignment horizontal="right" vertical="center"/>
      <protection locked="0"/>
    </xf>
    <xf numFmtId="0" fontId="14" fillId="0" borderId="83" xfId="3" applyFont="1" applyBorder="1" applyAlignment="1" applyProtection="1">
      <alignment horizontal="center" vertical="center"/>
      <protection locked="0"/>
    </xf>
    <xf numFmtId="0" fontId="111" fillId="0" borderId="107" xfId="0" applyFont="1" applyBorder="1" applyAlignment="1" applyProtection="1">
      <alignment horizontal="center" vertical="center"/>
      <protection hidden="1"/>
    </xf>
    <xf numFmtId="0" fontId="111" fillId="0" borderId="108" xfId="0" applyFont="1" applyBorder="1" applyAlignment="1" applyProtection="1">
      <alignment horizontal="center" vertical="center"/>
      <protection hidden="1"/>
    </xf>
    <xf numFmtId="0" fontId="111" fillId="0" borderId="109" xfId="0" applyFont="1" applyBorder="1" applyAlignment="1" applyProtection="1">
      <alignment horizontal="center" vertical="center"/>
      <protection hidden="1"/>
    </xf>
    <xf numFmtId="0" fontId="111" fillId="0" borderId="110" xfId="0" applyFont="1" applyBorder="1" applyAlignment="1" applyProtection="1">
      <alignment horizontal="center" vertical="center"/>
      <protection hidden="1"/>
    </xf>
    <xf numFmtId="0" fontId="111" fillId="0" borderId="79" xfId="0" applyFont="1" applyBorder="1" applyAlignment="1" applyProtection="1">
      <alignment horizontal="center" vertical="center"/>
      <protection hidden="1"/>
    </xf>
    <xf numFmtId="0" fontId="111" fillId="0" borderId="82" xfId="0" applyFont="1" applyBorder="1" applyAlignment="1" applyProtection="1">
      <alignment horizontal="center" vertical="center"/>
      <protection hidden="1"/>
    </xf>
    <xf numFmtId="0" fontId="111" fillId="0" borderId="80" xfId="0" applyFont="1" applyBorder="1" applyAlignment="1" applyProtection="1">
      <alignment horizontal="center" vertical="center"/>
      <protection hidden="1"/>
    </xf>
    <xf numFmtId="0" fontId="111" fillId="0" borderId="81" xfId="0" applyFont="1" applyBorder="1" applyAlignment="1" applyProtection="1">
      <alignment horizontal="center" vertical="center"/>
      <protection hidden="1"/>
    </xf>
    <xf numFmtId="0" fontId="108" fillId="0" borderId="0" xfId="0" applyFont="1" applyAlignment="1" applyProtection="1">
      <alignment horizontal="left" vertical="center"/>
      <protection hidden="1"/>
    </xf>
    <xf numFmtId="0" fontId="108" fillId="0" borderId="78" xfId="0" applyFont="1" applyBorder="1" applyAlignment="1" applyProtection="1">
      <alignment horizontal="left" vertical="center"/>
      <protection hidden="1"/>
    </xf>
    <xf numFmtId="0" fontId="63" fillId="0" borderId="0" xfId="0" applyFont="1" applyAlignment="1" applyProtection="1">
      <alignment horizontal="justify" vertical="justify" wrapText="1"/>
      <protection hidden="1"/>
    </xf>
    <xf numFmtId="0" fontId="62" fillId="0" borderId="0" xfId="0" applyFont="1" applyAlignment="1" applyProtection="1">
      <alignment horizontal="justify" vertical="justify" wrapText="1"/>
      <protection hidden="1"/>
    </xf>
    <xf numFmtId="0" fontId="69" fillId="0" borderId="0" xfId="0" applyFont="1" applyAlignment="1" applyProtection="1">
      <alignment horizontal="justify" vertical="justify" wrapText="1"/>
      <protection hidden="1"/>
    </xf>
    <xf numFmtId="0" fontId="131" fillId="6" borderId="105" xfId="0" applyFont="1" applyFill="1" applyBorder="1" applyAlignment="1" applyProtection="1">
      <alignment horizontal="center" vertical="center"/>
      <protection locked="0"/>
    </xf>
    <xf numFmtId="0" fontId="131" fillId="6" borderId="106" xfId="0" applyFont="1" applyFill="1" applyBorder="1" applyAlignment="1" applyProtection="1">
      <alignment horizontal="center" vertical="center"/>
      <protection locked="0"/>
    </xf>
    <xf numFmtId="0" fontId="131" fillId="6" borderId="104" xfId="0" applyFont="1" applyFill="1" applyBorder="1" applyAlignment="1" applyProtection="1">
      <alignment horizontal="center" vertical="center"/>
      <protection locked="0"/>
    </xf>
    <xf numFmtId="0" fontId="69" fillId="0" borderId="0" xfId="0" applyFont="1" applyAlignment="1" applyProtection="1">
      <alignment horizontal="center" vertical="center"/>
      <protection hidden="1"/>
    </xf>
    <xf numFmtId="0" fontId="15" fillId="0" borderId="111" xfId="0" applyFont="1" applyBorder="1" applyAlignment="1" applyProtection="1">
      <alignment horizontal="center" vertical="center"/>
      <protection hidden="1"/>
    </xf>
    <xf numFmtId="0" fontId="15" fillId="0" borderId="112" xfId="0" applyFont="1" applyBorder="1" applyAlignment="1" applyProtection="1">
      <alignment horizontal="center" vertical="center"/>
      <protection hidden="1"/>
    </xf>
    <xf numFmtId="0" fontId="15" fillId="0" borderId="113" xfId="0" applyFont="1" applyBorder="1" applyAlignment="1" applyProtection="1">
      <alignment horizontal="center" vertical="center"/>
      <protection hidden="1"/>
    </xf>
    <xf numFmtId="0" fontId="15" fillId="0" borderId="114" xfId="0" applyFont="1" applyBorder="1" applyAlignment="1" applyProtection="1">
      <alignment horizontal="center" vertical="center"/>
      <protection hidden="1"/>
    </xf>
    <xf numFmtId="0" fontId="58" fillId="0" borderId="32" xfId="0" applyFont="1" applyBorder="1" applyAlignment="1" applyProtection="1">
      <alignment horizontal="center"/>
      <protection hidden="1"/>
    </xf>
    <xf numFmtId="0" fontId="58" fillId="0" borderId="115" xfId="0" applyFont="1" applyBorder="1" applyAlignment="1" applyProtection="1">
      <alignment horizontal="center"/>
      <protection hidden="1"/>
    </xf>
    <xf numFmtId="0" fontId="50" fillId="0" borderId="0" xfId="0" applyFont="1" applyAlignment="1" applyProtection="1">
      <alignment horizontal="center" vertical="center"/>
      <protection hidden="1"/>
    </xf>
    <xf numFmtId="0" fontId="55" fillId="0" borderId="116" xfId="0" applyFont="1" applyBorder="1" applyAlignment="1" applyProtection="1">
      <alignment horizontal="center"/>
      <protection hidden="1"/>
    </xf>
    <xf numFmtId="0" fontId="55" fillId="0" borderId="117" xfId="0" applyFont="1" applyBorder="1" applyAlignment="1" applyProtection="1">
      <alignment horizontal="center"/>
      <protection hidden="1"/>
    </xf>
    <xf numFmtId="0" fontId="55" fillId="0" borderId="118" xfId="0" applyFont="1" applyBorder="1" applyAlignment="1" applyProtection="1">
      <alignment horizontal="center"/>
      <protection hidden="1"/>
    </xf>
    <xf numFmtId="0" fontId="50" fillId="0" borderId="119" xfId="0" applyFont="1" applyBorder="1" applyAlignment="1" applyProtection="1">
      <alignment horizontal="center" vertical="center"/>
      <protection hidden="1"/>
    </xf>
    <xf numFmtId="0" fontId="7" fillId="0" borderId="24" xfId="5" applyFont="1" applyBorder="1" applyAlignment="1" applyProtection="1">
      <alignment horizontal="left"/>
      <protection hidden="1"/>
    </xf>
    <xf numFmtId="0" fontId="7" fillId="0" borderId="25" xfId="5" applyFont="1" applyBorder="1" applyAlignment="1" applyProtection="1">
      <alignment horizontal="left"/>
      <protection hidden="1"/>
    </xf>
    <xf numFmtId="166" fontId="56" fillId="0" borderId="15" xfId="0" applyNumberFormat="1" applyFont="1" applyBorder="1" applyAlignment="1" applyProtection="1">
      <alignment horizontal="center"/>
      <protection hidden="1"/>
    </xf>
    <xf numFmtId="166" fontId="56" fillId="0" borderId="120" xfId="0" applyNumberFormat="1" applyFont="1" applyBorder="1" applyAlignment="1" applyProtection="1">
      <alignment horizontal="center"/>
      <protection hidden="1"/>
    </xf>
    <xf numFmtId="0" fontId="53" fillId="0" borderId="116" xfId="0" applyFont="1" applyBorder="1" applyAlignment="1" applyProtection="1">
      <alignment horizontal="center"/>
      <protection hidden="1"/>
    </xf>
    <xf numFmtId="0" fontId="53" fillId="0" borderId="117" xfId="0" applyFont="1" applyBorder="1" applyAlignment="1" applyProtection="1">
      <alignment horizontal="center"/>
      <protection hidden="1"/>
    </xf>
    <xf numFmtId="0" fontId="53" fillId="0" borderId="118" xfId="0" applyFont="1" applyBorder="1" applyAlignment="1" applyProtection="1">
      <alignment horizontal="center"/>
      <protection hidden="1"/>
    </xf>
    <xf numFmtId="167" fontId="56" fillId="0" borderId="15" xfId="0" applyNumberFormat="1" applyFont="1" applyBorder="1" applyAlignment="1" applyProtection="1">
      <alignment horizontal="center"/>
      <protection hidden="1"/>
    </xf>
    <xf numFmtId="0" fontId="56" fillId="0" borderId="15" xfId="0" applyFont="1" applyBorder="1" applyAlignment="1" applyProtection="1">
      <alignment horizontal="center"/>
      <protection hidden="1"/>
    </xf>
    <xf numFmtId="0" fontId="56" fillId="0" borderId="120" xfId="0" applyFont="1" applyBorder="1" applyAlignment="1" applyProtection="1">
      <alignment horizontal="center"/>
      <protection hidden="1"/>
    </xf>
    <xf numFmtId="0" fontId="44" fillId="0" borderId="2" xfId="0" applyFont="1" applyBorder="1" applyAlignment="1" applyProtection="1">
      <alignment horizontal="left"/>
      <protection hidden="1"/>
    </xf>
    <xf numFmtId="167" fontId="2" fillId="0" borderId="28" xfId="0" applyNumberFormat="1" applyFont="1" applyBorder="1" applyAlignment="1" applyProtection="1">
      <alignment horizontal="center"/>
      <protection hidden="1"/>
    </xf>
    <xf numFmtId="167" fontId="2" fillId="0" borderId="2" xfId="0" applyNumberFormat="1" applyFont="1" applyBorder="1" applyAlignment="1" applyProtection="1">
      <alignment horizontal="center"/>
      <protection hidden="1"/>
    </xf>
    <xf numFmtId="167" fontId="31" fillId="0" borderId="0" xfId="0" applyNumberFormat="1" applyFont="1" applyAlignment="1" applyProtection="1">
      <alignment horizontal="center"/>
      <protection hidden="1"/>
    </xf>
    <xf numFmtId="0" fontId="3" fillId="0" borderId="0" xfId="0" applyFont="1" applyAlignment="1" applyProtection="1">
      <alignment horizontal="right"/>
      <protection hidden="1"/>
    </xf>
    <xf numFmtId="167" fontId="29" fillId="0" borderId="1" xfId="0" applyNumberFormat="1" applyFont="1" applyBorder="1" applyAlignment="1" applyProtection="1">
      <alignment horizontal="center"/>
      <protection hidden="1"/>
    </xf>
    <xf numFmtId="167" fontId="2" fillId="0" borderId="9" xfId="0" applyNumberFormat="1" applyFont="1" applyBorder="1" applyAlignment="1" applyProtection="1">
      <alignment horizontal="center"/>
      <protection hidden="1"/>
    </xf>
    <xf numFmtId="0" fontId="0" fillId="0" borderId="0" xfId="0" applyAlignment="1">
      <alignment horizontal="center"/>
    </xf>
    <xf numFmtId="167" fontId="36" fillId="0" borderId="0" xfId="0" applyNumberFormat="1" applyFont="1" applyAlignment="1" applyProtection="1">
      <alignment horizontal="center"/>
      <protection hidden="1"/>
    </xf>
    <xf numFmtId="165" fontId="10" fillId="0" borderId="0" xfId="0" applyNumberFormat="1" applyFont="1" applyAlignment="1" applyProtection="1">
      <alignment horizontal="center"/>
      <protection hidden="1"/>
    </xf>
    <xf numFmtId="0" fontId="49" fillId="0" borderId="3" xfId="0" applyFont="1" applyBorder="1" applyAlignment="1" applyProtection="1">
      <alignment horizontal="left"/>
      <protection hidden="1"/>
    </xf>
    <xf numFmtId="0" fontId="3" fillId="0" borderId="0" xfId="0" applyFont="1" applyAlignment="1" applyProtection="1">
      <alignment horizontal="left"/>
      <protection hidden="1"/>
    </xf>
    <xf numFmtId="166" fontId="31" fillId="0" borderId="0" xfId="0" applyNumberFormat="1" applyFont="1" applyAlignment="1" applyProtection="1">
      <alignment horizontal="center"/>
      <protection hidden="1"/>
    </xf>
    <xf numFmtId="0" fontId="38" fillId="0" borderId="121" xfId="0" applyFont="1" applyBorder="1" applyAlignment="1" applyProtection="1">
      <alignment horizontal="center" vertical="center"/>
      <protection hidden="1"/>
    </xf>
    <xf numFmtId="0" fontId="38" fillId="0" borderId="122" xfId="0" applyFont="1" applyBorder="1" applyAlignment="1" applyProtection="1">
      <alignment horizontal="center" vertical="center"/>
      <protection hidden="1"/>
    </xf>
    <xf numFmtId="0" fontId="29" fillId="0" borderId="28" xfId="0" applyFont="1" applyBorder="1" applyAlignment="1" applyProtection="1">
      <alignment horizontal="center" vertical="center"/>
      <protection hidden="1"/>
    </xf>
    <xf numFmtId="0" fontId="29" fillId="0" borderId="29" xfId="0" applyFont="1" applyBorder="1" applyAlignment="1" applyProtection="1">
      <alignment horizontal="center" vertical="center"/>
      <protection hidden="1"/>
    </xf>
    <xf numFmtId="0" fontId="38" fillId="0" borderId="39" xfId="0" applyFont="1" applyBorder="1" applyAlignment="1" applyProtection="1">
      <alignment horizontal="center"/>
      <protection hidden="1"/>
    </xf>
    <xf numFmtId="0" fontId="38" fillId="0" borderId="24" xfId="0" applyFont="1" applyBorder="1" applyAlignment="1" applyProtection="1">
      <alignment horizontal="center"/>
      <protection hidden="1"/>
    </xf>
    <xf numFmtId="0" fontId="38" fillId="0" borderId="25" xfId="0" applyFont="1" applyBorder="1" applyAlignment="1" applyProtection="1">
      <alignment horizontal="center"/>
      <protection hidden="1"/>
    </xf>
    <xf numFmtId="0" fontId="158" fillId="0" borderId="0" xfId="4" applyFont="1" applyAlignment="1">
      <alignment horizontal="right"/>
    </xf>
    <xf numFmtId="0" fontId="157" fillId="0" borderId="0" xfId="4" applyFont="1" applyAlignment="1">
      <alignment horizontal="right"/>
    </xf>
    <xf numFmtId="0" fontId="166" fillId="3" borderId="0" xfId="4" applyFont="1" applyFill="1" applyAlignment="1">
      <alignment horizontal="center"/>
    </xf>
    <xf numFmtId="0" fontId="183" fillId="0" borderId="0" xfId="4" applyFont="1" applyAlignment="1">
      <alignment vertical="top" wrapText="1"/>
    </xf>
    <xf numFmtId="17" fontId="183" fillId="0" borderId="0" xfId="4" applyNumberFormat="1" applyFont="1" applyAlignment="1">
      <alignment vertical="top" wrapText="1"/>
    </xf>
    <xf numFmtId="0" fontId="174" fillId="0" borderId="0" xfId="4" applyFont="1" applyAlignment="1">
      <alignment vertical="top" wrapText="1"/>
    </xf>
    <xf numFmtId="0" fontId="168" fillId="0" borderId="0" xfId="4" applyFont="1" applyAlignment="1">
      <alignment vertical="top" wrapText="1"/>
    </xf>
    <xf numFmtId="0" fontId="165" fillId="0" borderId="0" xfId="4" applyFont="1" applyAlignment="1">
      <alignment horizontal="center" vertical="center" wrapText="1"/>
    </xf>
    <xf numFmtId="0" fontId="165" fillId="0" borderId="0" xfId="4" applyFont="1" applyAlignment="1">
      <alignment horizontal="center" vertical="center"/>
    </xf>
    <xf numFmtId="0" fontId="165" fillId="0" borderId="0" xfId="0" applyFont="1" applyAlignment="1">
      <alignment horizontal="center" vertical="center" wrapText="1"/>
    </xf>
    <xf numFmtId="0" fontId="165" fillId="0" borderId="0" xfId="0" applyFont="1" applyAlignment="1">
      <alignment horizontal="center" vertical="center"/>
    </xf>
    <xf numFmtId="0" fontId="5" fillId="0" borderId="0" xfId="4" quotePrefix="1" applyFont="1" applyAlignment="1">
      <alignment horizontal="center" vertical="center" wrapText="1"/>
    </xf>
    <xf numFmtId="0" fontId="166" fillId="0" borderId="0" xfId="4" applyFont="1" applyAlignment="1">
      <alignment vertical="top" wrapText="1"/>
    </xf>
    <xf numFmtId="0" fontId="147" fillId="0" borderId="0" xfId="4" applyFont="1" applyAlignment="1">
      <alignment horizontal="center" vertical="center" wrapText="1"/>
    </xf>
    <xf numFmtId="0" fontId="147" fillId="13" borderId="0" xfId="4" applyFont="1" applyFill="1" applyAlignment="1">
      <alignment horizontal="center" vertical="center" wrapText="1"/>
    </xf>
    <xf numFmtId="0" fontId="147" fillId="0" borderId="3" xfId="4" applyFont="1" applyBorder="1" applyAlignment="1">
      <alignment horizontal="center" vertical="top"/>
    </xf>
    <xf numFmtId="0" fontId="147" fillId="0" borderId="2" xfId="4" applyFont="1" applyBorder="1" applyAlignment="1">
      <alignment horizontal="center" vertical="top"/>
    </xf>
    <xf numFmtId="0" fontId="147" fillId="13" borderId="0" xfId="4" applyFont="1" applyFill="1" applyAlignment="1">
      <alignment horizontal="center" vertical="center"/>
    </xf>
    <xf numFmtId="0" fontId="147" fillId="0" borderId="0" xfId="4" applyFont="1" applyAlignment="1">
      <alignment horizontal="center" vertical="center" wrapText="1" shrinkToFit="1"/>
    </xf>
    <xf numFmtId="0" fontId="147" fillId="0" borderId="3" xfId="4" applyFont="1" applyBorder="1" applyAlignment="1">
      <alignment horizontal="center" vertical="center"/>
    </xf>
  </cellXfs>
  <cellStyles count="6">
    <cellStyle name="Bình thường" xfId="0" builtinId="0"/>
    <cellStyle name="Dấu phẩy" xfId="1" builtinId="3"/>
    <cellStyle name="Normal 2" xfId="3" xr:uid="{196E4E8F-B229-4CEE-92AE-49EAB0F221B7}"/>
    <cellStyle name="Normal 3" xfId="4" xr:uid="{91FFD76E-37B2-4EF7-83FD-090224544D76}"/>
    <cellStyle name="Normal_Book1" xfId="5" xr:uid="{85E0A88D-290B-45C7-BCF7-62A7DA895D05}"/>
    <cellStyle name="Siêu kết nối" xfId="2" builtinId="8"/>
  </cellStyles>
  <dxfs count="419">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40"/>
      </font>
    </dxf>
    <dxf>
      <font>
        <color indexed="52"/>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52"/>
        <name val="Cambria"/>
        <scheme val="none"/>
      </font>
    </dxf>
    <dxf>
      <font>
        <color indexed="17"/>
        <name val="Cambria"/>
        <scheme val="none"/>
      </font>
    </dxf>
    <dxf>
      <font>
        <condense val="0"/>
        <extend val="0"/>
        <color indexed="10"/>
      </font>
    </dxf>
    <dxf>
      <font>
        <color indexed="10"/>
      </font>
    </dxf>
    <dxf>
      <font>
        <color indexed="17"/>
      </font>
    </dxf>
    <dxf>
      <font>
        <color indexed="52"/>
        <name val="Cambria"/>
        <scheme val="none"/>
      </font>
    </dxf>
    <dxf>
      <font>
        <color indexed="10"/>
      </font>
    </dxf>
    <dxf>
      <font>
        <color indexed="40"/>
      </font>
    </dxf>
    <dxf>
      <font>
        <color indexed="52"/>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7"/>
      </font>
    </dxf>
    <dxf>
      <font>
        <color indexed="52"/>
        <name val="Cambria"/>
        <scheme val="none"/>
      </font>
    </dxf>
    <dxf>
      <font>
        <color indexed="10"/>
      </font>
    </dxf>
    <dxf>
      <font>
        <color indexed="52"/>
        <name val="Cambria"/>
        <scheme val="none"/>
      </font>
    </dxf>
    <dxf>
      <font>
        <color indexed="10"/>
      </font>
    </dxf>
    <dxf>
      <font>
        <color indexed="17"/>
      </font>
    </dxf>
    <dxf>
      <font>
        <condense val="0"/>
        <extend val="0"/>
        <color indexed="52"/>
      </font>
    </dxf>
    <dxf>
      <font>
        <color indexed="10"/>
      </font>
    </dxf>
    <dxf>
      <font>
        <color indexed="17"/>
      </font>
    </dxf>
    <dxf>
      <font>
        <color indexed="52"/>
        <name val="Cambria"/>
        <scheme val="none"/>
      </font>
    </dxf>
    <dxf>
      <font>
        <color indexed="10"/>
      </font>
    </dxf>
    <dxf>
      <font>
        <color indexed="17"/>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52"/>
        <name val="Cambria"/>
        <scheme val="none"/>
      </font>
    </dxf>
    <dxf>
      <font>
        <color indexed="17"/>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ndense val="0"/>
        <extend val="0"/>
        <color indexed="52"/>
      </font>
    </dxf>
    <dxf>
      <font>
        <condense val="0"/>
        <extend val="0"/>
        <color indexed="40"/>
      </font>
    </dxf>
    <dxf>
      <font>
        <condense val="0"/>
        <extend val="0"/>
        <color indexed="10"/>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indexed="10"/>
      </font>
    </dxf>
    <dxf>
      <font>
        <color indexed="17"/>
      </font>
    </dxf>
    <dxf>
      <font>
        <color indexed="52"/>
        <name val="Cambria"/>
        <scheme val="none"/>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b val="0"/>
        <i val="0"/>
        <color rgb="FFFF9900"/>
        <name val="Cambria"/>
        <scheme val="none"/>
      </font>
    </dxf>
    <dxf>
      <font>
        <color theme="1" tint="0.499984740745262"/>
      </font>
    </dxf>
    <dxf>
      <font>
        <color indexed="10"/>
      </font>
    </dxf>
    <dxf>
      <font>
        <color indexed="17"/>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9900"/>
        <name val="Cambria"/>
        <scheme val="none"/>
      </font>
    </dxf>
    <dxf>
      <font>
        <color rgb="FF00B050"/>
        <name val="Cambria"/>
        <scheme val="none"/>
      </font>
    </dxf>
    <dxf>
      <font>
        <condense val="0"/>
        <extend val="0"/>
        <color indexed="10"/>
      </font>
    </dxf>
    <dxf>
      <font>
        <color theme="1" tint="0.499984740745262"/>
      </font>
    </dxf>
    <dxf>
      <font>
        <color rgb="FFFF0000"/>
      </font>
    </dxf>
    <dxf>
      <font>
        <color rgb="FF00B050"/>
      </font>
    </dxf>
    <dxf>
      <font>
        <color rgb="FFFF9900"/>
        <name val="Cambria"/>
        <scheme val="none"/>
      </font>
    </dxf>
    <dxf>
      <font>
        <color theme="0"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0" tint="-0.499984740745262"/>
      </font>
    </dxf>
    <dxf>
      <font>
        <color rgb="FFFF0000"/>
      </font>
    </dxf>
    <dxf>
      <font>
        <color rgb="FF00B050"/>
      </font>
    </dxf>
    <dxf>
      <font>
        <color rgb="FFFF9900"/>
        <name val="Cambria"/>
        <scheme val="none"/>
      </font>
    </dxf>
    <dxf>
      <font>
        <color theme="0" tint="-0.499984740745262"/>
      </font>
    </dxf>
    <dxf>
      <font>
        <color rgb="FFFF0000"/>
      </font>
    </dxf>
    <dxf>
      <font>
        <color rgb="FF00B050"/>
      </font>
    </dxf>
    <dxf>
      <font>
        <color rgb="FFFF9900"/>
        <name val="Cambria"/>
        <scheme val="none"/>
      </font>
    </dxf>
    <dxf>
      <font>
        <color theme="0" tint="-0.499984740745262"/>
      </font>
    </dxf>
    <dxf>
      <font>
        <color rgb="FFFF0000"/>
      </font>
    </dxf>
    <dxf>
      <font>
        <color rgb="FF00B050"/>
      </font>
    </dxf>
    <dxf>
      <font>
        <color rgb="FFFF9900"/>
        <name val="Cambria"/>
        <scheme val="none"/>
      </font>
    </dxf>
    <dxf>
      <font>
        <color theme="0"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name val="Cambria"/>
        <scheme val="none"/>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name val="Cambria"/>
        <scheme val="none"/>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F0"/>
      </font>
    </dxf>
    <dxf>
      <font>
        <color rgb="FFFF9900"/>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color rgb="FFFF0000"/>
      </font>
    </dxf>
    <dxf>
      <font>
        <color rgb="FF00B050"/>
      </font>
    </dxf>
    <dxf>
      <font>
        <color rgb="FFFF9900"/>
        <name val="Cambria"/>
        <scheme val="none"/>
      </font>
    </dxf>
    <dxf>
      <font>
        <color theme="1" tint="0.499984740745262"/>
      </font>
    </dxf>
    <dxf>
      <font>
        <b/>
        <i val="0"/>
        <condense val="0"/>
        <extend val="0"/>
        <color indexed="10"/>
      </font>
      <fill>
        <patternFill patternType="solid">
          <bgColor indexed="41"/>
        </patternFill>
      </fill>
    </dxf>
    <dxf>
      <font>
        <condense val="0"/>
        <extend val="0"/>
        <color indexed="10"/>
      </font>
      <fill>
        <patternFill>
          <bgColor indexed="1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Spin" dx="15" fmlaLink="Setup!AK3" max="12" min="1" page="10" val="5"/>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16</xdr:col>
          <xdr:colOff>0</xdr:colOff>
          <xdr:row>0</xdr:row>
          <xdr:rowOff>0</xdr:rowOff>
        </xdr:from>
        <xdr:to>
          <xdr:col>17</xdr:col>
          <xdr:colOff>0</xdr:colOff>
          <xdr:row>1</xdr:row>
          <xdr:rowOff>0</xdr:rowOff>
        </xdr:to>
        <xdr:sp macro="" textlink="">
          <xdr:nvSpPr>
            <xdr:cNvPr id="1044" name="Spinner 20" hidden="1">
              <a:extLst>
                <a:ext uri="{63B3BB69-23CF-44E3-9099-C40C66FF867C}">
                  <a14:compatExt spid="_x0000_s1044"/>
                </a:ext>
                <a:ext uri="{FF2B5EF4-FFF2-40B4-BE49-F238E27FC236}">
                  <a16:creationId xmlns:a16="http://schemas.microsoft.com/office/drawing/2014/main" id="{00000000-0008-0000-0400-00001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etrungtu2008@yaho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0C08-EF59-41B4-B736-E66A80E0423B}">
  <sheetPr codeName="Sheet5"/>
  <dimension ref="B2:M32"/>
  <sheetViews>
    <sheetView showGridLines="0" showRowColHeaders="0" workbookViewId="0">
      <selection activeCell="F33" sqref="F33"/>
    </sheetView>
  </sheetViews>
  <sheetFormatPr defaultRowHeight="12.2" customHeight="1"/>
  <cols>
    <col min="1" max="1" width="6" style="283" customWidth="1"/>
    <col min="2" max="2" width="10.7109375" style="283" customWidth="1"/>
    <col min="3" max="16384" width="9.140625" style="283"/>
  </cols>
  <sheetData>
    <row r="2" spans="2:13" ht="12.2" customHeight="1">
      <c r="B2" s="408" t="s">
        <v>981</v>
      </c>
      <c r="C2" s="286"/>
      <c r="D2" s="286"/>
      <c r="E2" s="286"/>
      <c r="F2" s="286"/>
      <c r="G2" s="286"/>
      <c r="H2" s="286"/>
      <c r="I2" s="286"/>
      <c r="J2" s="286"/>
      <c r="K2" s="286"/>
      <c r="L2" s="286"/>
    </row>
    <row r="3" spans="2:13" ht="12.2" customHeight="1">
      <c r="B3" s="408" t="s">
        <v>957</v>
      </c>
      <c r="C3" s="286"/>
      <c r="D3" s="286"/>
      <c r="E3" s="286"/>
      <c r="F3" s="286"/>
      <c r="G3" s="286"/>
      <c r="H3" s="286"/>
      <c r="I3" s="286"/>
      <c r="J3" s="286"/>
      <c r="K3" s="286"/>
      <c r="L3" s="286"/>
    </row>
    <row r="4" spans="2:13" ht="12.2" customHeight="1">
      <c r="B4" s="691" t="s">
        <v>958</v>
      </c>
      <c r="C4" s="286"/>
      <c r="D4" s="286"/>
      <c r="E4" s="286"/>
      <c r="F4" s="286"/>
      <c r="G4" s="286"/>
      <c r="H4" s="286"/>
      <c r="I4" s="286"/>
      <c r="J4" s="286"/>
      <c r="K4" s="286"/>
      <c r="L4" s="286"/>
    </row>
    <row r="5" spans="2:13" ht="12.2" customHeight="1">
      <c r="B5" s="408"/>
      <c r="C5" s="286"/>
      <c r="D5" s="286"/>
      <c r="E5" s="286"/>
      <c r="F5" s="286"/>
      <c r="G5" s="286"/>
      <c r="H5" s="286"/>
      <c r="I5" s="286"/>
      <c r="J5" s="286"/>
      <c r="K5" s="286"/>
      <c r="L5" s="286"/>
    </row>
    <row r="6" spans="2:13" ht="12.2" customHeight="1">
      <c r="B6" s="976" t="s">
        <v>1144</v>
      </c>
      <c r="C6" s="976"/>
      <c r="D6" s="976"/>
      <c r="E6" s="976"/>
      <c r="F6" s="976"/>
      <c r="G6" s="976"/>
      <c r="H6" s="976"/>
      <c r="I6" s="976"/>
      <c r="J6" s="976"/>
      <c r="K6" s="976"/>
      <c r="L6" s="976"/>
      <c r="M6" s="285"/>
    </row>
    <row r="7" spans="2:13" ht="12.2" customHeight="1">
      <c r="B7" s="976"/>
      <c r="C7" s="976"/>
      <c r="D7" s="976"/>
      <c r="E7" s="976"/>
      <c r="F7" s="976"/>
      <c r="G7" s="976"/>
      <c r="H7" s="976"/>
      <c r="I7" s="976"/>
      <c r="J7" s="976"/>
      <c r="K7" s="976"/>
      <c r="L7" s="976"/>
      <c r="M7" s="285"/>
    </row>
    <row r="8" spans="2:13" ht="12.2" customHeight="1">
      <c r="B8" s="282"/>
      <c r="C8" s="282"/>
      <c r="D8" s="282"/>
      <c r="E8" s="282"/>
      <c r="F8" s="282"/>
      <c r="G8" s="282"/>
      <c r="H8" s="282"/>
      <c r="I8" s="282"/>
      <c r="J8" s="282"/>
      <c r="K8" s="282"/>
      <c r="L8" s="282"/>
      <c r="M8" s="285"/>
    </row>
    <row r="9" spans="2:13" ht="12.2" customHeight="1">
      <c r="B9" s="975" t="s">
        <v>8021</v>
      </c>
      <c r="C9" s="975"/>
      <c r="D9" s="975"/>
      <c r="E9" s="975"/>
      <c r="F9" s="975"/>
      <c r="G9" s="975"/>
      <c r="H9" s="975"/>
      <c r="I9" s="975"/>
      <c r="J9" s="975"/>
      <c r="K9" s="975"/>
      <c r="L9" s="975"/>
      <c r="M9" s="285"/>
    </row>
    <row r="10" spans="2:13" ht="12.2" customHeight="1">
      <c r="B10" s="975"/>
      <c r="C10" s="975"/>
      <c r="D10" s="975"/>
      <c r="E10" s="975"/>
      <c r="F10" s="975"/>
      <c r="G10" s="975"/>
      <c r="H10" s="975"/>
      <c r="I10" s="975"/>
      <c r="J10" s="975"/>
      <c r="K10" s="975"/>
      <c r="L10" s="975"/>
      <c r="M10" s="285"/>
    </row>
    <row r="11" spans="2:13" ht="12.2" customHeight="1">
      <c r="B11" s="975"/>
      <c r="C11" s="975"/>
      <c r="D11" s="975"/>
      <c r="E11" s="975"/>
      <c r="F11" s="975"/>
      <c r="G11" s="975"/>
      <c r="H11" s="975"/>
      <c r="I11" s="975"/>
      <c r="J11" s="975"/>
      <c r="K11" s="975"/>
      <c r="L11" s="975"/>
      <c r="M11" s="285"/>
    </row>
    <row r="12" spans="2:13" ht="12.2" customHeight="1">
      <c r="B12" s="286"/>
      <c r="C12" s="286"/>
      <c r="D12" s="286"/>
      <c r="E12" s="286"/>
      <c r="F12" s="286"/>
      <c r="G12" s="286"/>
      <c r="H12" s="286"/>
      <c r="I12" s="286"/>
      <c r="J12" s="286"/>
      <c r="K12" s="286"/>
      <c r="L12" s="286"/>
      <c r="M12" s="285"/>
    </row>
    <row r="13" spans="2:13" ht="12.2" customHeight="1">
      <c r="B13" s="975" t="s">
        <v>702</v>
      </c>
      <c r="C13" s="975"/>
      <c r="D13" s="975"/>
      <c r="E13" s="975"/>
      <c r="F13" s="975"/>
      <c r="G13" s="975"/>
      <c r="H13" s="975"/>
      <c r="I13" s="975"/>
      <c r="J13" s="975"/>
      <c r="K13" s="975"/>
      <c r="L13" s="975"/>
    </row>
    <row r="14" spans="2:13" ht="12.2" customHeight="1">
      <c r="B14" s="975"/>
      <c r="C14" s="975"/>
      <c r="D14" s="975"/>
      <c r="E14" s="975"/>
      <c r="F14" s="975"/>
      <c r="G14" s="975"/>
      <c r="H14" s="975"/>
      <c r="I14" s="975"/>
      <c r="J14" s="975"/>
      <c r="K14" s="975"/>
      <c r="L14" s="975"/>
    </row>
    <row r="15" spans="2:13" ht="12.2" customHeight="1">
      <c r="B15" s="975"/>
      <c r="C15" s="975"/>
      <c r="D15" s="975"/>
      <c r="E15" s="975"/>
      <c r="F15" s="975"/>
      <c r="G15" s="975"/>
      <c r="H15" s="975"/>
      <c r="I15" s="975"/>
      <c r="J15" s="975"/>
      <c r="K15" s="975"/>
      <c r="L15" s="975"/>
    </row>
    <row r="16" spans="2:13" ht="12.2" customHeight="1">
      <c r="B16" s="287"/>
      <c r="C16" s="287"/>
      <c r="D16" s="287"/>
      <c r="E16" s="287"/>
      <c r="F16" s="287"/>
      <c r="G16" s="287"/>
      <c r="H16" s="287"/>
      <c r="I16" s="287"/>
      <c r="J16" s="287"/>
      <c r="K16" s="287"/>
      <c r="L16" s="287"/>
    </row>
    <row r="17" spans="2:12" ht="12.2" customHeight="1">
      <c r="B17" s="284" t="s">
        <v>761</v>
      </c>
      <c r="C17" s="287"/>
      <c r="D17" s="287"/>
      <c r="E17" s="287"/>
      <c r="F17" s="287"/>
      <c r="G17" s="287"/>
      <c r="H17" s="287"/>
      <c r="I17" s="287"/>
      <c r="J17" s="287"/>
      <c r="K17" s="287"/>
      <c r="L17" s="287"/>
    </row>
    <row r="18" spans="2:12" ht="12.2" customHeight="1">
      <c r="B18" s="287"/>
      <c r="C18" s="287"/>
      <c r="D18" s="287"/>
      <c r="E18" s="287"/>
      <c r="F18" s="287"/>
      <c r="G18" s="287"/>
      <c r="H18" s="287"/>
      <c r="I18" s="287"/>
      <c r="J18" s="287"/>
      <c r="K18" s="287"/>
      <c r="L18" s="287"/>
    </row>
    <row r="19" spans="2:12" ht="12.2" customHeight="1">
      <c r="B19" s="977" t="s">
        <v>1145</v>
      </c>
      <c r="C19" s="977"/>
      <c r="D19" s="977"/>
      <c r="E19" s="977"/>
      <c r="F19" s="977"/>
      <c r="G19" s="977"/>
      <c r="H19" s="977"/>
      <c r="I19" s="977"/>
      <c r="J19" s="977"/>
      <c r="K19" s="977"/>
      <c r="L19" s="977"/>
    </row>
    <row r="20" spans="2:12" ht="12.2" customHeight="1">
      <c r="B20" s="977"/>
      <c r="C20" s="977"/>
      <c r="D20" s="977"/>
      <c r="E20" s="977"/>
      <c r="F20" s="977"/>
      <c r="G20" s="977"/>
      <c r="H20" s="977"/>
      <c r="I20" s="977"/>
      <c r="J20" s="977"/>
      <c r="K20" s="977"/>
      <c r="L20" s="977"/>
    </row>
    <row r="21" spans="2:12" ht="12.2" customHeight="1">
      <c r="B21" s="977"/>
      <c r="C21" s="977"/>
      <c r="D21" s="977"/>
      <c r="E21" s="977"/>
      <c r="F21" s="977"/>
      <c r="G21" s="977"/>
      <c r="H21" s="977"/>
      <c r="I21" s="977"/>
      <c r="J21" s="977"/>
      <c r="K21" s="977"/>
      <c r="L21" s="977"/>
    </row>
    <row r="22" spans="2:12" ht="12.2" customHeight="1">
      <c r="B22" s="380"/>
      <c r="C22" s="287"/>
      <c r="D22" s="287"/>
      <c r="E22" s="287"/>
      <c r="F22" s="287"/>
      <c r="G22" s="287"/>
      <c r="H22" s="287"/>
      <c r="I22" s="287"/>
      <c r="J22" s="287"/>
      <c r="K22" s="287"/>
      <c r="L22" s="287"/>
    </row>
    <row r="23" spans="2:12" ht="12.2" customHeight="1">
      <c r="B23" s="692" t="s">
        <v>7791</v>
      </c>
      <c r="C23" s="288"/>
      <c r="D23" s="288"/>
      <c r="E23" s="288"/>
      <c r="F23" s="288"/>
      <c r="G23" s="288"/>
      <c r="H23" s="288"/>
      <c r="I23" s="288"/>
      <c r="J23" s="288"/>
      <c r="K23" s="288"/>
      <c r="L23" s="288"/>
    </row>
    <row r="24" spans="2:12" ht="12.2" customHeight="1">
      <c r="C24" s="289"/>
      <c r="D24" s="289"/>
      <c r="E24" s="289"/>
      <c r="F24" s="289"/>
      <c r="G24" s="289"/>
      <c r="H24" s="289"/>
      <c r="I24" s="289"/>
      <c r="J24" s="289"/>
      <c r="K24" s="289"/>
    </row>
    <row r="25" spans="2:12" ht="12.2" customHeight="1">
      <c r="B25" s="284" t="s">
        <v>8754</v>
      </c>
      <c r="C25" s="290"/>
      <c r="D25" s="290"/>
      <c r="E25" s="290"/>
      <c r="F25" s="290"/>
      <c r="G25" s="290"/>
      <c r="H25" s="290"/>
      <c r="I25" s="290"/>
      <c r="J25" s="290"/>
      <c r="K25" s="290"/>
      <c r="L25" s="291"/>
    </row>
    <row r="26" spans="2:12" ht="12.2" customHeight="1">
      <c r="B26" s="284"/>
      <c r="C26" s="290"/>
      <c r="D26" s="290"/>
      <c r="E26" s="290"/>
      <c r="F26" s="290"/>
      <c r="G26" s="290"/>
      <c r="H26" s="290"/>
      <c r="I26" s="290"/>
      <c r="J26" s="290"/>
      <c r="K26" s="290"/>
      <c r="L26" s="291"/>
    </row>
    <row r="27" spans="2:12" ht="12.2" customHeight="1">
      <c r="B27" s="292"/>
      <c r="L27" s="431" t="s">
        <v>760</v>
      </c>
    </row>
    <row r="28" spans="2:12" ht="15">
      <c r="B28" s="308" t="s">
        <v>4617</v>
      </c>
    </row>
    <row r="29" spans="2:12" ht="12.2" customHeight="1">
      <c r="B29" s="306"/>
    </row>
    <row r="30" spans="2:12" ht="15">
      <c r="B30" s="309" t="s">
        <v>1998</v>
      </c>
      <c r="C30" s="310"/>
      <c r="D30" s="310"/>
      <c r="E30" s="310"/>
      <c r="F30" s="310"/>
      <c r="G30" s="310"/>
      <c r="H30" s="310"/>
      <c r="I30" s="310"/>
      <c r="J30" s="310"/>
      <c r="K30" s="310"/>
      <c r="L30" s="310"/>
    </row>
    <row r="31" spans="2:12" ht="12.2" customHeight="1">
      <c r="B31" s="307"/>
    </row>
    <row r="32" spans="2:12" ht="15">
      <c r="C32" s="312"/>
      <c r="D32" s="312"/>
      <c r="E32" s="312"/>
      <c r="F32" s="312"/>
      <c r="G32" s="312"/>
      <c r="H32" s="312"/>
      <c r="I32" s="312"/>
      <c r="J32" s="312"/>
      <c r="K32" s="312"/>
      <c r="L32" s="311" t="s">
        <v>1997</v>
      </c>
    </row>
  </sheetData>
  <sheetProtection password="C2DF" sheet="1" objects="1" scenarios="1"/>
  <mergeCells count="4">
    <mergeCell ref="B13:L15"/>
    <mergeCell ref="B9:L11"/>
    <mergeCell ref="B6:L7"/>
    <mergeCell ref="B19:L21"/>
  </mergeCells>
  <phoneticPr fontId="3" type="noConversion"/>
  <hyperlinks>
    <hyperlink ref="L27" r:id="rId1" xr:uid="{4FCD9C48-8526-4E23-A9F8-A525736D0120}"/>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5EAF-2B41-4540-B0DD-D751A6BC603D}">
  <sheetPr codeName="Sheet12"/>
  <dimension ref="B1:M1004"/>
  <sheetViews>
    <sheetView showGridLines="0" showRowColHeaders="0" workbookViewId="0">
      <pane ySplit="4" topLeftCell="A5" activePane="bottomLeft" state="frozen"/>
      <selection pane="bottomLeft" activeCell="L25" sqref="L25"/>
    </sheetView>
  </sheetViews>
  <sheetFormatPr defaultRowHeight="13.5" customHeight="1"/>
  <cols>
    <col min="1" max="1" width="1.85546875" style="433" customWidth="1"/>
    <col min="2" max="2" width="4" style="440" bestFit="1" customWidth="1"/>
    <col min="3" max="3" width="24.85546875" style="441" customWidth="1"/>
    <col min="4" max="4" width="6.7109375" style="432" customWidth="1"/>
    <col min="5" max="9" width="6.28515625" style="432" customWidth="1"/>
    <col min="10" max="10" width="18.7109375" style="442" customWidth="1"/>
    <col min="11" max="11" width="4.140625" style="674" bestFit="1" customWidth="1"/>
    <col min="12" max="12" width="18" style="675" customWidth="1"/>
    <col min="14" max="16384" width="9.140625" style="433"/>
  </cols>
  <sheetData>
    <row r="1" spans="2:12" ht="13.5" customHeight="1">
      <c r="B1" s="973" t="s">
        <v>759</v>
      </c>
      <c r="C1" s="973"/>
      <c r="D1" s="428"/>
      <c r="E1" s="428"/>
      <c r="F1" s="428"/>
      <c r="G1" s="428"/>
      <c r="H1" s="428"/>
      <c r="I1" s="428"/>
      <c r="K1" s="671"/>
      <c r="L1" s="445" t="s">
        <v>8022</v>
      </c>
    </row>
    <row r="2" spans="2:12" ht="13.5" customHeight="1">
      <c r="B2" s="974"/>
      <c r="C2" s="974"/>
      <c r="D2" s="429"/>
      <c r="E2" s="429"/>
      <c r="F2" s="429"/>
      <c r="G2" s="429"/>
      <c r="H2" s="429"/>
      <c r="K2" s="672"/>
      <c r="L2" s="751" t="s">
        <v>8023</v>
      </c>
    </row>
    <row r="3" spans="2:12" ht="13.5" customHeight="1">
      <c r="B3" s="971" t="s">
        <v>9220</v>
      </c>
      <c r="C3" s="969" t="s">
        <v>4871</v>
      </c>
      <c r="D3" s="769" t="s">
        <v>4201</v>
      </c>
      <c r="E3" s="434" t="s">
        <v>4874</v>
      </c>
      <c r="F3" s="434"/>
      <c r="G3" s="434"/>
      <c r="H3" s="430" t="s">
        <v>5021</v>
      </c>
      <c r="I3" s="430" t="s">
        <v>4872</v>
      </c>
      <c r="J3" s="430" t="s">
        <v>3079</v>
      </c>
      <c r="K3" s="965" t="s">
        <v>4876</v>
      </c>
      <c r="L3" s="966"/>
    </row>
    <row r="4" spans="2:12" ht="13.5" customHeight="1">
      <c r="B4" s="972"/>
      <c r="C4" s="970"/>
      <c r="D4" s="770" t="s">
        <v>4203</v>
      </c>
      <c r="E4" s="435" t="s">
        <v>9303</v>
      </c>
      <c r="F4" s="435" t="s">
        <v>352</v>
      </c>
      <c r="G4" s="435" t="s">
        <v>459</v>
      </c>
      <c r="H4" s="436" t="s">
        <v>4875</v>
      </c>
      <c r="I4" s="436" t="s">
        <v>4877</v>
      </c>
      <c r="J4" s="443" t="s">
        <v>972</v>
      </c>
      <c r="K4" s="967"/>
      <c r="L4" s="968"/>
    </row>
    <row r="5" spans="2:12" ht="13.5" customHeight="1">
      <c r="B5" s="437">
        <v>1</v>
      </c>
      <c r="C5" s="438" t="s">
        <v>9360</v>
      </c>
      <c r="D5" s="439" t="s">
        <v>4203</v>
      </c>
      <c r="E5" s="439">
        <v>17</v>
      </c>
      <c r="F5" s="439">
        <v>2</v>
      </c>
      <c r="G5" s="439">
        <v>2002</v>
      </c>
      <c r="H5" s="439">
        <v>7</v>
      </c>
      <c r="I5" s="439">
        <v>0</v>
      </c>
      <c r="J5" s="750"/>
      <c r="K5" s="673" t="str">
        <f>IF(D5="","",D5)</f>
        <v>Nữ</v>
      </c>
      <c r="L5" s="676">
        <f>IF(H5="","",DATE(G5,F5,E5)+TIME(H5,I5,0))</f>
        <v>37304.291666666664</v>
      </c>
    </row>
    <row r="6" spans="2:12" ht="13.5" customHeight="1">
      <c r="B6" s="437">
        <v>2</v>
      </c>
      <c r="C6" s="963"/>
      <c r="D6" s="964"/>
      <c r="E6" s="964"/>
      <c r="F6" s="964"/>
      <c r="G6" s="964"/>
      <c r="H6" s="964"/>
      <c r="I6" s="964"/>
      <c r="J6" s="750"/>
      <c r="K6" s="673" t="str">
        <f>IF(D6="","",D6)</f>
        <v/>
      </c>
      <c r="L6" s="676" t="str">
        <f>IF(H6="","",DATE(G6,F6,E6)+TIME(H6,I6,0))</f>
        <v/>
      </c>
    </row>
    <row r="7" spans="2:12" ht="13.5" customHeight="1">
      <c r="B7" s="437">
        <v>3</v>
      </c>
      <c r="C7" s="963"/>
      <c r="D7" s="964"/>
      <c r="E7" s="964"/>
      <c r="F7" s="964"/>
      <c r="G7" s="964"/>
      <c r="H7" s="964"/>
      <c r="I7" s="964"/>
      <c r="J7" s="750"/>
      <c r="K7" s="673" t="str">
        <f t="shared" ref="K6:K69" si="0">IF(D7="","",D7)</f>
        <v/>
      </c>
      <c r="L7" s="676" t="str">
        <f t="shared" ref="L7:L52" si="1">IF(H7="","",DATE(G7,F7,E7)+TIME(H7,I7,0))</f>
        <v/>
      </c>
    </row>
    <row r="8" spans="2:12" ht="13.5" customHeight="1">
      <c r="B8" s="437">
        <v>4</v>
      </c>
      <c r="C8" s="963"/>
      <c r="D8" s="964"/>
      <c r="E8" s="964"/>
      <c r="F8" s="964"/>
      <c r="G8" s="964"/>
      <c r="H8" s="964"/>
      <c r="I8" s="964"/>
      <c r="J8" s="750"/>
      <c r="K8" s="673" t="str">
        <f t="shared" si="0"/>
        <v/>
      </c>
      <c r="L8" s="676" t="str">
        <f t="shared" si="1"/>
        <v/>
      </c>
    </row>
    <row r="9" spans="2:12" ht="13.5" customHeight="1">
      <c r="B9" s="437">
        <v>5</v>
      </c>
      <c r="C9" s="963"/>
      <c r="D9" s="964"/>
      <c r="E9" s="964"/>
      <c r="F9" s="964"/>
      <c r="G9" s="964"/>
      <c r="H9" s="964"/>
      <c r="I9" s="964"/>
      <c r="J9" s="750"/>
      <c r="K9" s="673" t="str">
        <f t="shared" si="0"/>
        <v/>
      </c>
      <c r="L9" s="676" t="str">
        <f t="shared" si="1"/>
        <v/>
      </c>
    </row>
    <row r="10" spans="2:12" ht="13.5" customHeight="1">
      <c r="B10" s="437">
        <v>6</v>
      </c>
      <c r="C10" s="958"/>
      <c r="D10" s="959"/>
      <c r="E10" s="959"/>
      <c r="F10" s="959"/>
      <c r="G10" s="959"/>
      <c r="H10" s="959"/>
      <c r="I10" s="959"/>
      <c r="J10" s="750"/>
      <c r="K10" s="673" t="str">
        <f t="shared" si="0"/>
        <v/>
      </c>
      <c r="L10" s="676" t="str">
        <f t="shared" si="1"/>
        <v/>
      </c>
    </row>
    <row r="11" spans="2:12" ht="13.5" customHeight="1">
      <c r="B11" s="437">
        <v>7</v>
      </c>
      <c r="C11" s="958"/>
      <c r="D11" s="959"/>
      <c r="E11" s="959"/>
      <c r="F11" s="959"/>
      <c r="G11" s="959"/>
      <c r="H11" s="959"/>
      <c r="I11" s="959"/>
      <c r="J11" s="750"/>
      <c r="K11" s="673" t="str">
        <f t="shared" si="0"/>
        <v/>
      </c>
      <c r="L11" s="676" t="str">
        <f t="shared" si="1"/>
        <v/>
      </c>
    </row>
    <row r="12" spans="2:12" ht="13.5" customHeight="1">
      <c r="B12" s="437">
        <v>8</v>
      </c>
      <c r="C12" s="958"/>
      <c r="D12" s="959"/>
      <c r="E12" s="959"/>
      <c r="F12" s="959"/>
      <c r="G12" s="959"/>
      <c r="H12" s="959"/>
      <c r="I12" s="959"/>
      <c r="J12" s="750"/>
      <c r="K12" s="673" t="str">
        <f t="shared" si="0"/>
        <v/>
      </c>
      <c r="L12" s="676" t="str">
        <f t="shared" si="1"/>
        <v/>
      </c>
    </row>
    <row r="13" spans="2:12" ht="13.5" customHeight="1">
      <c r="B13" s="437">
        <v>9</v>
      </c>
      <c r="C13" s="958"/>
      <c r="D13" s="959"/>
      <c r="E13" s="959"/>
      <c r="F13" s="959"/>
      <c r="G13" s="959"/>
      <c r="H13" s="959"/>
      <c r="I13" s="959"/>
      <c r="J13" s="750"/>
      <c r="K13" s="673" t="str">
        <f t="shared" si="0"/>
        <v/>
      </c>
      <c r="L13" s="676" t="str">
        <f t="shared" si="1"/>
        <v/>
      </c>
    </row>
    <row r="14" spans="2:12" ht="13.5" customHeight="1">
      <c r="B14" s="437">
        <v>10</v>
      </c>
      <c r="C14" s="438"/>
      <c r="D14" s="439"/>
      <c r="E14" s="439"/>
      <c r="F14" s="439"/>
      <c r="G14" s="439"/>
      <c r="H14" s="439"/>
      <c r="I14" s="439"/>
      <c r="J14" s="750"/>
      <c r="K14" s="673" t="str">
        <f t="shared" si="0"/>
        <v/>
      </c>
      <c r="L14" s="676" t="str">
        <f t="shared" si="1"/>
        <v/>
      </c>
    </row>
    <row r="15" spans="2:12" ht="13.5" customHeight="1">
      <c r="B15" s="437">
        <v>11</v>
      </c>
      <c r="C15" s="438"/>
      <c r="D15" s="439"/>
      <c r="E15" s="439"/>
      <c r="F15" s="439"/>
      <c r="G15" s="439"/>
      <c r="H15" s="439"/>
      <c r="I15" s="439"/>
      <c r="J15" s="750"/>
      <c r="K15" s="673" t="str">
        <f t="shared" si="0"/>
        <v/>
      </c>
      <c r="L15" s="676" t="str">
        <f t="shared" si="1"/>
        <v/>
      </c>
    </row>
    <row r="16" spans="2:12" ht="13.5" customHeight="1">
      <c r="B16" s="437">
        <v>12</v>
      </c>
      <c r="C16" s="438"/>
      <c r="D16" s="439"/>
      <c r="E16" s="439"/>
      <c r="F16" s="439"/>
      <c r="G16" s="439"/>
      <c r="H16" s="439"/>
      <c r="I16" s="439"/>
      <c r="J16" s="750"/>
      <c r="K16" s="673" t="str">
        <f t="shared" si="0"/>
        <v/>
      </c>
      <c r="L16" s="676" t="str">
        <f t="shared" si="1"/>
        <v/>
      </c>
    </row>
    <row r="17" spans="2:12" ht="13.5" customHeight="1">
      <c r="B17" s="437">
        <v>13</v>
      </c>
      <c r="C17" s="438"/>
      <c r="D17" s="439"/>
      <c r="E17" s="439"/>
      <c r="F17" s="439"/>
      <c r="G17" s="439"/>
      <c r="H17" s="439"/>
      <c r="I17" s="439"/>
      <c r="K17" s="673" t="str">
        <f t="shared" si="0"/>
        <v/>
      </c>
      <c r="L17" s="676" t="str">
        <f t="shared" si="1"/>
        <v/>
      </c>
    </row>
    <row r="18" spans="2:12" ht="13.5" customHeight="1">
      <c r="B18" s="437">
        <v>14</v>
      </c>
      <c r="C18" s="438"/>
      <c r="D18" s="439"/>
      <c r="E18" s="439"/>
      <c r="F18" s="439"/>
      <c r="G18" s="439"/>
      <c r="H18" s="439"/>
      <c r="I18" s="439"/>
      <c r="J18" s="750"/>
      <c r="K18" s="673" t="str">
        <f t="shared" si="0"/>
        <v/>
      </c>
      <c r="L18" s="676" t="str">
        <f t="shared" si="1"/>
        <v/>
      </c>
    </row>
    <row r="19" spans="2:12" ht="13.5" customHeight="1">
      <c r="B19" s="437">
        <v>15</v>
      </c>
      <c r="C19" s="438"/>
      <c r="D19" s="439"/>
      <c r="E19" s="439"/>
      <c r="F19" s="439"/>
      <c r="G19" s="439"/>
      <c r="H19" s="439"/>
      <c r="I19" s="439"/>
      <c r="J19" s="750"/>
      <c r="K19" s="673" t="str">
        <f t="shared" si="0"/>
        <v/>
      </c>
      <c r="L19" s="676" t="str">
        <f t="shared" si="1"/>
        <v/>
      </c>
    </row>
    <row r="20" spans="2:12" ht="13.5" customHeight="1">
      <c r="B20" s="437">
        <v>16</v>
      </c>
      <c r="C20" s="438"/>
      <c r="D20" s="439"/>
      <c r="E20" s="439"/>
      <c r="F20" s="439"/>
      <c r="G20" s="439"/>
      <c r="H20" s="439"/>
      <c r="I20" s="439"/>
      <c r="J20" s="750"/>
      <c r="K20" s="673" t="str">
        <f t="shared" si="0"/>
        <v/>
      </c>
      <c r="L20" s="676" t="str">
        <f t="shared" si="1"/>
        <v/>
      </c>
    </row>
    <row r="21" spans="2:12" ht="13.5" customHeight="1">
      <c r="B21" s="437">
        <v>17</v>
      </c>
      <c r="C21" s="438"/>
      <c r="D21" s="439"/>
      <c r="E21" s="439"/>
      <c r="F21" s="439"/>
      <c r="G21" s="439"/>
      <c r="H21" s="439"/>
      <c r="I21" s="439"/>
      <c r="J21" s="750"/>
      <c r="K21" s="673" t="str">
        <f t="shared" si="0"/>
        <v/>
      </c>
      <c r="L21" s="676" t="str">
        <f>IF(H21="","",DATE(G21,F21,E21)+TIME(H21,I21,0))</f>
        <v/>
      </c>
    </row>
    <row r="22" spans="2:12" ht="13.5" customHeight="1">
      <c r="B22" s="437">
        <v>18</v>
      </c>
      <c r="C22" s="438"/>
      <c r="D22" s="439"/>
      <c r="E22" s="439"/>
      <c r="F22" s="439"/>
      <c r="G22" s="439"/>
      <c r="H22" s="439"/>
      <c r="I22" s="439"/>
      <c r="J22" s="750"/>
      <c r="K22" s="673" t="str">
        <f t="shared" si="0"/>
        <v/>
      </c>
      <c r="L22" s="676" t="str">
        <f t="shared" si="1"/>
        <v/>
      </c>
    </row>
    <row r="23" spans="2:12" ht="13.5" customHeight="1">
      <c r="B23" s="437">
        <v>19</v>
      </c>
      <c r="C23" s="438"/>
      <c r="D23" s="439"/>
      <c r="E23" s="439"/>
      <c r="F23" s="439"/>
      <c r="G23" s="439"/>
      <c r="H23" s="439"/>
      <c r="I23" s="439"/>
      <c r="J23" s="750"/>
      <c r="K23" s="673" t="str">
        <f t="shared" si="0"/>
        <v/>
      </c>
      <c r="L23" s="676" t="str">
        <f t="shared" si="1"/>
        <v/>
      </c>
    </row>
    <row r="24" spans="2:12" ht="13.5" customHeight="1">
      <c r="B24" s="437">
        <v>20</v>
      </c>
      <c r="C24" s="438"/>
      <c r="D24" s="439"/>
      <c r="E24" s="439"/>
      <c r="F24" s="439"/>
      <c r="G24" s="439"/>
      <c r="H24" s="439"/>
      <c r="I24" s="439"/>
      <c r="J24" s="750"/>
      <c r="K24" s="673" t="str">
        <f t="shared" si="0"/>
        <v/>
      </c>
      <c r="L24" s="676" t="str">
        <f t="shared" si="1"/>
        <v/>
      </c>
    </row>
    <row r="25" spans="2:12" ht="13.5" customHeight="1">
      <c r="B25" s="437">
        <v>21</v>
      </c>
      <c r="C25" s="438"/>
      <c r="D25" s="439"/>
      <c r="E25" s="439"/>
      <c r="F25" s="439"/>
      <c r="G25" s="439"/>
      <c r="H25" s="439"/>
      <c r="I25" s="439"/>
      <c r="J25" s="750"/>
      <c r="K25" s="673" t="str">
        <f t="shared" si="0"/>
        <v/>
      </c>
      <c r="L25" s="676" t="str">
        <f t="shared" si="1"/>
        <v/>
      </c>
    </row>
    <row r="26" spans="2:12" ht="13.5" customHeight="1">
      <c r="B26" s="437">
        <v>22</v>
      </c>
      <c r="C26" s="438"/>
      <c r="D26" s="439"/>
      <c r="E26" s="439"/>
      <c r="F26" s="439"/>
      <c r="G26" s="439"/>
      <c r="H26" s="439"/>
      <c r="I26" s="439"/>
      <c r="J26" s="750"/>
      <c r="K26" s="673" t="str">
        <f t="shared" si="0"/>
        <v/>
      </c>
      <c r="L26" s="676" t="str">
        <f t="shared" si="1"/>
        <v/>
      </c>
    </row>
    <row r="27" spans="2:12" ht="13.5" customHeight="1">
      <c r="B27" s="437">
        <v>23</v>
      </c>
      <c r="C27" s="438"/>
      <c r="D27" s="439"/>
      <c r="E27" s="439"/>
      <c r="F27" s="439"/>
      <c r="G27" s="439"/>
      <c r="H27" s="439"/>
      <c r="I27" s="439"/>
      <c r="J27" s="750"/>
      <c r="K27" s="673" t="str">
        <f t="shared" si="0"/>
        <v/>
      </c>
      <c r="L27" s="676" t="str">
        <f t="shared" si="1"/>
        <v/>
      </c>
    </row>
    <row r="28" spans="2:12" ht="13.5" customHeight="1">
      <c r="B28" s="437">
        <v>24</v>
      </c>
      <c r="C28" s="438"/>
      <c r="D28" s="439"/>
      <c r="E28" s="439"/>
      <c r="F28" s="439"/>
      <c r="G28" s="439"/>
      <c r="H28" s="439"/>
      <c r="I28" s="439"/>
      <c r="J28" s="750"/>
      <c r="K28" s="673" t="str">
        <f t="shared" si="0"/>
        <v/>
      </c>
      <c r="L28" s="676" t="str">
        <f t="shared" si="1"/>
        <v/>
      </c>
    </row>
    <row r="29" spans="2:12" ht="13.5" customHeight="1">
      <c r="B29" s="437">
        <v>25</v>
      </c>
      <c r="C29" s="438"/>
      <c r="D29" s="439"/>
      <c r="E29" s="439"/>
      <c r="F29" s="439"/>
      <c r="G29" s="439"/>
      <c r="H29" s="439"/>
      <c r="I29" s="439"/>
      <c r="J29" s="750"/>
      <c r="K29" s="673" t="str">
        <f t="shared" si="0"/>
        <v/>
      </c>
      <c r="L29" s="676" t="str">
        <f t="shared" si="1"/>
        <v/>
      </c>
    </row>
    <row r="30" spans="2:12" ht="13.5" customHeight="1">
      <c r="B30" s="437">
        <v>26</v>
      </c>
      <c r="C30" s="438"/>
      <c r="D30" s="439"/>
      <c r="E30" s="439"/>
      <c r="F30" s="439"/>
      <c r="G30" s="439"/>
      <c r="H30" s="439"/>
      <c r="I30" s="439"/>
      <c r="J30" s="750"/>
      <c r="K30" s="673" t="str">
        <f t="shared" si="0"/>
        <v/>
      </c>
      <c r="L30" s="676" t="str">
        <f t="shared" si="1"/>
        <v/>
      </c>
    </row>
    <row r="31" spans="2:12" ht="13.5" customHeight="1">
      <c r="B31" s="437">
        <v>27</v>
      </c>
      <c r="C31" s="438"/>
      <c r="D31" s="439"/>
      <c r="E31" s="439"/>
      <c r="F31" s="439"/>
      <c r="G31" s="439"/>
      <c r="H31" s="439"/>
      <c r="I31" s="439"/>
      <c r="J31" s="750"/>
      <c r="K31" s="673" t="str">
        <f t="shared" si="0"/>
        <v/>
      </c>
      <c r="L31" s="676" t="str">
        <f t="shared" si="1"/>
        <v/>
      </c>
    </row>
    <row r="32" spans="2:12" ht="13.5" customHeight="1">
      <c r="B32" s="437">
        <v>28</v>
      </c>
      <c r="C32" s="438"/>
      <c r="D32" s="439"/>
      <c r="E32" s="439"/>
      <c r="F32" s="439"/>
      <c r="G32" s="439"/>
      <c r="H32" s="439"/>
      <c r="I32" s="439"/>
      <c r="J32" s="750"/>
      <c r="K32" s="673" t="str">
        <f t="shared" si="0"/>
        <v/>
      </c>
      <c r="L32" s="676" t="str">
        <f t="shared" si="1"/>
        <v/>
      </c>
    </row>
    <row r="33" spans="2:12" ht="13.5" customHeight="1">
      <c r="B33" s="437">
        <v>29</v>
      </c>
      <c r="C33" s="438"/>
      <c r="D33" s="439"/>
      <c r="E33" s="439"/>
      <c r="F33" s="439"/>
      <c r="G33" s="439"/>
      <c r="H33" s="439"/>
      <c r="I33" s="439"/>
      <c r="J33" s="750"/>
      <c r="K33" s="673" t="str">
        <f t="shared" si="0"/>
        <v/>
      </c>
      <c r="L33" s="676" t="str">
        <f t="shared" si="1"/>
        <v/>
      </c>
    </row>
    <row r="34" spans="2:12" ht="13.5" customHeight="1">
      <c r="B34" s="437">
        <v>30</v>
      </c>
      <c r="C34" s="438"/>
      <c r="D34" s="439"/>
      <c r="E34" s="439"/>
      <c r="F34" s="439"/>
      <c r="G34" s="439"/>
      <c r="H34" s="439"/>
      <c r="I34" s="439"/>
      <c r="J34" s="750"/>
      <c r="K34" s="673" t="str">
        <f t="shared" si="0"/>
        <v/>
      </c>
      <c r="L34" s="676" t="str">
        <f t="shared" si="1"/>
        <v/>
      </c>
    </row>
    <row r="35" spans="2:12" ht="13.5" customHeight="1">
      <c r="B35" s="437">
        <v>31</v>
      </c>
      <c r="C35" s="438"/>
      <c r="D35" s="439"/>
      <c r="E35" s="439"/>
      <c r="F35" s="439"/>
      <c r="G35" s="439"/>
      <c r="H35" s="439"/>
      <c r="I35" s="439"/>
      <c r="J35" s="750"/>
      <c r="K35" s="673" t="str">
        <f t="shared" si="0"/>
        <v/>
      </c>
      <c r="L35" s="676" t="str">
        <f t="shared" si="1"/>
        <v/>
      </c>
    </row>
    <row r="36" spans="2:12" ht="13.5" customHeight="1">
      <c r="B36" s="437">
        <v>32</v>
      </c>
      <c r="C36" s="438"/>
      <c r="D36" s="439"/>
      <c r="E36" s="439"/>
      <c r="F36" s="439"/>
      <c r="G36" s="439"/>
      <c r="H36" s="439"/>
      <c r="I36" s="439"/>
      <c r="J36" s="750"/>
      <c r="K36" s="673" t="str">
        <f t="shared" si="0"/>
        <v/>
      </c>
      <c r="L36" s="676" t="str">
        <f t="shared" si="1"/>
        <v/>
      </c>
    </row>
    <row r="37" spans="2:12" ht="13.5" customHeight="1">
      <c r="B37" s="437">
        <v>33</v>
      </c>
      <c r="C37" s="438"/>
      <c r="D37" s="439"/>
      <c r="E37" s="439"/>
      <c r="F37" s="439"/>
      <c r="G37" s="439"/>
      <c r="H37" s="439"/>
      <c r="I37" s="439"/>
      <c r="J37" s="750"/>
      <c r="K37" s="673" t="str">
        <f t="shared" si="0"/>
        <v/>
      </c>
      <c r="L37" s="676" t="str">
        <f t="shared" si="1"/>
        <v/>
      </c>
    </row>
    <row r="38" spans="2:12" ht="13.5" customHeight="1">
      <c r="B38" s="437">
        <v>34</v>
      </c>
      <c r="C38" s="438"/>
      <c r="D38" s="439"/>
      <c r="E38" s="439"/>
      <c r="F38" s="439"/>
      <c r="G38" s="439"/>
      <c r="H38" s="439"/>
      <c r="I38" s="439"/>
      <c r="J38" s="750"/>
      <c r="K38" s="673" t="str">
        <f t="shared" si="0"/>
        <v/>
      </c>
      <c r="L38" s="676" t="str">
        <f t="shared" si="1"/>
        <v/>
      </c>
    </row>
    <row r="39" spans="2:12" ht="13.5" customHeight="1">
      <c r="B39" s="437">
        <v>35</v>
      </c>
      <c r="C39" s="438"/>
      <c r="D39" s="439"/>
      <c r="E39" s="439"/>
      <c r="F39" s="439"/>
      <c r="G39" s="439"/>
      <c r="H39" s="439"/>
      <c r="I39" s="439"/>
      <c r="J39" s="750"/>
      <c r="K39" s="673" t="str">
        <f t="shared" si="0"/>
        <v/>
      </c>
      <c r="L39" s="676" t="str">
        <f t="shared" si="1"/>
        <v/>
      </c>
    </row>
    <row r="40" spans="2:12" ht="13.5" customHeight="1">
      <c r="B40" s="437">
        <v>36</v>
      </c>
      <c r="C40" s="438"/>
      <c r="D40" s="439"/>
      <c r="E40" s="439"/>
      <c r="F40" s="439"/>
      <c r="G40" s="439"/>
      <c r="H40" s="439"/>
      <c r="I40" s="439"/>
      <c r="J40" s="750"/>
      <c r="K40" s="673" t="str">
        <f t="shared" si="0"/>
        <v/>
      </c>
      <c r="L40" s="676" t="str">
        <f t="shared" si="1"/>
        <v/>
      </c>
    </row>
    <row r="41" spans="2:12" ht="13.5" customHeight="1">
      <c r="B41" s="437">
        <v>37</v>
      </c>
      <c r="C41" s="438"/>
      <c r="D41" s="439"/>
      <c r="E41" s="439"/>
      <c r="F41" s="439"/>
      <c r="G41" s="439"/>
      <c r="H41" s="439"/>
      <c r="I41" s="439"/>
      <c r="J41" s="750"/>
      <c r="K41" s="673" t="str">
        <f t="shared" si="0"/>
        <v/>
      </c>
      <c r="L41" s="676" t="str">
        <f t="shared" si="1"/>
        <v/>
      </c>
    </row>
    <row r="42" spans="2:12" ht="13.5" customHeight="1">
      <c r="B42" s="437">
        <v>38</v>
      </c>
      <c r="C42" s="438"/>
      <c r="D42" s="439"/>
      <c r="E42" s="439"/>
      <c r="F42" s="439"/>
      <c r="G42" s="439"/>
      <c r="H42" s="439"/>
      <c r="I42" s="439"/>
      <c r="J42" s="750"/>
      <c r="K42" s="673" t="str">
        <f t="shared" si="0"/>
        <v/>
      </c>
      <c r="L42" s="676" t="str">
        <f t="shared" si="1"/>
        <v/>
      </c>
    </row>
    <row r="43" spans="2:12" ht="13.5" customHeight="1">
      <c r="B43" s="437">
        <v>39</v>
      </c>
      <c r="C43" s="438"/>
      <c r="D43" s="439"/>
      <c r="E43" s="439"/>
      <c r="F43" s="439"/>
      <c r="G43" s="439"/>
      <c r="H43" s="439"/>
      <c r="I43" s="439"/>
      <c r="J43" s="750"/>
      <c r="K43" s="673" t="str">
        <f t="shared" si="0"/>
        <v/>
      </c>
      <c r="L43" s="676" t="str">
        <f t="shared" si="1"/>
        <v/>
      </c>
    </row>
    <row r="44" spans="2:12" ht="13.5" customHeight="1">
      <c r="B44" s="437">
        <v>40</v>
      </c>
      <c r="C44" s="438"/>
      <c r="D44" s="439"/>
      <c r="E44" s="439"/>
      <c r="F44" s="439"/>
      <c r="G44" s="439"/>
      <c r="H44" s="439"/>
      <c r="I44" s="439"/>
      <c r="J44" s="750"/>
      <c r="K44" s="673" t="str">
        <f t="shared" si="0"/>
        <v/>
      </c>
      <c r="L44" s="676" t="str">
        <f t="shared" si="1"/>
        <v/>
      </c>
    </row>
    <row r="45" spans="2:12" ht="13.5" customHeight="1">
      <c r="B45" s="437">
        <v>41</v>
      </c>
      <c r="C45" s="438"/>
      <c r="D45" s="439"/>
      <c r="E45" s="439"/>
      <c r="F45" s="439"/>
      <c r="G45" s="439"/>
      <c r="H45" s="439"/>
      <c r="I45" s="439"/>
      <c r="J45" s="750"/>
      <c r="K45" s="673" t="str">
        <f t="shared" si="0"/>
        <v/>
      </c>
      <c r="L45" s="676" t="str">
        <f t="shared" si="1"/>
        <v/>
      </c>
    </row>
    <row r="46" spans="2:12" ht="13.5" customHeight="1">
      <c r="B46" s="437">
        <v>42</v>
      </c>
      <c r="C46" s="438"/>
      <c r="D46" s="439"/>
      <c r="E46" s="439"/>
      <c r="F46" s="439"/>
      <c r="G46" s="439"/>
      <c r="H46" s="439"/>
      <c r="I46" s="439"/>
      <c r="J46" s="750"/>
      <c r="K46" s="673" t="str">
        <f t="shared" si="0"/>
        <v/>
      </c>
      <c r="L46" s="676" t="str">
        <f t="shared" si="1"/>
        <v/>
      </c>
    </row>
    <row r="47" spans="2:12" ht="13.5" customHeight="1">
      <c r="B47" s="437">
        <v>43</v>
      </c>
      <c r="C47" s="438"/>
      <c r="D47" s="439"/>
      <c r="E47" s="439"/>
      <c r="F47" s="439"/>
      <c r="G47" s="439"/>
      <c r="H47" s="439"/>
      <c r="I47" s="439"/>
      <c r="J47" s="750"/>
      <c r="K47" s="673" t="str">
        <f t="shared" si="0"/>
        <v/>
      </c>
      <c r="L47" s="676" t="str">
        <f t="shared" si="1"/>
        <v/>
      </c>
    </row>
    <row r="48" spans="2:12" ht="13.5" customHeight="1">
      <c r="B48" s="437">
        <v>44</v>
      </c>
      <c r="C48" s="438"/>
      <c r="D48" s="439"/>
      <c r="E48" s="439"/>
      <c r="F48" s="439"/>
      <c r="G48" s="439"/>
      <c r="H48" s="439"/>
      <c r="I48" s="439"/>
      <c r="J48" s="750"/>
      <c r="K48" s="673" t="str">
        <f t="shared" si="0"/>
        <v/>
      </c>
      <c r="L48" s="676" t="str">
        <f t="shared" si="1"/>
        <v/>
      </c>
    </row>
    <row r="49" spans="2:12" ht="13.5" customHeight="1">
      <c r="B49" s="437">
        <v>45</v>
      </c>
      <c r="C49" s="438"/>
      <c r="D49" s="439"/>
      <c r="E49" s="439"/>
      <c r="F49" s="439"/>
      <c r="G49" s="439"/>
      <c r="H49" s="439"/>
      <c r="I49" s="439"/>
      <c r="J49" s="750"/>
      <c r="K49" s="673" t="str">
        <f t="shared" si="0"/>
        <v/>
      </c>
      <c r="L49" s="676" t="str">
        <f t="shared" si="1"/>
        <v/>
      </c>
    </row>
    <row r="50" spans="2:12" ht="13.5" customHeight="1">
      <c r="B50" s="437">
        <v>46</v>
      </c>
      <c r="C50" s="438"/>
      <c r="D50" s="439"/>
      <c r="E50" s="439"/>
      <c r="F50" s="439"/>
      <c r="G50" s="439"/>
      <c r="H50" s="439"/>
      <c r="I50" s="439"/>
      <c r="J50" s="750"/>
      <c r="K50" s="673" t="str">
        <f t="shared" si="0"/>
        <v/>
      </c>
      <c r="L50" s="676" t="str">
        <f t="shared" si="1"/>
        <v/>
      </c>
    </row>
    <row r="51" spans="2:12" ht="13.5" customHeight="1">
      <c r="B51" s="437">
        <v>47</v>
      </c>
      <c r="C51" s="438"/>
      <c r="D51" s="439"/>
      <c r="E51" s="439"/>
      <c r="F51" s="439"/>
      <c r="G51" s="439"/>
      <c r="H51" s="439"/>
      <c r="I51" s="439"/>
      <c r="J51" s="750"/>
      <c r="K51" s="673" t="str">
        <f t="shared" si="0"/>
        <v/>
      </c>
      <c r="L51" s="676" t="str">
        <f t="shared" si="1"/>
        <v/>
      </c>
    </row>
    <row r="52" spans="2:12" ht="13.5" customHeight="1">
      <c r="B52" s="437">
        <v>48</v>
      </c>
      <c r="C52" s="438"/>
      <c r="D52" s="439"/>
      <c r="E52" s="439"/>
      <c r="F52" s="439"/>
      <c r="G52" s="439"/>
      <c r="H52" s="439"/>
      <c r="I52" s="439"/>
      <c r="J52" s="750"/>
      <c r="K52" s="673" t="str">
        <f t="shared" si="0"/>
        <v/>
      </c>
      <c r="L52" s="676" t="str">
        <f t="shared" si="1"/>
        <v/>
      </c>
    </row>
    <row r="53" spans="2:12" ht="13.5" customHeight="1">
      <c r="B53" s="437">
        <v>49</v>
      </c>
      <c r="C53" s="438"/>
      <c r="D53" s="439"/>
      <c r="E53" s="439"/>
      <c r="F53" s="439"/>
      <c r="G53" s="439"/>
      <c r="H53" s="439"/>
      <c r="I53" s="439"/>
      <c r="J53" s="750"/>
      <c r="K53" s="673" t="str">
        <f t="shared" si="0"/>
        <v/>
      </c>
      <c r="L53" s="676" t="str">
        <f t="shared" ref="L53:L72" si="2">IF(H53="","",DATE(G53,F53,E53)+TIME(H53,I53,0))</f>
        <v/>
      </c>
    </row>
    <row r="54" spans="2:12" ht="13.5" customHeight="1">
      <c r="B54" s="437">
        <v>50</v>
      </c>
      <c r="C54" s="438"/>
      <c r="D54" s="439"/>
      <c r="E54" s="439"/>
      <c r="F54" s="439"/>
      <c r="G54" s="439"/>
      <c r="H54" s="439"/>
      <c r="I54" s="439"/>
      <c r="J54" s="750"/>
      <c r="K54" s="673" t="str">
        <f t="shared" si="0"/>
        <v/>
      </c>
      <c r="L54" s="676" t="str">
        <f t="shared" si="2"/>
        <v/>
      </c>
    </row>
    <row r="55" spans="2:12" ht="13.5" customHeight="1">
      <c r="B55" s="437">
        <v>51</v>
      </c>
      <c r="C55" s="438"/>
      <c r="D55" s="439"/>
      <c r="E55" s="439"/>
      <c r="F55" s="439"/>
      <c r="G55" s="439"/>
      <c r="H55" s="439"/>
      <c r="I55" s="439"/>
      <c r="J55" s="750"/>
      <c r="K55" s="673" t="str">
        <f t="shared" si="0"/>
        <v/>
      </c>
      <c r="L55" s="676" t="str">
        <f t="shared" si="2"/>
        <v/>
      </c>
    </row>
    <row r="56" spans="2:12" ht="13.5" customHeight="1">
      <c r="B56" s="437">
        <v>52</v>
      </c>
      <c r="C56" s="438"/>
      <c r="D56" s="439"/>
      <c r="E56" s="439"/>
      <c r="F56" s="439"/>
      <c r="G56" s="439"/>
      <c r="H56" s="439"/>
      <c r="I56" s="439"/>
      <c r="J56" s="750"/>
      <c r="K56" s="673" t="str">
        <f t="shared" si="0"/>
        <v/>
      </c>
      <c r="L56" s="676" t="str">
        <f t="shared" si="2"/>
        <v/>
      </c>
    </row>
    <row r="57" spans="2:12" ht="13.5" customHeight="1">
      <c r="B57" s="437">
        <v>53</v>
      </c>
      <c r="C57" s="438"/>
      <c r="D57" s="439"/>
      <c r="E57" s="439"/>
      <c r="F57" s="439"/>
      <c r="G57" s="439"/>
      <c r="H57" s="439"/>
      <c r="I57" s="439"/>
      <c r="J57" s="750"/>
      <c r="K57" s="673" t="str">
        <f t="shared" si="0"/>
        <v/>
      </c>
      <c r="L57" s="676" t="str">
        <f t="shared" si="2"/>
        <v/>
      </c>
    </row>
    <row r="58" spans="2:12" ht="13.5" customHeight="1">
      <c r="B58" s="437">
        <v>54</v>
      </c>
      <c r="C58" s="438"/>
      <c r="D58" s="439"/>
      <c r="E58" s="439"/>
      <c r="F58" s="439"/>
      <c r="G58" s="439"/>
      <c r="H58" s="439"/>
      <c r="I58" s="439"/>
      <c r="J58" s="750"/>
      <c r="K58" s="673" t="str">
        <f t="shared" si="0"/>
        <v/>
      </c>
      <c r="L58" s="676" t="str">
        <f t="shared" si="2"/>
        <v/>
      </c>
    </row>
    <row r="59" spans="2:12" ht="13.5" customHeight="1">
      <c r="B59" s="437">
        <v>55</v>
      </c>
      <c r="C59" s="438"/>
      <c r="D59" s="439"/>
      <c r="E59" s="439"/>
      <c r="F59" s="439"/>
      <c r="G59" s="439"/>
      <c r="H59" s="439"/>
      <c r="I59" s="439"/>
      <c r="J59" s="750"/>
      <c r="K59" s="673" t="str">
        <f t="shared" si="0"/>
        <v/>
      </c>
      <c r="L59" s="676" t="str">
        <f t="shared" si="2"/>
        <v/>
      </c>
    </row>
    <row r="60" spans="2:12" ht="13.5" customHeight="1">
      <c r="B60" s="437">
        <v>56</v>
      </c>
      <c r="C60" s="438"/>
      <c r="D60" s="439"/>
      <c r="E60" s="439"/>
      <c r="F60" s="439"/>
      <c r="G60" s="439"/>
      <c r="H60" s="439"/>
      <c r="I60" s="439"/>
      <c r="J60" s="750"/>
      <c r="K60" s="673" t="str">
        <f t="shared" si="0"/>
        <v/>
      </c>
      <c r="L60" s="676" t="str">
        <f t="shared" si="2"/>
        <v/>
      </c>
    </row>
    <row r="61" spans="2:12" ht="13.5" customHeight="1">
      <c r="B61" s="437">
        <v>57</v>
      </c>
      <c r="C61" s="438"/>
      <c r="D61" s="439"/>
      <c r="E61" s="439"/>
      <c r="F61" s="439"/>
      <c r="G61" s="439"/>
      <c r="H61" s="439"/>
      <c r="I61" s="439"/>
      <c r="J61" s="750"/>
      <c r="K61" s="673" t="str">
        <f t="shared" si="0"/>
        <v/>
      </c>
      <c r="L61" s="676" t="str">
        <f t="shared" si="2"/>
        <v/>
      </c>
    </row>
    <row r="62" spans="2:12" ht="13.5" customHeight="1">
      <c r="B62" s="437">
        <v>58</v>
      </c>
      <c r="C62" s="438"/>
      <c r="D62" s="439"/>
      <c r="E62" s="439"/>
      <c r="F62" s="439"/>
      <c r="G62" s="439"/>
      <c r="H62" s="439"/>
      <c r="I62" s="439"/>
      <c r="J62" s="750"/>
      <c r="K62" s="673" t="str">
        <f t="shared" si="0"/>
        <v/>
      </c>
      <c r="L62" s="676" t="str">
        <f t="shared" si="2"/>
        <v/>
      </c>
    </row>
    <row r="63" spans="2:12" ht="13.5" customHeight="1">
      <c r="B63" s="437">
        <v>59</v>
      </c>
      <c r="C63" s="438"/>
      <c r="D63" s="439"/>
      <c r="E63" s="439"/>
      <c r="F63" s="439"/>
      <c r="G63" s="439"/>
      <c r="H63" s="439"/>
      <c r="I63" s="439"/>
      <c r="J63" s="750"/>
      <c r="K63" s="673" t="str">
        <f t="shared" si="0"/>
        <v/>
      </c>
      <c r="L63" s="676" t="str">
        <f t="shared" si="2"/>
        <v/>
      </c>
    </row>
    <row r="64" spans="2:12" ht="13.5" customHeight="1">
      <c r="B64" s="437">
        <v>60</v>
      </c>
      <c r="C64" s="438"/>
      <c r="D64" s="439"/>
      <c r="E64" s="439"/>
      <c r="F64" s="439"/>
      <c r="G64" s="439"/>
      <c r="H64" s="439"/>
      <c r="I64" s="439"/>
      <c r="J64" s="750"/>
      <c r="K64" s="673" t="str">
        <f t="shared" si="0"/>
        <v/>
      </c>
      <c r="L64" s="676" t="str">
        <f t="shared" si="2"/>
        <v/>
      </c>
    </row>
    <row r="65" spans="2:12" ht="13.5" customHeight="1">
      <c r="B65" s="437">
        <v>61</v>
      </c>
      <c r="C65" s="438"/>
      <c r="D65" s="439"/>
      <c r="E65" s="439"/>
      <c r="F65" s="439"/>
      <c r="G65" s="439"/>
      <c r="H65" s="439"/>
      <c r="I65" s="439"/>
      <c r="J65" s="750"/>
      <c r="K65" s="673" t="str">
        <f t="shared" si="0"/>
        <v/>
      </c>
      <c r="L65" s="676" t="str">
        <f t="shared" si="2"/>
        <v/>
      </c>
    </row>
    <row r="66" spans="2:12" ht="13.5" customHeight="1">
      <c r="B66" s="437">
        <v>62</v>
      </c>
      <c r="C66" s="438"/>
      <c r="D66" s="439"/>
      <c r="E66" s="439"/>
      <c r="F66" s="439"/>
      <c r="G66" s="439"/>
      <c r="H66" s="439"/>
      <c r="I66" s="439"/>
      <c r="J66" s="750"/>
      <c r="K66" s="673" t="str">
        <f t="shared" si="0"/>
        <v/>
      </c>
      <c r="L66" s="676" t="str">
        <f t="shared" si="2"/>
        <v/>
      </c>
    </row>
    <row r="67" spans="2:12" ht="13.5" customHeight="1">
      <c r="B67" s="437">
        <v>63</v>
      </c>
      <c r="C67" s="438"/>
      <c r="D67" s="439"/>
      <c r="E67" s="439"/>
      <c r="F67" s="439"/>
      <c r="G67" s="439"/>
      <c r="H67" s="439"/>
      <c r="I67" s="439"/>
      <c r="J67" s="750"/>
      <c r="K67" s="673" t="str">
        <f t="shared" si="0"/>
        <v/>
      </c>
      <c r="L67" s="676" t="str">
        <f t="shared" si="2"/>
        <v/>
      </c>
    </row>
    <row r="68" spans="2:12" ht="13.5" customHeight="1">
      <c r="B68" s="437">
        <v>64</v>
      </c>
      <c r="C68" s="438"/>
      <c r="D68" s="439"/>
      <c r="E68" s="439"/>
      <c r="F68" s="439"/>
      <c r="G68" s="439"/>
      <c r="H68" s="439"/>
      <c r="I68" s="439"/>
      <c r="J68" s="750"/>
      <c r="K68" s="673" t="str">
        <f t="shared" si="0"/>
        <v/>
      </c>
      <c r="L68" s="676" t="str">
        <f t="shared" si="2"/>
        <v/>
      </c>
    </row>
    <row r="69" spans="2:12" ht="13.5" customHeight="1">
      <c r="B69" s="437">
        <v>65</v>
      </c>
      <c r="C69" s="438"/>
      <c r="D69" s="439"/>
      <c r="E69" s="439"/>
      <c r="F69" s="439"/>
      <c r="G69" s="439"/>
      <c r="H69" s="439"/>
      <c r="I69" s="439"/>
      <c r="J69" s="750"/>
      <c r="K69" s="673" t="str">
        <f t="shared" si="0"/>
        <v/>
      </c>
      <c r="L69" s="676" t="str">
        <f t="shared" si="2"/>
        <v/>
      </c>
    </row>
    <row r="70" spans="2:12" ht="13.5" customHeight="1">
      <c r="B70" s="437">
        <v>66</v>
      </c>
      <c r="C70" s="438"/>
      <c r="D70" s="439"/>
      <c r="E70" s="439"/>
      <c r="F70" s="439"/>
      <c r="G70" s="439"/>
      <c r="H70" s="439"/>
      <c r="I70" s="439"/>
      <c r="J70" s="750"/>
      <c r="K70" s="673" t="str">
        <f t="shared" ref="K70:K105" si="3">IF(D70="","",D70)</f>
        <v/>
      </c>
      <c r="L70" s="676" t="str">
        <f t="shared" si="2"/>
        <v/>
      </c>
    </row>
    <row r="71" spans="2:12" ht="13.5" customHeight="1">
      <c r="B71" s="437">
        <v>67</v>
      </c>
      <c r="C71" s="438"/>
      <c r="D71" s="439"/>
      <c r="E71" s="439"/>
      <c r="F71" s="439"/>
      <c r="G71" s="439"/>
      <c r="H71" s="439"/>
      <c r="I71" s="439"/>
      <c r="J71" s="750"/>
      <c r="K71" s="673" t="str">
        <f t="shared" si="3"/>
        <v/>
      </c>
      <c r="L71" s="676" t="str">
        <f t="shared" si="2"/>
        <v/>
      </c>
    </row>
    <row r="72" spans="2:12" ht="13.5" customHeight="1">
      <c r="B72" s="437">
        <v>68</v>
      </c>
      <c r="C72" s="438"/>
      <c r="D72" s="439"/>
      <c r="E72" s="439"/>
      <c r="F72" s="439"/>
      <c r="G72" s="439"/>
      <c r="H72" s="439"/>
      <c r="I72" s="439"/>
      <c r="J72" s="750"/>
      <c r="K72" s="673" t="str">
        <f t="shared" si="3"/>
        <v/>
      </c>
      <c r="L72" s="676" t="str">
        <f t="shared" si="2"/>
        <v/>
      </c>
    </row>
    <row r="73" spans="2:12" ht="13.5" customHeight="1">
      <c r="B73" s="437">
        <v>69</v>
      </c>
      <c r="C73" s="438"/>
      <c r="D73" s="439"/>
      <c r="E73" s="439"/>
      <c r="F73" s="439"/>
      <c r="G73" s="439"/>
      <c r="H73" s="439"/>
      <c r="I73" s="439"/>
      <c r="J73" s="750"/>
      <c r="K73" s="673" t="str">
        <f t="shared" si="3"/>
        <v/>
      </c>
      <c r="L73" s="676" t="str">
        <f t="shared" ref="L73:L105" si="4">IF(H73="","",DATE(G73,F73,E73)+TIME(H73,I73,0))</f>
        <v/>
      </c>
    </row>
    <row r="74" spans="2:12" ht="13.5" customHeight="1">
      <c r="B74" s="437">
        <v>70</v>
      </c>
      <c r="C74" s="438"/>
      <c r="D74" s="439"/>
      <c r="E74" s="439"/>
      <c r="F74" s="439"/>
      <c r="G74" s="439"/>
      <c r="H74" s="439"/>
      <c r="I74" s="439"/>
      <c r="J74" s="750"/>
      <c r="K74" s="673" t="str">
        <f t="shared" si="3"/>
        <v/>
      </c>
      <c r="L74" s="676" t="str">
        <f t="shared" si="4"/>
        <v/>
      </c>
    </row>
    <row r="75" spans="2:12" ht="13.5" customHeight="1">
      <c r="B75" s="437">
        <v>71</v>
      </c>
      <c r="C75" s="438"/>
      <c r="D75" s="439"/>
      <c r="E75" s="439"/>
      <c r="F75" s="439"/>
      <c r="G75" s="439"/>
      <c r="H75" s="439"/>
      <c r="I75" s="439"/>
      <c r="J75" s="750"/>
      <c r="K75" s="673" t="str">
        <f t="shared" si="3"/>
        <v/>
      </c>
      <c r="L75" s="676" t="str">
        <f t="shared" si="4"/>
        <v/>
      </c>
    </row>
    <row r="76" spans="2:12" ht="13.5" customHeight="1">
      <c r="B76" s="437">
        <v>72</v>
      </c>
      <c r="C76" s="438"/>
      <c r="D76" s="439"/>
      <c r="E76" s="439"/>
      <c r="F76" s="439"/>
      <c r="G76" s="439"/>
      <c r="H76" s="439"/>
      <c r="I76" s="439"/>
      <c r="J76" s="750"/>
      <c r="K76" s="673" t="str">
        <f t="shared" si="3"/>
        <v/>
      </c>
      <c r="L76" s="676" t="str">
        <f t="shared" si="4"/>
        <v/>
      </c>
    </row>
    <row r="77" spans="2:12" ht="13.5" customHeight="1">
      <c r="B77" s="437">
        <v>73</v>
      </c>
      <c r="C77" s="438"/>
      <c r="D77" s="439"/>
      <c r="E77" s="439"/>
      <c r="F77" s="439"/>
      <c r="G77" s="439"/>
      <c r="H77" s="439"/>
      <c r="I77" s="439"/>
      <c r="J77" s="750"/>
      <c r="K77" s="673" t="str">
        <f t="shared" si="3"/>
        <v/>
      </c>
      <c r="L77" s="676" t="str">
        <f t="shared" si="4"/>
        <v/>
      </c>
    </row>
    <row r="78" spans="2:12" ht="13.5" customHeight="1">
      <c r="B78" s="437">
        <v>74</v>
      </c>
      <c r="C78" s="438"/>
      <c r="D78" s="439"/>
      <c r="E78" s="439"/>
      <c r="F78" s="439"/>
      <c r="G78" s="439"/>
      <c r="H78" s="439"/>
      <c r="I78" s="439"/>
      <c r="J78" s="750"/>
      <c r="K78" s="673" t="str">
        <f t="shared" si="3"/>
        <v/>
      </c>
      <c r="L78" s="676" t="str">
        <f t="shared" si="4"/>
        <v/>
      </c>
    </row>
    <row r="79" spans="2:12" ht="13.5" customHeight="1">
      <c r="B79" s="437">
        <v>75</v>
      </c>
      <c r="C79" s="438"/>
      <c r="D79" s="439"/>
      <c r="E79" s="439"/>
      <c r="F79" s="439"/>
      <c r="G79" s="439"/>
      <c r="H79" s="439"/>
      <c r="I79" s="439"/>
      <c r="J79" s="750"/>
      <c r="K79" s="673" t="str">
        <f t="shared" si="3"/>
        <v/>
      </c>
      <c r="L79" s="676" t="str">
        <f t="shared" si="4"/>
        <v/>
      </c>
    </row>
    <row r="80" spans="2:12" ht="13.5" customHeight="1">
      <c r="B80" s="437">
        <v>76</v>
      </c>
      <c r="C80" s="438"/>
      <c r="D80" s="439"/>
      <c r="E80" s="439"/>
      <c r="F80" s="439"/>
      <c r="G80" s="439"/>
      <c r="H80" s="439"/>
      <c r="I80" s="439"/>
      <c r="J80" s="750"/>
      <c r="K80" s="673" t="str">
        <f t="shared" si="3"/>
        <v/>
      </c>
      <c r="L80" s="676" t="str">
        <f t="shared" si="4"/>
        <v/>
      </c>
    </row>
    <row r="81" spans="2:12" ht="13.5" customHeight="1">
      <c r="B81" s="437">
        <v>77</v>
      </c>
      <c r="C81" s="438"/>
      <c r="D81" s="439"/>
      <c r="E81" s="439"/>
      <c r="F81" s="439"/>
      <c r="G81" s="439"/>
      <c r="H81" s="439"/>
      <c r="I81" s="439"/>
      <c r="J81" s="750"/>
      <c r="K81" s="673" t="str">
        <f t="shared" si="3"/>
        <v/>
      </c>
      <c r="L81" s="676" t="str">
        <f t="shared" si="4"/>
        <v/>
      </c>
    </row>
    <row r="82" spans="2:12" ht="13.5" customHeight="1">
      <c r="B82" s="437">
        <v>78</v>
      </c>
      <c r="C82" s="438"/>
      <c r="D82" s="439"/>
      <c r="E82" s="439"/>
      <c r="F82" s="439"/>
      <c r="G82" s="439"/>
      <c r="H82" s="439"/>
      <c r="I82" s="439"/>
      <c r="J82" s="750"/>
      <c r="K82" s="673" t="str">
        <f t="shared" si="3"/>
        <v/>
      </c>
      <c r="L82" s="676" t="str">
        <f t="shared" si="4"/>
        <v/>
      </c>
    </row>
    <row r="83" spans="2:12" ht="13.5" customHeight="1">
      <c r="B83" s="437">
        <v>79</v>
      </c>
      <c r="C83" s="438"/>
      <c r="D83" s="439"/>
      <c r="E83" s="439"/>
      <c r="F83" s="439"/>
      <c r="G83" s="439"/>
      <c r="H83" s="439"/>
      <c r="I83" s="439"/>
      <c r="J83" s="750"/>
      <c r="K83" s="673" t="str">
        <f t="shared" si="3"/>
        <v/>
      </c>
      <c r="L83" s="676" t="str">
        <f t="shared" si="4"/>
        <v/>
      </c>
    </row>
    <row r="84" spans="2:12" ht="13.5" customHeight="1">
      <c r="B84" s="437">
        <v>80</v>
      </c>
      <c r="C84" s="438"/>
      <c r="D84" s="439"/>
      <c r="E84" s="439"/>
      <c r="F84" s="439"/>
      <c r="G84" s="439"/>
      <c r="H84" s="439"/>
      <c r="I84" s="439"/>
      <c r="J84" s="750"/>
      <c r="K84" s="673" t="str">
        <f t="shared" si="3"/>
        <v/>
      </c>
      <c r="L84" s="676" t="str">
        <f t="shared" si="4"/>
        <v/>
      </c>
    </row>
    <row r="85" spans="2:12" ht="13.5" customHeight="1">
      <c r="B85" s="437">
        <v>81</v>
      </c>
      <c r="C85" s="438"/>
      <c r="D85" s="439"/>
      <c r="E85" s="439"/>
      <c r="F85" s="439"/>
      <c r="G85" s="439"/>
      <c r="H85" s="439"/>
      <c r="I85" s="439"/>
      <c r="J85" s="750"/>
      <c r="K85" s="673" t="str">
        <f t="shared" si="3"/>
        <v/>
      </c>
      <c r="L85" s="676" t="str">
        <f t="shared" si="4"/>
        <v/>
      </c>
    </row>
    <row r="86" spans="2:12" ht="13.5" customHeight="1">
      <c r="B86" s="437">
        <v>82</v>
      </c>
      <c r="C86" s="438"/>
      <c r="D86" s="439"/>
      <c r="E86" s="439"/>
      <c r="F86" s="439"/>
      <c r="G86" s="439"/>
      <c r="H86" s="439"/>
      <c r="I86" s="439"/>
      <c r="J86" s="750"/>
      <c r="K86" s="673" t="str">
        <f t="shared" si="3"/>
        <v/>
      </c>
      <c r="L86" s="676" t="str">
        <f t="shared" si="4"/>
        <v/>
      </c>
    </row>
    <row r="87" spans="2:12" ht="13.5" customHeight="1">
      <c r="B87" s="437">
        <v>83</v>
      </c>
      <c r="C87" s="438"/>
      <c r="D87" s="439"/>
      <c r="E87" s="439"/>
      <c r="F87" s="439"/>
      <c r="G87" s="439"/>
      <c r="H87" s="439"/>
      <c r="I87" s="439"/>
      <c r="J87" s="750"/>
      <c r="K87" s="673" t="str">
        <f t="shared" si="3"/>
        <v/>
      </c>
      <c r="L87" s="676" t="str">
        <f t="shared" si="4"/>
        <v/>
      </c>
    </row>
    <row r="88" spans="2:12" ht="13.5" customHeight="1">
      <c r="B88" s="437">
        <v>84</v>
      </c>
      <c r="C88" s="438"/>
      <c r="D88" s="439"/>
      <c r="E88" s="439"/>
      <c r="F88" s="439"/>
      <c r="G88" s="439"/>
      <c r="H88" s="439"/>
      <c r="I88" s="439"/>
      <c r="J88" s="750"/>
      <c r="K88" s="673" t="str">
        <f t="shared" si="3"/>
        <v/>
      </c>
      <c r="L88" s="676" t="str">
        <f t="shared" si="4"/>
        <v/>
      </c>
    </row>
    <row r="89" spans="2:12" ht="13.5" customHeight="1">
      <c r="B89" s="437">
        <v>85</v>
      </c>
      <c r="C89" s="438"/>
      <c r="D89" s="439"/>
      <c r="E89" s="439"/>
      <c r="F89" s="439"/>
      <c r="G89" s="439"/>
      <c r="H89" s="439"/>
      <c r="I89" s="439"/>
      <c r="J89" s="750"/>
      <c r="K89" s="673" t="str">
        <f t="shared" si="3"/>
        <v/>
      </c>
      <c r="L89" s="676" t="str">
        <f t="shared" si="4"/>
        <v/>
      </c>
    </row>
    <row r="90" spans="2:12" ht="13.5" customHeight="1">
      <c r="B90" s="437">
        <v>86</v>
      </c>
      <c r="C90" s="438"/>
      <c r="D90" s="439"/>
      <c r="E90" s="439"/>
      <c r="F90" s="439"/>
      <c r="G90" s="439"/>
      <c r="H90" s="439"/>
      <c r="I90" s="439"/>
      <c r="J90" s="750"/>
      <c r="K90" s="673" t="str">
        <f t="shared" si="3"/>
        <v/>
      </c>
      <c r="L90" s="676" t="str">
        <f t="shared" si="4"/>
        <v/>
      </c>
    </row>
    <row r="91" spans="2:12" ht="13.5" customHeight="1">
      <c r="B91" s="437">
        <v>87</v>
      </c>
      <c r="C91" s="438"/>
      <c r="D91" s="439"/>
      <c r="E91" s="439"/>
      <c r="F91" s="439"/>
      <c r="G91" s="439"/>
      <c r="H91" s="439"/>
      <c r="I91" s="439"/>
      <c r="J91" s="750"/>
      <c r="K91" s="673" t="str">
        <f t="shared" si="3"/>
        <v/>
      </c>
      <c r="L91" s="676" t="str">
        <f t="shared" si="4"/>
        <v/>
      </c>
    </row>
    <row r="92" spans="2:12" ht="13.5" customHeight="1">
      <c r="B92" s="437">
        <v>88</v>
      </c>
      <c r="C92" s="438"/>
      <c r="D92" s="439"/>
      <c r="E92" s="439"/>
      <c r="F92" s="439"/>
      <c r="G92" s="439"/>
      <c r="H92" s="439"/>
      <c r="I92" s="439"/>
      <c r="J92" s="750"/>
      <c r="K92" s="673" t="str">
        <f t="shared" si="3"/>
        <v/>
      </c>
      <c r="L92" s="676" t="str">
        <f t="shared" si="4"/>
        <v/>
      </c>
    </row>
    <row r="93" spans="2:12" ht="13.5" customHeight="1">
      <c r="B93" s="437">
        <v>89</v>
      </c>
      <c r="C93" s="438"/>
      <c r="D93" s="439"/>
      <c r="E93" s="439"/>
      <c r="F93" s="439"/>
      <c r="G93" s="439"/>
      <c r="H93" s="439"/>
      <c r="I93" s="439"/>
      <c r="J93" s="750"/>
      <c r="K93" s="673" t="str">
        <f t="shared" si="3"/>
        <v/>
      </c>
      <c r="L93" s="676" t="str">
        <f t="shared" si="4"/>
        <v/>
      </c>
    </row>
    <row r="94" spans="2:12" ht="13.5" customHeight="1">
      <c r="B94" s="437">
        <v>90</v>
      </c>
      <c r="C94" s="438"/>
      <c r="D94" s="439"/>
      <c r="E94" s="439"/>
      <c r="F94" s="439"/>
      <c r="G94" s="439"/>
      <c r="H94" s="439"/>
      <c r="I94" s="439"/>
      <c r="J94" s="750"/>
      <c r="K94" s="673" t="str">
        <f t="shared" si="3"/>
        <v/>
      </c>
      <c r="L94" s="676" t="str">
        <f t="shared" si="4"/>
        <v/>
      </c>
    </row>
    <row r="95" spans="2:12" ht="13.5" customHeight="1">
      <c r="B95" s="437">
        <v>91</v>
      </c>
      <c r="C95" s="438"/>
      <c r="D95" s="439"/>
      <c r="E95" s="439"/>
      <c r="F95" s="439"/>
      <c r="G95" s="439"/>
      <c r="H95" s="439"/>
      <c r="I95" s="439"/>
      <c r="J95" s="750"/>
      <c r="K95" s="673" t="str">
        <f t="shared" si="3"/>
        <v/>
      </c>
      <c r="L95" s="676" t="str">
        <f t="shared" si="4"/>
        <v/>
      </c>
    </row>
    <row r="96" spans="2:12" ht="13.5" customHeight="1">
      <c r="B96" s="437">
        <v>92</v>
      </c>
      <c r="C96" s="438"/>
      <c r="D96" s="439"/>
      <c r="E96" s="439"/>
      <c r="F96" s="439"/>
      <c r="G96" s="439"/>
      <c r="H96" s="439"/>
      <c r="I96" s="439"/>
      <c r="J96" s="750"/>
      <c r="K96" s="673" t="str">
        <f t="shared" si="3"/>
        <v/>
      </c>
      <c r="L96" s="676" t="str">
        <f t="shared" si="4"/>
        <v/>
      </c>
    </row>
    <row r="97" spans="2:12" ht="13.5" customHeight="1">
      <c r="B97" s="437">
        <v>93</v>
      </c>
      <c r="C97" s="438"/>
      <c r="D97" s="439"/>
      <c r="E97" s="439"/>
      <c r="F97" s="439"/>
      <c r="G97" s="439"/>
      <c r="H97" s="439"/>
      <c r="I97" s="439"/>
      <c r="J97" s="750"/>
      <c r="K97" s="673" t="str">
        <f t="shared" si="3"/>
        <v/>
      </c>
      <c r="L97" s="676" t="str">
        <f t="shared" si="4"/>
        <v/>
      </c>
    </row>
    <row r="98" spans="2:12" ht="13.5" customHeight="1">
      <c r="B98" s="437">
        <v>94</v>
      </c>
      <c r="C98" s="438"/>
      <c r="D98" s="439"/>
      <c r="E98" s="439"/>
      <c r="F98" s="439"/>
      <c r="G98" s="439"/>
      <c r="H98" s="439"/>
      <c r="I98" s="439"/>
      <c r="J98" s="750"/>
      <c r="K98" s="673" t="str">
        <f t="shared" si="3"/>
        <v/>
      </c>
      <c r="L98" s="676" t="str">
        <f t="shared" si="4"/>
        <v/>
      </c>
    </row>
    <row r="99" spans="2:12" ht="13.5" customHeight="1">
      <c r="B99" s="437">
        <v>95</v>
      </c>
      <c r="C99" s="438"/>
      <c r="D99" s="439"/>
      <c r="E99" s="439"/>
      <c r="F99" s="439"/>
      <c r="G99" s="439"/>
      <c r="H99" s="439"/>
      <c r="I99" s="439"/>
      <c r="J99" s="750"/>
      <c r="K99" s="673" t="str">
        <f t="shared" si="3"/>
        <v/>
      </c>
      <c r="L99" s="676" t="str">
        <f t="shared" si="4"/>
        <v/>
      </c>
    </row>
    <row r="100" spans="2:12" ht="13.5" customHeight="1">
      <c r="B100" s="437">
        <v>96</v>
      </c>
      <c r="C100" s="438"/>
      <c r="D100" s="439"/>
      <c r="E100" s="439"/>
      <c r="F100" s="439"/>
      <c r="G100" s="439"/>
      <c r="H100" s="439"/>
      <c r="I100" s="439"/>
      <c r="J100" s="750"/>
      <c r="K100" s="673" t="str">
        <f t="shared" si="3"/>
        <v/>
      </c>
      <c r="L100" s="676" t="str">
        <f t="shared" si="4"/>
        <v/>
      </c>
    </row>
    <row r="101" spans="2:12" ht="13.5" customHeight="1">
      <c r="B101" s="437">
        <v>97</v>
      </c>
      <c r="C101" s="438"/>
      <c r="D101" s="439"/>
      <c r="E101" s="439"/>
      <c r="F101" s="439"/>
      <c r="G101" s="439"/>
      <c r="H101" s="439"/>
      <c r="I101" s="439"/>
      <c r="J101" s="750"/>
      <c r="K101" s="673" t="str">
        <f t="shared" si="3"/>
        <v/>
      </c>
      <c r="L101" s="676" t="str">
        <f t="shared" si="4"/>
        <v/>
      </c>
    </row>
    <row r="102" spans="2:12" ht="13.5" customHeight="1">
      <c r="B102" s="437">
        <v>98</v>
      </c>
      <c r="C102" s="438"/>
      <c r="D102" s="439"/>
      <c r="E102" s="439"/>
      <c r="F102" s="439"/>
      <c r="G102" s="439"/>
      <c r="H102" s="439"/>
      <c r="I102" s="439"/>
      <c r="J102" s="750"/>
      <c r="K102" s="673" t="str">
        <f t="shared" si="3"/>
        <v/>
      </c>
      <c r="L102" s="676" t="str">
        <f t="shared" si="4"/>
        <v/>
      </c>
    </row>
    <row r="103" spans="2:12" ht="13.5" customHeight="1">
      <c r="B103" s="437">
        <v>99</v>
      </c>
      <c r="C103" s="438"/>
      <c r="D103" s="439"/>
      <c r="E103" s="439"/>
      <c r="F103" s="439"/>
      <c r="G103" s="439"/>
      <c r="H103" s="439"/>
      <c r="I103" s="439"/>
      <c r="J103" s="750"/>
      <c r="K103" s="673" t="str">
        <f t="shared" si="3"/>
        <v/>
      </c>
      <c r="L103" s="676" t="str">
        <f t="shared" si="4"/>
        <v/>
      </c>
    </row>
    <row r="104" spans="2:12" ht="13.5" customHeight="1">
      <c r="B104" s="437">
        <v>100</v>
      </c>
      <c r="C104" s="438"/>
      <c r="D104" s="439"/>
      <c r="E104" s="439"/>
      <c r="F104" s="439"/>
      <c r="G104" s="439"/>
      <c r="H104" s="439"/>
      <c r="I104" s="439"/>
      <c r="J104" s="750"/>
      <c r="K104" s="673" t="str">
        <f t="shared" si="3"/>
        <v/>
      </c>
      <c r="L104" s="676" t="str">
        <f t="shared" si="4"/>
        <v/>
      </c>
    </row>
    <row r="105" spans="2:12" ht="13.5" customHeight="1">
      <c r="B105" s="437"/>
      <c r="C105" s="438"/>
      <c r="D105" s="439"/>
      <c r="E105" s="439"/>
      <c r="F105" s="439"/>
      <c r="G105" s="439"/>
      <c r="H105" s="439"/>
      <c r="I105" s="439"/>
      <c r="J105" s="750"/>
      <c r="K105" s="673" t="str">
        <f t="shared" si="3"/>
        <v/>
      </c>
      <c r="L105" s="676" t="str">
        <f t="shared" si="4"/>
        <v/>
      </c>
    </row>
    <row r="106" spans="2:12" ht="13.5" customHeight="1">
      <c r="L106" s="677"/>
    </row>
    <row r="107" spans="2:12" ht="13.5" customHeight="1">
      <c r="L107" s="677"/>
    </row>
    <row r="108" spans="2:12" ht="13.5" customHeight="1">
      <c r="L108" s="677"/>
    </row>
    <row r="109" spans="2:12" ht="13.5" customHeight="1">
      <c r="L109" s="677"/>
    </row>
    <row r="110" spans="2:12" ht="13.5" customHeight="1">
      <c r="L110" s="677"/>
    </row>
    <row r="111" spans="2:12" ht="13.5" customHeight="1">
      <c r="L111" s="677"/>
    </row>
    <row r="112" spans="2:12" ht="13.5" customHeight="1">
      <c r="L112" s="677"/>
    </row>
    <row r="113" spans="12:12" ht="13.5" customHeight="1">
      <c r="L113" s="677"/>
    </row>
    <row r="114" spans="12:12" ht="13.5" customHeight="1">
      <c r="L114" s="677"/>
    </row>
    <row r="115" spans="12:12" ht="13.5" customHeight="1">
      <c r="L115" s="677"/>
    </row>
    <row r="116" spans="12:12" ht="13.5" customHeight="1">
      <c r="L116" s="677"/>
    </row>
    <row r="117" spans="12:12" ht="13.5" customHeight="1">
      <c r="L117" s="677"/>
    </row>
    <row r="118" spans="12:12" ht="13.5" customHeight="1">
      <c r="L118" s="677"/>
    </row>
    <row r="119" spans="12:12" ht="13.5" customHeight="1">
      <c r="L119" s="677"/>
    </row>
    <row r="120" spans="12:12" ht="13.5" customHeight="1">
      <c r="L120" s="677"/>
    </row>
    <row r="121" spans="12:12" ht="13.5" customHeight="1">
      <c r="L121" s="677"/>
    </row>
    <row r="122" spans="12:12" ht="13.5" customHeight="1">
      <c r="L122" s="677"/>
    </row>
    <row r="123" spans="12:12" ht="13.5" customHeight="1">
      <c r="L123" s="677"/>
    </row>
    <row r="124" spans="12:12" ht="13.5" customHeight="1">
      <c r="L124" s="677"/>
    </row>
    <row r="125" spans="12:12" ht="13.5" customHeight="1">
      <c r="L125" s="677"/>
    </row>
    <row r="126" spans="12:12" ht="13.5" customHeight="1">
      <c r="L126" s="677"/>
    </row>
    <row r="127" spans="12:12" ht="13.5" customHeight="1">
      <c r="L127" s="677"/>
    </row>
    <row r="128" spans="12:12" ht="13.5" customHeight="1">
      <c r="L128" s="677"/>
    </row>
    <row r="129" spans="12:12" ht="13.5" customHeight="1">
      <c r="L129" s="677"/>
    </row>
    <row r="130" spans="12:12" ht="13.5" customHeight="1">
      <c r="L130" s="677"/>
    </row>
    <row r="131" spans="12:12" ht="13.5" customHeight="1">
      <c r="L131" s="677"/>
    </row>
    <row r="132" spans="12:12" ht="13.5" customHeight="1">
      <c r="L132" s="677"/>
    </row>
    <row r="133" spans="12:12" ht="13.5" customHeight="1">
      <c r="L133" s="677"/>
    </row>
    <row r="134" spans="12:12" ht="13.5" customHeight="1">
      <c r="L134" s="677"/>
    </row>
    <row r="135" spans="12:12" ht="13.5" customHeight="1">
      <c r="L135" s="677"/>
    </row>
    <row r="136" spans="12:12" ht="13.5" customHeight="1">
      <c r="L136" s="677"/>
    </row>
    <row r="137" spans="12:12" ht="13.5" customHeight="1">
      <c r="L137" s="677"/>
    </row>
    <row r="138" spans="12:12" ht="13.5" customHeight="1">
      <c r="L138" s="677"/>
    </row>
    <row r="139" spans="12:12" ht="13.5" customHeight="1">
      <c r="L139" s="677"/>
    </row>
    <row r="140" spans="12:12" ht="13.5" customHeight="1">
      <c r="L140" s="677"/>
    </row>
    <row r="141" spans="12:12" ht="13.5" customHeight="1">
      <c r="L141" s="677"/>
    </row>
    <row r="142" spans="12:12" ht="13.5" customHeight="1">
      <c r="L142" s="677"/>
    </row>
    <row r="143" spans="12:12" ht="13.5" customHeight="1">
      <c r="L143" s="677"/>
    </row>
    <row r="144" spans="12:12" ht="13.5" customHeight="1">
      <c r="L144" s="677"/>
    </row>
    <row r="145" spans="12:12" ht="13.5" customHeight="1">
      <c r="L145" s="677"/>
    </row>
    <row r="146" spans="12:12" ht="13.5" customHeight="1">
      <c r="L146" s="677"/>
    </row>
    <row r="147" spans="12:12" ht="13.5" customHeight="1">
      <c r="L147" s="677"/>
    </row>
    <row r="148" spans="12:12" ht="13.5" customHeight="1">
      <c r="L148" s="677"/>
    </row>
    <row r="149" spans="12:12" ht="13.5" customHeight="1">
      <c r="L149" s="677"/>
    </row>
    <row r="150" spans="12:12" ht="13.5" customHeight="1">
      <c r="L150" s="677"/>
    </row>
    <row r="151" spans="12:12" ht="13.5" customHeight="1">
      <c r="L151" s="677"/>
    </row>
    <row r="152" spans="12:12" ht="13.5" customHeight="1">
      <c r="L152" s="677"/>
    </row>
    <row r="153" spans="12:12" ht="13.5" customHeight="1">
      <c r="L153" s="677"/>
    </row>
    <row r="154" spans="12:12" ht="13.5" customHeight="1">
      <c r="L154" s="677"/>
    </row>
    <row r="155" spans="12:12" ht="13.5" customHeight="1">
      <c r="L155" s="677"/>
    </row>
    <row r="156" spans="12:12" ht="13.5" customHeight="1">
      <c r="L156" s="677"/>
    </row>
    <row r="157" spans="12:12" ht="13.5" customHeight="1">
      <c r="L157" s="677"/>
    </row>
    <row r="158" spans="12:12" ht="13.5" customHeight="1">
      <c r="L158" s="677"/>
    </row>
    <row r="159" spans="12:12" ht="13.5" customHeight="1">
      <c r="L159" s="677"/>
    </row>
    <row r="160" spans="12:12" ht="13.5" customHeight="1">
      <c r="L160" s="677"/>
    </row>
    <row r="161" spans="12:12" ht="13.5" customHeight="1">
      <c r="L161" s="677"/>
    </row>
    <row r="162" spans="12:12" ht="13.5" customHeight="1">
      <c r="L162" s="677"/>
    </row>
    <row r="163" spans="12:12" ht="13.5" customHeight="1">
      <c r="L163" s="677"/>
    </row>
    <row r="164" spans="12:12" ht="13.5" customHeight="1">
      <c r="L164" s="677"/>
    </row>
    <row r="165" spans="12:12" ht="13.5" customHeight="1">
      <c r="L165" s="677"/>
    </row>
    <row r="166" spans="12:12" ht="13.5" customHeight="1">
      <c r="L166" s="677"/>
    </row>
    <row r="167" spans="12:12" ht="13.5" customHeight="1">
      <c r="L167" s="677"/>
    </row>
    <row r="168" spans="12:12" ht="13.5" customHeight="1">
      <c r="L168" s="677"/>
    </row>
    <row r="169" spans="12:12" ht="13.5" customHeight="1">
      <c r="L169" s="677"/>
    </row>
    <row r="170" spans="12:12" ht="13.5" customHeight="1">
      <c r="L170" s="677"/>
    </row>
    <row r="171" spans="12:12" ht="13.5" customHeight="1">
      <c r="L171" s="677"/>
    </row>
    <row r="172" spans="12:12" ht="13.5" customHeight="1">
      <c r="L172" s="677"/>
    </row>
    <row r="173" spans="12:12" ht="13.5" customHeight="1">
      <c r="L173" s="677"/>
    </row>
    <row r="174" spans="12:12" ht="13.5" customHeight="1">
      <c r="L174" s="677"/>
    </row>
    <row r="175" spans="12:12" ht="13.5" customHeight="1">
      <c r="L175" s="677"/>
    </row>
    <row r="176" spans="12:12" ht="13.5" customHeight="1">
      <c r="L176" s="677"/>
    </row>
    <row r="177" spans="12:12" ht="13.5" customHeight="1">
      <c r="L177" s="677"/>
    </row>
    <row r="178" spans="12:12" ht="13.5" customHeight="1">
      <c r="L178" s="677"/>
    </row>
    <row r="179" spans="12:12" ht="13.5" customHeight="1">
      <c r="L179" s="677"/>
    </row>
    <row r="180" spans="12:12" ht="13.5" customHeight="1">
      <c r="L180" s="677"/>
    </row>
    <row r="181" spans="12:12" ht="13.5" customHeight="1">
      <c r="L181" s="677"/>
    </row>
    <row r="182" spans="12:12" ht="13.5" customHeight="1">
      <c r="L182" s="677"/>
    </row>
    <row r="183" spans="12:12" ht="13.5" customHeight="1">
      <c r="L183" s="677"/>
    </row>
    <row r="184" spans="12:12" ht="13.5" customHeight="1">
      <c r="L184" s="677"/>
    </row>
    <row r="185" spans="12:12" ht="13.5" customHeight="1">
      <c r="L185" s="677"/>
    </row>
    <row r="186" spans="12:12" ht="13.5" customHeight="1">
      <c r="L186" s="677"/>
    </row>
    <row r="187" spans="12:12" ht="13.5" customHeight="1">
      <c r="L187" s="677"/>
    </row>
    <row r="188" spans="12:12" ht="13.5" customHeight="1">
      <c r="L188" s="677"/>
    </row>
    <row r="189" spans="12:12" ht="13.5" customHeight="1">
      <c r="L189" s="677"/>
    </row>
    <row r="190" spans="12:12" ht="13.5" customHeight="1">
      <c r="L190" s="677"/>
    </row>
    <row r="191" spans="12:12" ht="13.5" customHeight="1">
      <c r="L191" s="677"/>
    </row>
    <row r="192" spans="12:12" ht="13.5" customHeight="1">
      <c r="L192" s="677"/>
    </row>
    <row r="193" spans="12:12" ht="13.5" customHeight="1">
      <c r="L193" s="677"/>
    </row>
    <row r="194" spans="12:12" ht="13.5" customHeight="1">
      <c r="L194" s="677"/>
    </row>
    <row r="195" spans="12:12" ht="13.5" customHeight="1">
      <c r="L195" s="677"/>
    </row>
    <row r="196" spans="12:12" ht="13.5" customHeight="1">
      <c r="L196" s="677"/>
    </row>
    <row r="197" spans="12:12" ht="13.5" customHeight="1">
      <c r="L197" s="677"/>
    </row>
    <row r="198" spans="12:12" ht="13.5" customHeight="1">
      <c r="L198" s="677"/>
    </row>
    <row r="199" spans="12:12" ht="13.5" customHeight="1">
      <c r="L199" s="677"/>
    </row>
    <row r="200" spans="12:12" ht="13.5" customHeight="1">
      <c r="L200" s="677"/>
    </row>
    <row r="201" spans="12:12" ht="13.5" customHeight="1">
      <c r="L201" s="677"/>
    </row>
    <row r="202" spans="12:12" ht="13.5" customHeight="1">
      <c r="L202" s="677"/>
    </row>
    <row r="203" spans="12:12" ht="13.5" customHeight="1">
      <c r="L203" s="677"/>
    </row>
    <row r="204" spans="12:12" ht="13.5" customHeight="1">
      <c r="L204" s="677"/>
    </row>
    <row r="205" spans="12:12" ht="13.5" customHeight="1">
      <c r="L205" s="677"/>
    </row>
    <row r="206" spans="12:12" ht="13.5" customHeight="1">
      <c r="L206" s="677"/>
    </row>
    <row r="207" spans="12:12" ht="13.5" customHeight="1">
      <c r="L207" s="677"/>
    </row>
    <row r="208" spans="12:12" ht="13.5" customHeight="1">
      <c r="L208" s="677"/>
    </row>
    <row r="209" spans="12:12" ht="13.5" customHeight="1">
      <c r="L209" s="677"/>
    </row>
    <row r="210" spans="12:12" ht="13.5" customHeight="1">
      <c r="L210" s="677"/>
    </row>
    <row r="211" spans="12:12" ht="13.5" customHeight="1">
      <c r="L211" s="677"/>
    </row>
    <row r="212" spans="12:12" ht="13.5" customHeight="1">
      <c r="L212" s="677"/>
    </row>
    <row r="213" spans="12:12" ht="13.5" customHeight="1">
      <c r="L213" s="677"/>
    </row>
    <row r="214" spans="12:12" ht="13.5" customHeight="1">
      <c r="L214" s="677"/>
    </row>
    <row r="215" spans="12:12" ht="13.5" customHeight="1">
      <c r="L215" s="677"/>
    </row>
    <row r="216" spans="12:12" ht="13.5" customHeight="1">
      <c r="L216" s="677"/>
    </row>
    <row r="217" spans="12:12" ht="13.5" customHeight="1">
      <c r="L217" s="677"/>
    </row>
    <row r="218" spans="12:12" ht="13.5" customHeight="1">
      <c r="L218" s="677"/>
    </row>
    <row r="219" spans="12:12" ht="13.5" customHeight="1">
      <c r="L219" s="677"/>
    </row>
    <row r="220" spans="12:12" ht="13.5" customHeight="1">
      <c r="L220" s="677"/>
    </row>
    <row r="221" spans="12:12" ht="13.5" customHeight="1">
      <c r="L221" s="677"/>
    </row>
    <row r="222" spans="12:12" ht="13.5" customHeight="1">
      <c r="L222" s="677"/>
    </row>
    <row r="223" spans="12:12" ht="13.5" customHeight="1">
      <c r="L223" s="677"/>
    </row>
    <row r="224" spans="12:12" ht="13.5" customHeight="1">
      <c r="L224" s="677"/>
    </row>
    <row r="225" spans="12:12" ht="13.5" customHeight="1">
      <c r="L225" s="677"/>
    </row>
    <row r="226" spans="12:12" ht="13.5" customHeight="1">
      <c r="L226" s="677"/>
    </row>
    <row r="227" spans="12:12" ht="13.5" customHeight="1">
      <c r="L227" s="677"/>
    </row>
    <row r="228" spans="12:12" ht="13.5" customHeight="1">
      <c r="L228" s="677"/>
    </row>
    <row r="229" spans="12:12" ht="13.5" customHeight="1">
      <c r="L229" s="677"/>
    </row>
    <row r="230" spans="12:12" ht="13.5" customHeight="1">
      <c r="L230" s="677"/>
    </row>
    <row r="231" spans="12:12" ht="13.5" customHeight="1">
      <c r="L231" s="677"/>
    </row>
    <row r="232" spans="12:12" ht="13.5" customHeight="1">
      <c r="L232" s="677"/>
    </row>
    <row r="233" spans="12:12" ht="13.5" customHeight="1">
      <c r="L233" s="677"/>
    </row>
    <row r="234" spans="12:12" ht="13.5" customHeight="1">
      <c r="L234" s="677"/>
    </row>
    <row r="235" spans="12:12" ht="13.5" customHeight="1">
      <c r="L235" s="677"/>
    </row>
    <row r="236" spans="12:12" ht="13.5" customHeight="1">
      <c r="L236" s="677"/>
    </row>
    <row r="237" spans="12:12" ht="13.5" customHeight="1">
      <c r="L237" s="677"/>
    </row>
    <row r="238" spans="12:12" ht="13.5" customHeight="1">
      <c r="L238" s="677"/>
    </row>
    <row r="239" spans="12:12" ht="13.5" customHeight="1">
      <c r="L239" s="677"/>
    </row>
    <row r="240" spans="12:12" ht="13.5" customHeight="1">
      <c r="L240" s="677"/>
    </row>
    <row r="241" spans="12:12" ht="13.5" customHeight="1">
      <c r="L241" s="677"/>
    </row>
    <row r="242" spans="12:12" ht="13.5" customHeight="1">
      <c r="L242" s="677"/>
    </row>
    <row r="243" spans="12:12" ht="13.5" customHeight="1">
      <c r="L243" s="677"/>
    </row>
    <row r="244" spans="12:12" ht="13.5" customHeight="1">
      <c r="L244" s="677"/>
    </row>
    <row r="245" spans="12:12" ht="13.5" customHeight="1">
      <c r="L245" s="677"/>
    </row>
    <row r="246" spans="12:12" ht="13.5" customHeight="1">
      <c r="L246" s="677"/>
    </row>
    <row r="247" spans="12:12" ht="13.5" customHeight="1">
      <c r="L247" s="677"/>
    </row>
    <row r="248" spans="12:12" ht="13.5" customHeight="1">
      <c r="L248" s="677"/>
    </row>
    <row r="249" spans="12:12" ht="13.5" customHeight="1">
      <c r="L249" s="677"/>
    </row>
    <row r="250" spans="12:12" ht="13.5" customHeight="1">
      <c r="L250" s="677"/>
    </row>
    <row r="251" spans="12:12" ht="13.5" customHeight="1">
      <c r="L251" s="677"/>
    </row>
    <row r="252" spans="12:12" ht="13.5" customHeight="1">
      <c r="L252" s="677"/>
    </row>
    <row r="253" spans="12:12" ht="13.5" customHeight="1">
      <c r="L253" s="677"/>
    </row>
    <row r="254" spans="12:12" ht="13.5" customHeight="1">
      <c r="L254" s="677"/>
    </row>
    <row r="255" spans="12:12" ht="13.5" customHeight="1">
      <c r="L255" s="677"/>
    </row>
    <row r="256" spans="12:12" ht="13.5" customHeight="1">
      <c r="L256" s="677"/>
    </row>
    <row r="257" spans="12:12" ht="13.5" customHeight="1">
      <c r="L257" s="677"/>
    </row>
    <row r="258" spans="12:12" ht="13.5" customHeight="1">
      <c r="L258" s="677"/>
    </row>
    <row r="259" spans="12:12" ht="13.5" customHeight="1">
      <c r="L259" s="677"/>
    </row>
    <row r="260" spans="12:12" ht="13.5" customHeight="1">
      <c r="L260" s="677"/>
    </row>
    <row r="261" spans="12:12" ht="13.5" customHeight="1">
      <c r="L261" s="677"/>
    </row>
    <row r="262" spans="12:12" ht="13.5" customHeight="1">
      <c r="L262" s="677"/>
    </row>
    <row r="263" spans="12:12" ht="13.5" customHeight="1">
      <c r="L263" s="677"/>
    </row>
    <row r="264" spans="12:12" ht="13.5" customHeight="1">
      <c r="L264" s="677"/>
    </row>
    <row r="265" spans="12:12" ht="13.5" customHeight="1">
      <c r="L265" s="677"/>
    </row>
    <row r="266" spans="12:12" ht="13.5" customHeight="1">
      <c r="L266" s="677"/>
    </row>
    <row r="267" spans="12:12" ht="13.5" customHeight="1">
      <c r="L267" s="677"/>
    </row>
    <row r="268" spans="12:12" ht="13.5" customHeight="1">
      <c r="L268" s="677"/>
    </row>
    <row r="269" spans="12:12" ht="13.5" customHeight="1">
      <c r="L269" s="677"/>
    </row>
    <row r="270" spans="12:12" ht="13.5" customHeight="1">
      <c r="L270" s="677"/>
    </row>
    <row r="271" spans="12:12" ht="13.5" customHeight="1">
      <c r="L271" s="677"/>
    </row>
    <row r="272" spans="12:12" ht="13.5" customHeight="1">
      <c r="L272" s="677"/>
    </row>
    <row r="273" spans="12:12" ht="13.5" customHeight="1">
      <c r="L273" s="677"/>
    </row>
    <row r="274" spans="12:12" ht="13.5" customHeight="1">
      <c r="L274" s="677"/>
    </row>
    <row r="275" spans="12:12" ht="13.5" customHeight="1">
      <c r="L275" s="677"/>
    </row>
    <row r="276" spans="12:12" ht="13.5" customHeight="1">
      <c r="L276" s="677"/>
    </row>
    <row r="277" spans="12:12" ht="13.5" customHeight="1">
      <c r="L277" s="677"/>
    </row>
    <row r="278" spans="12:12" ht="13.5" customHeight="1">
      <c r="L278" s="677"/>
    </row>
    <row r="279" spans="12:12" ht="13.5" customHeight="1">
      <c r="L279" s="677"/>
    </row>
    <row r="280" spans="12:12" ht="13.5" customHeight="1">
      <c r="L280" s="677"/>
    </row>
    <row r="281" spans="12:12" ht="13.5" customHeight="1">
      <c r="L281" s="677"/>
    </row>
    <row r="282" spans="12:12" ht="13.5" customHeight="1">
      <c r="L282" s="677"/>
    </row>
    <row r="283" spans="12:12" ht="13.5" customHeight="1">
      <c r="L283" s="677"/>
    </row>
    <row r="284" spans="12:12" ht="13.5" customHeight="1">
      <c r="L284" s="677"/>
    </row>
    <row r="285" spans="12:12" ht="13.5" customHeight="1">
      <c r="L285" s="677"/>
    </row>
    <row r="286" spans="12:12" ht="13.5" customHeight="1">
      <c r="L286" s="677"/>
    </row>
    <row r="287" spans="12:12" ht="13.5" customHeight="1">
      <c r="L287" s="677"/>
    </row>
    <row r="288" spans="12:12" ht="13.5" customHeight="1">
      <c r="L288" s="677"/>
    </row>
    <row r="289" spans="12:12" ht="13.5" customHeight="1">
      <c r="L289" s="677"/>
    </row>
    <row r="290" spans="12:12" ht="13.5" customHeight="1">
      <c r="L290" s="677"/>
    </row>
    <row r="291" spans="12:12" ht="13.5" customHeight="1">
      <c r="L291" s="677"/>
    </row>
    <row r="292" spans="12:12" ht="13.5" customHeight="1">
      <c r="L292" s="677"/>
    </row>
    <row r="293" spans="12:12" ht="13.5" customHeight="1">
      <c r="L293" s="677"/>
    </row>
    <row r="294" spans="12:12" ht="13.5" customHeight="1">
      <c r="L294" s="677"/>
    </row>
    <row r="295" spans="12:12" ht="13.5" customHeight="1">
      <c r="L295" s="677"/>
    </row>
    <row r="296" spans="12:12" ht="13.5" customHeight="1">
      <c r="L296" s="677"/>
    </row>
    <row r="297" spans="12:12" ht="13.5" customHeight="1">
      <c r="L297" s="677"/>
    </row>
    <row r="298" spans="12:12" ht="13.5" customHeight="1">
      <c r="L298" s="677"/>
    </row>
    <row r="299" spans="12:12" ht="13.5" customHeight="1">
      <c r="L299" s="677"/>
    </row>
    <row r="300" spans="12:12" ht="13.5" customHeight="1">
      <c r="L300" s="677"/>
    </row>
    <row r="301" spans="12:12" ht="13.5" customHeight="1">
      <c r="L301" s="677"/>
    </row>
    <row r="302" spans="12:12" ht="13.5" customHeight="1">
      <c r="L302" s="677"/>
    </row>
    <row r="303" spans="12:12" ht="13.5" customHeight="1">
      <c r="L303" s="677"/>
    </row>
    <row r="304" spans="12:12" ht="13.5" customHeight="1">
      <c r="L304" s="677"/>
    </row>
    <row r="305" spans="12:12" ht="13.5" customHeight="1">
      <c r="L305" s="677"/>
    </row>
    <row r="306" spans="12:12" ht="13.5" customHeight="1">
      <c r="L306" s="677"/>
    </row>
    <row r="307" spans="12:12" ht="13.5" customHeight="1">
      <c r="L307" s="677"/>
    </row>
    <row r="308" spans="12:12" ht="13.5" customHeight="1">
      <c r="L308" s="677"/>
    </row>
    <row r="309" spans="12:12" ht="13.5" customHeight="1">
      <c r="L309" s="677"/>
    </row>
    <row r="310" spans="12:12" ht="13.5" customHeight="1">
      <c r="L310" s="677"/>
    </row>
    <row r="311" spans="12:12" ht="13.5" customHeight="1">
      <c r="L311" s="677"/>
    </row>
    <row r="312" spans="12:12" ht="13.5" customHeight="1">
      <c r="L312" s="677"/>
    </row>
    <row r="313" spans="12:12" ht="13.5" customHeight="1">
      <c r="L313" s="677"/>
    </row>
    <row r="314" spans="12:12" ht="13.5" customHeight="1">
      <c r="L314" s="677"/>
    </row>
    <row r="315" spans="12:12" ht="13.5" customHeight="1">
      <c r="L315" s="677"/>
    </row>
    <row r="316" spans="12:12" ht="13.5" customHeight="1">
      <c r="L316" s="677"/>
    </row>
    <row r="317" spans="12:12" ht="13.5" customHeight="1">
      <c r="L317" s="677"/>
    </row>
    <row r="318" spans="12:12" ht="13.5" customHeight="1">
      <c r="L318" s="677"/>
    </row>
    <row r="319" spans="12:12" ht="13.5" customHeight="1">
      <c r="L319" s="677"/>
    </row>
    <row r="320" spans="12:12" ht="13.5" customHeight="1">
      <c r="L320" s="677"/>
    </row>
    <row r="321" spans="12:12" ht="13.5" customHeight="1">
      <c r="L321" s="677"/>
    </row>
    <row r="322" spans="12:12" ht="13.5" customHeight="1">
      <c r="L322" s="677"/>
    </row>
    <row r="323" spans="12:12" ht="13.5" customHeight="1">
      <c r="L323" s="677"/>
    </row>
    <row r="324" spans="12:12" ht="13.5" customHeight="1">
      <c r="L324" s="677"/>
    </row>
    <row r="325" spans="12:12" ht="13.5" customHeight="1">
      <c r="L325" s="677"/>
    </row>
    <row r="326" spans="12:12" ht="13.5" customHeight="1">
      <c r="L326" s="677"/>
    </row>
    <row r="327" spans="12:12" ht="13.5" customHeight="1">
      <c r="L327" s="677"/>
    </row>
    <row r="328" spans="12:12" ht="13.5" customHeight="1">
      <c r="L328" s="677"/>
    </row>
    <row r="329" spans="12:12" ht="13.5" customHeight="1">
      <c r="L329" s="677"/>
    </row>
    <row r="330" spans="12:12" ht="13.5" customHeight="1">
      <c r="L330" s="677"/>
    </row>
    <row r="331" spans="12:12" ht="13.5" customHeight="1">
      <c r="L331" s="677"/>
    </row>
    <row r="332" spans="12:12" ht="13.5" customHeight="1">
      <c r="L332" s="677"/>
    </row>
    <row r="333" spans="12:12" ht="13.5" customHeight="1">
      <c r="L333" s="677"/>
    </row>
    <row r="334" spans="12:12" ht="13.5" customHeight="1">
      <c r="L334" s="677"/>
    </row>
    <row r="335" spans="12:12" ht="13.5" customHeight="1">
      <c r="L335" s="677"/>
    </row>
    <row r="336" spans="12:12" ht="13.5" customHeight="1">
      <c r="L336" s="677"/>
    </row>
    <row r="337" spans="12:12" ht="13.5" customHeight="1">
      <c r="L337" s="677"/>
    </row>
    <row r="338" spans="12:12" ht="13.5" customHeight="1">
      <c r="L338" s="677"/>
    </row>
    <row r="339" spans="12:12" ht="13.5" customHeight="1">
      <c r="L339" s="677"/>
    </row>
    <row r="340" spans="12:12" ht="13.5" customHeight="1">
      <c r="L340" s="677"/>
    </row>
    <row r="341" spans="12:12" ht="13.5" customHeight="1">
      <c r="L341" s="677"/>
    </row>
    <row r="342" spans="12:12" ht="13.5" customHeight="1">
      <c r="L342" s="677"/>
    </row>
    <row r="343" spans="12:12" ht="13.5" customHeight="1">
      <c r="L343" s="677"/>
    </row>
    <row r="344" spans="12:12" ht="13.5" customHeight="1">
      <c r="L344" s="677"/>
    </row>
    <row r="345" spans="12:12" ht="13.5" customHeight="1">
      <c r="L345" s="677"/>
    </row>
    <row r="346" spans="12:12" ht="13.5" customHeight="1">
      <c r="L346" s="677"/>
    </row>
    <row r="347" spans="12:12" ht="13.5" customHeight="1">
      <c r="L347" s="677"/>
    </row>
    <row r="348" spans="12:12" ht="13.5" customHeight="1">
      <c r="L348" s="677"/>
    </row>
    <row r="349" spans="12:12" ht="13.5" customHeight="1">
      <c r="L349" s="677"/>
    </row>
    <row r="350" spans="12:12" ht="13.5" customHeight="1">
      <c r="L350" s="677"/>
    </row>
    <row r="351" spans="12:12" ht="13.5" customHeight="1">
      <c r="L351" s="677"/>
    </row>
    <row r="352" spans="12:12" ht="13.5" customHeight="1">
      <c r="L352" s="677"/>
    </row>
    <row r="353" spans="12:12" ht="13.5" customHeight="1">
      <c r="L353" s="677"/>
    </row>
    <row r="354" spans="12:12" ht="13.5" customHeight="1">
      <c r="L354" s="677"/>
    </row>
    <row r="355" spans="12:12" ht="13.5" customHeight="1">
      <c r="L355" s="677"/>
    </row>
    <row r="356" spans="12:12" ht="13.5" customHeight="1">
      <c r="L356" s="677"/>
    </row>
    <row r="357" spans="12:12" ht="13.5" customHeight="1">
      <c r="L357" s="677"/>
    </row>
    <row r="358" spans="12:12" ht="13.5" customHeight="1">
      <c r="L358" s="677"/>
    </row>
    <row r="359" spans="12:12" ht="13.5" customHeight="1">
      <c r="L359" s="677"/>
    </row>
    <row r="360" spans="12:12" ht="13.5" customHeight="1">
      <c r="L360" s="677"/>
    </row>
    <row r="361" spans="12:12" ht="13.5" customHeight="1">
      <c r="L361" s="677"/>
    </row>
    <row r="362" spans="12:12" ht="13.5" customHeight="1">
      <c r="L362" s="677"/>
    </row>
    <row r="363" spans="12:12" ht="13.5" customHeight="1">
      <c r="L363" s="677"/>
    </row>
    <row r="364" spans="12:12" ht="13.5" customHeight="1">
      <c r="L364" s="677"/>
    </row>
    <row r="365" spans="12:12" ht="13.5" customHeight="1">
      <c r="L365" s="677"/>
    </row>
    <row r="366" spans="12:12" ht="13.5" customHeight="1">
      <c r="L366" s="677"/>
    </row>
    <row r="367" spans="12:12" ht="13.5" customHeight="1">
      <c r="L367" s="677"/>
    </row>
    <row r="368" spans="12:12" ht="13.5" customHeight="1">
      <c r="L368" s="677"/>
    </row>
    <row r="369" spans="12:12" ht="13.5" customHeight="1">
      <c r="L369" s="677"/>
    </row>
    <row r="370" spans="12:12" ht="13.5" customHeight="1">
      <c r="L370" s="677"/>
    </row>
    <row r="371" spans="12:12" ht="13.5" customHeight="1">
      <c r="L371" s="677"/>
    </row>
    <row r="372" spans="12:12" ht="13.5" customHeight="1">
      <c r="L372" s="677"/>
    </row>
    <row r="373" spans="12:12" ht="13.5" customHeight="1">
      <c r="L373" s="677"/>
    </row>
    <row r="374" spans="12:12" ht="13.5" customHeight="1">
      <c r="L374" s="677"/>
    </row>
    <row r="375" spans="12:12" ht="13.5" customHeight="1">
      <c r="L375" s="677"/>
    </row>
    <row r="376" spans="12:12" ht="13.5" customHeight="1">
      <c r="L376" s="677"/>
    </row>
    <row r="377" spans="12:12" ht="13.5" customHeight="1">
      <c r="L377" s="677"/>
    </row>
    <row r="378" spans="12:12" ht="13.5" customHeight="1">
      <c r="L378" s="677"/>
    </row>
    <row r="379" spans="12:12" ht="13.5" customHeight="1">
      <c r="L379" s="677"/>
    </row>
    <row r="380" spans="12:12" ht="13.5" customHeight="1">
      <c r="L380" s="677"/>
    </row>
    <row r="381" spans="12:12" ht="13.5" customHeight="1">
      <c r="L381" s="677"/>
    </row>
    <row r="382" spans="12:12" ht="13.5" customHeight="1">
      <c r="L382" s="677"/>
    </row>
    <row r="383" spans="12:12" ht="13.5" customHeight="1">
      <c r="L383" s="677"/>
    </row>
    <row r="384" spans="12:12" ht="13.5" customHeight="1">
      <c r="L384" s="677"/>
    </row>
    <row r="385" spans="12:12" ht="13.5" customHeight="1">
      <c r="L385" s="677"/>
    </row>
    <row r="386" spans="12:12" ht="13.5" customHeight="1">
      <c r="L386" s="677"/>
    </row>
    <row r="387" spans="12:12" ht="13.5" customHeight="1">
      <c r="L387" s="677"/>
    </row>
    <row r="388" spans="12:12" ht="13.5" customHeight="1">
      <c r="L388" s="677"/>
    </row>
    <row r="389" spans="12:12" ht="13.5" customHeight="1">
      <c r="L389" s="677"/>
    </row>
    <row r="390" spans="12:12" ht="13.5" customHeight="1">
      <c r="L390" s="677"/>
    </row>
    <row r="391" spans="12:12" ht="13.5" customHeight="1">
      <c r="L391" s="677"/>
    </row>
    <row r="392" spans="12:12" ht="13.5" customHeight="1">
      <c r="L392" s="677"/>
    </row>
    <row r="393" spans="12:12" ht="13.5" customHeight="1">
      <c r="L393" s="677"/>
    </row>
    <row r="394" spans="12:12" ht="13.5" customHeight="1">
      <c r="L394" s="677"/>
    </row>
    <row r="395" spans="12:12" ht="13.5" customHeight="1">
      <c r="L395" s="677"/>
    </row>
    <row r="396" spans="12:12" ht="13.5" customHeight="1">
      <c r="L396" s="677"/>
    </row>
    <row r="397" spans="12:12" ht="13.5" customHeight="1">
      <c r="L397" s="677"/>
    </row>
    <row r="398" spans="12:12" ht="13.5" customHeight="1">
      <c r="L398" s="677"/>
    </row>
    <row r="399" spans="12:12" ht="13.5" customHeight="1">
      <c r="L399" s="677"/>
    </row>
    <row r="400" spans="12:12" ht="13.5" customHeight="1">
      <c r="L400" s="677"/>
    </row>
    <row r="401" spans="12:12" ht="13.5" customHeight="1">
      <c r="L401" s="677"/>
    </row>
    <row r="402" spans="12:12" ht="13.5" customHeight="1">
      <c r="L402" s="677"/>
    </row>
    <row r="403" spans="12:12" ht="13.5" customHeight="1">
      <c r="L403" s="677"/>
    </row>
    <row r="404" spans="12:12" ht="13.5" customHeight="1">
      <c r="L404" s="677"/>
    </row>
    <row r="405" spans="12:12" ht="13.5" customHeight="1">
      <c r="L405" s="677"/>
    </row>
    <row r="406" spans="12:12" ht="13.5" customHeight="1">
      <c r="L406" s="677"/>
    </row>
    <row r="407" spans="12:12" ht="13.5" customHeight="1">
      <c r="L407" s="677"/>
    </row>
    <row r="408" spans="12:12" ht="13.5" customHeight="1">
      <c r="L408" s="677"/>
    </row>
    <row r="409" spans="12:12" ht="13.5" customHeight="1">
      <c r="L409" s="677"/>
    </row>
    <row r="410" spans="12:12" ht="13.5" customHeight="1">
      <c r="L410" s="677"/>
    </row>
    <row r="411" spans="12:12" ht="13.5" customHeight="1">
      <c r="L411" s="677"/>
    </row>
    <row r="412" spans="12:12" ht="13.5" customHeight="1">
      <c r="L412" s="677"/>
    </row>
    <row r="413" spans="12:12" ht="13.5" customHeight="1">
      <c r="L413" s="677"/>
    </row>
    <row r="414" spans="12:12" ht="13.5" customHeight="1">
      <c r="L414" s="677"/>
    </row>
    <row r="415" spans="12:12" ht="13.5" customHeight="1">
      <c r="L415" s="677"/>
    </row>
    <row r="416" spans="12:12" ht="13.5" customHeight="1">
      <c r="L416" s="677"/>
    </row>
    <row r="417" spans="12:12" ht="13.5" customHeight="1">
      <c r="L417" s="677"/>
    </row>
    <row r="418" spans="12:12" ht="13.5" customHeight="1">
      <c r="L418" s="677"/>
    </row>
    <row r="419" spans="12:12" ht="13.5" customHeight="1">
      <c r="L419" s="677"/>
    </row>
    <row r="420" spans="12:12" ht="13.5" customHeight="1">
      <c r="L420" s="677"/>
    </row>
    <row r="421" spans="12:12" ht="13.5" customHeight="1">
      <c r="L421" s="677"/>
    </row>
    <row r="422" spans="12:12" ht="13.5" customHeight="1">
      <c r="L422" s="677"/>
    </row>
    <row r="423" spans="12:12" ht="13.5" customHeight="1">
      <c r="L423" s="677"/>
    </row>
    <row r="424" spans="12:12" ht="13.5" customHeight="1">
      <c r="L424" s="677"/>
    </row>
    <row r="425" spans="12:12" ht="13.5" customHeight="1">
      <c r="L425" s="677"/>
    </row>
    <row r="426" spans="12:12" ht="13.5" customHeight="1">
      <c r="L426" s="677"/>
    </row>
    <row r="427" spans="12:12" ht="13.5" customHeight="1">
      <c r="L427" s="677"/>
    </row>
    <row r="428" spans="12:12" ht="13.5" customHeight="1">
      <c r="L428" s="677"/>
    </row>
    <row r="429" spans="12:12" ht="13.5" customHeight="1">
      <c r="L429" s="677"/>
    </row>
    <row r="430" spans="12:12" ht="13.5" customHeight="1">
      <c r="L430" s="677"/>
    </row>
    <row r="431" spans="12:12" ht="13.5" customHeight="1">
      <c r="L431" s="677"/>
    </row>
    <row r="432" spans="12:12" ht="13.5" customHeight="1">
      <c r="L432" s="677"/>
    </row>
    <row r="433" spans="12:12" ht="13.5" customHeight="1">
      <c r="L433" s="677"/>
    </row>
    <row r="434" spans="12:12" ht="13.5" customHeight="1">
      <c r="L434" s="677"/>
    </row>
    <row r="435" spans="12:12" ht="13.5" customHeight="1">
      <c r="L435" s="677"/>
    </row>
    <row r="436" spans="12:12" ht="13.5" customHeight="1">
      <c r="L436" s="677"/>
    </row>
    <row r="437" spans="12:12" ht="13.5" customHeight="1">
      <c r="L437" s="677"/>
    </row>
    <row r="438" spans="12:12" ht="13.5" customHeight="1">
      <c r="L438" s="677"/>
    </row>
    <row r="439" spans="12:12" ht="13.5" customHeight="1">
      <c r="L439" s="677"/>
    </row>
    <row r="440" spans="12:12" ht="13.5" customHeight="1">
      <c r="L440" s="677"/>
    </row>
    <row r="441" spans="12:12" ht="13.5" customHeight="1">
      <c r="L441" s="677"/>
    </row>
    <row r="442" spans="12:12" ht="13.5" customHeight="1">
      <c r="L442" s="677"/>
    </row>
    <row r="443" spans="12:12" ht="13.5" customHeight="1">
      <c r="L443" s="677"/>
    </row>
    <row r="444" spans="12:12" ht="13.5" customHeight="1">
      <c r="L444" s="677"/>
    </row>
    <row r="445" spans="12:12" ht="13.5" customHeight="1">
      <c r="L445" s="677"/>
    </row>
    <row r="446" spans="12:12" ht="13.5" customHeight="1">
      <c r="L446" s="677"/>
    </row>
    <row r="447" spans="12:12" ht="13.5" customHeight="1">
      <c r="L447" s="677"/>
    </row>
    <row r="448" spans="12:12" ht="13.5" customHeight="1">
      <c r="L448" s="677"/>
    </row>
    <row r="449" spans="12:12" ht="13.5" customHeight="1">
      <c r="L449" s="677"/>
    </row>
    <row r="450" spans="12:12" ht="13.5" customHeight="1">
      <c r="L450" s="677"/>
    </row>
    <row r="451" spans="12:12" ht="13.5" customHeight="1">
      <c r="L451" s="677"/>
    </row>
    <row r="452" spans="12:12" ht="13.5" customHeight="1">
      <c r="L452" s="677"/>
    </row>
    <row r="453" spans="12:12" ht="13.5" customHeight="1">
      <c r="L453" s="677"/>
    </row>
    <row r="454" spans="12:12" ht="13.5" customHeight="1">
      <c r="L454" s="677"/>
    </row>
    <row r="455" spans="12:12" ht="13.5" customHeight="1">
      <c r="L455" s="677"/>
    </row>
    <row r="456" spans="12:12" ht="13.5" customHeight="1">
      <c r="L456" s="677"/>
    </row>
    <row r="457" spans="12:12" ht="13.5" customHeight="1">
      <c r="L457" s="677"/>
    </row>
    <row r="458" spans="12:12" ht="13.5" customHeight="1">
      <c r="L458" s="677"/>
    </row>
    <row r="459" spans="12:12" ht="13.5" customHeight="1">
      <c r="L459" s="677"/>
    </row>
    <row r="460" spans="12:12" ht="13.5" customHeight="1">
      <c r="L460" s="677"/>
    </row>
    <row r="461" spans="12:12" ht="13.5" customHeight="1">
      <c r="L461" s="677"/>
    </row>
    <row r="462" spans="12:12" ht="13.5" customHeight="1">
      <c r="L462" s="677"/>
    </row>
    <row r="463" spans="12:12" ht="13.5" customHeight="1">
      <c r="L463" s="677"/>
    </row>
    <row r="464" spans="12:12" ht="13.5" customHeight="1">
      <c r="L464" s="677"/>
    </row>
    <row r="465" spans="12:12" ht="13.5" customHeight="1">
      <c r="L465" s="677"/>
    </row>
    <row r="466" spans="12:12" ht="13.5" customHeight="1">
      <c r="L466" s="677"/>
    </row>
    <row r="467" spans="12:12" ht="13.5" customHeight="1">
      <c r="L467" s="677"/>
    </row>
    <row r="468" spans="12:12" ht="13.5" customHeight="1">
      <c r="L468" s="677"/>
    </row>
    <row r="469" spans="12:12" ht="13.5" customHeight="1">
      <c r="L469" s="677"/>
    </row>
    <row r="470" spans="12:12" ht="13.5" customHeight="1">
      <c r="L470" s="677"/>
    </row>
    <row r="471" spans="12:12" ht="13.5" customHeight="1">
      <c r="L471" s="677"/>
    </row>
    <row r="472" spans="12:12" ht="13.5" customHeight="1">
      <c r="L472" s="677"/>
    </row>
    <row r="473" spans="12:12" ht="13.5" customHeight="1">
      <c r="L473" s="677"/>
    </row>
    <row r="474" spans="12:12" ht="13.5" customHeight="1">
      <c r="L474" s="677"/>
    </row>
    <row r="475" spans="12:12" ht="13.5" customHeight="1">
      <c r="L475" s="677"/>
    </row>
    <row r="476" spans="12:12" ht="13.5" customHeight="1">
      <c r="L476" s="677"/>
    </row>
    <row r="477" spans="12:12" ht="13.5" customHeight="1">
      <c r="L477" s="677"/>
    </row>
    <row r="478" spans="12:12" ht="13.5" customHeight="1">
      <c r="L478" s="677"/>
    </row>
    <row r="479" spans="12:12" ht="13.5" customHeight="1">
      <c r="L479" s="677"/>
    </row>
    <row r="480" spans="12:12" ht="13.5" customHeight="1">
      <c r="L480" s="677"/>
    </row>
    <row r="481" spans="12:12" ht="13.5" customHeight="1">
      <c r="L481" s="677"/>
    </row>
    <row r="482" spans="12:12" ht="13.5" customHeight="1">
      <c r="L482" s="677"/>
    </row>
    <row r="483" spans="12:12" ht="13.5" customHeight="1">
      <c r="L483" s="677"/>
    </row>
    <row r="484" spans="12:12" ht="13.5" customHeight="1">
      <c r="L484" s="677"/>
    </row>
    <row r="485" spans="12:12" ht="13.5" customHeight="1">
      <c r="L485" s="677"/>
    </row>
    <row r="486" spans="12:12" ht="13.5" customHeight="1">
      <c r="L486" s="677"/>
    </row>
    <row r="487" spans="12:12" ht="13.5" customHeight="1">
      <c r="L487" s="677"/>
    </row>
    <row r="488" spans="12:12" ht="13.5" customHeight="1">
      <c r="L488" s="677"/>
    </row>
    <row r="489" spans="12:12" ht="13.5" customHeight="1">
      <c r="L489" s="677"/>
    </row>
    <row r="490" spans="12:12" ht="13.5" customHeight="1">
      <c r="L490" s="677"/>
    </row>
    <row r="491" spans="12:12" ht="13.5" customHeight="1">
      <c r="L491" s="677"/>
    </row>
    <row r="492" spans="12:12" ht="13.5" customHeight="1">
      <c r="L492" s="677"/>
    </row>
    <row r="493" spans="12:12" ht="13.5" customHeight="1">
      <c r="L493" s="677"/>
    </row>
    <row r="494" spans="12:12" ht="13.5" customHeight="1">
      <c r="L494" s="677"/>
    </row>
    <row r="495" spans="12:12" ht="13.5" customHeight="1">
      <c r="L495" s="677"/>
    </row>
    <row r="496" spans="12:12" ht="13.5" customHeight="1">
      <c r="L496" s="677"/>
    </row>
    <row r="497" spans="12:12" ht="13.5" customHeight="1">
      <c r="L497" s="677"/>
    </row>
    <row r="498" spans="12:12" ht="13.5" customHeight="1">
      <c r="L498" s="677"/>
    </row>
    <row r="499" spans="12:12" ht="13.5" customHeight="1">
      <c r="L499" s="677"/>
    </row>
    <row r="500" spans="12:12" ht="13.5" customHeight="1">
      <c r="L500" s="677"/>
    </row>
    <row r="501" spans="12:12" ht="13.5" customHeight="1">
      <c r="L501" s="677"/>
    </row>
    <row r="502" spans="12:12" ht="13.5" customHeight="1">
      <c r="L502" s="677"/>
    </row>
    <row r="503" spans="12:12" ht="13.5" customHeight="1">
      <c r="L503" s="677"/>
    </row>
    <row r="504" spans="12:12" ht="13.5" customHeight="1">
      <c r="L504" s="677"/>
    </row>
    <row r="505" spans="12:12" ht="13.5" customHeight="1">
      <c r="L505" s="677"/>
    </row>
    <row r="506" spans="12:12" ht="13.5" customHeight="1">
      <c r="L506" s="677"/>
    </row>
    <row r="507" spans="12:12" ht="13.5" customHeight="1">
      <c r="L507" s="677"/>
    </row>
    <row r="508" spans="12:12" ht="13.5" customHeight="1">
      <c r="L508" s="677"/>
    </row>
    <row r="509" spans="12:12" ht="13.5" customHeight="1">
      <c r="L509" s="677"/>
    </row>
    <row r="510" spans="12:12" ht="13.5" customHeight="1">
      <c r="L510" s="677"/>
    </row>
    <row r="511" spans="12:12" ht="13.5" customHeight="1">
      <c r="L511" s="677"/>
    </row>
    <row r="512" spans="12:12" ht="13.5" customHeight="1">
      <c r="L512" s="677"/>
    </row>
    <row r="513" spans="12:12" ht="13.5" customHeight="1">
      <c r="L513" s="677"/>
    </row>
    <row r="514" spans="12:12" ht="13.5" customHeight="1">
      <c r="L514" s="677"/>
    </row>
    <row r="515" spans="12:12" ht="13.5" customHeight="1">
      <c r="L515" s="677"/>
    </row>
    <row r="516" spans="12:12" ht="13.5" customHeight="1">
      <c r="L516" s="677"/>
    </row>
    <row r="517" spans="12:12" ht="13.5" customHeight="1">
      <c r="L517" s="677"/>
    </row>
    <row r="518" spans="12:12" ht="13.5" customHeight="1">
      <c r="L518" s="677"/>
    </row>
    <row r="519" spans="12:12" ht="13.5" customHeight="1">
      <c r="L519" s="677"/>
    </row>
    <row r="520" spans="12:12" ht="13.5" customHeight="1">
      <c r="L520" s="677"/>
    </row>
    <row r="521" spans="12:12" ht="13.5" customHeight="1">
      <c r="L521" s="677"/>
    </row>
    <row r="522" spans="12:12" ht="13.5" customHeight="1">
      <c r="L522" s="677"/>
    </row>
    <row r="523" spans="12:12" ht="13.5" customHeight="1">
      <c r="L523" s="677"/>
    </row>
    <row r="524" spans="12:12" ht="13.5" customHeight="1">
      <c r="L524" s="677"/>
    </row>
    <row r="525" spans="12:12" ht="13.5" customHeight="1">
      <c r="L525" s="677"/>
    </row>
    <row r="526" spans="12:12" ht="13.5" customHeight="1">
      <c r="L526" s="677"/>
    </row>
    <row r="527" spans="12:12" ht="13.5" customHeight="1">
      <c r="L527" s="677"/>
    </row>
    <row r="528" spans="12:12" ht="13.5" customHeight="1">
      <c r="L528" s="677"/>
    </row>
    <row r="529" spans="12:12" ht="13.5" customHeight="1">
      <c r="L529" s="677"/>
    </row>
    <row r="530" spans="12:12" ht="13.5" customHeight="1">
      <c r="L530" s="677"/>
    </row>
    <row r="531" spans="12:12" ht="13.5" customHeight="1">
      <c r="L531" s="677"/>
    </row>
    <row r="532" spans="12:12" ht="13.5" customHeight="1">
      <c r="L532" s="677"/>
    </row>
    <row r="533" spans="12:12" ht="13.5" customHeight="1">
      <c r="L533" s="677"/>
    </row>
    <row r="534" spans="12:12" ht="13.5" customHeight="1">
      <c r="L534" s="677"/>
    </row>
    <row r="535" spans="12:12" ht="13.5" customHeight="1">
      <c r="L535" s="677"/>
    </row>
    <row r="536" spans="12:12" ht="13.5" customHeight="1">
      <c r="L536" s="677"/>
    </row>
    <row r="537" spans="12:12" ht="13.5" customHeight="1">
      <c r="L537" s="677"/>
    </row>
    <row r="538" spans="12:12" ht="13.5" customHeight="1">
      <c r="L538" s="677"/>
    </row>
    <row r="539" spans="12:12" ht="13.5" customHeight="1">
      <c r="L539" s="677"/>
    </row>
    <row r="540" spans="12:12" ht="13.5" customHeight="1">
      <c r="L540" s="677"/>
    </row>
    <row r="541" spans="12:12" ht="13.5" customHeight="1">
      <c r="L541" s="677"/>
    </row>
    <row r="542" spans="12:12" ht="13.5" customHeight="1">
      <c r="L542" s="677"/>
    </row>
    <row r="543" spans="12:12" ht="13.5" customHeight="1">
      <c r="L543" s="677"/>
    </row>
    <row r="544" spans="12:12" ht="13.5" customHeight="1">
      <c r="L544" s="677"/>
    </row>
    <row r="545" spans="12:12" ht="13.5" customHeight="1">
      <c r="L545" s="677"/>
    </row>
    <row r="546" spans="12:12" ht="13.5" customHeight="1">
      <c r="L546" s="677"/>
    </row>
    <row r="547" spans="12:12" ht="13.5" customHeight="1">
      <c r="L547" s="677"/>
    </row>
    <row r="548" spans="12:12" ht="13.5" customHeight="1">
      <c r="L548" s="677"/>
    </row>
    <row r="549" spans="12:12" ht="13.5" customHeight="1">
      <c r="L549" s="677"/>
    </row>
    <row r="550" spans="12:12" ht="13.5" customHeight="1">
      <c r="L550" s="677"/>
    </row>
    <row r="551" spans="12:12" ht="13.5" customHeight="1">
      <c r="L551" s="677"/>
    </row>
    <row r="552" spans="12:12" ht="13.5" customHeight="1">
      <c r="L552" s="677"/>
    </row>
    <row r="553" spans="12:12" ht="13.5" customHeight="1">
      <c r="L553" s="677"/>
    </row>
    <row r="554" spans="12:12" ht="13.5" customHeight="1">
      <c r="L554" s="677"/>
    </row>
    <row r="555" spans="12:12" ht="13.5" customHeight="1">
      <c r="L555" s="677"/>
    </row>
    <row r="556" spans="12:12" ht="13.5" customHeight="1">
      <c r="L556" s="677"/>
    </row>
    <row r="557" spans="12:12" ht="13.5" customHeight="1">
      <c r="L557" s="677"/>
    </row>
    <row r="558" spans="12:12" ht="13.5" customHeight="1">
      <c r="L558" s="677"/>
    </row>
    <row r="559" spans="12:12" ht="13.5" customHeight="1">
      <c r="L559" s="677"/>
    </row>
    <row r="560" spans="12:12" ht="13.5" customHeight="1">
      <c r="L560" s="677"/>
    </row>
    <row r="561" spans="12:12" ht="13.5" customHeight="1">
      <c r="L561" s="677"/>
    </row>
    <row r="562" spans="12:12" ht="13.5" customHeight="1">
      <c r="L562" s="677"/>
    </row>
    <row r="563" spans="12:12" ht="13.5" customHeight="1">
      <c r="L563" s="677"/>
    </row>
    <row r="564" spans="12:12" ht="13.5" customHeight="1">
      <c r="L564" s="677"/>
    </row>
    <row r="565" spans="12:12" ht="13.5" customHeight="1">
      <c r="L565" s="677"/>
    </row>
    <row r="566" spans="12:12" ht="13.5" customHeight="1">
      <c r="L566" s="677"/>
    </row>
    <row r="567" spans="12:12" ht="13.5" customHeight="1">
      <c r="L567" s="677"/>
    </row>
    <row r="568" spans="12:12" ht="13.5" customHeight="1">
      <c r="L568" s="677"/>
    </row>
    <row r="569" spans="12:12" ht="13.5" customHeight="1">
      <c r="L569" s="677"/>
    </row>
    <row r="570" spans="12:12" ht="13.5" customHeight="1">
      <c r="L570" s="677"/>
    </row>
    <row r="571" spans="12:12" ht="13.5" customHeight="1">
      <c r="L571" s="677"/>
    </row>
    <row r="572" spans="12:12" ht="13.5" customHeight="1">
      <c r="L572" s="677"/>
    </row>
    <row r="573" spans="12:12" ht="13.5" customHeight="1">
      <c r="L573" s="677"/>
    </row>
    <row r="574" spans="12:12" ht="13.5" customHeight="1">
      <c r="L574" s="677"/>
    </row>
    <row r="575" spans="12:12" ht="13.5" customHeight="1">
      <c r="L575" s="677"/>
    </row>
    <row r="576" spans="12:12" ht="13.5" customHeight="1">
      <c r="L576" s="677"/>
    </row>
    <row r="577" spans="12:12" ht="13.5" customHeight="1">
      <c r="L577" s="677"/>
    </row>
    <row r="578" spans="12:12" ht="13.5" customHeight="1">
      <c r="L578" s="677"/>
    </row>
    <row r="579" spans="12:12" ht="13.5" customHeight="1">
      <c r="L579" s="677"/>
    </row>
    <row r="580" spans="12:12" ht="13.5" customHeight="1">
      <c r="L580" s="677"/>
    </row>
    <row r="581" spans="12:12" ht="13.5" customHeight="1">
      <c r="L581" s="677"/>
    </row>
    <row r="582" spans="12:12" ht="13.5" customHeight="1">
      <c r="L582" s="677"/>
    </row>
    <row r="583" spans="12:12" ht="13.5" customHeight="1">
      <c r="L583" s="677"/>
    </row>
    <row r="584" spans="12:12" ht="13.5" customHeight="1">
      <c r="L584" s="677"/>
    </row>
    <row r="585" spans="12:12" ht="13.5" customHeight="1">
      <c r="L585" s="677"/>
    </row>
    <row r="586" spans="12:12" ht="13.5" customHeight="1">
      <c r="L586" s="677"/>
    </row>
    <row r="587" spans="12:12" ht="13.5" customHeight="1">
      <c r="L587" s="677"/>
    </row>
    <row r="588" spans="12:12" ht="13.5" customHeight="1">
      <c r="L588" s="677"/>
    </row>
    <row r="589" spans="12:12" ht="13.5" customHeight="1">
      <c r="L589" s="677"/>
    </row>
    <row r="590" spans="12:12" ht="13.5" customHeight="1">
      <c r="L590" s="677"/>
    </row>
    <row r="591" spans="12:12" ht="13.5" customHeight="1">
      <c r="L591" s="677"/>
    </row>
    <row r="592" spans="12:12" ht="13.5" customHeight="1">
      <c r="L592" s="677"/>
    </row>
    <row r="593" spans="12:12" ht="13.5" customHeight="1">
      <c r="L593" s="677"/>
    </row>
    <row r="594" spans="12:12" ht="13.5" customHeight="1">
      <c r="L594" s="677"/>
    </row>
    <row r="595" spans="12:12" ht="13.5" customHeight="1">
      <c r="L595" s="677"/>
    </row>
    <row r="596" spans="12:12" ht="13.5" customHeight="1">
      <c r="L596" s="677"/>
    </row>
    <row r="597" spans="12:12" ht="13.5" customHeight="1">
      <c r="L597" s="677"/>
    </row>
    <row r="598" spans="12:12" ht="13.5" customHeight="1">
      <c r="L598" s="677"/>
    </row>
    <row r="599" spans="12:12" ht="13.5" customHeight="1">
      <c r="L599" s="677"/>
    </row>
    <row r="600" spans="12:12" ht="13.5" customHeight="1">
      <c r="L600" s="677"/>
    </row>
    <row r="601" spans="12:12" ht="13.5" customHeight="1">
      <c r="L601" s="677"/>
    </row>
    <row r="602" spans="12:12" ht="13.5" customHeight="1">
      <c r="L602" s="677"/>
    </row>
    <row r="603" spans="12:12" ht="13.5" customHeight="1">
      <c r="L603" s="677"/>
    </row>
    <row r="604" spans="12:12" ht="13.5" customHeight="1">
      <c r="L604" s="677"/>
    </row>
    <row r="605" spans="12:12" ht="13.5" customHeight="1">
      <c r="L605" s="677"/>
    </row>
    <row r="606" spans="12:12" ht="13.5" customHeight="1">
      <c r="L606" s="677"/>
    </row>
    <row r="607" spans="12:12" ht="13.5" customHeight="1">
      <c r="L607" s="677"/>
    </row>
    <row r="608" spans="12:12" ht="13.5" customHeight="1">
      <c r="L608" s="677"/>
    </row>
    <row r="609" spans="12:12" ht="13.5" customHeight="1">
      <c r="L609" s="677"/>
    </row>
    <row r="610" spans="12:12" ht="13.5" customHeight="1">
      <c r="L610" s="677"/>
    </row>
    <row r="611" spans="12:12" ht="13.5" customHeight="1">
      <c r="L611" s="677"/>
    </row>
    <row r="612" spans="12:12" ht="13.5" customHeight="1">
      <c r="L612" s="677"/>
    </row>
    <row r="613" spans="12:12" ht="13.5" customHeight="1">
      <c r="L613" s="677"/>
    </row>
    <row r="614" spans="12:12" ht="13.5" customHeight="1">
      <c r="L614" s="677"/>
    </row>
    <row r="615" spans="12:12" ht="13.5" customHeight="1">
      <c r="L615" s="677"/>
    </row>
    <row r="616" spans="12:12" ht="13.5" customHeight="1">
      <c r="L616" s="677"/>
    </row>
    <row r="617" spans="12:12" ht="13.5" customHeight="1">
      <c r="L617" s="677"/>
    </row>
    <row r="618" spans="12:12" ht="13.5" customHeight="1">
      <c r="L618" s="677"/>
    </row>
    <row r="619" spans="12:12" ht="13.5" customHeight="1">
      <c r="L619" s="677"/>
    </row>
    <row r="620" spans="12:12" ht="13.5" customHeight="1">
      <c r="L620" s="677"/>
    </row>
    <row r="621" spans="12:12" ht="13.5" customHeight="1">
      <c r="L621" s="677"/>
    </row>
    <row r="622" spans="12:12" ht="13.5" customHeight="1">
      <c r="L622" s="677"/>
    </row>
    <row r="623" spans="12:12" ht="13.5" customHeight="1">
      <c r="L623" s="677"/>
    </row>
    <row r="624" spans="12:12" ht="13.5" customHeight="1">
      <c r="L624" s="677"/>
    </row>
    <row r="625" spans="12:12" ht="13.5" customHeight="1">
      <c r="L625" s="677"/>
    </row>
    <row r="626" spans="12:12" ht="13.5" customHeight="1">
      <c r="L626" s="677"/>
    </row>
    <row r="627" spans="12:12" ht="13.5" customHeight="1">
      <c r="L627" s="677"/>
    </row>
    <row r="628" spans="12:12" ht="13.5" customHeight="1">
      <c r="L628" s="677"/>
    </row>
    <row r="629" spans="12:12" ht="13.5" customHeight="1">
      <c r="L629" s="677"/>
    </row>
    <row r="630" spans="12:12" ht="13.5" customHeight="1">
      <c r="L630" s="677"/>
    </row>
    <row r="631" spans="12:12" ht="13.5" customHeight="1">
      <c r="L631" s="677"/>
    </row>
    <row r="632" spans="12:12" ht="13.5" customHeight="1">
      <c r="L632" s="677"/>
    </row>
    <row r="633" spans="12:12" ht="13.5" customHeight="1">
      <c r="L633" s="677"/>
    </row>
    <row r="634" spans="12:12" ht="13.5" customHeight="1">
      <c r="L634" s="677"/>
    </row>
    <row r="635" spans="12:12" ht="13.5" customHeight="1">
      <c r="L635" s="677"/>
    </row>
    <row r="636" spans="12:12" ht="13.5" customHeight="1">
      <c r="L636" s="677"/>
    </row>
    <row r="637" spans="12:12" ht="13.5" customHeight="1">
      <c r="L637" s="677"/>
    </row>
    <row r="638" spans="12:12" ht="13.5" customHeight="1">
      <c r="L638" s="677"/>
    </row>
    <row r="639" spans="12:12" ht="13.5" customHeight="1">
      <c r="L639" s="677"/>
    </row>
    <row r="640" spans="12:12" ht="13.5" customHeight="1">
      <c r="L640" s="677"/>
    </row>
    <row r="641" spans="12:12" ht="13.5" customHeight="1">
      <c r="L641" s="677"/>
    </row>
    <row r="642" spans="12:12" ht="13.5" customHeight="1">
      <c r="L642" s="677"/>
    </row>
    <row r="643" spans="12:12" ht="13.5" customHeight="1">
      <c r="L643" s="677"/>
    </row>
    <row r="644" spans="12:12" ht="13.5" customHeight="1">
      <c r="L644" s="677"/>
    </row>
    <row r="645" spans="12:12" ht="13.5" customHeight="1">
      <c r="L645" s="677"/>
    </row>
    <row r="646" spans="12:12" ht="13.5" customHeight="1">
      <c r="L646" s="677"/>
    </row>
    <row r="647" spans="12:12" ht="13.5" customHeight="1">
      <c r="L647" s="677"/>
    </row>
    <row r="648" spans="12:12" ht="13.5" customHeight="1">
      <c r="L648" s="677"/>
    </row>
    <row r="649" spans="12:12" ht="13.5" customHeight="1">
      <c r="L649" s="677"/>
    </row>
    <row r="650" spans="12:12" ht="13.5" customHeight="1">
      <c r="L650" s="677"/>
    </row>
    <row r="651" spans="12:12" ht="13.5" customHeight="1">
      <c r="L651" s="677"/>
    </row>
    <row r="652" spans="12:12" ht="13.5" customHeight="1">
      <c r="L652" s="677"/>
    </row>
    <row r="653" spans="12:12" ht="13.5" customHeight="1">
      <c r="L653" s="677"/>
    </row>
    <row r="654" spans="12:12" ht="13.5" customHeight="1">
      <c r="L654" s="677"/>
    </row>
    <row r="655" spans="12:12" ht="13.5" customHeight="1">
      <c r="L655" s="677"/>
    </row>
    <row r="656" spans="12:12" ht="13.5" customHeight="1">
      <c r="L656" s="677"/>
    </row>
    <row r="657" spans="12:12" ht="13.5" customHeight="1">
      <c r="L657" s="677"/>
    </row>
    <row r="658" spans="12:12" ht="13.5" customHeight="1">
      <c r="L658" s="677"/>
    </row>
    <row r="659" spans="12:12" ht="13.5" customHeight="1">
      <c r="L659" s="677"/>
    </row>
    <row r="660" spans="12:12" ht="13.5" customHeight="1">
      <c r="L660" s="677"/>
    </row>
    <row r="661" spans="12:12" ht="13.5" customHeight="1">
      <c r="L661" s="677"/>
    </row>
    <row r="662" spans="12:12" ht="13.5" customHeight="1">
      <c r="L662" s="677"/>
    </row>
    <row r="663" spans="12:12" ht="13.5" customHeight="1">
      <c r="L663" s="677"/>
    </row>
    <row r="664" spans="12:12" ht="13.5" customHeight="1">
      <c r="L664" s="677"/>
    </row>
    <row r="665" spans="12:12" ht="13.5" customHeight="1">
      <c r="L665" s="677"/>
    </row>
    <row r="666" spans="12:12" ht="13.5" customHeight="1">
      <c r="L666" s="677"/>
    </row>
    <row r="667" spans="12:12" ht="13.5" customHeight="1">
      <c r="L667" s="677"/>
    </row>
    <row r="668" spans="12:12" ht="13.5" customHeight="1">
      <c r="L668" s="677"/>
    </row>
    <row r="669" spans="12:12" ht="13.5" customHeight="1">
      <c r="L669" s="677"/>
    </row>
    <row r="670" spans="12:12" ht="13.5" customHeight="1">
      <c r="L670" s="677"/>
    </row>
    <row r="671" spans="12:12" ht="13.5" customHeight="1">
      <c r="L671" s="677"/>
    </row>
    <row r="672" spans="12:12" ht="13.5" customHeight="1">
      <c r="L672" s="677"/>
    </row>
    <row r="673" spans="12:12" ht="13.5" customHeight="1">
      <c r="L673" s="677"/>
    </row>
    <row r="674" spans="12:12" ht="13.5" customHeight="1">
      <c r="L674" s="677"/>
    </row>
    <row r="675" spans="12:12" ht="13.5" customHeight="1">
      <c r="L675" s="677"/>
    </row>
    <row r="676" spans="12:12" ht="13.5" customHeight="1">
      <c r="L676" s="677"/>
    </row>
    <row r="677" spans="12:12" ht="13.5" customHeight="1">
      <c r="L677" s="677"/>
    </row>
    <row r="678" spans="12:12" ht="13.5" customHeight="1">
      <c r="L678" s="677"/>
    </row>
    <row r="679" spans="12:12" ht="13.5" customHeight="1">
      <c r="L679" s="677"/>
    </row>
    <row r="680" spans="12:12" ht="13.5" customHeight="1">
      <c r="L680" s="677"/>
    </row>
    <row r="681" spans="12:12" ht="13.5" customHeight="1">
      <c r="L681" s="677"/>
    </row>
    <row r="682" spans="12:12" ht="13.5" customHeight="1">
      <c r="L682" s="677"/>
    </row>
    <row r="683" spans="12:12" ht="13.5" customHeight="1">
      <c r="L683" s="677"/>
    </row>
    <row r="684" spans="12:12" ht="13.5" customHeight="1">
      <c r="L684" s="677"/>
    </row>
    <row r="685" spans="12:12" ht="13.5" customHeight="1">
      <c r="L685" s="677"/>
    </row>
    <row r="686" spans="12:12" ht="13.5" customHeight="1">
      <c r="L686" s="677"/>
    </row>
    <row r="687" spans="12:12" ht="13.5" customHeight="1">
      <c r="L687" s="677"/>
    </row>
    <row r="688" spans="12:12" ht="13.5" customHeight="1">
      <c r="L688" s="677"/>
    </row>
    <row r="689" spans="12:12" ht="13.5" customHeight="1">
      <c r="L689" s="677"/>
    </row>
    <row r="690" spans="12:12" ht="13.5" customHeight="1">
      <c r="L690" s="677"/>
    </row>
    <row r="691" spans="12:12" ht="13.5" customHeight="1">
      <c r="L691" s="677"/>
    </row>
    <row r="692" spans="12:12" ht="13.5" customHeight="1">
      <c r="L692" s="677"/>
    </row>
    <row r="693" spans="12:12" ht="13.5" customHeight="1">
      <c r="L693" s="677"/>
    </row>
    <row r="694" spans="12:12" ht="13.5" customHeight="1">
      <c r="L694" s="677"/>
    </row>
    <row r="695" spans="12:12" ht="13.5" customHeight="1">
      <c r="L695" s="677"/>
    </row>
    <row r="696" spans="12:12" ht="13.5" customHeight="1">
      <c r="L696" s="677"/>
    </row>
    <row r="697" spans="12:12" ht="13.5" customHeight="1">
      <c r="L697" s="677"/>
    </row>
    <row r="698" spans="12:12" ht="13.5" customHeight="1">
      <c r="L698" s="677"/>
    </row>
    <row r="699" spans="12:12" ht="13.5" customHeight="1">
      <c r="L699" s="677"/>
    </row>
    <row r="700" spans="12:12" ht="13.5" customHeight="1">
      <c r="L700" s="677"/>
    </row>
    <row r="701" spans="12:12" ht="13.5" customHeight="1">
      <c r="L701" s="677"/>
    </row>
    <row r="702" spans="12:12" ht="13.5" customHeight="1">
      <c r="L702" s="677"/>
    </row>
    <row r="703" spans="12:12" ht="13.5" customHeight="1">
      <c r="L703" s="677"/>
    </row>
    <row r="704" spans="12:12" ht="13.5" customHeight="1">
      <c r="L704" s="677"/>
    </row>
    <row r="705" spans="12:12" ht="13.5" customHeight="1">
      <c r="L705" s="677"/>
    </row>
    <row r="706" spans="12:12" ht="13.5" customHeight="1">
      <c r="L706" s="677"/>
    </row>
    <row r="707" spans="12:12" ht="13.5" customHeight="1">
      <c r="L707" s="677"/>
    </row>
    <row r="708" spans="12:12" ht="13.5" customHeight="1">
      <c r="L708" s="677"/>
    </row>
    <row r="709" spans="12:12" ht="13.5" customHeight="1">
      <c r="L709" s="677"/>
    </row>
    <row r="710" spans="12:12" ht="13.5" customHeight="1">
      <c r="L710" s="677"/>
    </row>
    <row r="711" spans="12:12" ht="13.5" customHeight="1">
      <c r="L711" s="677"/>
    </row>
    <row r="712" spans="12:12" ht="13.5" customHeight="1">
      <c r="L712" s="677"/>
    </row>
    <row r="713" spans="12:12" ht="13.5" customHeight="1">
      <c r="L713" s="677"/>
    </row>
    <row r="714" spans="12:12" ht="13.5" customHeight="1">
      <c r="L714" s="677"/>
    </row>
    <row r="715" spans="12:12" ht="13.5" customHeight="1">
      <c r="L715" s="677"/>
    </row>
    <row r="716" spans="12:12" ht="13.5" customHeight="1">
      <c r="L716" s="677"/>
    </row>
    <row r="717" spans="12:12" ht="13.5" customHeight="1">
      <c r="L717" s="677"/>
    </row>
    <row r="718" spans="12:12" ht="13.5" customHeight="1">
      <c r="L718" s="677"/>
    </row>
    <row r="719" spans="12:12" ht="13.5" customHeight="1">
      <c r="L719" s="677"/>
    </row>
    <row r="720" spans="12:12" ht="13.5" customHeight="1">
      <c r="L720" s="677"/>
    </row>
    <row r="721" spans="12:12" ht="13.5" customHeight="1">
      <c r="L721" s="677"/>
    </row>
    <row r="722" spans="12:12" ht="13.5" customHeight="1">
      <c r="L722" s="677"/>
    </row>
    <row r="723" spans="12:12" ht="13.5" customHeight="1">
      <c r="L723" s="677"/>
    </row>
    <row r="724" spans="12:12" ht="13.5" customHeight="1">
      <c r="L724" s="677"/>
    </row>
    <row r="725" spans="12:12" ht="13.5" customHeight="1">
      <c r="L725" s="677"/>
    </row>
    <row r="726" spans="12:12" ht="13.5" customHeight="1">
      <c r="L726" s="677"/>
    </row>
    <row r="727" spans="12:12" ht="13.5" customHeight="1">
      <c r="L727" s="677"/>
    </row>
    <row r="728" spans="12:12" ht="13.5" customHeight="1">
      <c r="L728" s="677"/>
    </row>
    <row r="729" spans="12:12" ht="13.5" customHeight="1">
      <c r="L729" s="677"/>
    </row>
    <row r="730" spans="12:12" ht="13.5" customHeight="1">
      <c r="L730" s="677"/>
    </row>
    <row r="731" spans="12:12" ht="13.5" customHeight="1">
      <c r="L731" s="677"/>
    </row>
    <row r="732" spans="12:12" ht="13.5" customHeight="1">
      <c r="L732" s="677"/>
    </row>
    <row r="733" spans="12:12" ht="13.5" customHeight="1">
      <c r="L733" s="677"/>
    </row>
    <row r="734" spans="12:12" ht="13.5" customHeight="1">
      <c r="L734" s="677"/>
    </row>
    <row r="735" spans="12:12" ht="13.5" customHeight="1">
      <c r="L735" s="677"/>
    </row>
    <row r="736" spans="12:12" ht="13.5" customHeight="1">
      <c r="L736" s="677"/>
    </row>
    <row r="737" spans="12:12" ht="13.5" customHeight="1">
      <c r="L737" s="677"/>
    </row>
    <row r="738" spans="12:12" ht="13.5" customHeight="1">
      <c r="L738" s="677"/>
    </row>
    <row r="739" spans="12:12" ht="13.5" customHeight="1">
      <c r="L739" s="677"/>
    </row>
    <row r="740" spans="12:12" ht="13.5" customHeight="1">
      <c r="L740" s="677"/>
    </row>
    <row r="741" spans="12:12" ht="13.5" customHeight="1">
      <c r="L741" s="677"/>
    </row>
    <row r="742" spans="12:12" ht="13.5" customHeight="1">
      <c r="L742" s="677"/>
    </row>
    <row r="743" spans="12:12" ht="13.5" customHeight="1">
      <c r="L743" s="677"/>
    </row>
    <row r="744" spans="12:12" ht="13.5" customHeight="1">
      <c r="L744" s="677"/>
    </row>
    <row r="745" spans="12:12" ht="13.5" customHeight="1">
      <c r="L745" s="677"/>
    </row>
    <row r="746" spans="12:12" ht="13.5" customHeight="1">
      <c r="L746" s="677"/>
    </row>
    <row r="747" spans="12:12" ht="13.5" customHeight="1">
      <c r="L747" s="677"/>
    </row>
    <row r="748" spans="12:12" ht="13.5" customHeight="1">
      <c r="L748" s="677"/>
    </row>
    <row r="749" spans="12:12" ht="13.5" customHeight="1">
      <c r="L749" s="677"/>
    </row>
    <row r="750" spans="12:12" ht="13.5" customHeight="1">
      <c r="L750" s="677"/>
    </row>
    <row r="751" spans="12:12" ht="13.5" customHeight="1">
      <c r="L751" s="677"/>
    </row>
    <row r="752" spans="12:12" ht="13.5" customHeight="1">
      <c r="L752" s="677"/>
    </row>
    <row r="753" spans="12:12" ht="13.5" customHeight="1">
      <c r="L753" s="677"/>
    </row>
    <row r="754" spans="12:12" ht="13.5" customHeight="1">
      <c r="L754" s="677"/>
    </row>
    <row r="755" spans="12:12" ht="13.5" customHeight="1">
      <c r="L755" s="677"/>
    </row>
    <row r="756" spans="12:12" ht="13.5" customHeight="1">
      <c r="L756" s="677"/>
    </row>
    <row r="757" spans="12:12" ht="13.5" customHeight="1">
      <c r="L757" s="677"/>
    </row>
    <row r="758" spans="12:12" ht="13.5" customHeight="1">
      <c r="L758" s="677"/>
    </row>
    <row r="759" spans="12:12" ht="13.5" customHeight="1">
      <c r="L759" s="677"/>
    </row>
    <row r="760" spans="12:12" ht="13.5" customHeight="1">
      <c r="L760" s="677"/>
    </row>
    <row r="761" spans="12:12" ht="13.5" customHeight="1">
      <c r="L761" s="677"/>
    </row>
    <row r="762" spans="12:12" ht="13.5" customHeight="1">
      <c r="L762" s="677"/>
    </row>
    <row r="763" spans="12:12" ht="13.5" customHeight="1">
      <c r="L763" s="677"/>
    </row>
    <row r="764" spans="12:12" ht="13.5" customHeight="1">
      <c r="L764" s="677"/>
    </row>
    <row r="765" spans="12:12" ht="13.5" customHeight="1">
      <c r="L765" s="677"/>
    </row>
    <row r="766" spans="12:12" ht="13.5" customHeight="1">
      <c r="L766" s="677"/>
    </row>
    <row r="767" spans="12:12" ht="13.5" customHeight="1">
      <c r="L767" s="677"/>
    </row>
    <row r="768" spans="12:12" ht="13.5" customHeight="1">
      <c r="L768" s="677"/>
    </row>
    <row r="769" spans="12:12" ht="13.5" customHeight="1">
      <c r="L769" s="677"/>
    </row>
    <row r="770" spans="12:12" ht="13.5" customHeight="1">
      <c r="L770" s="677"/>
    </row>
    <row r="771" spans="12:12" ht="13.5" customHeight="1">
      <c r="L771" s="677"/>
    </row>
    <row r="772" spans="12:12" ht="13.5" customHeight="1">
      <c r="L772" s="677"/>
    </row>
    <row r="773" spans="12:12" ht="13.5" customHeight="1">
      <c r="L773" s="677"/>
    </row>
    <row r="774" spans="12:12" ht="13.5" customHeight="1">
      <c r="L774" s="677"/>
    </row>
    <row r="775" spans="12:12" ht="13.5" customHeight="1">
      <c r="L775" s="677"/>
    </row>
    <row r="776" spans="12:12" ht="13.5" customHeight="1">
      <c r="L776" s="677"/>
    </row>
    <row r="777" spans="12:12" ht="13.5" customHeight="1">
      <c r="L777" s="677"/>
    </row>
    <row r="778" spans="12:12" ht="13.5" customHeight="1">
      <c r="L778" s="677"/>
    </row>
    <row r="779" spans="12:12" ht="13.5" customHeight="1">
      <c r="L779" s="677"/>
    </row>
    <row r="780" spans="12:12" ht="13.5" customHeight="1">
      <c r="L780" s="677"/>
    </row>
    <row r="781" spans="12:12" ht="13.5" customHeight="1">
      <c r="L781" s="677"/>
    </row>
    <row r="782" spans="12:12" ht="13.5" customHeight="1">
      <c r="L782" s="677"/>
    </row>
    <row r="783" spans="12:12" ht="13.5" customHeight="1">
      <c r="L783" s="677"/>
    </row>
    <row r="784" spans="12:12" ht="13.5" customHeight="1">
      <c r="L784" s="677"/>
    </row>
    <row r="785" spans="12:12" ht="13.5" customHeight="1">
      <c r="L785" s="677"/>
    </row>
    <row r="786" spans="12:12" ht="13.5" customHeight="1">
      <c r="L786" s="677"/>
    </row>
    <row r="787" spans="12:12" ht="13.5" customHeight="1">
      <c r="L787" s="677"/>
    </row>
    <row r="788" spans="12:12" ht="13.5" customHeight="1">
      <c r="L788" s="677"/>
    </row>
    <row r="789" spans="12:12" ht="13.5" customHeight="1">
      <c r="L789" s="677"/>
    </row>
    <row r="790" spans="12:12" ht="13.5" customHeight="1">
      <c r="L790" s="677"/>
    </row>
    <row r="791" spans="12:12" ht="13.5" customHeight="1">
      <c r="L791" s="677"/>
    </row>
    <row r="792" spans="12:12" ht="13.5" customHeight="1">
      <c r="L792" s="677"/>
    </row>
    <row r="793" spans="12:12" ht="13.5" customHeight="1">
      <c r="L793" s="677"/>
    </row>
    <row r="794" spans="12:12" ht="13.5" customHeight="1">
      <c r="L794" s="677"/>
    </row>
    <row r="795" spans="12:12" ht="13.5" customHeight="1">
      <c r="L795" s="677"/>
    </row>
    <row r="796" spans="12:12" ht="13.5" customHeight="1">
      <c r="L796" s="677"/>
    </row>
    <row r="797" spans="12:12" ht="13.5" customHeight="1">
      <c r="L797" s="677"/>
    </row>
    <row r="798" spans="12:12" ht="13.5" customHeight="1">
      <c r="L798" s="677"/>
    </row>
    <row r="799" spans="12:12" ht="13.5" customHeight="1">
      <c r="L799" s="677"/>
    </row>
    <row r="800" spans="12:12" ht="13.5" customHeight="1">
      <c r="L800" s="677"/>
    </row>
    <row r="801" spans="12:12" ht="13.5" customHeight="1">
      <c r="L801" s="677"/>
    </row>
    <row r="802" spans="12:12" ht="13.5" customHeight="1">
      <c r="L802" s="677"/>
    </row>
    <row r="803" spans="12:12" ht="13.5" customHeight="1">
      <c r="L803" s="677"/>
    </row>
    <row r="804" spans="12:12" ht="13.5" customHeight="1">
      <c r="L804" s="677"/>
    </row>
    <row r="805" spans="12:12" ht="13.5" customHeight="1">
      <c r="L805" s="677"/>
    </row>
    <row r="806" spans="12:12" ht="13.5" customHeight="1">
      <c r="L806" s="677"/>
    </row>
    <row r="807" spans="12:12" ht="13.5" customHeight="1">
      <c r="L807" s="677"/>
    </row>
    <row r="808" spans="12:12" ht="13.5" customHeight="1">
      <c r="L808" s="677"/>
    </row>
    <row r="809" spans="12:12" ht="13.5" customHeight="1">
      <c r="L809" s="677"/>
    </row>
    <row r="810" spans="12:12" ht="13.5" customHeight="1">
      <c r="L810" s="677"/>
    </row>
    <row r="811" spans="12:12" ht="13.5" customHeight="1">
      <c r="L811" s="677"/>
    </row>
    <row r="812" spans="12:12" ht="13.5" customHeight="1">
      <c r="L812" s="677"/>
    </row>
    <row r="813" spans="12:12" ht="13.5" customHeight="1">
      <c r="L813" s="677"/>
    </row>
    <row r="814" spans="12:12" ht="13.5" customHeight="1">
      <c r="L814" s="677"/>
    </row>
    <row r="815" spans="12:12" ht="13.5" customHeight="1">
      <c r="L815" s="677"/>
    </row>
    <row r="816" spans="12:12" ht="13.5" customHeight="1">
      <c r="L816" s="677"/>
    </row>
    <row r="817" spans="12:12" ht="13.5" customHeight="1">
      <c r="L817" s="677"/>
    </row>
    <row r="818" spans="12:12" ht="13.5" customHeight="1">
      <c r="L818" s="677"/>
    </row>
    <row r="819" spans="12:12" ht="13.5" customHeight="1">
      <c r="L819" s="677"/>
    </row>
    <row r="820" spans="12:12" ht="13.5" customHeight="1">
      <c r="L820" s="677"/>
    </row>
    <row r="821" spans="12:12" ht="13.5" customHeight="1">
      <c r="L821" s="677"/>
    </row>
    <row r="822" spans="12:12" ht="13.5" customHeight="1">
      <c r="L822" s="677"/>
    </row>
    <row r="823" spans="12:12" ht="13.5" customHeight="1">
      <c r="L823" s="677"/>
    </row>
    <row r="824" spans="12:12" ht="13.5" customHeight="1">
      <c r="L824" s="677"/>
    </row>
    <row r="825" spans="12:12" ht="13.5" customHeight="1">
      <c r="L825" s="677"/>
    </row>
    <row r="826" spans="12:12" ht="13.5" customHeight="1">
      <c r="L826" s="677"/>
    </row>
    <row r="827" spans="12:12" ht="13.5" customHeight="1">
      <c r="L827" s="677"/>
    </row>
    <row r="828" spans="12:12" ht="13.5" customHeight="1">
      <c r="L828" s="677"/>
    </row>
    <row r="829" spans="12:12" ht="13.5" customHeight="1">
      <c r="L829" s="677"/>
    </row>
    <row r="830" spans="12:12" ht="13.5" customHeight="1">
      <c r="L830" s="677"/>
    </row>
    <row r="831" spans="12:12" ht="13.5" customHeight="1">
      <c r="L831" s="677"/>
    </row>
    <row r="832" spans="12:12" ht="13.5" customHeight="1">
      <c r="L832" s="677"/>
    </row>
    <row r="833" spans="12:12" ht="13.5" customHeight="1">
      <c r="L833" s="677"/>
    </row>
    <row r="834" spans="12:12" ht="13.5" customHeight="1">
      <c r="L834" s="677"/>
    </row>
    <row r="835" spans="12:12" ht="13.5" customHeight="1">
      <c r="L835" s="677"/>
    </row>
    <row r="836" spans="12:12" ht="13.5" customHeight="1">
      <c r="L836" s="677"/>
    </row>
    <row r="837" spans="12:12" ht="13.5" customHeight="1">
      <c r="L837" s="677"/>
    </row>
    <row r="838" spans="12:12" ht="13.5" customHeight="1">
      <c r="L838" s="677"/>
    </row>
    <row r="839" spans="12:12" ht="13.5" customHeight="1">
      <c r="L839" s="677"/>
    </row>
    <row r="840" spans="12:12" ht="13.5" customHeight="1">
      <c r="L840" s="677"/>
    </row>
    <row r="841" spans="12:12" ht="13.5" customHeight="1">
      <c r="L841" s="677"/>
    </row>
    <row r="842" spans="12:12" ht="13.5" customHeight="1">
      <c r="L842" s="677"/>
    </row>
    <row r="843" spans="12:12" ht="13.5" customHeight="1">
      <c r="L843" s="677"/>
    </row>
    <row r="844" spans="12:12" ht="13.5" customHeight="1">
      <c r="L844" s="677"/>
    </row>
    <row r="845" spans="12:12" ht="13.5" customHeight="1">
      <c r="L845" s="677"/>
    </row>
    <row r="846" spans="12:12" ht="13.5" customHeight="1">
      <c r="L846" s="677"/>
    </row>
    <row r="847" spans="12:12" ht="13.5" customHeight="1">
      <c r="L847" s="677"/>
    </row>
    <row r="848" spans="12:12" ht="13.5" customHeight="1">
      <c r="L848" s="677"/>
    </row>
    <row r="849" spans="12:12" ht="13.5" customHeight="1">
      <c r="L849" s="677"/>
    </row>
    <row r="850" spans="12:12" ht="13.5" customHeight="1">
      <c r="L850" s="677"/>
    </row>
    <row r="851" spans="12:12" ht="13.5" customHeight="1">
      <c r="L851" s="677"/>
    </row>
    <row r="852" spans="12:12" ht="13.5" customHeight="1">
      <c r="L852" s="677"/>
    </row>
    <row r="853" spans="12:12" ht="13.5" customHeight="1">
      <c r="L853" s="677"/>
    </row>
    <row r="854" spans="12:12" ht="13.5" customHeight="1">
      <c r="L854" s="677"/>
    </row>
    <row r="855" spans="12:12" ht="13.5" customHeight="1">
      <c r="L855" s="677"/>
    </row>
    <row r="856" spans="12:12" ht="13.5" customHeight="1">
      <c r="L856" s="677"/>
    </row>
    <row r="857" spans="12:12" ht="13.5" customHeight="1">
      <c r="L857" s="677"/>
    </row>
    <row r="858" spans="12:12" ht="13.5" customHeight="1">
      <c r="L858" s="677"/>
    </row>
    <row r="859" spans="12:12" ht="13.5" customHeight="1">
      <c r="L859" s="677"/>
    </row>
    <row r="860" spans="12:12" ht="13.5" customHeight="1">
      <c r="L860" s="677"/>
    </row>
    <row r="861" spans="12:12" ht="13.5" customHeight="1">
      <c r="L861" s="677"/>
    </row>
    <row r="862" spans="12:12" ht="13.5" customHeight="1">
      <c r="L862" s="677"/>
    </row>
    <row r="863" spans="12:12" ht="13.5" customHeight="1">
      <c r="L863" s="677"/>
    </row>
    <row r="864" spans="12:12" ht="13.5" customHeight="1">
      <c r="L864" s="677"/>
    </row>
    <row r="865" spans="12:12" ht="13.5" customHeight="1">
      <c r="L865" s="677"/>
    </row>
    <row r="866" spans="12:12" ht="13.5" customHeight="1">
      <c r="L866" s="677"/>
    </row>
    <row r="867" spans="12:12" ht="13.5" customHeight="1">
      <c r="L867" s="677"/>
    </row>
    <row r="868" spans="12:12" ht="13.5" customHeight="1">
      <c r="L868" s="677"/>
    </row>
    <row r="869" spans="12:12" ht="13.5" customHeight="1">
      <c r="L869" s="677"/>
    </row>
    <row r="870" spans="12:12" ht="13.5" customHeight="1">
      <c r="L870" s="677"/>
    </row>
    <row r="871" spans="12:12" ht="13.5" customHeight="1">
      <c r="L871" s="677"/>
    </row>
    <row r="872" spans="12:12" ht="13.5" customHeight="1">
      <c r="L872" s="677"/>
    </row>
    <row r="873" spans="12:12" ht="13.5" customHeight="1">
      <c r="L873" s="677"/>
    </row>
    <row r="874" spans="12:12" ht="13.5" customHeight="1">
      <c r="L874" s="677"/>
    </row>
    <row r="875" spans="12:12" ht="13.5" customHeight="1">
      <c r="L875" s="677"/>
    </row>
    <row r="876" spans="12:12" ht="13.5" customHeight="1">
      <c r="L876" s="677"/>
    </row>
    <row r="877" spans="12:12" ht="13.5" customHeight="1">
      <c r="L877" s="677"/>
    </row>
    <row r="878" spans="12:12" ht="13.5" customHeight="1">
      <c r="L878" s="677"/>
    </row>
    <row r="879" spans="12:12" ht="13.5" customHeight="1">
      <c r="L879" s="677"/>
    </row>
    <row r="880" spans="12:12" ht="13.5" customHeight="1">
      <c r="L880" s="677"/>
    </row>
    <row r="881" spans="12:12" ht="13.5" customHeight="1">
      <c r="L881" s="677"/>
    </row>
    <row r="882" spans="12:12" ht="13.5" customHeight="1">
      <c r="L882" s="677"/>
    </row>
    <row r="883" spans="12:12" ht="13.5" customHeight="1">
      <c r="L883" s="677"/>
    </row>
    <row r="884" spans="12:12" ht="13.5" customHeight="1">
      <c r="L884" s="677"/>
    </row>
    <row r="885" spans="12:12" ht="13.5" customHeight="1">
      <c r="L885" s="677"/>
    </row>
    <row r="886" spans="12:12" ht="13.5" customHeight="1">
      <c r="L886" s="677"/>
    </row>
    <row r="887" spans="12:12" ht="13.5" customHeight="1">
      <c r="L887" s="677"/>
    </row>
    <row r="888" spans="12:12" ht="13.5" customHeight="1">
      <c r="L888" s="677"/>
    </row>
    <row r="889" spans="12:12" ht="13.5" customHeight="1">
      <c r="L889" s="677"/>
    </row>
    <row r="890" spans="12:12" ht="13.5" customHeight="1">
      <c r="L890" s="677"/>
    </row>
    <row r="891" spans="12:12" ht="13.5" customHeight="1">
      <c r="L891" s="677"/>
    </row>
    <row r="892" spans="12:12" ht="13.5" customHeight="1">
      <c r="L892" s="677"/>
    </row>
    <row r="893" spans="12:12" ht="13.5" customHeight="1">
      <c r="L893" s="677"/>
    </row>
    <row r="894" spans="12:12" ht="13.5" customHeight="1">
      <c r="L894" s="677"/>
    </row>
    <row r="895" spans="12:12" ht="13.5" customHeight="1">
      <c r="L895" s="677"/>
    </row>
    <row r="896" spans="12:12" ht="13.5" customHeight="1">
      <c r="L896" s="677"/>
    </row>
    <row r="897" spans="12:12" ht="13.5" customHeight="1">
      <c r="L897" s="677"/>
    </row>
    <row r="898" spans="12:12" ht="13.5" customHeight="1">
      <c r="L898" s="677"/>
    </row>
    <row r="899" spans="12:12" ht="13.5" customHeight="1">
      <c r="L899" s="677"/>
    </row>
    <row r="900" spans="12:12" ht="13.5" customHeight="1">
      <c r="L900" s="677"/>
    </row>
    <row r="901" spans="12:12" ht="13.5" customHeight="1">
      <c r="L901" s="677"/>
    </row>
    <row r="902" spans="12:12" ht="13.5" customHeight="1">
      <c r="L902" s="677"/>
    </row>
    <row r="903" spans="12:12" ht="13.5" customHeight="1">
      <c r="L903" s="677"/>
    </row>
    <row r="904" spans="12:12" ht="13.5" customHeight="1">
      <c r="L904" s="677"/>
    </row>
    <row r="905" spans="12:12" ht="13.5" customHeight="1">
      <c r="L905" s="677"/>
    </row>
    <row r="906" spans="12:12" ht="13.5" customHeight="1">
      <c r="L906" s="677"/>
    </row>
    <row r="907" spans="12:12" ht="13.5" customHeight="1">
      <c r="L907" s="677"/>
    </row>
    <row r="908" spans="12:12" ht="13.5" customHeight="1">
      <c r="L908" s="677"/>
    </row>
    <row r="909" spans="12:12" ht="13.5" customHeight="1">
      <c r="L909" s="677"/>
    </row>
    <row r="910" spans="12:12" ht="13.5" customHeight="1">
      <c r="L910" s="677"/>
    </row>
    <row r="911" spans="12:12" ht="13.5" customHeight="1">
      <c r="L911" s="677"/>
    </row>
    <row r="912" spans="12:12" ht="13.5" customHeight="1">
      <c r="L912" s="677"/>
    </row>
    <row r="913" spans="12:12" ht="13.5" customHeight="1">
      <c r="L913" s="677"/>
    </row>
    <row r="914" spans="12:12" ht="13.5" customHeight="1">
      <c r="L914" s="677"/>
    </row>
    <row r="915" spans="12:12" ht="13.5" customHeight="1">
      <c r="L915" s="677"/>
    </row>
    <row r="916" spans="12:12" ht="13.5" customHeight="1">
      <c r="L916" s="677"/>
    </row>
    <row r="917" spans="12:12" ht="13.5" customHeight="1">
      <c r="L917" s="677"/>
    </row>
    <row r="918" spans="12:12" ht="13.5" customHeight="1">
      <c r="L918" s="677"/>
    </row>
    <row r="919" spans="12:12" ht="13.5" customHeight="1">
      <c r="L919" s="677"/>
    </row>
    <row r="920" spans="12:12" ht="13.5" customHeight="1">
      <c r="L920" s="677"/>
    </row>
    <row r="921" spans="12:12" ht="13.5" customHeight="1">
      <c r="L921" s="677"/>
    </row>
    <row r="922" spans="12:12" ht="13.5" customHeight="1">
      <c r="L922" s="677"/>
    </row>
    <row r="923" spans="12:12" ht="13.5" customHeight="1">
      <c r="L923" s="677"/>
    </row>
    <row r="924" spans="12:12" ht="13.5" customHeight="1">
      <c r="L924" s="677"/>
    </row>
    <row r="925" spans="12:12" ht="13.5" customHeight="1">
      <c r="L925" s="677"/>
    </row>
    <row r="926" spans="12:12" ht="13.5" customHeight="1">
      <c r="L926" s="677"/>
    </row>
    <row r="927" spans="12:12" ht="13.5" customHeight="1">
      <c r="L927" s="677"/>
    </row>
    <row r="928" spans="12:12" ht="13.5" customHeight="1">
      <c r="L928" s="677"/>
    </row>
    <row r="929" spans="12:12" ht="13.5" customHeight="1">
      <c r="L929" s="677"/>
    </row>
    <row r="930" spans="12:12" ht="13.5" customHeight="1">
      <c r="L930" s="677"/>
    </row>
    <row r="931" spans="12:12" ht="13.5" customHeight="1">
      <c r="L931" s="677"/>
    </row>
    <row r="932" spans="12:12" ht="13.5" customHeight="1">
      <c r="L932" s="677"/>
    </row>
    <row r="933" spans="12:12" ht="13.5" customHeight="1">
      <c r="L933" s="677"/>
    </row>
    <row r="934" spans="12:12" ht="13.5" customHeight="1">
      <c r="L934" s="677"/>
    </row>
    <row r="935" spans="12:12" ht="13.5" customHeight="1">
      <c r="L935" s="677"/>
    </row>
    <row r="936" spans="12:12" ht="13.5" customHeight="1">
      <c r="L936" s="677"/>
    </row>
    <row r="937" spans="12:12" ht="13.5" customHeight="1">
      <c r="L937" s="677"/>
    </row>
    <row r="938" spans="12:12" ht="13.5" customHeight="1">
      <c r="L938" s="677"/>
    </row>
    <row r="939" spans="12:12" ht="13.5" customHeight="1">
      <c r="L939" s="677"/>
    </row>
    <row r="940" spans="12:12" ht="13.5" customHeight="1">
      <c r="L940" s="677"/>
    </row>
    <row r="941" spans="12:12" ht="13.5" customHeight="1">
      <c r="L941" s="677"/>
    </row>
    <row r="942" spans="12:12" ht="13.5" customHeight="1">
      <c r="L942" s="677"/>
    </row>
    <row r="943" spans="12:12" ht="13.5" customHeight="1">
      <c r="L943" s="677"/>
    </row>
    <row r="944" spans="12:12" ht="13.5" customHeight="1">
      <c r="L944" s="677"/>
    </row>
    <row r="945" spans="12:12" ht="13.5" customHeight="1">
      <c r="L945" s="677"/>
    </row>
    <row r="946" spans="12:12" ht="13.5" customHeight="1">
      <c r="L946" s="677"/>
    </row>
    <row r="947" spans="12:12" ht="13.5" customHeight="1">
      <c r="L947" s="677"/>
    </row>
    <row r="948" spans="12:12" ht="13.5" customHeight="1">
      <c r="L948" s="677"/>
    </row>
    <row r="949" spans="12:12" ht="13.5" customHeight="1">
      <c r="L949" s="677"/>
    </row>
    <row r="950" spans="12:12" ht="13.5" customHeight="1">
      <c r="L950" s="677"/>
    </row>
    <row r="951" spans="12:12" ht="13.5" customHeight="1">
      <c r="L951" s="677"/>
    </row>
    <row r="952" spans="12:12" ht="13.5" customHeight="1">
      <c r="L952" s="677"/>
    </row>
    <row r="953" spans="12:12" ht="13.5" customHeight="1">
      <c r="L953" s="677"/>
    </row>
    <row r="954" spans="12:12" ht="13.5" customHeight="1">
      <c r="L954" s="677"/>
    </row>
    <row r="955" spans="12:12" ht="13.5" customHeight="1">
      <c r="L955" s="677"/>
    </row>
    <row r="956" spans="12:12" ht="13.5" customHeight="1">
      <c r="L956" s="677"/>
    </row>
    <row r="957" spans="12:12" ht="13.5" customHeight="1">
      <c r="L957" s="677"/>
    </row>
    <row r="958" spans="12:12" ht="13.5" customHeight="1">
      <c r="L958" s="677"/>
    </row>
    <row r="959" spans="12:12" ht="13.5" customHeight="1">
      <c r="L959" s="677"/>
    </row>
    <row r="960" spans="12:12" ht="13.5" customHeight="1">
      <c r="L960" s="677"/>
    </row>
    <row r="961" spans="12:12" ht="13.5" customHeight="1">
      <c r="L961" s="677"/>
    </row>
    <row r="962" spans="12:12" ht="13.5" customHeight="1">
      <c r="L962" s="677"/>
    </row>
    <row r="963" spans="12:12" ht="13.5" customHeight="1">
      <c r="L963" s="677"/>
    </row>
    <row r="964" spans="12:12" ht="13.5" customHeight="1">
      <c r="L964" s="677"/>
    </row>
    <row r="965" spans="12:12" ht="13.5" customHeight="1">
      <c r="L965" s="677"/>
    </row>
    <row r="966" spans="12:12" ht="13.5" customHeight="1">
      <c r="L966" s="677"/>
    </row>
    <row r="967" spans="12:12" ht="13.5" customHeight="1">
      <c r="L967" s="677"/>
    </row>
    <row r="968" spans="12:12" ht="13.5" customHeight="1">
      <c r="L968" s="677"/>
    </row>
    <row r="969" spans="12:12" ht="13.5" customHeight="1">
      <c r="L969" s="677"/>
    </row>
    <row r="970" spans="12:12" ht="13.5" customHeight="1">
      <c r="L970" s="677"/>
    </row>
    <row r="971" spans="12:12" ht="13.5" customHeight="1">
      <c r="L971" s="677"/>
    </row>
    <row r="972" spans="12:12" ht="13.5" customHeight="1">
      <c r="L972" s="677"/>
    </row>
    <row r="973" spans="12:12" ht="13.5" customHeight="1">
      <c r="L973" s="677"/>
    </row>
    <row r="974" spans="12:12" ht="13.5" customHeight="1">
      <c r="L974" s="677"/>
    </row>
    <row r="975" spans="12:12" ht="13.5" customHeight="1">
      <c r="L975" s="677"/>
    </row>
    <row r="976" spans="12:12" ht="13.5" customHeight="1">
      <c r="L976" s="677"/>
    </row>
    <row r="977" spans="12:12" ht="13.5" customHeight="1">
      <c r="L977" s="677"/>
    </row>
    <row r="978" spans="12:12" ht="13.5" customHeight="1">
      <c r="L978" s="677"/>
    </row>
    <row r="979" spans="12:12" ht="13.5" customHeight="1">
      <c r="L979" s="677"/>
    </row>
    <row r="980" spans="12:12" ht="13.5" customHeight="1">
      <c r="L980" s="677"/>
    </row>
    <row r="981" spans="12:12" ht="13.5" customHeight="1">
      <c r="L981" s="677"/>
    </row>
    <row r="982" spans="12:12" ht="13.5" customHeight="1">
      <c r="L982" s="677"/>
    </row>
    <row r="983" spans="12:12" ht="13.5" customHeight="1">
      <c r="L983" s="677"/>
    </row>
    <row r="984" spans="12:12" ht="13.5" customHeight="1">
      <c r="L984" s="677"/>
    </row>
    <row r="985" spans="12:12" ht="13.5" customHeight="1">
      <c r="L985" s="677"/>
    </row>
    <row r="986" spans="12:12" ht="13.5" customHeight="1">
      <c r="L986" s="677"/>
    </row>
    <row r="987" spans="12:12" ht="13.5" customHeight="1">
      <c r="L987" s="677"/>
    </row>
    <row r="988" spans="12:12" ht="13.5" customHeight="1">
      <c r="L988" s="677"/>
    </row>
    <row r="989" spans="12:12" ht="13.5" customHeight="1">
      <c r="L989" s="677"/>
    </row>
    <row r="990" spans="12:12" ht="13.5" customHeight="1">
      <c r="L990" s="677"/>
    </row>
    <row r="991" spans="12:12" ht="13.5" customHeight="1">
      <c r="L991" s="677"/>
    </row>
    <row r="992" spans="12:12" ht="13.5" customHeight="1">
      <c r="L992" s="677"/>
    </row>
    <row r="993" spans="12:12" ht="13.5" customHeight="1">
      <c r="L993" s="677"/>
    </row>
    <row r="994" spans="12:12" ht="13.5" customHeight="1">
      <c r="L994" s="677"/>
    </row>
    <row r="995" spans="12:12" ht="13.5" customHeight="1">
      <c r="L995" s="677"/>
    </row>
    <row r="996" spans="12:12" ht="13.5" customHeight="1">
      <c r="L996" s="677"/>
    </row>
    <row r="997" spans="12:12" ht="13.5" customHeight="1">
      <c r="L997" s="677"/>
    </row>
    <row r="998" spans="12:12" ht="13.5" customHeight="1">
      <c r="L998" s="677"/>
    </row>
    <row r="999" spans="12:12" ht="13.5" customHeight="1">
      <c r="L999" s="677"/>
    </row>
    <row r="1000" spans="12:12" ht="13.5" customHeight="1">
      <c r="L1000" s="677"/>
    </row>
    <row r="1001" spans="12:12" ht="13.5" customHeight="1">
      <c r="L1001" s="677" t="str">
        <f>IF(H1001="","",DATE(G1001,F1001,E1001)+TIME(H1001,I1001,0))</f>
        <v/>
      </c>
    </row>
    <row r="1002" spans="12:12" ht="13.5" customHeight="1">
      <c r="L1002" s="677" t="str">
        <f>IF(H1002="","",DATE(G1002,F1002,E1002)+TIME(H1002,I1002,0))</f>
        <v/>
      </c>
    </row>
    <row r="1003" spans="12:12" ht="13.5" customHeight="1">
      <c r="L1003" s="677" t="str">
        <f>IF(H1003="","",DATE(G1003,F1003,E1003)+TIME(H1003,I1003,0))</f>
        <v/>
      </c>
    </row>
    <row r="1004" spans="12:12" ht="13.5" customHeight="1">
      <c r="L1004" s="677" t="str">
        <f>IF(H1004="","",DATE(G1004,F1004,E1004)+TIME(H1004,I1004,0))</f>
        <v/>
      </c>
    </row>
  </sheetData>
  <sheetProtection password="C623" sheet="1" objects="1" scenarios="1"/>
  <mergeCells count="4">
    <mergeCell ref="K3:L4"/>
    <mergeCell ref="C3:C4"/>
    <mergeCell ref="B3:B4"/>
    <mergeCell ref="B1:C2"/>
  </mergeCells>
  <phoneticPr fontId="3" type="noConversion"/>
  <dataValidations count="1">
    <dataValidation type="list" allowBlank="1" showInputMessage="1" showErrorMessage="1" sqref="D5:D105" xr:uid="{5C84D006-813C-4471-B7F2-E423ED7E2FE0}">
      <formula1>$D$2:$D$4</formula1>
    </dataValidation>
  </dataValidation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BCFA-A17A-4629-825E-FBAA6B11B848}">
  <sheetPr codeName="Sheet3"/>
  <dimension ref="B1:BK102"/>
  <sheetViews>
    <sheetView showGridLines="0" showRowColHeaders="0" workbookViewId="0">
      <selection activeCell="D3" sqref="D3:H3"/>
    </sheetView>
  </sheetViews>
  <sheetFormatPr defaultColWidth="5.7109375" defaultRowHeight="13.35" customHeight="1"/>
  <cols>
    <col min="1" max="1" width="3" style="22" customWidth="1"/>
    <col min="2" max="2" width="5.7109375" style="48" customWidth="1"/>
    <col min="3" max="13" width="5.7109375" style="22" customWidth="1"/>
    <col min="14" max="14" width="4.28515625" style="22" bestFit="1" customWidth="1"/>
    <col min="15" max="17" width="5.7109375" style="22" customWidth="1"/>
    <col min="18" max="18" width="4.28515625" style="22" bestFit="1" customWidth="1"/>
    <col min="19" max="21" width="5.7109375" style="22" customWidth="1"/>
    <col min="22" max="24" width="5.7109375" style="48" customWidth="1"/>
    <col min="25" max="25" width="5.7109375" customWidth="1"/>
    <col min="26" max="41" width="5.7109375" style="48" customWidth="1"/>
    <col min="42" max="42" width="20.28515625" style="771" bestFit="1" customWidth="1"/>
    <col min="43" max="63" width="5.7109375" style="48" customWidth="1"/>
    <col min="64" max="16384" width="5.7109375" style="22"/>
  </cols>
  <sheetData>
    <row r="1" spans="2:42" ht="24.75" customHeight="1" thickBot="1">
      <c r="B1" s="597" t="s">
        <v>605</v>
      </c>
      <c r="C1" s="444"/>
      <c r="D1" s="444"/>
      <c r="E1" s="444"/>
      <c r="F1" s="444"/>
      <c r="G1" s="444"/>
      <c r="H1" s="444"/>
      <c r="I1" s="444"/>
      <c r="J1" s="444"/>
      <c r="K1" s="444"/>
      <c r="L1" s="444"/>
      <c r="M1" s="444"/>
      <c r="N1" s="444"/>
      <c r="O1" s="444"/>
      <c r="P1" s="444"/>
      <c r="Q1" s="444"/>
      <c r="R1" s="444"/>
      <c r="S1" s="444"/>
      <c r="T1" s="444"/>
    </row>
    <row r="2" spans="2:42" ht="9" customHeight="1" thickTop="1">
      <c r="B2" s="582"/>
      <c r="C2" s="521"/>
      <c r="D2" s="521"/>
      <c r="E2" s="521"/>
      <c r="F2" s="521"/>
      <c r="G2" s="521"/>
      <c r="H2" s="521"/>
      <c r="I2" s="522"/>
      <c r="J2" s="521"/>
      <c r="K2" s="521"/>
      <c r="L2" s="521"/>
      <c r="M2" s="521"/>
      <c r="N2" s="521"/>
      <c r="O2" s="521"/>
      <c r="P2" s="521"/>
      <c r="Q2" s="521"/>
      <c r="R2" s="521"/>
      <c r="S2" s="521"/>
      <c r="T2" s="523"/>
      <c r="AP2" s="771" t="str">
        <f>IF('Nhập liệu'!C5="","",'Nhập liệu'!C5)</f>
        <v>Lá số</v>
      </c>
    </row>
    <row r="3" spans="2:42" ht="16.5" customHeight="1">
      <c r="B3" s="583"/>
      <c r="D3" s="978" t="s">
        <v>9360</v>
      </c>
      <c r="E3" s="979"/>
      <c r="F3" s="979"/>
      <c r="G3" s="979"/>
      <c r="H3" s="980"/>
      <c r="I3" s="517" t="str">
        <f ca="1">Setup!G19</f>
        <v>(+) Nữ</v>
      </c>
      <c r="J3" s="508"/>
      <c r="K3" s="508"/>
      <c r="M3" s="277" t="s">
        <v>1235</v>
      </c>
      <c r="N3" s="326"/>
      <c r="Q3" s="277" t="s">
        <v>1234</v>
      </c>
      <c r="R3" s="326"/>
      <c r="S3" s="326"/>
      <c r="T3" s="509"/>
      <c r="AP3" s="771" t="str">
        <f>IF('Nhập liệu'!C6="","",'Nhập liệu'!C6)</f>
        <v/>
      </c>
    </row>
    <row r="4" spans="2:42" ht="13.35" customHeight="1">
      <c r="B4" s="612"/>
      <c r="E4" s="616"/>
      <c r="F4" s="617" t="str">
        <f ca="1">IF(D3="","Máy tự động lập số Nam giới giờ này",IF(ISNA(VLOOKUP(D3,'Nhập liệu'!C5:L1004,10,0)),"Máy tự động lập số Nam giới giờ này","giờ "&amp;INDEX(Setup!E8:E19,MOD(Setup!BY9/2+1/2,12)+1)&amp;" "&amp;Setup!BY17&amp;"/"&amp;Setup!BY18&amp;" "&amp;Setup!BZ19&amp;" "&amp;Setup!CA19))</f>
        <v>giờ Thìn 6/1 Nhâm Ngọ</v>
      </c>
      <c r="G4" s="9"/>
      <c r="H4" s="9"/>
      <c r="L4" s="409" t="str">
        <f ca="1">IF(Setup!AA40=6,"NĐ","")</f>
        <v/>
      </c>
      <c r="M4" s="524" t="str">
        <f ca="1">HLOOKUP(M10,'64Quẻ'!B5:DX11,2,0)</f>
        <v>———</v>
      </c>
      <c r="N4" s="324" t="str">
        <f ca="1">Setup!M23&amp;"-"&amp;Setup!N23</f>
        <v>10-18</v>
      </c>
      <c r="O4" s="362" t="str">
        <f ca="1">HLOOKUP(M10&amp;1,'64Quẻ'!B5:DY11,2,0)</f>
        <v>N.Tuất</v>
      </c>
      <c r="P4" s="409" t="str">
        <f ca="1">IF(Setup!AA40=3,"NĐ","")</f>
        <v/>
      </c>
      <c r="Q4" s="513" t="str">
        <f ca="1">HLOOKUP(Q10,'64Quẻ'!B5:DX11,2,0)</f>
        <v>—   —</v>
      </c>
      <c r="R4" s="324" t="str">
        <f ca="1">Setup!O23&amp;"-"&amp;Setup!P23</f>
        <v>73-78</v>
      </c>
      <c r="S4" s="362" t="str">
        <f ca="1">HLOOKUP(Q10&amp;1,'64Quẻ'!B5:DY11,2,0)</f>
        <v>Q.Dậu</v>
      </c>
      <c r="T4" s="210"/>
      <c r="AP4" s="771" t="str">
        <f>IF('Nhập liệu'!C7="","",'Nhập liệu'!C7)</f>
        <v/>
      </c>
    </row>
    <row r="5" spans="2:42" ht="13.35" customHeight="1">
      <c r="B5" s="611">
        <f ca="1">Setup!B9</f>
        <v>37291.308194444442</v>
      </c>
      <c r="C5" s="613"/>
      <c r="D5" s="591"/>
      <c r="E5" s="608">
        <f ca="1">IF(D3="",NOW(),IF(ISNA(VLOOKUP(D3,'Nhập liệu'!C5:L1004,10,0)),"Vừa đổi tên người này",VLOOKUP(D3,'Nhập liệu'!C5:L1004,10,0)))</f>
        <v>37304.291666666664</v>
      </c>
      <c r="F5" s="548"/>
      <c r="G5" s="444"/>
      <c r="H5" s="610">
        <f ca="1">VLOOKUP(Setup!B17,TiếtKhí!B3:D3626,3,0)</f>
        <v>37321.060601851852</v>
      </c>
      <c r="I5" s="613"/>
      <c r="J5" s="614"/>
      <c r="K5" s="23"/>
      <c r="L5" s="409" t="str">
        <f ca="1">IF(Setup!AA40=5,"NĐ","")</f>
        <v>NĐ</v>
      </c>
      <c r="M5" s="524" t="str">
        <f ca="1">HLOOKUP(M10,'64Quẻ'!B5:DX11,3,0)</f>
        <v>———</v>
      </c>
      <c r="N5" s="324" t="str">
        <f ca="1">Setup!M24&amp;"-"&amp;Setup!N24</f>
        <v>1-9</v>
      </c>
      <c r="O5" s="362" t="str">
        <f ca="1">HLOOKUP(M10&amp;1,'64Quẻ'!B5:DY11,3,0)</f>
        <v>N.Thân</v>
      </c>
      <c r="P5" s="409" t="str">
        <f ca="1">IF(Setup!AA40=2,"NĐ","")</f>
        <v/>
      </c>
      <c r="Q5" s="513" t="str">
        <f ca="1">HLOOKUP(Q10,'64Quẻ'!B5:DX11,3,0)</f>
        <v>—   —</v>
      </c>
      <c r="R5" s="324" t="str">
        <f ca="1">Setup!O24&amp;"-"&amp;Setup!P24</f>
        <v>67-72</v>
      </c>
      <c r="S5" s="362" t="str">
        <f ca="1">HLOOKUP(Q10&amp;1,'64Quẻ'!B5:DY11,3,0)</f>
        <v>Q.Hợi</v>
      </c>
      <c r="T5" s="211"/>
      <c r="AP5" s="771" t="str">
        <f>IF('Nhập liệu'!C8="","",'Nhập liệu'!C8)</f>
        <v/>
      </c>
    </row>
    <row r="6" spans="2:42" ht="13.35" customHeight="1">
      <c r="B6" s="609"/>
      <c r="C6" s="606" t="str">
        <f ca="1">IF(Setup!B14=1,VLOOKUP(Setup!B16,TiếtKhí!B3:D3626,2,0)&amp;" :",VLOOKUP(Setup!B16,TiếtKhí!B3:D3626,2,0))</f>
        <v>Lập xuân</v>
      </c>
      <c r="D6" s="590"/>
      <c r="F6" s="618" t="str">
        <f ca="1">"&gt;&gt; "&amp;IF(Setup!B14=1,"Tiết lệnh tháng 12","Tiết lệnh tháng "&amp;Setup!B14-1)&amp;" &gt;&gt;"</f>
        <v>&gt;&gt; Tiết lệnh tháng 1 &gt;&gt;</v>
      </c>
      <c r="I6" s="606" t="str">
        <f ca="1">VLOOKUP(Setup!B17,TiếtKhí!B3:D3626,2,0)</f>
        <v>Kinh trập</v>
      </c>
      <c r="J6" s="615"/>
      <c r="K6" s="23"/>
      <c r="L6" s="409" t="str">
        <f ca="1">IF(Setup!AA40=4,"NĐ","")</f>
        <v/>
      </c>
      <c r="M6" s="524" t="str">
        <f ca="1">HLOOKUP(M10,'64Quẻ'!B5:DX11,4,0)</f>
        <v>———</v>
      </c>
      <c r="N6" s="324" t="str">
        <f ca="1">Setup!M25&amp;"-"&amp;Setup!N25</f>
        <v>37-45</v>
      </c>
      <c r="O6" s="362" t="str">
        <f ca="1">HLOOKUP(M10&amp;1,'64Quẻ'!B5:DY11,4,0)</f>
        <v>N.Ngọ</v>
      </c>
      <c r="P6" s="409" t="str">
        <f ca="1">IF(Setup!AA40=1,"NĐ","")</f>
        <v/>
      </c>
      <c r="Q6" s="513" t="str">
        <f ca="1">HLOOKUP(Q10,'64Quẻ'!B5:DX11,4,0)</f>
        <v>—   —</v>
      </c>
      <c r="R6" s="324" t="str">
        <f ca="1">Setup!O25&amp;"-"&amp;Setup!P25</f>
        <v>61-66</v>
      </c>
      <c r="S6" s="362" t="str">
        <f ca="1">HLOOKUP(Q10&amp;1,'64Quẻ'!B5:DY11,4,0)</f>
        <v>Q.Sửu</v>
      </c>
      <c r="T6" s="211"/>
      <c r="AP6" s="771" t="str">
        <f>IF('Nhập liệu'!C9="","",'Nhập liệu'!C9)</f>
        <v/>
      </c>
    </row>
    <row r="7" spans="2:42" ht="13.35" customHeight="1">
      <c r="B7" s="583"/>
      <c r="E7" s="516" t="s">
        <v>4463</v>
      </c>
      <c r="F7" s="234" t="str">
        <f ca="1">Setup!S6&amp;" "&amp;Setup!T6</f>
        <v>Nhâm Ngọ</v>
      </c>
      <c r="L7" s="409" t="str">
        <f ca="1">IF(Setup!AA40=3,"NĐ","")</f>
        <v/>
      </c>
      <c r="M7" s="525" t="str">
        <f ca="1">HLOOKUP(M10,'64Quẻ'!B5:DX11,5,0)</f>
        <v>—   —</v>
      </c>
      <c r="N7" s="324" t="str">
        <f ca="1">Setup!M26&amp;"-"&amp;Setup!N26</f>
        <v>31-36</v>
      </c>
      <c r="O7" s="362" t="str">
        <f ca="1">HLOOKUP(M10&amp;1,'64Quẻ'!B5:DY11,5,0)</f>
        <v>Ấ.Mão</v>
      </c>
      <c r="P7" s="409" t="str">
        <f ca="1">IF(Setup!AA40=6,"NĐ","")</f>
        <v/>
      </c>
      <c r="Q7" s="514" t="str">
        <f ca="1">HLOOKUP(Q10,'64Quẻ'!B5:DX11,5,0)</f>
        <v>———</v>
      </c>
      <c r="R7" s="324" t="str">
        <f ca="1">Setup!O26&amp;"-"&amp;Setup!P26</f>
        <v>52-60</v>
      </c>
      <c r="S7" s="362" t="str">
        <f ca="1">HLOOKUP(Q10&amp;1,'64Quẻ'!B5:DY11,5,0)</f>
        <v>K.Hợi</v>
      </c>
      <c r="T7" s="509"/>
      <c r="AP7" s="771" t="str">
        <f>IF('Nhập liệu'!C10="","",'Nhập liệu'!C10)</f>
        <v/>
      </c>
    </row>
    <row r="8" spans="2:42" ht="13.35" customHeight="1">
      <c r="B8" s="583"/>
      <c r="E8" s="516" t="s">
        <v>4462</v>
      </c>
      <c r="F8" s="234" t="str">
        <f ca="1">Setup!S7&amp;" "&amp;Setup!T7</f>
        <v>Nhâm Dần</v>
      </c>
      <c r="G8" s="515"/>
      <c r="I8" s="562" t="str">
        <f ca="1">"Tổng số  Dg : "&amp;Setup!H23</f>
        <v>Tổng số  Dg : 20</v>
      </c>
      <c r="K8" s="23"/>
      <c r="L8" s="409" t="str">
        <f ca="1">IF(Setup!AA40=2,"NĐ","")</f>
        <v/>
      </c>
      <c r="M8" s="525" t="str">
        <f ca="1">HLOOKUP(M10,'64Quẻ'!B5:DX11,6,0)</f>
        <v>—   —</v>
      </c>
      <c r="N8" s="324" t="str">
        <f ca="1">Setup!M27&amp;"-"&amp;Setup!N27</f>
        <v>25-30</v>
      </c>
      <c r="O8" s="362" t="str">
        <f ca="1">HLOOKUP(M10&amp;1,'64Quẻ'!B5:DY11,6,0)</f>
        <v>Ấ.Tỵ</v>
      </c>
      <c r="P8" s="409" t="str">
        <f ca="1">IF(Setup!AA40=5,"NĐ","")</f>
        <v>NĐ</v>
      </c>
      <c r="Q8" s="514" t="str">
        <f ca="1">HLOOKUP(Q10,'64Quẻ'!B5:DX11,6,0)</f>
        <v>—   —</v>
      </c>
      <c r="R8" s="324" t="str">
        <f ca="1">Setup!O27&amp;"-"&amp;Setup!P27</f>
        <v>46-51</v>
      </c>
      <c r="S8" s="362" t="str">
        <f ca="1">HLOOKUP(Q10&amp;1,'64Quẻ'!B5:DY11,6,0)</f>
        <v>K.Sửu</v>
      </c>
      <c r="T8" s="509"/>
      <c r="AP8" s="771" t="str">
        <f>IF('Nhập liệu'!C11="","",'Nhập liệu'!C11)</f>
        <v/>
      </c>
    </row>
    <row r="9" spans="2:42" ht="13.35" customHeight="1">
      <c r="B9" s="583"/>
      <c r="E9" s="516" t="s">
        <v>4873</v>
      </c>
      <c r="F9" s="234" t="str">
        <f ca="1">Setup!S8&amp;" "&amp;Setup!T8</f>
        <v>Bính Thìn</v>
      </c>
      <c r="I9" s="562" t="str">
        <f ca="1">"Tổng số Âm : "&amp;Setup!I23</f>
        <v>Tổng số Âm : 56</v>
      </c>
      <c r="K9" s="23"/>
      <c r="L9" s="409" t="str">
        <f ca="1">IF(Setup!AA40=1,"NĐ","")</f>
        <v/>
      </c>
      <c r="M9" s="525" t="str">
        <f ca="1">HLOOKUP(M10,'64Quẻ'!B5:DX11,7,0)</f>
        <v>—   —</v>
      </c>
      <c r="N9" s="324" t="str">
        <f ca="1">Setup!M28&amp;"-"&amp;Setup!N28</f>
        <v>19-24</v>
      </c>
      <c r="O9" s="362" t="str">
        <f ca="1">HLOOKUP(M10&amp;1,'64Quẻ'!B5:DY11,7,0)</f>
        <v>Ấ.Mùi</v>
      </c>
      <c r="P9" s="409" t="str">
        <f ca="1">IF(Setup!AA40=4,"NĐ","")</f>
        <v/>
      </c>
      <c r="Q9" s="514" t="str">
        <f ca="1">HLOOKUP(Q10,'64Quẻ'!B5:DX11,7,0)</f>
        <v>———</v>
      </c>
      <c r="R9" s="324" t="str">
        <f ca="1">Setup!O28&amp;"-"&amp;Setup!P28</f>
        <v>79-87</v>
      </c>
      <c r="S9" s="362" t="str">
        <f ca="1">HLOOKUP(Q10&amp;1,'64Quẻ'!B5:DY11,7,0)</f>
        <v>K.Mão</v>
      </c>
      <c r="T9" s="511"/>
      <c r="AP9" s="771" t="str">
        <f>IF('Nhập liệu'!C12="","",'Nhập liệu'!C12)</f>
        <v/>
      </c>
    </row>
    <row r="10" spans="2:42" ht="13.35" customHeight="1">
      <c r="B10" s="583"/>
      <c r="E10" s="516" t="s">
        <v>4464</v>
      </c>
      <c r="F10" s="234" t="str">
        <f ca="1">Setup!S9&amp;" "&amp;Setup!T9</f>
        <v>Nhâm Thìn</v>
      </c>
      <c r="G10" s="557"/>
      <c r="L10" s="325"/>
      <c r="M10" s="620" t="str">
        <f ca="1">Setup!I27</f>
        <v>Bĩ</v>
      </c>
      <c r="P10" s="325"/>
      <c r="Q10" s="620" t="str">
        <f ca="1">HLOOKUP(Setup!L22,'64Quẻ'!B4:DX5,2,0)</f>
        <v>M.Di</v>
      </c>
      <c r="R10" s="326"/>
      <c r="S10" s="326"/>
      <c r="T10" s="211"/>
      <c r="U10" s="510"/>
      <c r="AP10" s="771" t="str">
        <f>IF('Nhập liệu'!C13="","",'Nhập liệu'!C13)</f>
        <v/>
      </c>
    </row>
    <row r="11" spans="2:42" ht="13.35" customHeight="1" thickBot="1">
      <c r="B11" s="584"/>
      <c r="D11" s="607"/>
      <c r="E11" s="556"/>
      <c r="F11" s="607"/>
      <c r="G11" s="560"/>
      <c r="H11" s="327"/>
      <c r="I11" s="605"/>
      <c r="J11" s="605"/>
      <c r="K11" s="327"/>
      <c r="L11" s="327"/>
      <c r="M11" s="619" t="str">
        <f ca="1">"Tháng : "&amp;HLOOKUP(M10,'64Quẻ'!B5:DX25,21,0)</f>
        <v>Tháng : 7</v>
      </c>
      <c r="N11" s="558"/>
      <c r="O11" s="327"/>
      <c r="P11" s="327"/>
      <c r="Q11" s="619" t="str">
        <f ca="1">"Tháng : "&amp;HLOOKUP(Q10,'64Quẻ'!B5:DX25,21,0)</f>
        <v>Tháng : 8</v>
      </c>
      <c r="R11" s="558"/>
      <c r="S11" s="327"/>
      <c r="T11" s="559"/>
      <c r="AP11" s="771" t="str">
        <f>IF('Nhập liệu'!C14="","",'Nhập liệu'!C14)</f>
        <v/>
      </c>
    </row>
    <row r="12" spans="2:42" ht="13.35" customHeight="1" thickTop="1">
      <c r="B12" s="595"/>
      <c r="C12" s="595"/>
      <c r="D12" s="21"/>
      <c r="L12" s="47"/>
      <c r="N12" s="507"/>
      <c r="O12" s="507"/>
      <c r="P12" s="507"/>
      <c r="Q12" s="507"/>
      <c r="R12" s="507"/>
      <c r="S12" s="507"/>
      <c r="T12" s="585" t="s">
        <v>3788</v>
      </c>
      <c r="AP12" s="771" t="str">
        <f>IF('Nhập liệu'!C15="","",'Nhập liệu'!C15)</f>
        <v/>
      </c>
    </row>
    <row r="13" spans="2:42" ht="13.35" customHeight="1">
      <c r="B13" s="596" t="s">
        <v>3703</v>
      </c>
      <c r="C13" s="15"/>
      <c r="D13" s="21"/>
      <c r="L13" s="47"/>
      <c r="N13" s="507"/>
      <c r="O13" s="507"/>
      <c r="P13" s="507"/>
      <c r="Q13" s="507"/>
      <c r="AP13" s="771" t="str">
        <f>IF('Nhập liệu'!C16="","",'Nhập liệu'!C16)</f>
        <v/>
      </c>
    </row>
    <row r="14" spans="2:42" ht="13.35" customHeight="1">
      <c r="B14" s="293" t="s">
        <v>7345</v>
      </c>
      <c r="C14" s="594" t="s">
        <v>23</v>
      </c>
      <c r="R14" s="46"/>
      <c r="S14" s="46"/>
      <c r="T14" s="46"/>
      <c r="AP14" s="771" t="str">
        <f>IF('Nhập liệu'!C17="","",'Nhập liệu'!C17)</f>
        <v/>
      </c>
    </row>
    <row r="15" spans="2:42" ht="13.35" customHeight="1">
      <c r="B15" s="22"/>
      <c r="C15" s="48"/>
      <c r="E15" s="21" t="s">
        <v>2734</v>
      </c>
      <c r="F15" s="566" t="str">
        <f ca="1">Setup!V20</f>
        <v>Càn</v>
      </c>
      <c r="G15" s="593" t="str">
        <f ca="1">IF(Setup!R25&lt;&gt;"","Có"&amp;Setup!R25&amp;".","")</f>
        <v>Có, ở quẻ chính tiên thiên.</v>
      </c>
      <c r="M15" s="45"/>
      <c r="N15" s="45"/>
      <c r="O15" s="45"/>
      <c r="P15" s="45"/>
      <c r="Q15" s="46"/>
      <c r="S15" s="326"/>
      <c r="AP15" s="771" t="str">
        <f>IF('Nhập liệu'!C18="","",'Nhập liệu'!C18)</f>
        <v/>
      </c>
    </row>
    <row r="16" spans="2:42" ht="13.35" customHeight="1">
      <c r="B16" s="22"/>
      <c r="C16" s="48"/>
      <c r="E16" s="21" t="s">
        <v>2733</v>
      </c>
      <c r="F16" s="566" t="str">
        <f ca="1">Setup!V21</f>
        <v>Ly</v>
      </c>
      <c r="G16" s="593" t="str">
        <f ca="1">IF(Setup!R26&lt;&gt;"","Có"&amp;Setup!R26&amp;".","")</f>
        <v>Có, ở quẻ chính hậu thiên.</v>
      </c>
      <c r="K16" s="512"/>
      <c r="L16" s="326"/>
      <c r="T16" s="24"/>
      <c r="U16" s="24"/>
      <c r="AP16" s="771" t="str">
        <f>IF('Nhập liệu'!C19="","",'Nhập liệu'!C19)</f>
        <v/>
      </c>
    </row>
    <row r="17" spans="2:42" ht="13.35" customHeight="1">
      <c r="B17" s="22"/>
      <c r="C17" s="48"/>
      <c r="E17" s="21" t="s">
        <v>2732</v>
      </c>
      <c r="F17" s="566" t="str">
        <f ca="1">Setup!V8</f>
        <v>Khảm</v>
      </c>
      <c r="G17" s="593" t="str">
        <f ca="1">IF(Setup!R27&lt;&gt;"","Có"&amp;Setup!R27&amp;".","")</f>
        <v>Có, ở quẻ hỗ hậu thiên.</v>
      </c>
      <c r="T17" s="24"/>
      <c r="U17" s="24"/>
      <c r="AP17" s="771" t="str">
        <f>IF('Nhập liệu'!C20="","",'Nhập liệu'!C20)</f>
        <v/>
      </c>
    </row>
    <row r="18" spans="2:42" ht="13.35" customHeight="1">
      <c r="B18" s="22"/>
      <c r="C18" s="48"/>
      <c r="E18" s="21" t="s">
        <v>3709</v>
      </c>
      <c r="F18" s="566" t="str">
        <f ca="1">"H."&amp;Setup!AA40&amp;Setup!AC40</f>
        <v>H.5 dg</v>
      </c>
      <c r="G18" s="489" t="str">
        <f ca="1">Setup!AA42</f>
        <v>Có, hào 2 âm.</v>
      </c>
      <c r="T18" s="24"/>
      <c r="U18" s="24"/>
      <c r="AP18" s="771" t="str">
        <f>IF('Nhập liệu'!C21="","",'Nhập liệu'!C21)</f>
        <v/>
      </c>
    </row>
    <row r="19" spans="2:42" ht="13.35" customHeight="1">
      <c r="B19" s="22"/>
      <c r="C19" s="48"/>
      <c r="E19" s="31" t="str">
        <f ca="1">"TSD hợp "&amp;Setup!A38&amp;" :"</f>
        <v>TSD hợp mùa Xuân :</v>
      </c>
      <c r="F19" s="566" t="str">
        <f ca="1">Setup!C38&amp;"-"&amp;Setup!D38</f>
        <v>25-35</v>
      </c>
      <c r="G19" s="489" t="str">
        <f ca="1">Setup!C39</f>
        <v/>
      </c>
      <c r="N19" s="322"/>
      <c r="T19" s="361"/>
      <c r="U19" s="361"/>
      <c r="AP19" s="771" t="str">
        <f>IF('Nhập liệu'!C22="","",'Nhập liệu'!C22)</f>
        <v/>
      </c>
    </row>
    <row r="20" spans="2:42" ht="13.35" customHeight="1">
      <c r="B20" s="22"/>
      <c r="C20" s="48"/>
      <c r="E20" s="31" t="str">
        <f ca="1">"TSÂ hợp "&amp;Setup!A38&amp;" :"</f>
        <v>TSÂ hợp mùa Xuân :</v>
      </c>
      <c r="F20" s="566" t="str">
        <f ca="1">Setup!E38&amp;"-"&amp;Setup!F38</f>
        <v>30-34</v>
      </c>
      <c r="G20" s="489" t="str">
        <f ca="1">Setup!E39</f>
        <v/>
      </c>
      <c r="N20" s="322"/>
      <c r="T20" s="361"/>
      <c r="U20" s="361"/>
      <c r="AP20" s="771" t="str">
        <f>IF('Nhập liệu'!C23="","",'Nhập liệu'!C23)</f>
        <v/>
      </c>
    </row>
    <row r="21" spans="2:42" ht="13.35" customHeight="1">
      <c r="B21" s="22"/>
      <c r="C21" s="518"/>
      <c r="E21" s="21" t="s">
        <v>2735</v>
      </c>
      <c r="F21" s="566" t="str">
        <f ca="1">IF(G21&lt;&gt;"",Setup!R5,"")</f>
        <v>N.Ngọ</v>
      </c>
      <c r="G21" s="24" t="str">
        <f ca="1">IF(Setup!U28&lt;&gt;"","Có"&amp;Setup!U28&amp;".","")</f>
        <v>Có, ở quẻ tiên thiên.</v>
      </c>
      <c r="T21" s="361"/>
      <c r="U21" s="361"/>
      <c r="AP21" s="771" t="str">
        <f>IF('Nhập liệu'!C24="","",'Nhập liệu'!C24)</f>
        <v/>
      </c>
    </row>
    <row r="22" spans="2:42" ht="13.35" customHeight="1">
      <c r="B22" s="22"/>
      <c r="C22" s="48"/>
      <c r="E22" s="21" t="s">
        <v>1304</v>
      </c>
      <c r="F22" s="566" t="str">
        <f ca="1">IF(G22="","","Tháng "&amp;Setup!B13)</f>
        <v/>
      </c>
      <c r="G22" s="593" t="str">
        <f ca="1">IF(Setup!B13=Setup!W28,"Có, ở quẻ tiên thiên.",IF(Setup!B13=Setup!X28,"Có, ở quẻ hậu thiên.",""))</f>
        <v/>
      </c>
      <c r="T22" s="326"/>
      <c r="U22" s="326"/>
      <c r="AP22" s="771" t="str">
        <f>IF('Nhập liệu'!C25="","",'Nhập liệu'!C25)</f>
        <v/>
      </c>
    </row>
    <row r="23" spans="2:42" ht="13.35" customHeight="1">
      <c r="B23" s="22"/>
      <c r="C23" s="48"/>
      <c r="E23" s="21"/>
      <c r="F23" s="590"/>
      <c r="L23" s="293"/>
      <c r="AP23" s="771" t="str">
        <f>IF('Nhập liệu'!C26="","",'Nhập liệu'!C26)</f>
        <v/>
      </c>
    </row>
    <row r="24" spans="2:42" ht="13.35" customHeight="1">
      <c r="B24" s="293" t="s">
        <v>7345</v>
      </c>
      <c r="C24" s="594" t="s">
        <v>596</v>
      </c>
      <c r="F24" s="566" t="str">
        <f ca="1">IF(Setup!E65&lt;&gt;"",Setup!B65,IF(Setup!E66&lt;&gt;"",Setup!B66,""))</f>
        <v/>
      </c>
      <c r="G24" s="572" t="str">
        <f ca="1">IF(Setup!E65&lt;&gt;"",Setup!E65,IF(Setup!E66&lt;&gt;"",Setup!E66,""))</f>
        <v/>
      </c>
      <c r="K24" s="444"/>
      <c r="L24" s="444"/>
      <c r="M24" s="444"/>
      <c r="N24" s="444"/>
      <c r="O24" s="444"/>
      <c r="P24" s="444"/>
      <c r="Q24" s="444"/>
      <c r="R24" s="444"/>
      <c r="S24" s="444"/>
      <c r="T24" s="519"/>
      <c r="AP24" s="771" t="str">
        <f>IF('Nhập liệu'!C27="","",'Nhập liệu'!C27)</f>
        <v/>
      </c>
    </row>
    <row r="25" spans="2:42" ht="13.35" customHeight="1">
      <c r="B25" s="22"/>
      <c r="C25" s="563"/>
      <c r="F25" s="566" t="str">
        <f ca="1">IF(AND(Setup!E65&lt;&gt;"",Setup!E66&lt;&gt;""),Setup!B66,"")</f>
        <v/>
      </c>
      <c r="G25" s="325" t="str">
        <f ca="1">IF(AND(Setup!E65&lt;&gt;"",Setup!E66&lt;&gt;""),Setup!E66,"")</f>
        <v/>
      </c>
      <c r="I25" s="444"/>
      <c r="J25" s="444"/>
      <c r="AP25" s="771" t="str">
        <f>IF('Nhập liệu'!C28="","",'Nhập liệu'!C28)</f>
        <v/>
      </c>
    </row>
    <row r="26" spans="2:42" ht="13.35" customHeight="1">
      <c r="B26" s="293" t="s">
        <v>7345</v>
      </c>
      <c r="C26" s="594" t="s">
        <v>1533</v>
      </c>
      <c r="D26" s="444"/>
      <c r="E26" s="444"/>
      <c r="F26" s="591"/>
      <c r="G26" s="444"/>
      <c r="H26" s="444"/>
      <c r="AP26" s="771" t="str">
        <f>IF('Nhập liệu'!C29="","",'Nhập liệu'!C29)</f>
        <v/>
      </c>
    </row>
    <row r="27" spans="2:42" ht="13.35" customHeight="1">
      <c r="B27" s="22"/>
      <c r="C27" s="564" t="s">
        <v>1534</v>
      </c>
      <c r="D27" s="23" t="s">
        <v>470</v>
      </c>
      <c r="F27" s="566" t="str">
        <f ca="1">Setup!I27</f>
        <v>Bĩ</v>
      </c>
      <c r="G27" s="592" t="str">
        <f ca="1">HLOOKUP(M10,'384Hào'!C3:BN74,2,0)</f>
        <v>Bĩ là tắc (Bế tắc, mắc kẹt). Được quẻ, 3 hào trên là đạo quân tử thì tốt, 3 hào dưới là đạo tiểu nhân thì xấu.</v>
      </c>
      <c r="AP27" s="771" t="str">
        <f>IF('Nhập liệu'!C30="","",'Nhập liệu'!C30)</f>
        <v/>
      </c>
    </row>
    <row r="28" spans="2:42" ht="13.35" customHeight="1">
      <c r="B28" s="22"/>
      <c r="C28" s="564" t="s">
        <v>1535</v>
      </c>
      <c r="D28" s="23" t="s">
        <v>611</v>
      </c>
      <c r="F28" s="566" t="str">
        <f ca="1">"Hào "&amp;Setup!AA40</f>
        <v>Hào 5</v>
      </c>
      <c r="G28" s="592" t="str">
        <f ca="1">VLOOKUP(Setup!AA40,Setup!Z43:AA48,2,0)</f>
        <v>Lập được nhiều công trạng.</v>
      </c>
      <c r="AP28" s="771" t="str">
        <f>IF('Nhập liệu'!C31="","",'Nhập liệu'!C31)</f>
        <v/>
      </c>
    </row>
    <row r="29" spans="2:42" ht="13.35" customHeight="1">
      <c r="B29" s="22"/>
      <c r="C29" s="564" t="s">
        <v>1536</v>
      </c>
      <c r="D29" s="23" t="s">
        <v>7047</v>
      </c>
      <c r="F29" s="566"/>
      <c r="G29" s="592" t="str">
        <f ca="1">HLOOKUP(M10,'384Hào'!C3:BN74,62-(VLOOKUP(1,Setup!AK4:AO15,5,0)-1)*11,0)&amp;" "&amp;HLOOKUP(M10,'384Hào'!C3:BN74,63-(VLOOKUP(1,Setup!AK4:AO15,5,0)-1)*11,0)</f>
        <v>Thôi hết bĩ, đại nhân tốt. Nhưng lo mất lo mất (phải giữ vững như) ràng buộc vào ngùm rễ dâu. Ý HÀO: Làm sáng tỏ con người của Hòa bình, để biết cái thuật giữ nghiệp lớn.</v>
      </c>
      <c r="AP29" s="771" t="str">
        <f>IF('Nhập liệu'!C32="","",'Nhập liệu'!C32)</f>
        <v/>
      </c>
    </row>
    <row r="30" spans="2:42" ht="13.35" customHeight="1">
      <c r="B30" s="22"/>
      <c r="C30" s="564" t="s">
        <v>1537</v>
      </c>
      <c r="D30" s="23" t="s">
        <v>1544</v>
      </c>
      <c r="F30" s="566" t="str">
        <f ca="1">IF(G30="","","Tháng "&amp;Setup!B13)</f>
        <v/>
      </c>
      <c r="G30" s="23" t="str">
        <f ca="1">IF(Setup!B13=Setup!W28,"Có, ở quẻ tiên thiên.",IF(Setup!B13=Setup!X28,"Có, ở quẻ hậu thiên.",""))</f>
        <v/>
      </c>
      <c r="AP30" s="771" t="str">
        <f>IF('Nhập liệu'!C33="","",'Nhập liệu'!C33)</f>
        <v/>
      </c>
    </row>
    <row r="31" spans="2:42" ht="13.35" customHeight="1">
      <c r="B31" s="22"/>
      <c r="C31" s="564" t="s">
        <v>1538</v>
      </c>
      <c r="D31" s="23" t="s">
        <v>1545</v>
      </c>
      <c r="F31" s="566" t="str">
        <f ca="1">"Hào "&amp;Setup!AA40&amp;Setup!AC40</f>
        <v>Hào 5 dg</v>
      </c>
      <c r="G31" s="23" t="str">
        <f ca="1">Setup!AA42</f>
        <v>Có, hào 2 âm.</v>
      </c>
      <c r="AP31" s="771" t="str">
        <f>IF('Nhập liệu'!C34="","",'Nhập liệu'!C34)</f>
        <v/>
      </c>
    </row>
    <row r="32" spans="2:42" ht="13.35" customHeight="1">
      <c r="B32" s="22"/>
      <c r="C32" s="564" t="s">
        <v>1539</v>
      </c>
      <c r="D32" s="23" t="s">
        <v>613</v>
      </c>
      <c r="E32" s="561"/>
      <c r="F32" s="566" t="str">
        <f ca="1">"TSD: "&amp;Setup!C38&amp;"-"&amp;Setup!D38</f>
        <v>TSD: 25-35</v>
      </c>
      <c r="G32" s="23" t="str">
        <f ca="1">Setup!C39</f>
        <v/>
      </c>
      <c r="AP32" s="771" t="str">
        <f>IF('Nhập liệu'!C35="","",'Nhập liệu'!C35)</f>
        <v/>
      </c>
    </row>
    <row r="33" spans="2:42" ht="13.35" customHeight="1">
      <c r="B33" s="22"/>
      <c r="C33" s="48"/>
      <c r="D33" s="603" t="str">
        <f ca="1">"("&amp;Setup!A38&amp;")"</f>
        <v>(mùa Xuân)</v>
      </c>
      <c r="E33" s="561"/>
      <c r="F33" s="566" t="str">
        <f ca="1">"TSÂ: "&amp;Setup!E38&amp;"-"&amp;Setup!F38</f>
        <v>TSÂ: 30-34</v>
      </c>
      <c r="G33" s="23" t="str">
        <f ca="1">Setup!E39</f>
        <v/>
      </c>
      <c r="AP33" s="771" t="str">
        <f>IF('Nhập liệu'!C36="","",'Nhập liệu'!C36)</f>
        <v/>
      </c>
    </row>
    <row r="34" spans="2:42" ht="13.35" customHeight="1">
      <c r="B34" s="22"/>
      <c r="C34" s="564" t="s">
        <v>1540</v>
      </c>
      <c r="D34" s="23" t="s">
        <v>1546</v>
      </c>
      <c r="F34" s="604" t="s">
        <v>3710</v>
      </c>
      <c r="G34" s="565" t="s">
        <v>1303</v>
      </c>
      <c r="AP34" s="771" t="str">
        <f>IF('Nhập liệu'!C37="","",'Nhập liệu'!C37)</f>
        <v/>
      </c>
    </row>
    <row r="35" spans="2:42" ht="13.35" customHeight="1">
      <c r="B35" s="22"/>
      <c r="C35" s="564" t="s">
        <v>1541</v>
      </c>
      <c r="D35" s="23" t="s">
        <v>1547</v>
      </c>
      <c r="F35" s="566" t="str">
        <f ca="1">Setup!B92&amp;" "&amp;Setup!C92</f>
        <v>Tháng dg</v>
      </c>
      <c r="G35" s="23" t="str">
        <f ca="1">IF(Setup!C92=Setup!C93,"Có, vì "&amp;Setup!B93&amp;" NĐ "&amp;Setup!C93&amp;".","")</f>
        <v>Có, vì hào NĐ dg.</v>
      </c>
      <c r="AP35" s="771" t="str">
        <f>IF('Nhập liệu'!C38="","",'Nhập liệu'!C38)</f>
        <v/>
      </c>
    </row>
    <row r="36" spans="2:42" ht="13.35" customHeight="1">
      <c r="B36" s="22"/>
      <c r="C36" s="564" t="s">
        <v>1542</v>
      </c>
      <c r="D36" s="23" t="s">
        <v>1548</v>
      </c>
      <c r="F36" s="566" t="str">
        <f ca="1">"Tuổi "&amp;Setup!C87</f>
        <v>Tuổi Nhâm</v>
      </c>
      <c r="G36" s="23" t="str">
        <f ca="1">IF(OR(Setup!C88&lt;&gt;"",Setup!C89&lt;&gt;""),"Có"&amp;Setup!C88&amp;Setup!C89&amp;".","")</f>
        <v>Có, quẻ Càn ở tiên thiên.</v>
      </c>
      <c r="AP36" s="771" t="str">
        <f>IF('Nhập liệu'!C39="","",'Nhập liệu'!C39)</f>
        <v/>
      </c>
    </row>
    <row r="37" spans="2:42" ht="13.35" customHeight="1">
      <c r="B37" s="22"/>
      <c r="C37" s="564" t="s">
        <v>1543</v>
      </c>
      <c r="D37" s="23" t="s">
        <v>2574</v>
      </c>
      <c r="F37" s="566" t="str">
        <f ca="1">IF(OR(Setup!C77&lt;&gt;"",Setup!C84&lt;&gt;""),Setup!B77,IF(OR(Setup!C78&lt;&gt;"",Setup!C85&lt;&gt;""),Setup!B78,""))</f>
        <v/>
      </c>
      <c r="G37" s="24" t="str">
        <f ca="1">IF(Setup!C77&lt;&gt;"",Setup!B68&amp;Setup!C77,IF(Setup!C84&lt;&gt;"",Setup!B80&amp;Setup!C84,IF(AND(Setup!C77="",Setup!C84="",Setup!C78&lt;&gt;""),Setup!B68&amp;Setup!C78,IF(AND(Setup!C77="",Setup!C84="",Setup!C85&lt;&gt;""),Setup!B80&amp;Setup!C85,""))))</f>
        <v/>
      </c>
      <c r="AP37" s="771" t="str">
        <f>IF('Nhập liệu'!C40="","",'Nhập liệu'!C40)</f>
        <v/>
      </c>
    </row>
    <row r="38" spans="2:42" ht="13.35" customHeight="1">
      <c r="B38" s="22"/>
      <c r="C38" s="48"/>
      <c r="F38" s="566" t="str">
        <f ca="1">IF(AND(G37&lt;&gt;"",OR(Setup!C77&lt;&gt;"",Setup!C84&lt;&gt;""),OR(Setup!C78&lt;&gt;"",Setup!C85&lt;&gt;"")),Setup!B78,"")</f>
        <v/>
      </c>
      <c r="G38" s="24" t="str">
        <f ca="1">IF(AND(F38&lt;&gt;"",Setup!C78&lt;&gt;""),Setup!B68&amp;Setup!C78,IF(AND(F38&lt;&gt;"",Setup!C85&lt;&gt;""),Setup!B80&amp;Setup!C85,""))</f>
        <v/>
      </c>
      <c r="AP38" s="771" t="str">
        <f>IF('Nhập liệu'!C41="","",'Nhập liệu'!C41)</f>
        <v/>
      </c>
    </row>
    <row r="39" spans="2:42" ht="13.35" customHeight="1">
      <c r="C39" s="690" t="s">
        <v>1305</v>
      </c>
      <c r="AP39" s="771" t="str">
        <f>IF('Nhập liệu'!C42="","",'Nhập liệu'!C42)</f>
        <v/>
      </c>
    </row>
    <row r="40" spans="2:42" ht="13.35" customHeight="1">
      <c r="C40" s="688" t="s">
        <v>9012</v>
      </c>
      <c r="AP40" s="771" t="str">
        <f>IF('Nhập liệu'!C43="","",'Nhập liệu'!C43)</f>
        <v/>
      </c>
    </row>
    <row r="41" spans="2:42" ht="13.35" customHeight="1">
      <c r="D41" s="23"/>
      <c r="AP41" s="771" t="str">
        <f>IF('Nhập liệu'!C44="","",'Nhập liệu'!C44)</f>
        <v/>
      </c>
    </row>
    <row r="42" spans="2:42" ht="13.35" customHeight="1">
      <c r="AP42" s="771" t="str">
        <f>IF('Nhập liệu'!C45="","",'Nhập liệu'!C45)</f>
        <v/>
      </c>
    </row>
    <row r="43" spans="2:42" ht="13.35" customHeight="1">
      <c r="AP43" s="771" t="str">
        <f>IF('Nhập liệu'!C46="","",'Nhập liệu'!C46)</f>
        <v/>
      </c>
    </row>
    <row r="44" spans="2:42" ht="13.35" customHeight="1">
      <c r="AP44" s="771" t="str">
        <f>IF('Nhập liệu'!C47="","",'Nhập liệu'!C47)</f>
        <v/>
      </c>
    </row>
    <row r="45" spans="2:42" ht="13.35" customHeight="1">
      <c r="AP45" s="771" t="str">
        <f>IF('Nhập liệu'!C48="","",'Nhập liệu'!C48)</f>
        <v/>
      </c>
    </row>
    <row r="46" spans="2:42" ht="13.35" customHeight="1">
      <c r="AP46" s="771" t="str">
        <f>IF('Nhập liệu'!C49="","",'Nhập liệu'!C49)</f>
        <v/>
      </c>
    </row>
    <row r="47" spans="2:42" ht="13.35" customHeight="1">
      <c r="AP47" s="771" t="str">
        <f>IF('Nhập liệu'!C50="","",'Nhập liệu'!C50)</f>
        <v/>
      </c>
    </row>
    <row r="48" spans="2:42" ht="13.35" customHeight="1">
      <c r="AP48" s="771" t="str">
        <f>IF('Nhập liệu'!C51="","",'Nhập liệu'!C51)</f>
        <v/>
      </c>
    </row>
    <row r="49" spans="42:42" ht="13.35" customHeight="1">
      <c r="AP49" s="771" t="str">
        <f>IF('Nhập liệu'!C52="","",'Nhập liệu'!C52)</f>
        <v/>
      </c>
    </row>
    <row r="50" spans="42:42" ht="13.35" customHeight="1">
      <c r="AP50" s="771" t="str">
        <f>IF('Nhập liệu'!C53="","",'Nhập liệu'!C53)</f>
        <v/>
      </c>
    </row>
    <row r="51" spans="42:42" ht="13.35" customHeight="1">
      <c r="AP51" s="771" t="str">
        <f>IF('Nhập liệu'!C54="","",'Nhập liệu'!C54)</f>
        <v/>
      </c>
    </row>
    <row r="52" spans="42:42" ht="13.35" customHeight="1">
      <c r="AP52" s="771" t="str">
        <f>IF('Nhập liệu'!C55="","",'Nhập liệu'!C55)</f>
        <v/>
      </c>
    </row>
    <row r="53" spans="42:42" ht="13.35" customHeight="1">
      <c r="AP53" s="771" t="str">
        <f>IF('Nhập liệu'!C56="","",'Nhập liệu'!C56)</f>
        <v/>
      </c>
    </row>
    <row r="54" spans="42:42" ht="13.35" customHeight="1">
      <c r="AP54" s="771" t="str">
        <f>IF('Nhập liệu'!C57="","",'Nhập liệu'!C57)</f>
        <v/>
      </c>
    </row>
    <row r="55" spans="42:42" ht="13.35" customHeight="1">
      <c r="AP55" s="771" t="str">
        <f>IF('Nhập liệu'!C58="","",'Nhập liệu'!C58)</f>
        <v/>
      </c>
    </row>
    <row r="56" spans="42:42" ht="13.35" customHeight="1">
      <c r="AP56" s="771" t="str">
        <f>IF('Nhập liệu'!C59="","",'Nhập liệu'!C59)</f>
        <v/>
      </c>
    </row>
    <row r="57" spans="42:42" ht="13.35" customHeight="1">
      <c r="AP57" s="771" t="str">
        <f>IF('Nhập liệu'!C60="","",'Nhập liệu'!C60)</f>
        <v/>
      </c>
    </row>
    <row r="58" spans="42:42" ht="13.35" customHeight="1">
      <c r="AP58" s="771" t="str">
        <f>IF('Nhập liệu'!C61="","",'Nhập liệu'!C61)</f>
        <v/>
      </c>
    </row>
    <row r="59" spans="42:42" ht="13.35" customHeight="1">
      <c r="AP59" s="771" t="str">
        <f>IF('Nhập liệu'!C62="","",'Nhập liệu'!C62)</f>
        <v/>
      </c>
    </row>
    <row r="60" spans="42:42" ht="13.35" customHeight="1">
      <c r="AP60" s="771" t="str">
        <f>IF('Nhập liệu'!C63="","",'Nhập liệu'!C63)</f>
        <v/>
      </c>
    </row>
    <row r="61" spans="42:42" ht="13.35" customHeight="1">
      <c r="AP61" s="771" t="str">
        <f>IF('Nhập liệu'!C64="","",'Nhập liệu'!C64)</f>
        <v/>
      </c>
    </row>
    <row r="62" spans="42:42" ht="13.35" customHeight="1">
      <c r="AP62" s="771" t="str">
        <f>IF('Nhập liệu'!C65="","",'Nhập liệu'!C65)</f>
        <v/>
      </c>
    </row>
    <row r="63" spans="42:42" ht="13.35" customHeight="1">
      <c r="AP63" s="771" t="str">
        <f>IF('Nhập liệu'!C66="","",'Nhập liệu'!C66)</f>
        <v/>
      </c>
    </row>
    <row r="64" spans="42:42" ht="13.35" customHeight="1">
      <c r="AP64" s="771" t="str">
        <f>IF('Nhập liệu'!C67="","",'Nhập liệu'!C67)</f>
        <v/>
      </c>
    </row>
    <row r="65" spans="42:42" ht="13.35" customHeight="1">
      <c r="AP65" s="771" t="str">
        <f>IF('Nhập liệu'!C68="","",'Nhập liệu'!C68)</f>
        <v/>
      </c>
    </row>
    <row r="66" spans="42:42" ht="13.35" customHeight="1">
      <c r="AP66" s="771" t="str">
        <f>IF('Nhập liệu'!C69="","",'Nhập liệu'!C69)</f>
        <v/>
      </c>
    </row>
    <row r="67" spans="42:42" ht="13.35" customHeight="1">
      <c r="AP67" s="771" t="str">
        <f>IF('Nhập liệu'!C70="","",'Nhập liệu'!C70)</f>
        <v/>
      </c>
    </row>
    <row r="68" spans="42:42" ht="13.35" customHeight="1">
      <c r="AP68" s="771" t="str">
        <f>IF('Nhập liệu'!C71="","",'Nhập liệu'!C71)</f>
        <v/>
      </c>
    </row>
    <row r="69" spans="42:42" ht="13.35" customHeight="1">
      <c r="AP69" s="771" t="str">
        <f>IF('Nhập liệu'!C72="","",'Nhập liệu'!C72)</f>
        <v/>
      </c>
    </row>
    <row r="70" spans="42:42" ht="13.35" customHeight="1">
      <c r="AP70" s="771" t="str">
        <f>IF('Nhập liệu'!C73="","",'Nhập liệu'!C73)</f>
        <v/>
      </c>
    </row>
    <row r="71" spans="42:42" ht="13.35" customHeight="1">
      <c r="AP71" s="771" t="str">
        <f>IF('Nhập liệu'!C74="","",'Nhập liệu'!C74)</f>
        <v/>
      </c>
    </row>
    <row r="72" spans="42:42" ht="13.35" customHeight="1">
      <c r="AP72" s="771" t="str">
        <f>IF('Nhập liệu'!C75="","",'Nhập liệu'!C75)</f>
        <v/>
      </c>
    </row>
    <row r="73" spans="42:42" ht="13.35" customHeight="1">
      <c r="AP73" s="771" t="str">
        <f>IF('Nhập liệu'!C76="","",'Nhập liệu'!C76)</f>
        <v/>
      </c>
    </row>
    <row r="74" spans="42:42" ht="13.35" customHeight="1">
      <c r="AP74" s="771" t="str">
        <f>IF('Nhập liệu'!C77="","",'Nhập liệu'!C77)</f>
        <v/>
      </c>
    </row>
    <row r="75" spans="42:42" ht="13.35" customHeight="1">
      <c r="AP75" s="771" t="str">
        <f>IF('Nhập liệu'!C78="","",'Nhập liệu'!C78)</f>
        <v/>
      </c>
    </row>
    <row r="76" spans="42:42" ht="13.35" customHeight="1">
      <c r="AP76" s="771" t="str">
        <f>IF('Nhập liệu'!C79="","",'Nhập liệu'!C79)</f>
        <v/>
      </c>
    </row>
    <row r="77" spans="42:42" ht="13.35" customHeight="1">
      <c r="AP77" s="771" t="str">
        <f>IF('Nhập liệu'!C80="","",'Nhập liệu'!C80)</f>
        <v/>
      </c>
    </row>
    <row r="78" spans="42:42" ht="13.35" customHeight="1">
      <c r="AP78" s="771" t="str">
        <f>IF('Nhập liệu'!C81="","",'Nhập liệu'!C81)</f>
        <v/>
      </c>
    </row>
    <row r="79" spans="42:42" ht="13.35" customHeight="1">
      <c r="AP79" s="771" t="str">
        <f>IF('Nhập liệu'!C82="","",'Nhập liệu'!C82)</f>
        <v/>
      </c>
    </row>
    <row r="80" spans="42:42" ht="13.35" customHeight="1">
      <c r="AP80" s="771" t="str">
        <f>IF('Nhập liệu'!C83="","",'Nhập liệu'!C83)</f>
        <v/>
      </c>
    </row>
    <row r="81" spans="42:42" ht="13.35" customHeight="1">
      <c r="AP81" s="771" t="str">
        <f>IF('Nhập liệu'!C84="","",'Nhập liệu'!C84)</f>
        <v/>
      </c>
    </row>
    <row r="82" spans="42:42" ht="13.35" customHeight="1">
      <c r="AP82" s="771" t="str">
        <f>IF('Nhập liệu'!C85="","",'Nhập liệu'!C85)</f>
        <v/>
      </c>
    </row>
    <row r="83" spans="42:42" ht="13.35" customHeight="1">
      <c r="AP83" s="771" t="str">
        <f>IF('Nhập liệu'!C86="","",'Nhập liệu'!C86)</f>
        <v/>
      </c>
    </row>
    <row r="84" spans="42:42" ht="13.35" customHeight="1">
      <c r="AP84" s="771" t="str">
        <f>IF('Nhập liệu'!C87="","",'Nhập liệu'!C87)</f>
        <v/>
      </c>
    </row>
    <row r="85" spans="42:42" ht="13.35" customHeight="1">
      <c r="AP85" s="771" t="str">
        <f>IF('Nhập liệu'!C88="","",'Nhập liệu'!C88)</f>
        <v/>
      </c>
    </row>
    <row r="86" spans="42:42" ht="13.35" customHeight="1">
      <c r="AP86" s="771" t="str">
        <f>IF('Nhập liệu'!C89="","",'Nhập liệu'!C89)</f>
        <v/>
      </c>
    </row>
    <row r="87" spans="42:42" ht="13.35" customHeight="1">
      <c r="AP87" s="771" t="str">
        <f>IF('Nhập liệu'!C90="","",'Nhập liệu'!C90)</f>
        <v/>
      </c>
    </row>
    <row r="88" spans="42:42" ht="13.35" customHeight="1">
      <c r="AP88" s="771" t="str">
        <f>IF('Nhập liệu'!C91="","",'Nhập liệu'!C91)</f>
        <v/>
      </c>
    </row>
    <row r="89" spans="42:42" ht="13.35" customHeight="1">
      <c r="AP89" s="771" t="str">
        <f>IF('Nhập liệu'!C92="","",'Nhập liệu'!C92)</f>
        <v/>
      </c>
    </row>
    <row r="90" spans="42:42" ht="13.35" customHeight="1">
      <c r="AP90" s="771" t="str">
        <f>IF('Nhập liệu'!C93="","",'Nhập liệu'!C93)</f>
        <v/>
      </c>
    </row>
    <row r="91" spans="42:42" ht="13.35" customHeight="1">
      <c r="AP91" s="771" t="str">
        <f>IF('Nhập liệu'!C94="","",'Nhập liệu'!C94)</f>
        <v/>
      </c>
    </row>
    <row r="92" spans="42:42" ht="13.35" customHeight="1">
      <c r="AP92" s="771" t="str">
        <f>IF('Nhập liệu'!C95="","",'Nhập liệu'!C95)</f>
        <v/>
      </c>
    </row>
    <row r="93" spans="42:42" ht="13.35" customHeight="1">
      <c r="AP93" s="771" t="str">
        <f>IF('Nhập liệu'!C96="","",'Nhập liệu'!C96)</f>
        <v/>
      </c>
    </row>
    <row r="94" spans="42:42" ht="13.35" customHeight="1">
      <c r="AP94" s="771" t="str">
        <f>IF('Nhập liệu'!C97="","",'Nhập liệu'!C97)</f>
        <v/>
      </c>
    </row>
    <row r="95" spans="42:42" ht="13.35" customHeight="1">
      <c r="AP95" s="771" t="str">
        <f>IF('Nhập liệu'!C98="","",'Nhập liệu'!C98)</f>
        <v/>
      </c>
    </row>
    <row r="96" spans="42:42" ht="13.35" customHeight="1">
      <c r="AP96" s="771" t="str">
        <f>IF('Nhập liệu'!C99="","",'Nhập liệu'!C99)</f>
        <v/>
      </c>
    </row>
    <row r="97" spans="42:42" ht="13.35" customHeight="1">
      <c r="AP97" s="771" t="str">
        <f>IF('Nhập liệu'!C100="","",'Nhập liệu'!C100)</f>
        <v/>
      </c>
    </row>
    <row r="98" spans="42:42" ht="13.35" customHeight="1">
      <c r="AP98" s="771" t="str">
        <f>IF('Nhập liệu'!C101="","",'Nhập liệu'!C101)</f>
        <v/>
      </c>
    </row>
    <row r="99" spans="42:42" ht="13.35" customHeight="1">
      <c r="AP99" s="771" t="str">
        <f>IF('Nhập liệu'!C102="","",'Nhập liệu'!C102)</f>
        <v/>
      </c>
    </row>
    <row r="100" spans="42:42" ht="13.35" customHeight="1">
      <c r="AP100" s="771" t="str">
        <f>IF('Nhập liệu'!C103="","",'Nhập liệu'!C103)</f>
        <v/>
      </c>
    </row>
    <row r="101" spans="42:42" ht="13.35" customHeight="1">
      <c r="AP101" s="771" t="str">
        <f>IF('Nhập liệu'!C104="","",'Nhập liệu'!C104)</f>
        <v/>
      </c>
    </row>
    <row r="102" spans="42:42" ht="13.35" customHeight="1">
      <c r="AP102" s="771" t="str">
        <f>IF('Nhập liệu'!C105="","",'Nhập liệu'!C105)</f>
        <v/>
      </c>
    </row>
  </sheetData>
  <sheetProtection password="C623" sheet="1" objects="1" scenarios="1"/>
  <mergeCells count="1">
    <mergeCell ref="D3:H3"/>
  </mergeCells>
  <phoneticPr fontId="3" type="noConversion"/>
  <dataValidations xWindow="577" yWindow="160" count="1">
    <dataValidation type="list" showInputMessage="1" showErrorMessage="1" sqref="D3" xr:uid="{F85714D8-BBE4-4DF6-8230-7D845106A5C8}">
      <formula1>$AP$2:$AP$101</formula1>
    </dataValidation>
  </dataValidations>
  <pageMargins left="1" right="0.5" top="0.5" bottom="0.5" header="0.25" footer="0.2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1099-0A21-4240-A670-B8A12278736D}">
  <sheetPr codeName="Sheet1"/>
  <dimension ref="A1:AC148"/>
  <sheetViews>
    <sheetView showGridLines="0" showRowColHeaders="0" workbookViewId="0">
      <pane ySplit="1" topLeftCell="A2" activePane="bottomLeft" state="frozen"/>
      <selection pane="bottomLeft" activeCell="K84" sqref="K84"/>
    </sheetView>
  </sheetViews>
  <sheetFormatPr defaultRowHeight="12.6" customHeight="1"/>
  <cols>
    <col min="1" max="1" width="4.140625" style="48" customWidth="1"/>
    <col min="2" max="2" width="1.28515625" style="48" customWidth="1"/>
    <col min="3" max="3" width="5.42578125" style="254" customWidth="1"/>
    <col min="4" max="4" width="1.42578125" style="33" customWidth="1"/>
    <col min="5" max="5" width="3.42578125" style="48" customWidth="1"/>
    <col min="6" max="6" width="1.7109375" style="48" customWidth="1"/>
    <col min="7" max="7" width="1.7109375" style="238" customWidth="1"/>
    <col min="8" max="8" width="2.28515625" style="238" customWidth="1"/>
    <col min="9" max="9" width="3.7109375" style="238" customWidth="1"/>
    <col min="10" max="11" width="9.140625" style="238"/>
    <col min="12" max="12" width="9.140625" style="255"/>
    <col min="13" max="13" width="3.7109375" style="238" customWidth="1"/>
    <col min="14" max="16" width="9.140625" style="238"/>
    <col min="17" max="16384" width="9.140625" style="48"/>
  </cols>
  <sheetData>
    <row r="1" spans="1:29" ht="18">
      <c r="B1" s="229"/>
      <c r="C1" s="229"/>
      <c r="D1" s="229"/>
      <c r="E1" s="229"/>
      <c r="F1" s="229"/>
      <c r="G1" s="229"/>
      <c r="H1" s="229"/>
      <c r="I1" s="229"/>
      <c r="J1" s="229"/>
      <c r="K1" s="229"/>
      <c r="L1" s="229"/>
      <c r="M1" s="229"/>
      <c r="N1" s="229"/>
      <c r="O1" s="229"/>
      <c r="P1" s="229"/>
      <c r="Q1" s="229"/>
      <c r="R1" s="229"/>
      <c r="S1" s="755" t="str">
        <f>"12 Đại vận - "&amp;'Thể cách'!D3</f>
        <v>12 Đại vận - Lá số</v>
      </c>
    </row>
    <row r="2" spans="1:29" ht="15.75">
      <c r="A2" s="762" t="s">
        <v>1306</v>
      </c>
      <c r="B2" s="762"/>
      <c r="C2" s="762"/>
      <c r="D2" s="762"/>
      <c r="E2" s="761" t="str">
        <f ca="1">"Từ "&amp;VLOOKUP(1,Setup!AK4:AO15,2,0)&amp;" tuổi đến "&amp;VLOOKUP(6,Setup!AK4:AO15,4,0)&amp;" tuổi"</f>
        <v>Từ 1 tuổi đến 45 tuổi</v>
      </c>
      <c r="F2" s="761"/>
      <c r="G2" s="761"/>
      <c r="H2" s="761"/>
      <c r="I2" s="761"/>
      <c r="J2" s="761"/>
      <c r="K2" s="756" t="str">
        <f ca="1">"Từ năm "&amp;Setup!B15&amp;" đến năm "&amp;(Setup!B15-1+VLOOKUP(6,Setup!AK4:AO15,4,0))</f>
        <v>Từ năm 2002 đến năm 2046</v>
      </c>
      <c r="L2" s="756"/>
      <c r="M2" s="756"/>
      <c r="N2" s="756"/>
      <c r="O2" s="753"/>
      <c r="P2" s="754"/>
      <c r="Q2" s="754"/>
      <c r="R2" s="754"/>
      <c r="S2" s="754"/>
    </row>
    <row r="3" spans="1:29" ht="12.6" customHeight="1">
      <c r="F3" s="233"/>
      <c r="G3" s="333" t="str">
        <f ca="1">HLOOKUP(C13,'384Hào'!C3:BN74,2,0)</f>
        <v>Bĩ là tắc (Bế tắc, mắc kẹt). Được quẻ, 3 hào trên là đạo quân tử thì tốt, 3 hào dưới là đạo tiểu nhân thì xấu.</v>
      </c>
      <c r="H3" s="343"/>
      <c r="I3" s="343"/>
      <c r="J3" s="410"/>
      <c r="L3" s="238"/>
    </row>
    <row r="4" spans="1:29" ht="12.6" customHeight="1">
      <c r="C4" s="260" t="str">
        <f ca="1">IF(AND(Setup!B26&gt;=Setup!B15-1+VLOOKUP(1,Setup!AK4:AO15,2,0),Setup!B26&lt;=Setup!B15-1+VLOOKUP(1,Setup!AK4:AO15,4,0)),"Đương vận","")</f>
        <v/>
      </c>
      <c r="F4" s="233"/>
      <c r="G4" s="340"/>
      <c r="H4" s="342"/>
      <c r="I4" s="343"/>
      <c r="J4" s="359"/>
      <c r="L4" s="359" t="str">
        <f ca="1">HLOOKUP(C13,'384Hào'!C3:BN74,3,0)</f>
        <v>Có lộc mà cũng không màng lộc,</v>
      </c>
      <c r="N4" s="231" t="str">
        <f ca="1">HLOOKUP(C13,'384Hào'!C3:BN74,5,0)</f>
        <v xml:space="preserve">          Chí người quân tử bền sao, </v>
      </c>
    </row>
    <row r="5" spans="1:29" ht="12.6" customHeight="1">
      <c r="C5" s="258" t="str">
        <f ca="1">Setup!B15&amp;"-"&amp;(Setup!B15-1+VLOOKUP(1,Setup!AK4:AO15,4,0))</f>
        <v>2002-2010</v>
      </c>
      <c r="F5" s="233"/>
      <c r="G5" s="340"/>
      <c r="H5" s="340"/>
      <c r="I5" s="343"/>
      <c r="J5" s="359"/>
      <c r="L5" s="359" t="str">
        <f ca="1">HLOOKUP(C13,'384Hào'!C3:BN74,4,0)</f>
        <v xml:space="preserve">Vị tuy cao chẳng lấy làm cao,     </v>
      </c>
      <c r="N5" s="231" t="str">
        <f ca="1">HLOOKUP(C13,'384Hào'!C3:BN74,6,0)</f>
        <v>Tiến lên đĩnh đạc anh hào thanh danh.</v>
      </c>
    </row>
    <row r="6" spans="1:29" ht="12.6" customHeight="1">
      <c r="C6" s="227" t="str">
        <f ca="1">VLOOKUP(1,Setup!AK4:AO15,2,0)&amp;"-"&amp;VLOOKUP(1,Setup!AK4:AO15,4,0)&amp;" Tuổi"</f>
        <v>1-9 Tuổi</v>
      </c>
      <c r="F6" s="233"/>
      <c r="G6" s="334" t="str">
        <f ca="1">HLOOKUP(C13,'384Hào'!C3:BN74,62-(VLOOKUP(1,Setup!AK4:AO15,5,0)-1)*11,0)</f>
        <v>Thôi hết bĩ, đại nhân tốt. Nhưng lo mất lo mất (phải giữ vững như) ràng buộc vào ngùm rễ dâu.</v>
      </c>
      <c r="H6" s="337"/>
      <c r="I6" s="336"/>
      <c r="J6" s="359"/>
      <c r="L6" s="359"/>
      <c r="AC6" s="251"/>
    </row>
    <row r="7" spans="1:29" ht="12.6" customHeight="1">
      <c r="B7" s="347" t="str">
        <f ca="1">IF(VLOOKUP(1,Setup!AK4:AO15,5,0)=6,"*","")</f>
        <v/>
      </c>
      <c r="C7" s="216" t="str">
        <f ca="1">HLOOKUP(C13,'64Quẻ'!B5:DX11,2,0)</f>
        <v>———</v>
      </c>
      <c r="D7" s="358" t="str">
        <f ca="1">IF(C13="","",HLOOKUP(C13&amp;1,'64Quẻ'!B5:DY11,2,0))</f>
        <v>N.Tuất</v>
      </c>
      <c r="E7" s="278"/>
      <c r="F7" s="233"/>
      <c r="G7" s="335" t="str">
        <f ca="1">HLOOKUP(C13,'384Hào'!C3:BN74,63-(VLOOKUP(1,Setup!AK4:AO15,5,0)-1)*11,0)</f>
        <v>Ý HÀO: Làm sáng tỏ con người của Hòa bình, để biết cái thuật giữ nghiệp lớn.</v>
      </c>
      <c r="H7" s="340"/>
      <c r="I7" s="336"/>
      <c r="J7" s="359"/>
      <c r="L7" s="359"/>
      <c r="AC7" s="251"/>
    </row>
    <row r="8" spans="1:29" ht="12.6" customHeight="1">
      <c r="B8" s="280" t="str">
        <f ca="1">IF(VLOOKUP(1,Setup!AK4:AO15,5,0)=5,"*","")</f>
        <v>*</v>
      </c>
      <c r="C8" s="216" t="str">
        <f ca="1">HLOOKUP(C13,'64Quẻ'!B5:DX11,3,0)</f>
        <v>———</v>
      </c>
      <c r="D8" s="358" t="str">
        <f ca="1">IF(C13="","",HLOOKUP(C13&amp;1,'64Quẻ'!B5:DY11,3,0))</f>
        <v>N.Thân</v>
      </c>
      <c r="E8" s="278"/>
      <c r="F8" s="233"/>
      <c r="G8" s="337"/>
      <c r="H8" s="224" t="str">
        <f ca="1">HLOOKUP(C13,'384Hào'!C3:BN74,64-(VLOOKUP(1,Setup!AK4:AO15,5,0)-1)*11,0)</f>
        <v>MHC: Có đức lớn, công bằng, cẩn thận, xét nét, không bỏ cơ hội, phú quý bền được.</v>
      </c>
      <c r="I8" s="336"/>
      <c r="J8" s="364"/>
      <c r="L8" s="364"/>
      <c r="AC8" s="251"/>
    </row>
    <row r="9" spans="1:29" ht="12.6" customHeight="1">
      <c r="B9" s="280" t="str">
        <f ca="1">IF(VLOOKUP(1,Setup!AK4:AO15,5,0)=4,"*","")</f>
        <v/>
      </c>
      <c r="C9" s="216" t="str">
        <f ca="1">HLOOKUP(C13,'64Quẻ'!B5:DX11,4,0)</f>
        <v>———</v>
      </c>
      <c r="D9" s="358" t="str">
        <f ca="1">IF(C13="","",HLOOKUP(C13&amp;1,'64Quẻ'!B5:DY11,4,0))</f>
        <v>N.Ngọ</v>
      </c>
      <c r="E9" s="278"/>
      <c r="F9" s="233"/>
      <c r="G9" s="337"/>
      <c r="H9" s="338" t="str">
        <f ca="1">HLOOKUP(C13,'384Hào'!C3:BN74,65-(VLOOKUP(1,Setup!AK4:AO15,5,0)-1)*11,0)</f>
        <v>MKH: Có tài đức, không gặp thời, bình sinh an vui, chẳng vinh, chẳng nhục.</v>
      </c>
      <c r="I9" s="336"/>
      <c r="J9" s="359"/>
      <c r="L9" s="359"/>
      <c r="AC9" s="251"/>
    </row>
    <row r="10" spans="1:29" ht="12.6" customHeight="1">
      <c r="B10" s="280" t="str">
        <f ca="1">IF(VLOOKUP(1,Setup!AK4:AO15,5,0)=3,"*","")</f>
        <v/>
      </c>
      <c r="C10" s="278" t="str">
        <f ca="1">HLOOKUP(C13,'64Quẻ'!B5:DX11,5,0)</f>
        <v>—   —</v>
      </c>
      <c r="D10" s="358" t="str">
        <f ca="1">IF(C13="","",HLOOKUP(C13&amp;1,'64Quẻ'!B5:DY11,5,0))</f>
        <v>Ấ.Mão</v>
      </c>
      <c r="E10" s="278"/>
      <c r="F10" s="233"/>
      <c r="G10" s="337"/>
      <c r="H10" s="340"/>
      <c r="I10" s="224" t="str">
        <f ca="1">HLOOKUP(C13,'384Hào'!C3:BN74,66-(VLOOKUP(1,Setup!AK4:AO15,5,0)-1)*11,0)</f>
        <v>QC: Ngồi chính vị.</v>
      </c>
      <c r="J10" s="359"/>
      <c r="L10" s="359"/>
      <c r="AC10" s="251"/>
    </row>
    <row r="11" spans="1:29" ht="12.6" customHeight="1">
      <c r="B11" s="280" t="str">
        <f ca="1">IF(VLOOKUP(1,Setup!AK4:AO15,5,0)=2,"*","")</f>
        <v/>
      </c>
      <c r="C11" s="278" t="str">
        <f ca="1">HLOOKUP(C13,'64Quẻ'!B5:DX11,6,0)</f>
        <v>—   —</v>
      </c>
      <c r="D11" s="358" t="str">
        <f ca="1">IF(C13="","",HLOOKUP(C13&amp;1,'64Quẻ'!B5:DY11,6,0))</f>
        <v>Ấ.Tỵ</v>
      </c>
      <c r="E11" s="278"/>
      <c r="F11" s="233"/>
      <c r="G11" s="337"/>
      <c r="H11" s="340"/>
      <c r="I11" s="224" t="str">
        <f ca="1">HLOOKUP(C13,'384Hào'!C3:BN74,67-(VLOOKUP(1,Setup!AK4:AO15,5,0)-1)*11,0)</f>
        <v>GS: Họa đi phúc sắp lại, kẻ thù lui dần. Lo hóa mừng, mất thành được.</v>
      </c>
      <c r="J11" s="359"/>
      <c r="L11" s="359"/>
      <c r="AC11" s="251"/>
    </row>
    <row r="12" spans="1:29" ht="12.6" customHeight="1">
      <c r="B12" s="280" t="str">
        <f ca="1">IF(VLOOKUP(1,Setup!AK4:AO15,5,0)=1,"*","")</f>
        <v/>
      </c>
      <c r="C12" s="278" t="str">
        <f ca="1">HLOOKUP(C13,'64Quẻ'!B5:DX11,7,0)</f>
        <v>—   —</v>
      </c>
      <c r="D12" s="358" t="str">
        <f ca="1">IF(C13="","",HLOOKUP(C13&amp;1,'64Quẻ'!B5:DY11,7,0))</f>
        <v>Ấ.Mùi</v>
      </c>
      <c r="E12" s="278"/>
      <c r="F12" s="233"/>
      <c r="G12" s="337"/>
      <c r="H12" s="340"/>
      <c r="I12" s="224" t="str">
        <f ca="1">HLOOKUP(C13,'384Hào'!C3:BN74,68-(VLOOKUP(1,Setup!AK4:AO15,5,0)-1)*11,0)</f>
        <v>NT: Họa đi phúc sắp lại, kẻ thù lùi dần. Ruộng vườn thâu hoạch. Lo hóa mừng, mất thành được. Số xấu tổn vong hình khắc.</v>
      </c>
      <c r="J12" s="359"/>
      <c r="L12" s="359"/>
      <c r="AC12" s="251"/>
    </row>
    <row r="13" spans="1:29" ht="12.6" customHeight="1">
      <c r="C13" s="259" t="str">
        <f ca="1">'Thể cách'!M10</f>
        <v>Bĩ</v>
      </c>
      <c r="D13" s="280"/>
      <c r="E13" s="278"/>
      <c r="F13" s="233"/>
      <c r="G13" s="337"/>
      <c r="H13" s="337"/>
      <c r="I13" s="336"/>
      <c r="J13" s="359"/>
      <c r="L13" s="359" t="str">
        <f ca="1">HLOOKUP(C13,'384Hào'!C3:BN74,69-(VLOOKUP(1,Setup!AK4:AO15,5,0)-1)*11,0)</f>
        <v xml:space="preserve">Thời đại thịnh, sắp tới nơi          </v>
      </c>
      <c r="N13" s="231" t="str">
        <f ca="1">HLOOKUP(C13,'384Hào'!C3:BN74,71-(VLOOKUP(1,Setup!AK4:AO15,5,0)-1)*11,0)</f>
        <v/>
      </c>
      <c r="AC13" s="251"/>
    </row>
    <row r="14" spans="1:29" ht="12.6" customHeight="1">
      <c r="A14" s="253"/>
      <c r="C14" s="395">
        <f ca="1">IF(C13="","",HLOOKUP(C13,'64Quẻ'!B5:DX25,21,0))</f>
        <v>7</v>
      </c>
      <c r="D14" s="280"/>
      <c r="E14" s="278"/>
      <c r="F14" s="233"/>
      <c r="G14" s="337"/>
      <c r="H14" s="337"/>
      <c r="I14" s="336"/>
      <c r="J14" s="359"/>
      <c r="L14" s="359" t="str">
        <f ca="1">HLOOKUP(C13,'384Hào'!C3:BN74,70-(VLOOKUP(1,Setup!AK4:AO15,5,0)-1)*11,0)</f>
        <v>Nhưng đừng hờ hững, lỡ rồi xảy nguy.</v>
      </c>
      <c r="N14" s="354" t="str">
        <f ca="1">HLOOKUP(C13,'384Hào'!C3:BN74,72-(VLOOKUP(1,Setup!AK4:AO15,5,0)-1)*11,0)</f>
        <v/>
      </c>
      <c r="AC14" s="251"/>
    </row>
    <row r="15" spans="1:29" ht="12.6" customHeight="1">
      <c r="A15" s="250"/>
      <c r="B15" s="250"/>
      <c r="C15" s="239"/>
      <c r="D15" s="346"/>
      <c r="E15" s="250"/>
      <c r="F15" s="232"/>
      <c r="G15" s="339" t="str">
        <f ca="1">HLOOKUP(C25,'384Hào'!C3:BN74,2,0)</f>
        <v>Bĩ là tắc (Bế tắc, mắc kẹt). Được quẻ, 3 hào trên là đạo quân tử thì tốt, 3 hào dưới là đạo tiểu nhân thì xấu.</v>
      </c>
      <c r="H15" s="341"/>
      <c r="I15" s="341"/>
      <c r="J15" s="365"/>
      <c r="K15" s="249"/>
      <c r="L15" s="365"/>
      <c r="M15" s="249"/>
      <c r="N15" s="249"/>
      <c r="O15" s="249"/>
      <c r="P15" s="249"/>
      <c r="Q15" s="250"/>
      <c r="R15" s="250"/>
      <c r="S15" s="250"/>
    </row>
    <row r="16" spans="1:29" ht="12.6" customHeight="1">
      <c r="C16" s="260" t="str">
        <f ca="1">IF(AND(Setup!B26&gt;=Setup!B15-1+VLOOKUP(2,Setup!AK4:AO15,2,0),Setup!B26&lt;=Setup!B15-1+VLOOKUP(2,Setup!AK4:AO15,4,0)),"Đương vận","")</f>
        <v/>
      </c>
      <c r="F16" s="233"/>
      <c r="G16" s="340"/>
      <c r="H16" s="342"/>
      <c r="I16" s="343"/>
      <c r="J16" s="359"/>
      <c r="L16" s="359" t="str">
        <f ca="1">HLOOKUP(C25,'384Hào'!C3:BN74,3,0)</f>
        <v>Có lộc mà cũng không màng lộc,</v>
      </c>
      <c r="N16" s="231" t="str">
        <f ca="1">HLOOKUP(C25,'384Hào'!C3:BN74,5,0)</f>
        <v xml:space="preserve">          Chí người quân tử bền sao, </v>
      </c>
    </row>
    <row r="17" spans="1:29" ht="12.6" customHeight="1">
      <c r="C17" s="258" t="str">
        <f ca="1">(Setup!B15-1+VLOOKUP(2,Setup!AK4:AO15,2,0))&amp;"-"&amp;Setup!B15-1+VLOOKUP(2,Setup!AK4:AO15,4,0)</f>
        <v>2011-2019</v>
      </c>
      <c r="F17" s="233"/>
      <c r="G17" s="340"/>
      <c r="H17" s="340"/>
      <c r="I17" s="343"/>
      <c r="J17" s="359"/>
      <c r="L17" s="359" t="str">
        <f ca="1">HLOOKUP(C25,'384Hào'!C3:BN74,4,0)</f>
        <v xml:space="preserve">Vị tuy cao chẳng lấy làm cao,     </v>
      </c>
      <c r="N17" s="231" t="str">
        <f ca="1">HLOOKUP(C25,'384Hào'!C3:BN74,6,0)</f>
        <v>Tiến lên đĩnh đạc anh hào thanh danh.</v>
      </c>
    </row>
    <row r="18" spans="1:29" ht="12.6" customHeight="1">
      <c r="C18" s="227" t="str">
        <f ca="1">VLOOKUP(2,Setup!AK4:AO15,2,0)&amp;"-"&amp;VLOOKUP(2,Setup!AK4:AO15,4,0)&amp;" Tuổi"</f>
        <v>10-18 Tuổi</v>
      </c>
      <c r="F18" s="233"/>
      <c r="G18" s="334" t="str">
        <f ca="1">HLOOKUP(C25,'384Hào'!C3:BN74,62-(VLOOKUP(2,Setup!AK4:AO15,5,0)-1)*11,0)</f>
        <v>Đánh đổ được bĩ, trước bĩ sau mừng.</v>
      </c>
      <c r="H18" s="337"/>
      <c r="I18" s="336"/>
      <c r="J18" s="359"/>
      <c r="L18" s="359"/>
      <c r="AC18" s="251"/>
    </row>
    <row r="19" spans="1:29" ht="12.6" customHeight="1">
      <c r="B19" s="347" t="str">
        <f ca="1">IF(VLOOKUP(2,Setup!AK4:AO15,5,0)=6,"*","")</f>
        <v>*</v>
      </c>
      <c r="C19" s="216" t="str">
        <f ca="1">HLOOKUP(C25,'64Quẻ'!B5:DX11,2,0)</f>
        <v>———</v>
      </c>
      <c r="D19" s="358" t="str">
        <f ca="1">IF(C25="","",HLOOKUP(C25&amp;1,'64Quẻ'!B5:DY11,2,0))</f>
        <v>N.Tuất</v>
      </c>
      <c r="E19" s="278"/>
      <c r="F19" s="233"/>
      <c r="G19" s="335" t="str">
        <f ca="1">HLOOKUP(C25,'384Hào'!C3:BN74,63-(VLOOKUP(2,Setup!AK4:AO15,5,0)-1)*11,0)</f>
        <v>Ý HÀO: Bĩ đổ, hưởng phúc.</v>
      </c>
      <c r="H19" s="340"/>
      <c r="I19" s="336"/>
      <c r="J19" s="359"/>
      <c r="L19" s="359"/>
      <c r="AC19" s="251"/>
    </row>
    <row r="20" spans="1:29" ht="12.6" customHeight="1">
      <c r="B20" s="280" t="str">
        <f ca="1">IF(VLOOKUP(2,Setup!AK4:AO15,5,0)=5,"*","")</f>
        <v/>
      </c>
      <c r="C20" s="216" t="str">
        <f ca="1">HLOOKUP(C25,'64Quẻ'!B5:DX11,3,0)</f>
        <v>———</v>
      </c>
      <c r="D20" s="358" t="str">
        <f ca="1">IF(C25="","",HLOOKUP(C25&amp;1,'64Quẻ'!B5:DY11,3,0))</f>
        <v>N.Thân</v>
      </c>
      <c r="E20" s="278"/>
      <c r="F20" s="233"/>
      <c r="G20" s="337"/>
      <c r="H20" s="224" t="str">
        <f ca="1">HLOOKUP(C25,'384Hào'!C3:BN74,64-(VLOOKUP(2,Setup!AK4:AO15,5,0)-1)*11,0)</f>
        <v>MHC: Chí lớn cương quyết, sắp đặt hơn người, trước gian truân, sau nhàn lạc.</v>
      </c>
      <c r="I20" s="336"/>
      <c r="J20" s="364"/>
      <c r="L20" s="364"/>
      <c r="AC20" s="251"/>
    </row>
    <row r="21" spans="1:29" ht="12.6" customHeight="1">
      <c r="B21" s="280" t="str">
        <f ca="1">IF(VLOOKUP(2,Setup!AK4:AO15,5,0)=4,"*","")</f>
        <v/>
      </c>
      <c r="C21" s="216" t="str">
        <f ca="1">HLOOKUP(C25,'64Quẻ'!B5:DX11,4,0)</f>
        <v>———</v>
      </c>
      <c r="D21" s="358" t="str">
        <f ca="1">IF(C25="","",HLOOKUP(C25&amp;1,'64Quẻ'!B5:DY11,4,0))</f>
        <v>N.Ngọ</v>
      </c>
      <c r="E21" s="278"/>
      <c r="F21" s="233"/>
      <c r="G21" s="337"/>
      <c r="H21" s="338" t="str">
        <f ca="1">HLOOKUP(C25,'384Hào'!C3:BN74,65-(VLOOKUP(2,Setup!AK4:AO15,5,0)-1)*11,0)</f>
        <v>MKH: Danh lợi khó thành, cốt nhục hình thương, tăng ni tốt.</v>
      </c>
      <c r="I21" s="336"/>
      <c r="J21" s="359"/>
      <c r="L21" s="359"/>
      <c r="AC21" s="251"/>
    </row>
    <row r="22" spans="1:29" ht="12.6" customHeight="1">
      <c r="B22" s="280" t="str">
        <f ca="1">IF(VLOOKUP(2,Setup!AK4:AO15,5,0)=3,"*","")</f>
        <v/>
      </c>
      <c r="C22" s="278" t="str">
        <f ca="1">HLOOKUP(C25,'64Quẻ'!B5:DX11,5,0)</f>
        <v>—   —</v>
      </c>
      <c r="D22" s="358" t="str">
        <f ca="1">IF(C25="","",HLOOKUP(C25&amp;1,'64Quẻ'!B5:DY11,5,0))</f>
        <v>Ấ.Mão</v>
      </c>
      <c r="E22" s="278"/>
      <c r="F22" s="233"/>
      <c r="G22" s="337"/>
      <c r="H22" s="340"/>
      <c r="I22" s="224" t="str">
        <f ca="1">HLOOKUP(C25,'384Hào'!C3:BN74,66-(VLOOKUP(2,Setup!AK4:AO15,5,0)-1)*11,0)</f>
        <v>QC: Mất chức thì được phục hồi. Chờ việc thì được bổ.</v>
      </c>
      <c r="J22" s="359"/>
      <c r="L22" s="359"/>
      <c r="AC22" s="251"/>
    </row>
    <row r="23" spans="1:29" ht="12.6" customHeight="1">
      <c r="B23" s="280" t="str">
        <f ca="1">IF(VLOOKUP(2,Setup!AK4:AO15,5,0)=2,"*","")</f>
        <v/>
      </c>
      <c r="C23" s="278" t="str">
        <f ca="1">HLOOKUP(C25,'64Quẻ'!B5:DX11,6,0)</f>
        <v>—   —</v>
      </c>
      <c r="D23" s="358" t="str">
        <f ca="1">IF(C25="","",HLOOKUP(C25&amp;1,'64Quẻ'!B5:DY11,6,0))</f>
        <v>Ấ.Tỵ</v>
      </c>
      <c r="E23" s="278"/>
      <c r="F23" s="233"/>
      <c r="G23" s="337"/>
      <c r="H23" s="340"/>
      <c r="I23" s="224" t="str">
        <f ca="1">HLOOKUP(C25,'384Hào'!C3:BN74,67-(VLOOKUP(2,Setup!AK4:AO15,5,0)-1)*11,0)</f>
        <v xml:space="preserve">GS: Bị đình trệ thì phục hoạt, khốn lâu ngày được cởi mở. </v>
      </c>
      <c r="J23" s="359"/>
      <c r="L23" s="359"/>
      <c r="AC23" s="251"/>
    </row>
    <row r="24" spans="1:29" ht="12.6" customHeight="1">
      <c r="B24" s="280" t="str">
        <f ca="1">IF(VLOOKUP(2,Setup!AK4:AO15,5,0)=1,"*","")</f>
        <v/>
      </c>
      <c r="C24" s="278" t="str">
        <f ca="1">HLOOKUP(C25,'64Quẻ'!B5:DX11,7,0)</f>
        <v>—   —</v>
      </c>
      <c r="D24" s="358" t="str">
        <f ca="1">IF(C25="","",HLOOKUP(C25&amp;1,'64Quẻ'!B5:DY11,7,0))</f>
        <v>Ấ.Mùi</v>
      </c>
      <c r="E24" s="278"/>
      <c r="F24" s="233"/>
      <c r="G24" s="337"/>
      <c r="H24" s="340"/>
      <c r="I24" s="224" t="str">
        <f ca="1">HLOOKUP(C25,'384Hào'!C3:BN74,68-(VLOOKUP(2,Setup!AK4:AO15,5,0)-1)*11,0)</f>
        <v>NT: Kiện tụng lâu được giải. Số xấu có biến cố, kém thọ.</v>
      </c>
      <c r="J24" s="359"/>
      <c r="L24" s="359"/>
      <c r="AC24" s="251"/>
    </row>
    <row r="25" spans="1:29" ht="12.6" customHeight="1">
      <c r="C25" s="259" t="str">
        <f ca="1">'Thể cách'!M10</f>
        <v>Bĩ</v>
      </c>
      <c r="D25" s="280"/>
      <c r="E25" s="278"/>
      <c r="F25" s="233"/>
      <c r="G25" s="337"/>
      <c r="H25" s="337"/>
      <c r="I25" s="336"/>
      <c r="J25" s="359"/>
      <c r="L25" s="359" t="str">
        <f ca="1">HLOOKUP(C25,'384Hào'!C3:BN74,69-(VLOOKUP(2,Setup!AK4:AO15,5,0)-1)*11,0)</f>
        <v xml:space="preserve">Bĩ qua liền Thái đến,       </v>
      </c>
      <c r="N25" s="231" t="str">
        <f ca="1">HLOOKUP(C25,'384Hào'!C3:BN74,71-(VLOOKUP(2,Setup!AK4:AO15,5,0)-1)*11,0)</f>
        <v>Mộc biên người ấy gặp (?!)</v>
      </c>
      <c r="AC25" s="251"/>
    </row>
    <row r="26" spans="1:29" ht="12.6" customHeight="1">
      <c r="A26" s="253"/>
      <c r="C26" s="395">
        <f ca="1">IF(C13="","",HLOOKUP(C13,'64Quẻ'!B5:DX25,21,0))</f>
        <v>7</v>
      </c>
      <c r="D26" s="280"/>
      <c r="E26" s="278"/>
      <c r="F26" s="233"/>
      <c r="G26" s="337"/>
      <c r="H26" s="337"/>
      <c r="I26" s="336"/>
      <c r="J26" s="359"/>
      <c r="L26" s="359" t="str">
        <f ca="1">HLOOKUP(C25,'384Hào'!C3:BN74,70-(VLOOKUP(2,Setup!AK4:AO15,5,0)-1)*11,0)</f>
        <v>Kiển xong vận lại thông.</v>
      </c>
      <c r="N26" s="354" t="str">
        <f ca="1">HLOOKUP(C25,'384Hào'!C3:BN74,72-(VLOOKUP(2,Setup!AK4:AO15,5,0)-1)*11,0)</f>
        <v>Trăm việc tốt vô cùng.</v>
      </c>
      <c r="AC26" s="251"/>
    </row>
    <row r="27" spans="1:29" ht="12.6" customHeight="1">
      <c r="A27" s="250"/>
      <c r="B27" s="250"/>
      <c r="C27" s="239"/>
      <c r="D27" s="346"/>
      <c r="E27" s="250"/>
      <c r="F27" s="232"/>
      <c r="G27" s="339" t="str">
        <f ca="1">HLOOKUP(C37,'384Hào'!C3:BN74,2,0)</f>
        <v>Bĩ là tắc (Bế tắc, mắc kẹt). Được quẻ, 3 hào trên là đạo quân tử thì tốt, 3 hào dưới là đạo tiểu nhân thì xấu.</v>
      </c>
      <c r="H27" s="341"/>
      <c r="I27" s="341"/>
      <c r="J27" s="365"/>
      <c r="K27" s="249"/>
      <c r="L27" s="365"/>
      <c r="M27" s="249"/>
      <c r="N27" s="249"/>
      <c r="O27" s="249"/>
      <c r="P27" s="249"/>
      <c r="Q27" s="250"/>
      <c r="R27" s="250"/>
      <c r="S27" s="250"/>
    </row>
    <row r="28" spans="1:29" ht="12.6" customHeight="1">
      <c r="C28" s="260" t="str">
        <f ca="1">IF(AND(Setup!B26&gt;=Setup!B15-1+VLOOKUP(3,Setup!AK4:AO15,2,0),Setup!B26&lt;=Setup!B15-1+VLOOKUP(3,Setup!AK4:AO15,4,0)),"Đương vận","")</f>
        <v/>
      </c>
      <c r="F28" s="233"/>
      <c r="G28" s="340"/>
      <c r="H28" s="342"/>
      <c r="I28" s="343"/>
      <c r="J28" s="359"/>
      <c r="L28" s="359" t="str">
        <f ca="1">HLOOKUP(C37,'384Hào'!C3:BN74,3,0)</f>
        <v>Có lộc mà cũng không màng lộc,</v>
      </c>
      <c r="N28" s="231" t="str">
        <f ca="1">HLOOKUP(C37,'384Hào'!C3:BN74,5,0)</f>
        <v xml:space="preserve">          Chí người quân tử bền sao, </v>
      </c>
    </row>
    <row r="29" spans="1:29" ht="12.6" customHeight="1">
      <c r="C29" s="258" t="str">
        <f ca="1">(Setup!B15-1+VLOOKUP(3,Setup!AK4:AO15,2,0))&amp;"-"&amp;Setup!B15-1+VLOOKUP(3,Setup!AK4:AO15,4,0)</f>
        <v>2020-2025</v>
      </c>
      <c r="F29" s="233"/>
      <c r="G29" s="340"/>
      <c r="H29" s="340"/>
      <c r="I29" s="343"/>
      <c r="J29" s="359"/>
      <c r="L29" s="359" t="str">
        <f ca="1">HLOOKUP(C37,'384Hào'!C3:BN74,4,0)</f>
        <v xml:space="preserve">Vị tuy cao chẳng lấy làm cao,     </v>
      </c>
      <c r="N29" s="231" t="str">
        <f ca="1">HLOOKUP(C37,'384Hào'!C3:BN74,6,0)</f>
        <v>Tiến lên đĩnh đạc anh hào thanh danh.</v>
      </c>
    </row>
    <row r="30" spans="1:29" ht="12.6" customHeight="1">
      <c r="C30" s="227" t="str">
        <f ca="1">VLOOKUP(3,Setup!AK4:AO15,2,0)&amp;"-"&amp;VLOOKUP(3,Setup!AK4:AO15,4,0)&amp;" Tuổi"</f>
        <v>19-24 Tuổi</v>
      </c>
      <c r="F30" s="233"/>
      <c r="G30" s="334" t="str">
        <f ca="1">HLOOKUP(C37,'384Hào'!C3:BN74,62-(VLOOKUP(3,Setup!AK4:AO15,5,0)-1)*11,0)</f>
        <v>Nhổ rể cỏ mao, lấy cả cụm (cả 3 hào âm), giữ chính thì tốt và hanh thông.</v>
      </c>
      <c r="H30" s="337"/>
      <c r="I30" s="336"/>
      <c r="J30" s="359"/>
      <c r="L30" s="359"/>
      <c r="AC30" s="251"/>
    </row>
    <row r="31" spans="1:29" ht="12.6" customHeight="1">
      <c r="B31" s="347" t="str">
        <f ca="1">IF(VLOOKUP(3,Setup!AK4:AO15,5,0)=6,"*","")</f>
        <v/>
      </c>
      <c r="C31" s="216" t="str">
        <f ca="1">HLOOKUP(C37,'64Quẻ'!B5:DX11,2,0)</f>
        <v>———</v>
      </c>
      <c r="D31" s="358" t="str">
        <f ca="1">IF(C37="","",HLOOKUP(C37&amp;1,'64Quẻ'!B5:DY11,2,0))</f>
        <v>N.Tuất</v>
      </c>
      <c r="E31" s="278"/>
      <c r="F31" s="233"/>
      <c r="G31" s="335" t="str">
        <f ca="1">HLOOKUP(C37,'384Hào'!C3:BN74,63-(VLOOKUP(3,Setup!AK4:AO15,5,0)-1)*11,0)</f>
        <v>Ý HÀO: Trở lại với điều chính thì tốt.</v>
      </c>
      <c r="H31" s="340"/>
      <c r="I31" s="336"/>
      <c r="J31" s="359"/>
      <c r="L31" s="359"/>
      <c r="AC31" s="251"/>
    </row>
    <row r="32" spans="1:29" ht="12.6" customHeight="1">
      <c r="B32" s="280" t="str">
        <f ca="1">IF(VLOOKUP(3,Setup!AK4:AO15,5,0)=5,"*","")</f>
        <v/>
      </c>
      <c r="C32" s="216" t="str">
        <f ca="1">HLOOKUP(C37,'64Quẻ'!B5:DX11,3,0)</f>
        <v>———</v>
      </c>
      <c r="D32" s="358" t="str">
        <f ca="1">IF(C37="","",HLOOKUP(C37&amp;1,'64Quẻ'!B5:DY11,3,0))</f>
        <v>N.Thân</v>
      </c>
      <c r="E32" s="278"/>
      <c r="F32" s="233"/>
      <c r="G32" s="337"/>
      <c r="H32" s="224" t="str">
        <f ca="1">HLOOKUP(C37,'384Hào'!C3:BN74,64-(VLOOKUP(3,Setup!AK4:AO15,5,0)-1)*11,0)</f>
        <v>MHC: Người có danh dự, dời tổ đi lập nghiệp bên ngoài, bỏ gần theo xa, chí để vào việc công, đừng tư kỷ thì hưởng phúc.</v>
      </c>
      <c r="I32" s="336"/>
      <c r="J32" s="364"/>
      <c r="L32" s="364"/>
      <c r="AC32" s="251"/>
    </row>
    <row r="33" spans="1:29" ht="12.6" customHeight="1">
      <c r="B33" s="280" t="str">
        <f ca="1">IF(VLOOKUP(3,Setup!AK4:AO15,5,0)=4,"*","")</f>
        <v/>
      </c>
      <c r="C33" s="216" t="str">
        <f ca="1">HLOOKUP(C37,'64Quẻ'!B5:DX11,4,0)</f>
        <v>———</v>
      </c>
      <c r="D33" s="358" t="str">
        <f ca="1">IF(C37="","",HLOOKUP(C37&amp;1,'64Quẻ'!B5:DY11,4,0))</f>
        <v>N.Ngọ</v>
      </c>
      <c r="E33" s="278"/>
      <c r="F33" s="233"/>
      <c r="G33" s="337"/>
      <c r="H33" s="338" t="str">
        <f ca="1">HLOOKUP(C37,'384Hào'!C3:BN74,65-(VLOOKUP(3,Setup!AK4:AO15,5,0)-1)*11,0)</f>
        <v>MKH: Liệu thời hãy tiến, tri cơ nên lui, thời gian nan. Khó hành chí, giữ lấy thân gia cho khỏi tai nguy.</v>
      </c>
      <c r="I33" s="336"/>
      <c r="J33" s="359"/>
      <c r="L33" s="359"/>
      <c r="AC33" s="251"/>
    </row>
    <row r="34" spans="1:29" ht="12.6" customHeight="1">
      <c r="B34" s="280" t="str">
        <f ca="1">IF(VLOOKUP(3,Setup!AK4:AO15,5,0)=3,"*","")</f>
        <v/>
      </c>
      <c r="C34" s="278" t="str">
        <f ca="1">HLOOKUP(C37,'64Quẻ'!B5:DX11,5,0)</f>
        <v>—   —</v>
      </c>
      <c r="D34" s="358" t="str">
        <f ca="1">IF(C37="","",HLOOKUP(C37&amp;1,'64Quẻ'!B5:DY11,5,0))</f>
        <v>Ấ.Mão</v>
      </c>
      <c r="E34" s="278"/>
      <c r="F34" s="233"/>
      <c r="G34" s="337"/>
      <c r="H34" s="340"/>
      <c r="I34" s="224" t="str">
        <f ca="1">HLOOKUP(C37,'384Hào'!C3:BN74,66-(VLOOKUP(3,Setup!AK4:AO15,5,0)-1)*11,0)</f>
        <v>QC: Chờ bổ nhiệm, đương tại chức bị dèm pha.</v>
      </c>
      <c r="J34" s="359"/>
      <c r="L34" s="359"/>
      <c r="AC34" s="251"/>
    </row>
    <row r="35" spans="1:29" ht="12.6" customHeight="1">
      <c r="B35" s="280" t="str">
        <f ca="1">IF(VLOOKUP(3,Setup!AK4:AO15,5,0)=2,"*","")</f>
        <v/>
      </c>
      <c r="C35" s="278" t="str">
        <f ca="1">HLOOKUP(C37,'64Quẻ'!B5:DX11,6,0)</f>
        <v>—   —</v>
      </c>
      <c r="D35" s="358" t="str">
        <f ca="1">IF(C37="","",HLOOKUP(C37&amp;1,'64Quẻ'!B5:DY11,6,0))</f>
        <v>Ấ.Tỵ</v>
      </c>
      <c r="E35" s="278"/>
      <c r="F35" s="233"/>
      <c r="G35" s="337"/>
      <c r="H35" s="340"/>
      <c r="I35" s="224" t="str">
        <f ca="1">HLOOKUP(C37,'384Hào'!C3:BN74,67-(VLOOKUP(3,Setup!AK4:AO15,5,0)-1)*11,0)</f>
        <v>GS: Khó gặp cơ hội.</v>
      </c>
      <c r="J35" s="359"/>
      <c r="L35" s="359"/>
      <c r="AC35" s="251"/>
    </row>
    <row r="36" spans="1:29" ht="12.6" customHeight="1">
      <c r="B36" s="280" t="str">
        <f ca="1">IF(VLOOKUP(3,Setup!AK4:AO15,5,0)=1,"*","")</f>
        <v>*</v>
      </c>
      <c r="C36" s="278" t="str">
        <f ca="1">HLOOKUP(C37,'64Quẻ'!B5:DX11,7,0)</f>
        <v>—   —</v>
      </c>
      <c r="D36" s="358" t="str">
        <f ca="1">IF(C37="","",HLOOKUP(C37&amp;1,'64Quẻ'!B5:DY11,7,0))</f>
        <v>Ấ.Mùi</v>
      </c>
      <c r="E36" s="278"/>
      <c r="F36" s="233"/>
      <c r="G36" s="337"/>
      <c r="H36" s="340"/>
      <c r="I36" s="224" t="str">
        <f ca="1">HLOOKUP(C37,'384Hào'!C3:BN74,68-(VLOOKUP(3,Setup!AK4:AO15,5,0)-1)*11,0)</f>
        <v>NT: Nên thủ cựu, phòng có việc liên quan lôi thôi.</v>
      </c>
      <c r="J36" s="359"/>
      <c r="L36" s="359"/>
      <c r="AC36" s="251"/>
    </row>
    <row r="37" spans="1:29" ht="12.6" customHeight="1">
      <c r="C37" s="259" t="str">
        <f ca="1">'Thể cách'!M10</f>
        <v>Bĩ</v>
      </c>
      <c r="D37" s="280"/>
      <c r="E37" s="278"/>
      <c r="F37" s="233"/>
      <c r="G37" s="337"/>
      <c r="H37" s="337"/>
      <c r="I37" s="336"/>
      <c r="J37" s="359"/>
      <c r="L37" s="359" t="str">
        <f ca="1">HLOOKUP(C37,'384Hào'!C3:BN74,69-(VLOOKUP(3,Setup!AK4:AO15,5,0)-1)*11,0)</f>
        <v xml:space="preserve">Vận bĩ thủ phận là hay,          </v>
      </c>
      <c r="N37" s="231" t="str">
        <f ca="1">HLOOKUP(C37,'384Hào'!C3:BN74,71-(VLOOKUP(3,Setup!AK4:AO15,5,0)-1)*11,0)</f>
        <v/>
      </c>
      <c r="AC37" s="251"/>
    </row>
    <row r="38" spans="1:29" ht="12.6" customHeight="1">
      <c r="A38" s="253"/>
      <c r="C38" s="395">
        <f ca="1">IF(C13="","",HLOOKUP(C13,'64Quẻ'!B5:DX25,21,0))</f>
        <v>7</v>
      </c>
      <c r="D38" s="280"/>
      <c r="E38" s="278"/>
      <c r="F38" s="233"/>
      <c r="G38" s="337"/>
      <c r="H38" s="337"/>
      <c r="I38" s="336"/>
      <c r="J38" s="359"/>
      <c r="L38" s="359" t="str">
        <f ca="1">HLOOKUP(C37,'384Hào'!C3:BN74,70-(VLOOKUP(3,Setup!AK4:AO15,5,0)-1)*11,0)</f>
        <v>Đừng khi vọng động tai bay vạ liền.</v>
      </c>
      <c r="N38" s="354" t="str">
        <f ca="1">HLOOKUP(C37,'384Hào'!C3:BN74,72-(VLOOKUP(3,Setup!AK4:AO15,5,0)-1)*11,0)</f>
        <v/>
      </c>
      <c r="AC38" s="251"/>
    </row>
    <row r="39" spans="1:29" ht="12.6" customHeight="1">
      <c r="A39" s="250"/>
      <c r="B39" s="250"/>
      <c r="C39" s="239"/>
      <c r="D39" s="346"/>
      <c r="E39" s="250"/>
      <c r="F39" s="232"/>
      <c r="G39" s="339" t="str">
        <f ca="1">HLOOKUP(C49,'384Hào'!C3:BN74,2,0)</f>
        <v>Bĩ là tắc (Bế tắc, mắc kẹt). Được quẻ, 3 hào trên là đạo quân tử thì tốt, 3 hào dưới là đạo tiểu nhân thì xấu.</v>
      </c>
      <c r="H39" s="341"/>
      <c r="I39" s="341"/>
      <c r="J39" s="365"/>
      <c r="K39" s="249"/>
      <c r="L39" s="365"/>
      <c r="M39" s="249"/>
      <c r="N39" s="249"/>
      <c r="O39" s="249"/>
      <c r="P39" s="249"/>
      <c r="Q39" s="250"/>
      <c r="R39" s="250"/>
      <c r="S39" s="250"/>
    </row>
    <row r="40" spans="1:29" ht="12.6" customHeight="1">
      <c r="C40" s="260" t="str">
        <f ca="1">IF(AND(Setup!B26&gt;=Setup!B15-1+VLOOKUP(4,Setup!AK4:AO15,2,0),Setup!B26&lt;=Setup!B15-1+VLOOKUP(4,Setup!AK4:AO15,4,0)),"Đương vận","")</f>
        <v>Đương vận</v>
      </c>
      <c r="F40" s="233"/>
      <c r="G40" s="340"/>
      <c r="H40" s="342"/>
      <c r="I40" s="343"/>
      <c r="J40" s="359"/>
      <c r="L40" s="359" t="str">
        <f ca="1">HLOOKUP(C49,'384Hào'!C3:BN74,3,0)</f>
        <v>Có lộc mà cũng không màng lộc,</v>
      </c>
      <c r="N40" s="231" t="str">
        <f ca="1">HLOOKUP(C49,'384Hào'!C3:BN74,5,0)</f>
        <v xml:space="preserve">          Chí người quân tử bền sao, </v>
      </c>
    </row>
    <row r="41" spans="1:29" ht="12.6" customHeight="1">
      <c r="C41" s="258" t="str">
        <f ca="1">(Setup!B15-1+VLOOKUP(4,Setup!AK4:AO15,2,0))&amp;"-"&amp;Setup!B15-1+VLOOKUP(4,Setup!AK4:AO15,4,0)</f>
        <v>2026-2031</v>
      </c>
      <c r="F41" s="233"/>
      <c r="G41" s="340"/>
      <c r="H41" s="340"/>
      <c r="I41" s="343"/>
      <c r="J41" s="359"/>
      <c r="L41" s="359" t="str">
        <f ca="1">HLOOKUP(C49,'384Hào'!C3:BN74,4,0)</f>
        <v xml:space="preserve">Vị tuy cao chẳng lấy làm cao,     </v>
      </c>
      <c r="N41" s="231" t="str">
        <f ca="1">HLOOKUP(C49,'384Hào'!C3:BN74,6,0)</f>
        <v>Tiến lên đĩnh đạc anh hào thanh danh.</v>
      </c>
    </row>
    <row r="42" spans="1:29" ht="12.6" customHeight="1">
      <c r="C42" s="227" t="str">
        <f ca="1">VLOOKUP(4,Setup!AK4:AO15,2,0)&amp;"-"&amp;VLOOKUP(4,Setup!AK4:AO15,4,0)&amp;" Tuổi"</f>
        <v>25-30 Tuổi</v>
      </c>
      <c r="F42" s="233"/>
      <c r="G42" s="334" t="str">
        <f ca="1">HLOOKUP(C49,'384Hào'!C3:BN74,62-(VLOOKUP(4,Setup!AK4:AO15,5,0)-1)*11,0)</f>
        <v>Bao gồm thừa thuận (3 hào dương); người nhỏ thì được tốt, người lớn thì đành bĩ để giữ đạo hanh thông.</v>
      </c>
      <c r="H42" s="337"/>
      <c r="I42" s="336"/>
      <c r="J42" s="359"/>
      <c r="L42" s="359"/>
      <c r="AC42" s="251"/>
    </row>
    <row r="43" spans="1:29" ht="12.6" customHeight="1">
      <c r="B43" s="347" t="str">
        <f ca="1">IF(VLOOKUP(4,Setup!AK4:AO15,5,0)=6,"*","")</f>
        <v/>
      </c>
      <c r="C43" s="216" t="str">
        <f ca="1">HLOOKUP(C49,'64Quẻ'!B5:DX11,2,0)</f>
        <v>———</v>
      </c>
      <c r="D43" s="358" t="str">
        <f ca="1">IF(C49="","",HLOOKUP(C49&amp;1,'64Quẻ'!B5:DY11,2,0))</f>
        <v>N.Tuất</v>
      </c>
      <c r="E43" s="278"/>
      <c r="F43" s="233"/>
      <c r="G43" s="335" t="str">
        <f ca="1">HLOOKUP(C49,'384Hào'!C3:BN74,63-(VLOOKUP(4,Setup!AK4:AO15,5,0)-1)*11,0)</f>
        <v>Ý HÀO: Phận nhỏ nhưng không làm hại điều thiện thì vẫn tốt lành.</v>
      </c>
      <c r="H43" s="340"/>
      <c r="I43" s="336"/>
      <c r="J43" s="359"/>
      <c r="L43" s="359"/>
      <c r="AC43" s="251"/>
    </row>
    <row r="44" spans="1:29" ht="12.6" customHeight="1">
      <c r="B44" s="280" t="str">
        <f ca="1">IF(VLOOKUP(4,Setup!AK4:AO15,5,0)=5,"*","")</f>
        <v/>
      </c>
      <c r="C44" s="216" t="str">
        <f ca="1">HLOOKUP(C49,'64Quẻ'!B5:DX11,3,0)</f>
        <v>———</v>
      </c>
      <c r="D44" s="358" t="str">
        <f ca="1">IF(C49="","",HLOOKUP(C49&amp;1,'64Quẻ'!B5:DY11,3,0))</f>
        <v>N.Thân</v>
      </c>
      <c r="E44" s="278"/>
      <c r="F44" s="233"/>
      <c r="G44" s="337"/>
      <c r="H44" s="224" t="str">
        <f ca="1">HLOOKUP(C49,'384Hào'!C3:BN74,64-(VLOOKUP(4,Setup!AK4:AO15,5,0)-1)*11,0)</f>
        <v>MHC: Trung chính, khoan dung, ở yên đợi phúc trạch. Sau có thể đổi bĩ thành thái, hưởng phúc trạch.</v>
      </c>
      <c r="I44" s="336"/>
      <c r="J44" s="364"/>
      <c r="L44" s="364"/>
      <c r="AC44" s="251"/>
    </row>
    <row r="45" spans="1:29" ht="12.6" customHeight="1">
      <c r="B45" s="280" t="str">
        <f ca="1">IF(VLOOKUP(4,Setup!AK4:AO15,5,0)=4,"*","")</f>
        <v/>
      </c>
      <c r="C45" s="216" t="str">
        <f ca="1">HLOOKUP(C49,'64Quẻ'!B5:DX11,4,0)</f>
        <v>———</v>
      </c>
      <c r="D45" s="358" t="str">
        <f ca="1">IF(C49="","",HLOOKUP(C49&amp;1,'64Quẻ'!B5:DY11,4,0))</f>
        <v>N.Ngọ</v>
      </c>
      <c r="E45" s="278"/>
      <c r="F45" s="233"/>
      <c r="G45" s="337"/>
      <c r="H45" s="338" t="str">
        <f ca="1">HLOOKUP(C49,'384Hào'!C3:BN74,65-(VLOOKUP(4,Setup!AK4:AO15,5,0)-1)*11,0)</f>
        <v>MKH: Theo thói thường, danh không chính, lợi không bền, thủ phận thì đỡ tai họa.</v>
      </c>
      <c r="I45" s="336"/>
      <c r="J45" s="359"/>
      <c r="L45" s="359"/>
      <c r="AC45" s="251"/>
    </row>
    <row r="46" spans="1:29" ht="12.6" customHeight="1">
      <c r="B46" s="280" t="str">
        <f ca="1">IF(VLOOKUP(4,Setup!AK4:AO15,5,0)=3,"*","")</f>
        <v/>
      </c>
      <c r="C46" s="278" t="str">
        <f ca="1">HLOOKUP(C49,'64Quẻ'!B5:DX11,5,0)</f>
        <v>—   —</v>
      </c>
      <c r="D46" s="358" t="str">
        <f ca="1">IF(C49="","",HLOOKUP(C49&amp;1,'64Quẻ'!B5:DY11,5,0))</f>
        <v>Ấ.Mão</v>
      </c>
      <c r="E46" s="278"/>
      <c r="F46" s="233"/>
      <c r="G46" s="337"/>
      <c r="H46" s="340"/>
      <c r="I46" s="224" t="str">
        <f ca="1">HLOOKUP(C49,'384Hào'!C3:BN74,66-(VLOOKUP(4,Setup!AK4:AO15,5,0)-1)*11,0)</f>
        <v>QC: Có cơ hội thì làm.</v>
      </c>
      <c r="J46" s="359"/>
      <c r="L46" s="359"/>
      <c r="AC46" s="251"/>
    </row>
    <row r="47" spans="1:29" ht="12.6" customHeight="1">
      <c r="B47" s="280" t="str">
        <f ca="1">IF(VLOOKUP(4,Setup!AK4:AO15,5,0)=2,"*","")</f>
        <v>*</v>
      </c>
      <c r="C47" s="278" t="str">
        <f ca="1">HLOOKUP(C49,'64Quẻ'!B5:DX11,6,0)</f>
        <v>—   —</v>
      </c>
      <c r="D47" s="358" t="str">
        <f ca="1">IF(C49="","",HLOOKUP(C49&amp;1,'64Quẻ'!B5:DY11,6,0))</f>
        <v>Ấ.Tỵ</v>
      </c>
      <c r="E47" s="278"/>
      <c r="F47" s="233"/>
      <c r="G47" s="337"/>
      <c r="H47" s="340"/>
      <c r="I47" s="224" t="str">
        <f ca="1">HLOOKUP(C49,'384Hào'!C3:BN74,67-(VLOOKUP(4,Setup!AK4:AO15,5,0)-1)*11,0)</f>
        <v>GS: Nên đời thời.</v>
      </c>
      <c r="J47" s="359"/>
      <c r="L47" s="359"/>
      <c r="AC47" s="251"/>
    </row>
    <row r="48" spans="1:29" ht="12.6" customHeight="1">
      <c r="B48" s="280" t="str">
        <f ca="1">IF(VLOOKUP(4,Setup!AK4:AO15,5,0)=1,"*","")</f>
        <v/>
      </c>
      <c r="C48" s="278" t="str">
        <f ca="1">HLOOKUP(C49,'64Quẻ'!B5:DX11,7,0)</f>
        <v>—   —</v>
      </c>
      <c r="D48" s="358" t="str">
        <f ca="1">IF(C49="","",HLOOKUP(C49&amp;1,'64Quẻ'!B5:DY11,7,0))</f>
        <v>Ấ.Mùi</v>
      </c>
      <c r="E48" s="278"/>
      <c r="F48" s="233"/>
      <c r="G48" s="337"/>
      <c r="H48" s="340"/>
      <c r="I48" s="224" t="str">
        <f ca="1">HLOOKUP(C49,'384Hào'!C3:BN74,68-(VLOOKUP(4,Setup!AK4:AO15,5,0)-1)*11,0)</f>
        <v>NT: Đành nuốt nhục để giữ thân gia, nếu không thì khó tránh thị phi, tai họa.</v>
      </c>
      <c r="J48" s="359"/>
      <c r="L48" s="359"/>
      <c r="AC48" s="251"/>
    </row>
    <row r="49" spans="1:29" ht="12.6" customHeight="1">
      <c r="C49" s="259" t="str">
        <f ca="1">'Thể cách'!M10</f>
        <v>Bĩ</v>
      </c>
      <c r="D49" s="280"/>
      <c r="E49" s="278"/>
      <c r="F49" s="233"/>
      <c r="G49" s="337"/>
      <c r="H49" s="337"/>
      <c r="I49" s="336"/>
      <c r="J49" s="359"/>
      <c r="L49" s="359" t="str">
        <f ca="1">HLOOKUP(C49,'384Hào'!C3:BN74,69-(VLOOKUP(4,Setup!AK4:AO15,5,0)-1)*11,0)</f>
        <v xml:space="preserve">Người nhỏ vì sinh kế,     </v>
      </c>
      <c r="N49" s="231" t="str">
        <f ca="1">HLOOKUP(C49,'384Hào'!C3:BN74,71-(VLOOKUP(4,Setup!AK4:AO15,5,0)-1)*11,0)</f>
        <v xml:space="preserve">Đại nhân nên tự thủ, </v>
      </c>
      <c r="AC49" s="251"/>
    </row>
    <row r="50" spans="1:29" ht="12.6" customHeight="1">
      <c r="A50" s="253"/>
      <c r="C50" s="395">
        <f ca="1">IF(C13="","",HLOOKUP(C13,'64Quẻ'!B5:DX25,21,0))</f>
        <v>7</v>
      </c>
      <c r="D50" s="280"/>
      <c r="E50" s="278"/>
      <c r="F50" s="233"/>
      <c r="G50" s="337"/>
      <c r="H50" s="337"/>
      <c r="I50" s="336"/>
      <c r="J50" s="359"/>
      <c r="L50" s="359" t="str">
        <f ca="1">HLOOKUP(C49,'384Hào'!C3:BN74,70-(VLOOKUP(4,Setup!AK4:AO15,5,0)-1)*11,0)</f>
        <v>Uốn lưng để phụng hành.</v>
      </c>
      <c r="N50" s="354" t="str">
        <f ca="1">HLOOKUP(C49,'384Hào'!C3:BN74,72-(VLOOKUP(4,Setup!AK4:AO15,5,0)-1)*11,0)</f>
        <v>Vận bĩ, đạo vẫn hanh.</v>
      </c>
      <c r="AC50" s="251"/>
    </row>
    <row r="51" spans="1:29" ht="12.6" customHeight="1">
      <c r="A51" s="250"/>
      <c r="B51" s="250"/>
      <c r="C51" s="239"/>
      <c r="D51" s="346"/>
      <c r="E51" s="250"/>
      <c r="F51" s="232"/>
      <c r="G51" s="339" t="str">
        <f ca="1">HLOOKUP(C61,'384Hào'!C3:BN74,2,0)</f>
        <v>Bĩ là tắc (Bế tắc, mắc kẹt). Được quẻ, 3 hào trên là đạo quân tử thì tốt, 3 hào dưới là đạo tiểu nhân thì xấu.</v>
      </c>
      <c r="H51" s="341"/>
      <c r="I51" s="341"/>
      <c r="J51" s="365"/>
      <c r="K51" s="249"/>
      <c r="L51" s="365"/>
      <c r="M51" s="249"/>
      <c r="N51" s="249"/>
      <c r="O51" s="249"/>
      <c r="P51" s="249"/>
      <c r="Q51" s="250"/>
      <c r="R51" s="250"/>
      <c r="S51" s="250"/>
    </row>
    <row r="52" spans="1:29" ht="12.6" customHeight="1">
      <c r="C52" s="260" t="str">
        <f ca="1">IF(AND(Setup!B26&gt;=Setup!B15-1+VLOOKUP(5,Setup!AK4:AO15,2,0),Setup!B26&lt;=Setup!B15-1+VLOOKUP(5,Setup!AK4:AO15,4,0)),"Đương vận","")</f>
        <v/>
      </c>
      <c r="F52" s="233"/>
      <c r="G52" s="340"/>
      <c r="H52" s="342"/>
      <c r="I52" s="343"/>
      <c r="J52" s="359"/>
      <c r="L52" s="359" t="str">
        <f ca="1">HLOOKUP(C61,'384Hào'!C3:BN74,3,0)</f>
        <v>Có lộc mà cũng không màng lộc,</v>
      </c>
      <c r="N52" s="231" t="str">
        <f ca="1">HLOOKUP(C61,'384Hào'!C3:BN74,5,0)</f>
        <v xml:space="preserve">          Chí người quân tử bền sao, </v>
      </c>
    </row>
    <row r="53" spans="1:29" ht="12.6" customHeight="1">
      <c r="C53" s="258" t="str">
        <f ca="1">(Setup!B15-1+VLOOKUP(5,Setup!AK4:AO15,2,0))&amp;"-"&amp;Setup!B15-1+VLOOKUP(5,Setup!AK4:AO15,4,0)</f>
        <v>2032-2037</v>
      </c>
      <c r="F53" s="233"/>
      <c r="G53" s="340"/>
      <c r="H53" s="340"/>
      <c r="I53" s="343"/>
      <c r="J53" s="359"/>
      <c r="L53" s="359" t="str">
        <f ca="1">HLOOKUP(C61,'384Hào'!C3:BN74,4,0)</f>
        <v xml:space="preserve">Vị tuy cao chẳng lấy làm cao,     </v>
      </c>
      <c r="N53" s="231" t="str">
        <f ca="1">HLOOKUP(C61,'384Hào'!C3:BN74,6,0)</f>
        <v>Tiến lên đĩnh đạc anh hào thanh danh.</v>
      </c>
    </row>
    <row r="54" spans="1:29" ht="12.6" customHeight="1">
      <c r="C54" s="227" t="str">
        <f ca="1">VLOOKUP(5,Setup!AK4:AO15,2,0)&amp;"-"&amp;VLOOKUP(5,Setup!AK4:AO15,4,0)&amp;" Tuổi"</f>
        <v>31-36 Tuổi</v>
      </c>
      <c r="F54" s="233"/>
      <c r="G54" s="334" t="str">
        <f ca="1">HLOOKUP(C61,'384Hào'!C3:BN74,62-(VLOOKUP(5,Setup!AK4:AO15,5,0)-1)*11,0)</f>
        <v>Bao dung được điều xấu hổ.</v>
      </c>
      <c r="H54" s="337"/>
      <c r="I54" s="336"/>
      <c r="J54" s="359"/>
      <c r="L54" s="359"/>
      <c r="AC54" s="251"/>
    </row>
    <row r="55" spans="1:29" ht="12.6" customHeight="1">
      <c r="B55" s="347" t="str">
        <f ca="1">IF(VLOOKUP(5,Setup!AK4:AO15,5,0)=6,"*","")</f>
        <v/>
      </c>
      <c r="C55" s="216" t="str">
        <f ca="1">HLOOKUP(C61,'64Quẻ'!B5:DX11,2,0)</f>
        <v>———</v>
      </c>
      <c r="D55" s="358" t="str">
        <f ca="1">IF(C61="","",HLOOKUP(C61&amp;1,'64Quẻ'!B5:DY11,2,0))</f>
        <v>N.Tuất</v>
      </c>
      <c r="E55" s="278"/>
      <c r="F55" s="233"/>
      <c r="G55" s="335" t="str">
        <f ca="1">HLOOKUP(C61,'384Hào'!C3:BN74,63-(VLOOKUP(5,Setup!AK4:AO15,5,0)-1)*11,0)</f>
        <v>Ý HÀO: Tiểu nhân muốn làm ác mà chưa làm được.</v>
      </c>
      <c r="H55" s="340"/>
      <c r="I55" s="336"/>
      <c r="J55" s="359"/>
      <c r="L55" s="359"/>
      <c r="AC55" s="251"/>
    </row>
    <row r="56" spans="1:29" ht="12.6" customHeight="1">
      <c r="B56" s="280" t="str">
        <f ca="1">IF(VLOOKUP(5,Setup!AK4:AO15,5,0)=5,"*","")</f>
        <v/>
      </c>
      <c r="C56" s="216" t="str">
        <f ca="1">HLOOKUP(C61,'64Quẻ'!B5:DX11,3,0)</f>
        <v>———</v>
      </c>
      <c r="D56" s="358" t="str">
        <f ca="1">IF(C61="","",HLOOKUP(C61&amp;1,'64Quẻ'!B5:DY11,3,0))</f>
        <v>N.Thân</v>
      </c>
      <c r="E56" s="278"/>
      <c r="F56" s="233"/>
      <c r="G56" s="337"/>
      <c r="H56" s="224" t="str">
        <f ca="1">HLOOKUP(C61,'384Hào'!C3:BN74,64-(VLOOKUP(5,Setup!AK4:AO15,5,0)-1)*11,0)</f>
        <v>MHC: Dù được quý nhân đùm bọc, hoặc có chức phận nhỏ nhưng cũng chỉ có tiếng không miếng. Chỉ có tăng ni là tốt.</v>
      </c>
      <c r="I56" s="336"/>
      <c r="J56" s="364"/>
      <c r="L56" s="364"/>
      <c r="AC56" s="251"/>
    </row>
    <row r="57" spans="1:29" ht="12.6" customHeight="1">
      <c r="B57" s="280" t="str">
        <f ca="1">IF(VLOOKUP(5,Setup!AK4:AO15,5,0)=4,"*","")</f>
        <v/>
      </c>
      <c r="C57" s="216" t="str">
        <f ca="1">HLOOKUP(C61,'64Quẻ'!B5:DX11,4,0)</f>
        <v>———</v>
      </c>
      <c r="D57" s="358" t="str">
        <f ca="1">IF(C61="","",HLOOKUP(C61&amp;1,'64Quẻ'!B5:DY11,4,0))</f>
        <v>N.Ngọ</v>
      </c>
      <c r="E57" s="278"/>
      <c r="F57" s="233"/>
      <c r="G57" s="337"/>
      <c r="H57" s="338" t="str">
        <f ca="1">HLOOKUP(C61,'384Hào'!C3:BN74,65-(VLOOKUP(5,Setup!AK4:AO15,5,0)-1)*11,0)</f>
        <v>MKH: Không giữ được nề nếp lúc cùng.</v>
      </c>
      <c r="I57" s="336"/>
      <c r="J57" s="359"/>
      <c r="L57" s="359"/>
      <c r="AC57" s="251"/>
    </row>
    <row r="58" spans="1:29" ht="12.6" customHeight="1">
      <c r="B58" s="280" t="str">
        <f ca="1">IF(VLOOKUP(5,Setup!AK4:AO15,5,0)=3,"*","")</f>
        <v>*</v>
      </c>
      <c r="C58" s="278" t="str">
        <f ca="1">HLOOKUP(C61,'64Quẻ'!B5:DX11,5,0)</f>
        <v>—   —</v>
      </c>
      <c r="D58" s="358" t="str">
        <f ca="1">IF(C61="","",HLOOKUP(C61&amp;1,'64Quẻ'!B5:DY11,5,0))</f>
        <v>Ấ.Mão</v>
      </c>
      <c r="E58" s="278"/>
      <c r="F58" s="233"/>
      <c r="G58" s="337"/>
      <c r="H58" s="340"/>
      <c r="I58" s="224" t="str">
        <f ca="1">HLOOKUP(C61,'384Hào'!C3:BN74,66-(VLOOKUP(5,Setup!AK4:AO15,5,0)-1)*11,0)</f>
        <v>QC: Xin về hưu.</v>
      </c>
      <c r="J58" s="359"/>
      <c r="L58" s="359"/>
      <c r="AC58" s="251"/>
    </row>
    <row r="59" spans="1:29" ht="12.6" customHeight="1">
      <c r="B59" s="280" t="str">
        <f ca="1">IF(VLOOKUP(5,Setup!AK4:AO15,5,0)=2,"*","")</f>
        <v/>
      </c>
      <c r="C59" s="278" t="str">
        <f ca="1">HLOOKUP(C61,'64Quẻ'!B5:DX11,6,0)</f>
        <v>—   —</v>
      </c>
      <c r="D59" s="358" t="str">
        <f ca="1">IF(C61="","",HLOOKUP(C61&amp;1,'64Quẻ'!B5:DY11,6,0))</f>
        <v>Ấ.Tỵ</v>
      </c>
      <c r="E59" s="278"/>
      <c r="F59" s="233"/>
      <c r="G59" s="337"/>
      <c r="H59" s="340"/>
      <c r="I59" s="224" t="str">
        <f ca="1">HLOOKUP(C61,'384Hào'!C3:BN74,67-(VLOOKUP(5,Setup!AK4:AO15,5,0)-1)*11,0)</f>
        <v>GS: Phòng bị tai tiếng.</v>
      </c>
      <c r="J59" s="359"/>
      <c r="L59" s="359"/>
      <c r="AC59" s="251"/>
    </row>
    <row r="60" spans="1:29" ht="12.6" customHeight="1">
      <c r="B60" s="280" t="str">
        <f ca="1">IF(VLOOKUP(5,Setup!AK4:AO15,5,0)=1,"*","")</f>
        <v/>
      </c>
      <c r="C60" s="278" t="str">
        <f ca="1">HLOOKUP(C61,'64Quẻ'!B5:DX11,7,0)</f>
        <v>—   —</v>
      </c>
      <c r="D60" s="358" t="str">
        <f ca="1">IF(C61="","",HLOOKUP(C61&amp;1,'64Quẻ'!B5:DY11,7,0))</f>
        <v>Ấ.Mùi</v>
      </c>
      <c r="E60" s="278"/>
      <c r="F60" s="233"/>
      <c r="G60" s="337"/>
      <c r="H60" s="340"/>
      <c r="I60" s="224" t="str">
        <f ca="1">HLOOKUP(C61,'384Hào'!C3:BN74,68-(VLOOKUP(5,Setup!AK4:AO15,5,0)-1)*11,0)</f>
        <v>NT: Bị điều tiếng, thưa kiện.</v>
      </c>
      <c r="J60" s="359"/>
      <c r="L60" s="359"/>
      <c r="AC60" s="251"/>
    </row>
    <row r="61" spans="1:29" ht="12.6" customHeight="1">
      <c r="C61" s="259" t="str">
        <f ca="1">'Thể cách'!M10</f>
        <v>Bĩ</v>
      </c>
      <c r="D61" s="280"/>
      <c r="E61" s="278"/>
      <c r="F61" s="233"/>
      <c r="G61" s="337"/>
      <c r="H61" s="337"/>
      <c r="I61" s="336"/>
      <c r="J61" s="359"/>
      <c r="L61" s="359" t="str">
        <f ca="1">HLOOKUP(C61,'384Hào'!C3:BN74,69-(VLOOKUP(5,Setup!AK4:AO15,5,0)-1)*11,0)</f>
        <v xml:space="preserve">Nhân tình trục trặc khó tin,        </v>
      </c>
      <c r="N61" s="231" t="str">
        <f ca="1">HLOOKUP(C61,'384Hào'!C3:BN74,71-(VLOOKUP(5,Setup!AK4:AO15,5,0)-1)*11,0)</f>
        <v/>
      </c>
      <c r="AC61" s="251"/>
    </row>
    <row r="62" spans="1:29" ht="12.6" customHeight="1">
      <c r="A62" s="253"/>
      <c r="C62" s="395">
        <f ca="1">IF(C13="","",HLOOKUP(C13,'64Quẻ'!B5:DX25,21,0))</f>
        <v>7</v>
      </c>
      <c r="D62" s="280"/>
      <c r="E62" s="278"/>
      <c r="F62" s="233"/>
      <c r="G62" s="337"/>
      <c r="H62" s="337"/>
      <c r="I62" s="336"/>
      <c r="J62" s="359"/>
      <c r="L62" s="359" t="str">
        <f ca="1">HLOOKUP(C61,'384Hào'!C3:BN74,70-(VLOOKUP(5,Setup!AK4:AO15,5,0)-1)*11,0)</f>
        <v>Dèm pha lắm chuyện, giữ gìn họa lây.</v>
      </c>
      <c r="N62" s="354" t="str">
        <f ca="1">HLOOKUP(C61,'384Hào'!C3:BN74,72-(VLOOKUP(5,Setup!AK4:AO15,5,0)-1)*11,0)</f>
        <v/>
      </c>
      <c r="AC62" s="251"/>
    </row>
    <row r="63" spans="1:29" ht="12.6" customHeight="1">
      <c r="A63" s="250"/>
      <c r="B63" s="250"/>
      <c r="C63" s="239"/>
      <c r="D63" s="346"/>
      <c r="E63" s="250"/>
      <c r="F63" s="232"/>
      <c r="G63" s="339" t="str">
        <f ca="1">HLOOKUP(C73,'384Hào'!C3:BN74,2,0)</f>
        <v>Bĩ là tắc (Bế tắc, mắc kẹt). Được quẻ, 3 hào trên là đạo quân tử thì tốt, 3 hào dưới là đạo tiểu nhân thì xấu.</v>
      </c>
      <c r="H63" s="341"/>
      <c r="I63" s="341"/>
      <c r="J63" s="365"/>
      <c r="K63" s="249"/>
      <c r="L63" s="365"/>
      <c r="M63" s="249"/>
      <c r="N63" s="249"/>
      <c r="O63" s="249"/>
      <c r="P63" s="249"/>
      <c r="Q63" s="250"/>
      <c r="R63" s="250"/>
      <c r="S63" s="250"/>
    </row>
    <row r="64" spans="1:29" ht="12.6" customHeight="1">
      <c r="C64" s="260" t="str">
        <f ca="1">IF(AND(Setup!B26&gt;=Setup!B15-1+VLOOKUP(6,Setup!AK4:AO15,2,0),Setup!B26&lt;=Setup!B15-1+VLOOKUP(6,Setup!AK4:AO15,4,0)),"Đương vận","")</f>
        <v/>
      </c>
      <c r="F64" s="233"/>
      <c r="G64" s="340"/>
      <c r="H64" s="342"/>
      <c r="I64" s="343"/>
      <c r="J64" s="359"/>
      <c r="L64" s="359" t="str">
        <f ca="1">HLOOKUP(C73,'384Hào'!C3:BN74,3,0)</f>
        <v>Có lộc mà cũng không màng lộc,</v>
      </c>
      <c r="N64" s="231" t="str">
        <f ca="1">HLOOKUP(C73,'384Hào'!C3:BN74,5,0)</f>
        <v xml:space="preserve">          Chí người quân tử bền sao, </v>
      </c>
    </row>
    <row r="65" spans="1:29" ht="12.6" customHeight="1">
      <c r="C65" s="258" t="str">
        <f ca="1">(Setup!B15-1+VLOOKUP(6,Setup!AK4:AO15,2,0))&amp;"-"&amp;Setup!B15-1+VLOOKUP(6,Setup!AK4:AO15,4,0)</f>
        <v>2038-2046</v>
      </c>
      <c r="F65" s="233"/>
      <c r="G65" s="340"/>
      <c r="H65" s="340"/>
      <c r="I65" s="343"/>
      <c r="J65" s="359"/>
      <c r="L65" s="359" t="str">
        <f ca="1">HLOOKUP(C73,'384Hào'!C3:BN74,4,0)</f>
        <v xml:space="preserve">Vị tuy cao chẳng lấy làm cao,     </v>
      </c>
      <c r="N65" s="231" t="str">
        <f ca="1">HLOOKUP(C73,'384Hào'!C3:BN74,6,0)</f>
        <v>Tiến lên đĩnh đạc anh hào thanh danh.</v>
      </c>
    </row>
    <row r="66" spans="1:29" ht="12.6" customHeight="1">
      <c r="C66" s="227" t="str">
        <f ca="1">VLOOKUP(6,Setup!AK4:AO15,2,0)&amp;"-"&amp;VLOOKUP(6,Setup!AK4:AO15,4,0)&amp;" Tuổi"</f>
        <v>37-45 Tuổi</v>
      </c>
      <c r="F66" s="233"/>
      <c r="G66" s="334" t="str">
        <f ca="1">HLOOKUP(C73,'384Hào'!C3:BN74,62-(VLOOKUP(6,Setup!AK4:AO15,5,0)-1)*11,0)</f>
        <v>Có vận mệnh, không lỗi gì, cả bọn được nhờ phúc (cả 3 hào dương).</v>
      </c>
      <c r="H66" s="337"/>
      <c r="I66" s="336"/>
      <c r="J66" s="359"/>
      <c r="L66" s="359"/>
      <c r="AC66" s="251"/>
    </row>
    <row r="67" spans="1:29" ht="12.6" customHeight="1">
      <c r="B67" s="347" t="str">
        <f ca="1">IF(VLOOKUP(6,Setup!AK4:AO15,5,0)=6,"*","")</f>
        <v/>
      </c>
      <c r="C67" s="216" t="str">
        <f ca="1">HLOOKUP(C61,'64Quẻ'!B5:DX11,2,0)</f>
        <v>———</v>
      </c>
      <c r="D67" s="358" t="str">
        <f ca="1">IF(C73="","",HLOOKUP(C13&amp;1,'64Quẻ'!B5:DY11,2,0))</f>
        <v>N.Tuất</v>
      </c>
      <c r="E67" s="278"/>
      <c r="F67" s="233"/>
      <c r="G67" s="335" t="str">
        <f ca="1">HLOOKUP(C73,'384Hào'!C3:BN74,63-(VLOOKUP(6,Setup!AK4:AO15,5,0)-1)*11,0)</f>
        <v>Ý HÀO: Có cơ hội ngộ.</v>
      </c>
      <c r="H67" s="340"/>
      <c r="I67" s="336"/>
      <c r="J67" s="359"/>
      <c r="L67" s="359"/>
      <c r="AC67" s="251"/>
    </row>
    <row r="68" spans="1:29" ht="12.6" customHeight="1">
      <c r="B68" s="280" t="str">
        <f ca="1">IF(VLOOKUP(6,Setup!AK4:AO15,5,0)=5,"*","")</f>
        <v/>
      </c>
      <c r="C68" s="216" t="str">
        <f ca="1">HLOOKUP(C61,'64Quẻ'!B5:DX11,3,0)</f>
        <v>———</v>
      </c>
      <c r="D68" s="358" t="str">
        <f ca="1">IF(C73="","",HLOOKUP(C13&amp;1,'64Quẻ'!B5:DY11,3,0))</f>
        <v>N.Thân</v>
      </c>
      <c r="E68" s="278"/>
      <c r="F68" s="233"/>
      <c r="G68" s="337"/>
      <c r="H68" s="224" t="str">
        <f ca="1">HLOOKUP(C73,'384Hào'!C3:BN74,64-(VLOOKUP(6,Setup!AK4:AO15,5,0)-1)*11,0)</f>
        <v>MHC: Có công danh phúc thọ, được đãi như quốc khách để thực hiện chí hướng.</v>
      </c>
      <c r="I68" s="336"/>
      <c r="J68" s="364"/>
      <c r="L68" s="364"/>
      <c r="AC68" s="251"/>
    </row>
    <row r="69" spans="1:29" ht="12.6" customHeight="1">
      <c r="B69" s="280" t="str">
        <f ca="1">IF(VLOOKUP(6,Setup!AK4:AO15,5,0)=4,"*","")</f>
        <v>*</v>
      </c>
      <c r="C69" s="216" t="str">
        <f ca="1">HLOOKUP(C61,'64Quẻ'!B5:DX11,4,0)</f>
        <v>———</v>
      </c>
      <c r="D69" s="358" t="str">
        <f ca="1">IF(C73="","",HLOOKUP(C13&amp;1,'64Quẻ'!B5:DY11,4,0))</f>
        <v>N.Ngọ</v>
      </c>
      <c r="E69" s="278"/>
      <c r="F69" s="233"/>
      <c r="G69" s="337"/>
      <c r="H69" s="338" t="str">
        <f ca="1">HLOOKUP(C73,'384Hào'!C3:BN74,65-(VLOOKUP(6,Setup!AK4:AO15,5,0)-1)*11,0)</f>
        <v>MKH: Cũng được hưởng phúc, ruộng vườn, hay hoạt động, ít tĩnh.</v>
      </c>
      <c r="I69" s="336"/>
      <c r="J69" s="359"/>
      <c r="L69" s="359"/>
      <c r="AC69" s="251"/>
    </row>
    <row r="70" spans="1:29" ht="12.6" customHeight="1">
      <c r="B70" s="280" t="str">
        <f ca="1">IF(VLOOKUP(6,Setup!AK4:AO15,5,0)=3,"*","")</f>
        <v/>
      </c>
      <c r="C70" s="278" t="str">
        <f ca="1">HLOOKUP(C61,'64Quẻ'!B5:DX11,5,0)</f>
        <v>—   —</v>
      </c>
      <c r="D70" s="358" t="str">
        <f ca="1">IF(C73="","",HLOOKUP(C13&amp;1,'64Quẻ'!B5:DY11,5,0))</f>
        <v>Ấ.Mão</v>
      </c>
      <c r="E70" s="278"/>
      <c r="F70" s="233"/>
      <c r="G70" s="337"/>
      <c r="H70" s="340"/>
      <c r="I70" s="224" t="str">
        <f ca="1">HLOOKUP(C73,'384Hào'!C3:BN74,66-(VLOOKUP(6,Setup!AK4:AO15,5,0)-1)*11,0)</f>
        <v>QC: Có đồng liêu giúp, lộc vị tiến.</v>
      </c>
      <c r="J70" s="359"/>
      <c r="L70" s="359"/>
      <c r="AC70" s="251"/>
    </row>
    <row r="71" spans="1:29" ht="12.6" customHeight="1">
      <c r="B71" s="280" t="str">
        <f ca="1">IF(VLOOKUP(6,Setup!AK4:AO15,5,0)=2,"*","")</f>
        <v/>
      </c>
      <c r="C71" s="278" t="str">
        <f ca="1">HLOOKUP(C61,'64Quẻ'!B5:DX11,6,0)</f>
        <v>—   —</v>
      </c>
      <c r="D71" s="358" t="str">
        <f ca="1">IF(C73="","",HLOOKUP(C13&amp;1,'64Quẻ'!B5:DY11,6,0))</f>
        <v>Ấ.Tỵ</v>
      </c>
      <c r="E71" s="278"/>
      <c r="F71" s="233"/>
      <c r="G71" s="337"/>
      <c r="H71" s="340"/>
      <c r="I71" s="224" t="str">
        <f ca="1">HLOOKUP(C73,'384Hào'!C3:BN74,67-(VLOOKUP(6,Setup!AK4:AO15,5,0)-1)*11,0)</f>
        <v>GS: Được tiến cử, danh dự lên.</v>
      </c>
      <c r="J71" s="359"/>
      <c r="L71" s="359"/>
      <c r="AC71" s="251"/>
    </row>
    <row r="72" spans="1:29" ht="12.6" customHeight="1">
      <c r="B72" s="280" t="str">
        <f ca="1">IF(VLOOKUP(6,Setup!AK4:AO15,5,0)=1,"*","")</f>
        <v/>
      </c>
      <c r="C72" s="278" t="str">
        <f ca="1">HLOOKUP(C61,'64Quẻ'!B5:DX11,7,0)</f>
        <v>—   —</v>
      </c>
      <c r="D72" s="358" t="str">
        <f ca="1">IF(C73="","",HLOOKUP(C13&amp;1,'64Quẻ'!B5:DY11,7,0))</f>
        <v>Ấ.Mùi</v>
      </c>
      <c r="E72" s="278"/>
      <c r="F72" s="233"/>
      <c r="G72" s="337"/>
      <c r="H72" s="340"/>
      <c r="I72" s="224" t="str">
        <f ca="1">HLOOKUP(C73,'384Hào'!C3:BN74,68-(VLOOKUP(6,Setup!AK4:AO15,5,0)-1)*11,0)</f>
        <v>NT: Ruộng vườn lợi tức tăng tiến, nhiều dịp vui mừng, con cháu đề huề.</v>
      </c>
      <c r="J72" s="359"/>
      <c r="L72" s="359"/>
      <c r="AC72" s="251"/>
    </row>
    <row r="73" spans="1:29" ht="12.6" customHeight="1">
      <c r="C73" s="259" t="str">
        <f ca="1">'Thể cách'!M10</f>
        <v>Bĩ</v>
      </c>
      <c r="D73" s="280"/>
      <c r="E73" s="278"/>
      <c r="F73" s="233"/>
      <c r="G73" s="337"/>
      <c r="H73" s="337"/>
      <c r="I73" s="336"/>
      <c r="J73" s="359"/>
      <c r="L73" s="359" t="str">
        <f ca="1">HLOOKUP(C73,'384Hào'!C3:BN74,69-(VLOOKUP(6,Setup!AK4:AO15,5,0)-1)*11,0)</f>
        <v xml:space="preserve">Quyền uy cờ đã đến tay,             </v>
      </c>
      <c r="N73" s="231" t="str">
        <f ca="1">HLOOKUP(C73,'384Hào'!C3:BN74,71-(VLOOKUP(6,Setup!AK4:AO15,5,0)-1)*11,0)</f>
        <v/>
      </c>
      <c r="AC73" s="251"/>
    </row>
    <row r="74" spans="1:29" ht="12.6" customHeight="1">
      <c r="A74" s="253"/>
      <c r="B74" s="253"/>
      <c r="C74" s="395">
        <f ca="1">IF(C13="","",HLOOKUP(C13,'64Quẻ'!B5:DX25,21,0))</f>
        <v>7</v>
      </c>
      <c r="D74" s="281"/>
      <c r="E74" s="279"/>
      <c r="F74" s="237"/>
      <c r="G74" s="344"/>
      <c r="H74" s="344"/>
      <c r="I74" s="345"/>
      <c r="J74" s="360"/>
      <c r="K74" s="252"/>
      <c r="L74" s="360" t="str">
        <f ca="1">HLOOKUP(C73,'384Hào'!C3:BN74,70-(VLOOKUP(6,Setup!AK4:AO15,5,0)-1)*11,0)</f>
        <v>Việc làm suông sẻ, thời này hanh thông.</v>
      </c>
      <c r="M74" s="252"/>
      <c r="N74" s="354" t="str">
        <f ca="1">HLOOKUP(C73,'384Hào'!C3:BN74,72-(VLOOKUP(6,Setup!AK4:AO15,5,0)-1)*11,0)</f>
        <v/>
      </c>
      <c r="O74" s="252"/>
      <c r="P74" s="252"/>
      <c r="Q74" s="253"/>
      <c r="R74" s="253"/>
      <c r="S74" s="253"/>
      <c r="AC74" s="251"/>
    </row>
    <row r="75" spans="1:29" ht="12.6" customHeight="1" thickBot="1">
      <c r="C75" s="411"/>
      <c r="D75" s="280"/>
      <c r="E75" s="278"/>
      <c r="F75" s="233"/>
      <c r="G75" s="337"/>
      <c r="H75" s="337"/>
      <c r="I75" s="336"/>
      <c r="J75" s="359"/>
      <c r="L75" s="359"/>
      <c r="N75" s="231"/>
      <c r="AC75" s="251"/>
    </row>
    <row r="76" spans="1:29" ht="16.5" thickTop="1">
      <c r="A76" s="760" t="s">
        <v>3584</v>
      </c>
      <c r="B76" s="760"/>
      <c r="C76" s="760"/>
      <c r="D76" s="760"/>
      <c r="E76" s="759" t="str">
        <f ca="1">"Từ "&amp;VLOOKUP(6,Setup!AK4:AO15,4,0)+1&amp;" tuổi đến "&amp;VLOOKUP(12,Setup!AK4:AO15,4,0)&amp;" tuổi"</f>
        <v>Từ 46 tuổi đến 87 tuổi</v>
      </c>
      <c r="F76" s="759"/>
      <c r="G76" s="759"/>
      <c r="H76" s="759"/>
      <c r="I76" s="759"/>
      <c r="J76" s="759"/>
      <c r="K76" s="757" t="str">
        <f ca="1">"Từ năm "&amp;(Setup!B15-1+VLOOKUP(7,Setup!AK4:AO15,2,0))&amp;" đến năm "&amp;Setup!B15-1+VLOOKUP(12,Setup!AK4:AO15,4,0)</f>
        <v>Từ năm 2047 đến năm 2088</v>
      </c>
      <c r="L76" s="757"/>
      <c r="M76" s="757"/>
      <c r="N76" s="757"/>
      <c r="O76" s="758"/>
      <c r="P76" s="758"/>
      <c r="Q76" s="758"/>
      <c r="R76" s="758"/>
      <c r="S76" s="758"/>
    </row>
    <row r="77" spans="1:29" ht="12.6" customHeight="1">
      <c r="C77" s="412"/>
      <c r="F77" s="233"/>
      <c r="G77" s="333" t="str">
        <f ca="1">HLOOKUP(C87,'384Hào'!C3:BN74,2,0)</f>
        <v>Minh Di là Thương (có ánh sáng nhưng bị tổn thương).</v>
      </c>
      <c r="H77" s="343"/>
      <c r="I77" s="343"/>
      <c r="J77" s="231"/>
      <c r="L77" s="238"/>
    </row>
    <row r="78" spans="1:29" ht="12.6" customHeight="1">
      <c r="C78" s="260" t="str">
        <f ca="1">IF(AND(Setup!B26&gt;=Setup!B15-1+VLOOKUP(7,Setup!AK4:AO15,2,0),Setup!B26&lt;=Setup!B15-1+VLOOKUP(7,Setup!AK4:AO15,4,0)),"Đương vận","")</f>
        <v/>
      </c>
      <c r="F78" s="233"/>
      <c r="G78" s="340"/>
      <c r="H78" s="342"/>
      <c r="I78" s="343"/>
      <c r="J78" s="359"/>
      <c r="L78" s="359" t="str">
        <f ca="1">HLOOKUP(C87,'384Hào'!C3:BN74,3,0)</f>
        <v xml:space="preserve">Người rình trong đất tổn thương,       </v>
      </c>
      <c r="N78" s="231" t="str">
        <f ca="1">HLOOKUP(C87,'384Hào'!C3:BN74,5,0)</f>
        <v/>
      </c>
    </row>
    <row r="79" spans="1:29" ht="12.6" customHeight="1">
      <c r="C79" s="258" t="str">
        <f ca="1">(Setup!B15-1+VLOOKUP(7,Setup!AK4:AO15,2,0))&amp;"-"&amp;Setup!B15-1+VLOOKUP(7,Setup!AK4:AO15,4,0)</f>
        <v>2047-2052</v>
      </c>
      <c r="F79" s="233"/>
      <c r="G79" s="340"/>
      <c r="H79" s="340"/>
      <c r="I79" s="343"/>
      <c r="J79" s="359"/>
      <c r="L79" s="359" t="str">
        <f ca="1">HLOOKUP(C87,'384Hào'!C3:BN74,4,0)</f>
        <v>Tuổi dương phòng bệnh khó lường hư hao.</v>
      </c>
      <c r="N79" s="231" t="str">
        <f ca="1">HLOOKUP(C87,'384Hào'!C3:BN74,6,0)</f>
        <v/>
      </c>
    </row>
    <row r="80" spans="1:29" ht="12.6" customHeight="1">
      <c r="C80" s="227" t="str">
        <f ca="1">VLOOKUP(7,Setup!AK4:AO15,2,0)&amp;"-"&amp;VLOOKUP(7,Setup!AK4:AO15,4,0)&amp;" Tuổi"</f>
        <v>46-51 Tuổi</v>
      </c>
      <c r="F80" s="233"/>
      <c r="G80" s="334" t="str">
        <f ca="1">HLOOKUP(C87,'384Hào'!C3:BN74,62-(VLOOKUP(7,Setup!AK4:AO15,5,0)-1)*11,0)</f>
        <v>Tổn thương mà tổn ở đùi vế bên trái, muốn dùng cách cứu (thì cũng chóng lành) như con ngựa khỏe, kết quả tốt.</v>
      </c>
      <c r="H80" s="337"/>
      <c r="I80" s="336"/>
      <c r="J80" s="359"/>
      <c r="L80" s="359"/>
      <c r="AC80" s="251"/>
    </row>
    <row r="81" spans="1:29" ht="12.6" customHeight="1">
      <c r="B81" s="347" t="str">
        <f ca="1">IF(VLOOKUP(7,Setup!AK4:AO15,5,0)=6,"*","")</f>
        <v/>
      </c>
      <c r="C81" s="216" t="str">
        <f ca="1">HLOOKUP(C87,'64Quẻ'!B5:DX11,2,0)</f>
        <v>—   —</v>
      </c>
      <c r="D81" s="358" t="str">
        <f ca="1">IF(C87="","",HLOOKUP(C87&amp;1,'64Quẻ'!B5:DY11,2,0))</f>
        <v>Q.Dậu</v>
      </c>
      <c r="E81" s="278"/>
      <c r="F81" s="233"/>
      <c r="G81" s="335" t="str">
        <f ca="1">HLOOKUP(C87,'384Hào'!C3:BN74,63-(VLOOKUP(7,Setup!AK4:AO15,5,0)-1)*11,0)</f>
        <v>Ý HÀO: Muốn khởi binh phạt kẻ tàn bạo thì phải xem có thuận lòng trời không.</v>
      </c>
      <c r="H81" s="340"/>
      <c r="I81" s="336"/>
      <c r="J81" s="359"/>
      <c r="L81" s="359"/>
      <c r="AC81" s="251"/>
    </row>
    <row r="82" spans="1:29" ht="12.6" customHeight="1">
      <c r="B82" s="280" t="str">
        <f ca="1">IF(VLOOKUP(7,Setup!AK4:AO15,5,0)=5,"*","")</f>
        <v/>
      </c>
      <c r="C82" s="216" t="str">
        <f ca="1">HLOOKUP(C87,'64Quẻ'!B5:DX11,3,0)</f>
        <v>—   —</v>
      </c>
      <c r="D82" s="358" t="str">
        <f ca="1">IF(C87="","",HLOOKUP(C87&amp;1,'64Quẻ'!B5:DY11,3,0))</f>
        <v>Q.Hợi</v>
      </c>
      <c r="E82" s="278"/>
      <c r="F82" s="233"/>
      <c r="G82" s="337"/>
      <c r="H82" s="224" t="str">
        <f ca="1">HLOOKUP(C87,'384Hào'!C3:BN74,64-(VLOOKUP(7,Setup!AK4:AO15,5,0)-1)*11,0)</f>
        <v>MHC: Có uy quyền để chinh phạt làm cho dân an nước vững.</v>
      </c>
      <c r="I82" s="336"/>
      <c r="J82" s="364"/>
      <c r="L82" s="364"/>
      <c r="AC82" s="251"/>
    </row>
    <row r="83" spans="1:29" ht="12.6" customHeight="1">
      <c r="B83" s="280" t="str">
        <f ca="1">IF(VLOOKUP(7,Setup!AK4:AO15,5,0)=4,"*","")</f>
        <v/>
      </c>
      <c r="C83" s="216" t="str">
        <f ca="1">HLOOKUP(C87,'64Quẻ'!B5:DX11,4,0)</f>
        <v>—   —</v>
      </c>
      <c r="D83" s="358" t="str">
        <f ca="1">IF(C87="","",HLOOKUP(C87&amp;1,'64Quẻ'!B5:DY11,4,0))</f>
        <v>Q.Sửu</v>
      </c>
      <c r="E83" s="278"/>
      <c r="F83" s="233"/>
      <c r="G83" s="337"/>
      <c r="H83" s="338" t="str">
        <f ca="1">HLOOKUP(C87,'384Hào'!C3:BN74,65-(VLOOKUP(7,Setup!AK4:AO15,5,0)-1)*11,0)</f>
        <v>MKH: Đắc chí hoành hành, nghịch trên nạt dưới, chỉ làm quân nhân thì lập được chút công lao.</v>
      </c>
      <c r="I83" s="336"/>
      <c r="J83" s="359"/>
      <c r="L83" s="359"/>
      <c r="AC83" s="251"/>
    </row>
    <row r="84" spans="1:29" ht="12.6" customHeight="1">
      <c r="B84" s="280" t="str">
        <f ca="1">IF(VLOOKUP(7,Setup!AK4:AO15,5,0)=3,"*","")</f>
        <v/>
      </c>
      <c r="C84" s="278" t="str">
        <f ca="1">HLOOKUP(C87,'64Quẻ'!B5:DX11,5,0)</f>
        <v>———</v>
      </c>
      <c r="D84" s="358" t="str">
        <f ca="1">IF(C87="","",HLOOKUP(C87&amp;1,'64Quẻ'!B5:DY11,5,0))</f>
        <v>K.Hợi</v>
      </c>
      <c r="E84" s="278"/>
      <c r="F84" s="233"/>
      <c r="G84" s="337"/>
      <c r="H84" s="340"/>
      <c r="I84" s="224" t="str">
        <f ca="1">HLOOKUP(C87,'384Hào'!C3:BN74,66-(VLOOKUP(7,Setup!AK4:AO15,5,0)-1)*11,0)</f>
        <v>QC: Có quyền binh tướng súy ở bên trong.</v>
      </c>
      <c r="J84" s="359"/>
      <c r="L84" s="359"/>
      <c r="AC84" s="251"/>
    </row>
    <row r="85" spans="1:29" ht="12.6" customHeight="1">
      <c r="B85" s="280" t="str">
        <f ca="1">IF(VLOOKUP(7,Setup!AK4:AO15,5,0)=2,"*","")</f>
        <v>*</v>
      </c>
      <c r="C85" s="278" t="str">
        <f ca="1">HLOOKUP(C87,'64Quẻ'!B5:DX11,6,0)</f>
        <v>—   —</v>
      </c>
      <c r="D85" s="358" t="str">
        <f ca="1">IF(C87="","",HLOOKUP(C87&amp;1,'64Quẻ'!B5:DY11,6,0))</f>
        <v>K.Sửu</v>
      </c>
      <c r="E85" s="278"/>
      <c r="F85" s="233"/>
      <c r="G85" s="337"/>
      <c r="H85" s="340"/>
      <c r="I85" s="224" t="str">
        <f ca="1">HLOOKUP(C87,'384Hào'!C3:BN74,67-(VLOOKUP(7,Setup!AK4:AO15,5,0)-1)*11,0)</f>
        <v>GS: Có cái mừng chiếm được công đầu.</v>
      </c>
      <c r="J85" s="359"/>
      <c r="L85" s="359"/>
      <c r="AC85" s="251"/>
    </row>
    <row r="86" spans="1:29" ht="12.6" customHeight="1">
      <c r="B86" s="280" t="str">
        <f ca="1">IF(VLOOKUP(7,Setup!AK4:AO15,5,0)=1,"*","")</f>
        <v/>
      </c>
      <c r="C86" s="278" t="str">
        <f ca="1">HLOOKUP(C87,'64Quẻ'!B5:DX11,7,0)</f>
        <v>———</v>
      </c>
      <c r="D86" s="358" t="str">
        <f ca="1">IF(C87="","",HLOOKUP(C87&amp;1,'64Quẻ'!B5:DY11,7,0))</f>
        <v>K.Mão</v>
      </c>
      <c r="E86" s="278"/>
      <c r="F86" s="233"/>
      <c r="G86" s="337"/>
      <c r="H86" s="340"/>
      <c r="I86" s="224" t="str">
        <f ca="1">HLOOKUP(C87,'384Hào'!C3:BN74,68-(VLOOKUP(7,Setup!AK4:AO15,5,0)-1)*11,0)</f>
        <v>NT: Dễ bị tai họa.</v>
      </c>
      <c r="J86" s="359"/>
      <c r="L86" s="359"/>
      <c r="AC86" s="251"/>
    </row>
    <row r="87" spans="1:29" ht="12.6" customHeight="1">
      <c r="C87" s="259" t="str">
        <f ca="1">'Thể cách'!Q10</f>
        <v>M.Di</v>
      </c>
      <c r="D87" s="280"/>
      <c r="E87" s="278"/>
      <c r="F87" s="233"/>
      <c r="G87" s="337"/>
      <c r="H87" s="337"/>
      <c r="I87" s="336"/>
      <c r="J87" s="359"/>
      <c r="L87" s="359" t="str">
        <f ca="1">HLOOKUP(C87,'384Hào'!C3:BN74,69-(VLOOKUP(7,Setup!AK4:AO15,5,0)-1)*11,0)</f>
        <v xml:space="preserve">Thương sơ, cấp cứu khỏi ngay      </v>
      </c>
      <c r="N87" s="231" t="str">
        <f ca="1">HLOOKUP(C87,'384Hào'!C3:BN74,71-(VLOOKUP(7,Setup!AK4:AO15,5,0)-1)*11,0)</f>
        <v/>
      </c>
      <c r="AC87" s="251"/>
    </row>
    <row r="88" spans="1:29" ht="12.6" customHeight="1">
      <c r="A88" s="253"/>
      <c r="C88" s="395">
        <f ca="1">IF(C87="","",HLOOKUP(C87,'64Quẻ'!B5:DX25,21,0))</f>
        <v>8</v>
      </c>
      <c r="D88" s="280"/>
      <c r="E88" s="278"/>
      <c r="F88" s="233"/>
      <c r="G88" s="337"/>
      <c r="H88" s="337"/>
      <c r="I88" s="336"/>
      <c r="J88" s="359"/>
      <c r="L88" s="359" t="str">
        <f ca="1">HLOOKUP(C87,'384Hào'!C3:BN74,70-(VLOOKUP(7,Setup!AK4:AO15,5,0)-1)*11,0)</f>
        <v>Xuân sang, nạn khỏi phúc dầy, lộc hơn.</v>
      </c>
      <c r="N88" s="354" t="str">
        <f ca="1">HLOOKUP(C87,'384Hào'!C3:BN74,72-(VLOOKUP(7,Setup!AK4:AO15,5,0)-1)*11,0)</f>
        <v/>
      </c>
      <c r="AC88" s="251"/>
    </row>
    <row r="89" spans="1:29" ht="12.6" customHeight="1">
      <c r="A89" s="250"/>
      <c r="B89" s="250"/>
      <c r="C89" s="239"/>
      <c r="D89" s="346"/>
      <c r="E89" s="250"/>
      <c r="F89" s="232"/>
      <c r="G89" s="339" t="str">
        <f ca="1">HLOOKUP(C99,'384Hào'!C3:BN74,2,0)</f>
        <v>Minh Di là Thương (có ánh sáng nhưng bị tổn thương).</v>
      </c>
      <c r="H89" s="341"/>
      <c r="I89" s="341"/>
      <c r="J89" s="365"/>
      <c r="K89" s="249"/>
      <c r="L89" s="365"/>
      <c r="M89" s="249"/>
      <c r="N89" s="249"/>
      <c r="O89" s="249"/>
      <c r="P89" s="249"/>
      <c r="Q89" s="250"/>
      <c r="R89" s="250"/>
      <c r="S89" s="250"/>
    </row>
    <row r="90" spans="1:29" ht="12.6" customHeight="1">
      <c r="C90" s="260" t="str">
        <f ca="1">IF(AND(Setup!B26&gt;=Setup!B15-1+VLOOKUP(8,Setup!AK4:AO15,2,0),Setup!B26&lt;=Setup!B15-1+VLOOKUP(8,Setup!AK4:AO15,4,0)),"Đương vận","")</f>
        <v/>
      </c>
      <c r="F90" s="233"/>
      <c r="G90" s="340"/>
      <c r="H90" s="342"/>
      <c r="I90" s="343"/>
      <c r="J90" s="359"/>
      <c r="L90" s="359" t="str">
        <f ca="1">HLOOKUP(C99,'384Hào'!C3:BN74,3,0)</f>
        <v xml:space="preserve">Người rình trong đất tổn thương,       </v>
      </c>
      <c r="N90" s="231" t="str">
        <f ca="1">HLOOKUP(C99,'384Hào'!C3:BN74,5,0)</f>
        <v/>
      </c>
    </row>
    <row r="91" spans="1:29" ht="12.6" customHeight="1">
      <c r="C91" s="258" t="str">
        <f ca="1">(Setup!B15-1+VLOOKUP(8,Setup!AK4:AO15,2,0))&amp;"-"&amp;Setup!B15-1+VLOOKUP(8,Setup!AK4:AO15,4,0)</f>
        <v>2053-2061</v>
      </c>
      <c r="F91" s="233"/>
      <c r="G91" s="340"/>
      <c r="H91" s="340"/>
      <c r="I91" s="343"/>
      <c r="J91" s="359"/>
      <c r="L91" s="359" t="str">
        <f ca="1">HLOOKUP(C99,'384Hào'!C3:BN74,4,0)</f>
        <v>Tuổi dương phòng bệnh khó lường hư hao.</v>
      </c>
      <c r="N91" s="231" t="str">
        <f ca="1">HLOOKUP(C99,'384Hào'!C3:BN74,6,0)</f>
        <v/>
      </c>
    </row>
    <row r="92" spans="1:29" ht="12.6" customHeight="1">
      <c r="C92" s="227" t="str">
        <f ca="1">VLOOKUP(8,Setup!AK4:AO15,2,0)&amp;"-"&amp;VLOOKUP(8,Setup!AK4:AO15,4,0)&amp;" Tuổi"</f>
        <v>52-60 Tuổi</v>
      </c>
      <c r="F92" s="233"/>
      <c r="G92" s="334" t="str">
        <f ca="1">HLOOKUP(C99,'384Hào'!C3:BN74,62-(VLOOKUP(8,Setup!AK4:AO15,5,0)-1)*11,0)</f>
        <v>Tổn thương ở chỗ đi trừ loạn ở phía Nam, bắt được thằng đầu sỏ lớn, nhưng chẳng nên vội tuy là chính.</v>
      </c>
      <c r="H92" s="337"/>
      <c r="I92" s="336"/>
      <c r="J92" s="359"/>
      <c r="L92" s="359"/>
      <c r="AC92" s="251"/>
    </row>
    <row r="93" spans="1:29" ht="12.6" customHeight="1">
      <c r="B93" s="347" t="str">
        <f ca="1">IF(VLOOKUP(8,Setup!AK4:AO15,5,0)=6,"*","")</f>
        <v/>
      </c>
      <c r="C93" s="216" t="str">
        <f ca="1">HLOOKUP(C99,'64Quẻ'!B5:DX11,2,0)</f>
        <v>—   —</v>
      </c>
      <c r="D93" s="358" t="str">
        <f ca="1">IF(C99="","",HLOOKUP(C99&amp;1,'64Quẻ'!B5:DY11,2,0))</f>
        <v>Q.Dậu</v>
      </c>
      <c r="E93" s="278"/>
      <c r="F93" s="233"/>
      <c r="G93" s="335" t="str">
        <f ca="1">HLOOKUP(C99,'384Hào'!C3:BN74,63-(VLOOKUP(8,Setup!AK4:AO15,5,0)-1)*11,0)</f>
        <v>Ý HÀO: Trên dưới đều có tổn thương, nên ánh sáng chiếu vào bị trở ngại, nếu không tranh tụng thì cũng tật ách.</v>
      </c>
      <c r="H93" s="340"/>
      <c r="I93" s="336"/>
      <c r="J93" s="359"/>
      <c r="L93" s="359"/>
      <c r="AC93" s="251"/>
    </row>
    <row r="94" spans="1:29" ht="12.6" customHeight="1">
      <c r="B94" s="280" t="str">
        <f ca="1">IF(VLOOKUP(8,Setup!AK4:AO15,5,0)=5,"*","")</f>
        <v/>
      </c>
      <c r="C94" s="216" t="str">
        <f ca="1">HLOOKUP(C99,'64Quẻ'!B5:DX11,3,0)</f>
        <v>—   —</v>
      </c>
      <c r="D94" s="358" t="str">
        <f ca="1">IF(C99="","",HLOOKUP(C99&amp;1,'64Quẻ'!B5:DY11,3,0))</f>
        <v>Q.Hợi</v>
      </c>
      <c r="E94" s="278"/>
      <c r="F94" s="233"/>
      <c r="G94" s="337"/>
      <c r="H94" s="224" t="str">
        <f ca="1">HLOOKUP(C99,'384Hào'!C3:BN74,64-(VLOOKUP(8,Setup!AK4:AO15,5,0)-1)*11,0)</f>
        <v>MHC: Nếu có hóa công nguyên khí thì có tạo tác nhà cửa.</v>
      </c>
      <c r="I94" s="336"/>
      <c r="J94" s="364"/>
      <c r="L94" s="364"/>
      <c r="AC94" s="251"/>
    </row>
    <row r="95" spans="1:29" ht="12.6" customHeight="1">
      <c r="B95" s="280" t="str">
        <f ca="1">IF(VLOOKUP(8,Setup!AK4:AO15,5,0)=4,"*","")</f>
        <v/>
      </c>
      <c r="C95" s="216" t="str">
        <f ca="1">HLOOKUP(C99,'64Quẻ'!B5:DX11,4,0)</f>
        <v>—   —</v>
      </c>
      <c r="D95" s="358" t="str">
        <f ca="1">IF(C99="","",HLOOKUP(C99&amp;1,'64Quẻ'!B5:DY11,4,0))</f>
        <v>Q.Sửu</v>
      </c>
      <c r="E95" s="278"/>
      <c r="F95" s="233"/>
      <c r="G95" s="337"/>
      <c r="H95" s="338" t="str">
        <f ca="1">HLOOKUP(C99,'384Hào'!C3:BN74,65-(VLOOKUP(8,Setup!AK4:AO15,5,0)-1)*11,0)</f>
        <v>MKH: Thì vế bên trái bị tổn thương, hoặc phải chia tay đi xa ngàn dặm.</v>
      </c>
      <c r="I95" s="336"/>
      <c r="J95" s="359"/>
      <c r="L95" s="359"/>
      <c r="AC95" s="251"/>
    </row>
    <row r="96" spans="1:29" ht="12.6" customHeight="1">
      <c r="B96" s="280" t="str">
        <f ca="1">IF(VLOOKUP(8,Setup!AK4:AO15,5,0)=3,"*","")</f>
        <v>*</v>
      </c>
      <c r="C96" s="278" t="str">
        <f ca="1">HLOOKUP(C99,'64Quẻ'!B5:DX11,5,0)</f>
        <v>———</v>
      </c>
      <c r="D96" s="358" t="str">
        <f ca="1">IF(C99="","",HLOOKUP(C99&amp;1,'64Quẻ'!B5:DY11,5,0))</f>
        <v>K.Hợi</v>
      </c>
      <c r="E96" s="278"/>
      <c r="F96" s="233"/>
      <c r="G96" s="337"/>
      <c r="H96" s="340"/>
      <c r="I96" s="224" t="str">
        <f ca="1">HLOOKUP(C99,'384Hào'!C3:BN74,66-(VLOOKUP(8,Setup!AK4:AO15,5,0)-1)*11,0)</f>
        <v>QC: Có quyền binh tướng súy ở bên trong.</v>
      </c>
      <c r="J96" s="359"/>
      <c r="L96" s="359"/>
      <c r="AC96" s="251"/>
    </row>
    <row r="97" spans="1:29" ht="12.6" customHeight="1">
      <c r="B97" s="280" t="str">
        <f ca="1">IF(VLOOKUP(8,Setup!AK4:AO15,5,0)=2,"*","")</f>
        <v/>
      </c>
      <c r="C97" s="278" t="str">
        <f ca="1">HLOOKUP(C99,'64Quẻ'!B5:DX11,6,0)</f>
        <v>—   —</v>
      </c>
      <c r="D97" s="358" t="str">
        <f ca="1">IF(C99="","",HLOOKUP(C99&amp;1,'64Quẻ'!B5:DY11,6,0))</f>
        <v>K.Sửu</v>
      </c>
      <c r="E97" s="278"/>
      <c r="F97" s="233"/>
      <c r="G97" s="337"/>
      <c r="H97" s="340"/>
      <c r="I97" s="224" t="str">
        <f ca="1">HLOOKUP(C99,'384Hào'!C3:BN74,67-(VLOOKUP(8,Setup!AK4:AO15,5,0)-1)*11,0)</f>
        <v>GS: Có cái mừng chiếm được công đầu.</v>
      </c>
      <c r="J97" s="359"/>
      <c r="L97" s="359"/>
      <c r="AC97" s="251"/>
    </row>
    <row r="98" spans="1:29" ht="12.6" customHeight="1">
      <c r="B98" s="280" t="str">
        <f ca="1">IF(VLOOKUP(8,Setup!AK4:AO15,5,0)=1,"*","")</f>
        <v/>
      </c>
      <c r="C98" s="278" t="str">
        <f ca="1">HLOOKUP(C99,'64Quẻ'!B5:DX11,7,0)</f>
        <v>———</v>
      </c>
      <c r="D98" s="358" t="str">
        <f ca="1">IF(C99="","",HLOOKUP(C99&amp;1,'64Quẻ'!B5:DY11,7,0))</f>
        <v>K.Mão</v>
      </c>
      <c r="E98" s="278"/>
      <c r="F98" s="233"/>
      <c r="G98" s="337"/>
      <c r="H98" s="340"/>
      <c r="I98" s="224" t="str">
        <f ca="1">HLOOKUP(C99,'384Hào'!C3:BN74,68-(VLOOKUP(8,Setup!AK4:AO15,5,0)-1)*11,0)</f>
        <v>NT: Dễ bị tai họa.</v>
      </c>
      <c r="J98" s="359"/>
      <c r="L98" s="359"/>
      <c r="AC98" s="251"/>
    </row>
    <row r="99" spans="1:29" ht="12.6" customHeight="1">
      <c r="C99" s="259" t="str">
        <f ca="1">'Thể cách'!Q10</f>
        <v>M.Di</v>
      </c>
      <c r="D99" s="280"/>
      <c r="E99" s="278"/>
      <c r="F99" s="233"/>
      <c r="G99" s="337"/>
      <c r="H99" s="337"/>
      <c r="I99" s="336"/>
      <c r="J99" s="359"/>
      <c r="L99" s="359" t="str">
        <f ca="1">HLOOKUP(C99,'384Hào'!C3:BN74,69-(VLOOKUP(8,Setup!AK4:AO15,5,0)-1)*11,0)</f>
        <v xml:space="preserve">Việc làm đến vận đạt to,         </v>
      </c>
      <c r="N99" s="231" t="str">
        <f ca="1">HLOOKUP(C99,'384Hào'!C3:BN74,71-(VLOOKUP(8,Setup!AK4:AO15,5,0)-1)*11,0)</f>
        <v/>
      </c>
      <c r="AC99" s="251"/>
    </row>
    <row r="100" spans="1:29" ht="12.6" customHeight="1">
      <c r="A100" s="253"/>
      <c r="C100" s="395">
        <f ca="1">IF(C87="","",HLOOKUP(C87,'64Quẻ'!B5:DX25,21,0))</f>
        <v>8</v>
      </c>
      <c r="D100" s="280"/>
      <c r="E100" s="278"/>
      <c r="F100" s="233"/>
      <c r="G100" s="337"/>
      <c r="H100" s="337"/>
      <c r="I100" s="336"/>
      <c r="J100" s="359"/>
      <c r="L100" s="359" t="str">
        <f ca="1">HLOOKUP(C99,'384Hào'!C3:BN74,70-(VLOOKUP(8,Setup!AK4:AO15,5,0)-1)*11,0)</f>
        <v>Nhưng nên thong thả để dò tai nguy.</v>
      </c>
      <c r="N100" s="354" t="str">
        <f ca="1">HLOOKUP(C99,'384Hào'!C3:BN74,72-(VLOOKUP(8,Setup!AK4:AO15,5,0)-1)*11,0)</f>
        <v/>
      </c>
      <c r="AC100" s="251"/>
    </row>
    <row r="101" spans="1:29" ht="12.6" customHeight="1">
      <c r="A101" s="250"/>
      <c r="B101" s="250"/>
      <c r="C101" s="239"/>
      <c r="D101" s="346"/>
      <c r="E101" s="250"/>
      <c r="F101" s="232"/>
      <c r="G101" s="339" t="str">
        <f ca="1">HLOOKUP(C111,'384Hào'!C3:BN74,2,0)</f>
        <v>Minh Di là Thương (có ánh sáng nhưng bị tổn thương).</v>
      </c>
      <c r="H101" s="341"/>
      <c r="I101" s="341"/>
      <c r="J101" s="365"/>
      <c r="K101" s="249"/>
      <c r="L101" s="365"/>
      <c r="M101" s="249"/>
      <c r="N101" s="249"/>
      <c r="O101" s="249"/>
      <c r="P101" s="249"/>
      <c r="Q101" s="250"/>
      <c r="R101" s="250"/>
      <c r="S101" s="250"/>
    </row>
    <row r="102" spans="1:29" ht="12.6" customHeight="1">
      <c r="C102" s="260" t="str">
        <f ca="1">IF(AND(Setup!B26&gt;=Setup!B15-1+VLOOKUP(9,Setup!AK4:AO15,2,0),Setup!B26&lt;=Setup!B15-1+VLOOKUP(9,Setup!AK4:AO15,4,0)),"Đương vận","")</f>
        <v/>
      </c>
      <c r="F102" s="233"/>
      <c r="G102" s="340"/>
      <c r="H102" s="342"/>
      <c r="I102" s="343"/>
      <c r="J102" s="359"/>
      <c r="L102" s="359" t="str">
        <f ca="1">HLOOKUP(C111,'384Hào'!C3:BN74,3,0)</f>
        <v xml:space="preserve">Người rình trong đất tổn thương,       </v>
      </c>
      <c r="N102" s="231" t="str">
        <f ca="1">HLOOKUP(C111,'384Hào'!C3:BN74,5,0)</f>
        <v/>
      </c>
    </row>
    <row r="103" spans="1:29" ht="12.6" customHeight="1">
      <c r="C103" s="258" t="str">
        <f ca="1">(Setup!B15-1+VLOOKUP(9,Setup!AK4:AO15,2,0))&amp;"-"&amp;Setup!B15-1+VLOOKUP(9,Setup!AK4:AO15,4,0)</f>
        <v>2062-2067</v>
      </c>
      <c r="F103" s="233"/>
      <c r="G103" s="340"/>
      <c r="H103" s="340"/>
      <c r="I103" s="343"/>
      <c r="J103" s="359"/>
      <c r="L103" s="359" t="str">
        <f ca="1">HLOOKUP(C111,'384Hào'!C3:BN74,4,0)</f>
        <v>Tuổi dương phòng bệnh khó lường hư hao.</v>
      </c>
      <c r="N103" s="231" t="str">
        <f ca="1">HLOOKUP(C111,'384Hào'!C3:BN74,6,0)</f>
        <v/>
      </c>
    </row>
    <row r="104" spans="1:29" ht="12.6" customHeight="1">
      <c r="C104" s="227" t="str">
        <f ca="1">VLOOKUP(9,Setup!AK4:AO15,2,0)&amp;"-"&amp;VLOOKUP(9,Setup!AK4:AO15,4,0)&amp;" Tuổi"</f>
        <v>61-66 Tuổi</v>
      </c>
      <c r="F104" s="233"/>
      <c r="G104" s="334" t="str">
        <f ca="1">HLOOKUP(C111,'384Hào'!C3:BN74,62-(VLOOKUP(9,Setup!AK4:AO15,5,0)-1)*11,0)</f>
        <v>Đi vào (chỗ tối như) bên trái bụng, muốn thỏa lòng trong thời Minh Di thì nên ra khỏi cửa, sân.</v>
      </c>
      <c r="H104" s="337"/>
      <c r="I104" s="336"/>
      <c r="J104" s="359"/>
      <c r="L104" s="359"/>
      <c r="AC104" s="251"/>
    </row>
    <row r="105" spans="1:29" ht="12.6" customHeight="1">
      <c r="B105" s="347" t="str">
        <f ca="1">IF(VLOOKUP(9,Setup!AK4:AO15,5,0)=6,"*","")</f>
        <v/>
      </c>
      <c r="C105" s="216" t="str">
        <f ca="1">HLOOKUP(C111,'64Quẻ'!B5:DX11,2,0)</f>
        <v>—   —</v>
      </c>
      <c r="D105" s="358" t="str">
        <f ca="1">IF(C111="","",HLOOKUP(C111&amp;1,'64Quẻ'!B5:DY11,2,0))</f>
        <v>Q.Dậu</v>
      </c>
      <c r="E105" s="278"/>
      <c r="F105" s="233"/>
      <c r="G105" s="335" t="str">
        <f ca="1">HLOOKUP(C111,'384Hào'!C3:BN74,63-(VLOOKUP(9,Setup!AK4:AO15,5,0)-1)*11,0)</f>
        <v>Ý HÀO: Vào chỗ tối còn nông, còn có thể đi ra xa được.</v>
      </c>
      <c r="H105" s="340"/>
      <c r="I105" s="336"/>
      <c r="J105" s="359"/>
      <c r="L105" s="359"/>
      <c r="AC105" s="251"/>
    </row>
    <row r="106" spans="1:29" ht="12.6" customHeight="1">
      <c r="B106" s="280" t="str">
        <f ca="1">IF(VLOOKUP(9,Setup!AK4:AO15,5,0)=5,"*","")</f>
        <v/>
      </c>
      <c r="C106" s="216" t="str">
        <f ca="1">HLOOKUP(C111,'64Quẻ'!B5:DX11,3,0)</f>
        <v>—   —</v>
      </c>
      <c r="D106" s="358" t="str">
        <f ca="1">IF(C111="","",HLOOKUP(C111&amp;1,'64Quẻ'!B5:DY11,3,0))</f>
        <v>Q.Hợi</v>
      </c>
      <c r="E106" s="278"/>
      <c r="F106" s="233"/>
      <c r="G106" s="337"/>
      <c r="H106" s="224" t="str">
        <f ca="1">HLOOKUP(C111,'384Hào'!C3:BN74,64-(VLOOKUP(9,Setup!AK4:AO15,5,0)-1)*11,0)</f>
        <v>MHC: Là tâm phúc được sủng ái của chính quyền.</v>
      </c>
      <c r="I106" s="336"/>
      <c r="J106" s="364"/>
      <c r="L106" s="364"/>
      <c r="AC106" s="251"/>
    </row>
    <row r="107" spans="1:29" ht="12.6" customHeight="1">
      <c r="B107" s="280" t="str">
        <f ca="1">IF(VLOOKUP(9,Setup!AK4:AO15,5,0)=4,"*","")</f>
        <v>*</v>
      </c>
      <c r="C107" s="216" t="str">
        <f ca="1">HLOOKUP(C111,'64Quẻ'!B5:DX11,4,0)</f>
        <v>—   —</v>
      </c>
      <c r="D107" s="358" t="str">
        <f ca="1">IF(C111="","",HLOOKUP(C111&amp;1,'64Quẻ'!B5:DY11,4,0))</f>
        <v>Q.Sửu</v>
      </c>
      <c r="E107" s="278"/>
      <c r="F107" s="233"/>
      <c r="G107" s="337"/>
      <c r="H107" s="338" t="str">
        <f ca="1">HLOOKUP(C111,'384Hào'!C3:BN74,65-(VLOOKUP(9,Setup!AK4:AO15,5,0)-1)*11,0)</f>
        <v>MKH: Quỷ quyệt, xâu dân mọt nước.</v>
      </c>
      <c r="I107" s="336"/>
      <c r="J107" s="359"/>
      <c r="L107" s="359"/>
      <c r="AC107" s="251"/>
    </row>
    <row r="108" spans="1:29" ht="12.6" customHeight="1">
      <c r="B108" s="280" t="str">
        <f ca="1">IF(VLOOKUP(9,Setup!AK4:AO15,5,0)=3,"*","")</f>
        <v/>
      </c>
      <c r="C108" s="278" t="str">
        <f ca="1">HLOOKUP(C111,'64Quẻ'!B5:DX11,5,0)</f>
        <v>———</v>
      </c>
      <c r="D108" s="358" t="str">
        <f ca="1">IF(C111="","",HLOOKUP(C111&amp;1,'64Quẻ'!B5:DY11,5,0))</f>
        <v>K.Hợi</v>
      </c>
      <c r="E108" s="278"/>
      <c r="F108" s="233"/>
      <c r="G108" s="337"/>
      <c r="H108" s="340"/>
      <c r="I108" s="224" t="str">
        <f ca="1">HLOOKUP(C111,'384Hào'!C3:BN74,66-(VLOOKUP(9,Setup!AK4:AO15,5,0)-1)*11,0)</f>
        <v>QC: Được trao việc quan trọng, ở trong thì chuyển ra ngoài, ở tối lâu được ra sáng.</v>
      </c>
      <c r="J108" s="359"/>
      <c r="L108" s="359"/>
      <c r="AC108" s="251"/>
    </row>
    <row r="109" spans="1:29" ht="12.6" customHeight="1">
      <c r="B109" s="280" t="str">
        <f ca="1">IF(VLOOKUP(9,Setup!AK4:AO15,5,0)=2,"*","")</f>
        <v/>
      </c>
      <c r="C109" s="278" t="str">
        <f ca="1">HLOOKUP(C111,'64Quẻ'!B5:DX11,6,0)</f>
        <v>—   —</v>
      </c>
      <c r="D109" s="358" t="str">
        <f ca="1">IF(C111="","",HLOOKUP(C111&amp;1,'64Quẻ'!B5:DY11,6,0))</f>
        <v>K.Sửu</v>
      </c>
      <c r="E109" s="278"/>
      <c r="F109" s="233"/>
      <c r="G109" s="337"/>
      <c r="H109" s="340"/>
      <c r="I109" s="224" t="str">
        <f ca="1">HLOOKUP(C111,'384Hào'!C3:BN74,67-(VLOOKUP(9,Setup!AK4:AO15,5,0)-1)*11,0)</f>
        <v>GS: Được trao việc quan trọng, ở trong thì chuyển ra ngoài, ở tối lâu được ra sáng.</v>
      </c>
      <c r="J109" s="359"/>
      <c r="L109" s="359"/>
      <c r="AC109" s="251"/>
    </row>
    <row r="110" spans="1:29" ht="12.6" customHeight="1">
      <c r="B110" s="280" t="str">
        <f ca="1">IF(VLOOKUP(9,Setup!AK4:AO15,5,0)=1,"*","")</f>
        <v/>
      </c>
      <c r="C110" s="278" t="str">
        <f ca="1">HLOOKUP(C111,'64Quẻ'!B5:DX11,7,0)</f>
        <v>———</v>
      </c>
      <c r="D110" s="358" t="str">
        <f ca="1">IF(C111="","",HLOOKUP(C111&amp;1,'64Quẻ'!B5:DY11,7,0))</f>
        <v>K.Mão</v>
      </c>
      <c r="E110" s="278"/>
      <c r="F110" s="233"/>
      <c r="G110" s="337"/>
      <c r="H110" s="340"/>
      <c r="I110" s="224" t="str">
        <f ca="1">HLOOKUP(C111,'384Hào'!C3:BN74,68-(VLOOKUP(9,Setup!AK4:AO15,5,0)-1)*11,0)</f>
        <v>NT: Bị giam được thoát thân. Ra ngoài doanh thương gặp bạn nhà buôn đắc lực. Đàn bà có mang sinh sản. Số xấu thì có bệnh ở tim ở bụng.</v>
      </c>
      <c r="J110" s="359"/>
      <c r="L110" s="359"/>
      <c r="AC110" s="251"/>
    </row>
    <row r="111" spans="1:29" ht="12.6" customHeight="1">
      <c r="C111" s="259" t="str">
        <f ca="1">'Thể cách'!Q10</f>
        <v>M.Di</v>
      </c>
      <c r="D111" s="280"/>
      <c r="E111" s="278"/>
      <c r="F111" s="233"/>
      <c r="G111" s="337"/>
      <c r="H111" s="337"/>
      <c r="I111" s="336"/>
      <c r="J111" s="359"/>
      <c r="L111" s="359" t="str">
        <f ca="1">HLOOKUP(C111,'384Hào'!C3:BN74,69-(VLOOKUP(9,Setup!AK4:AO15,5,0)-1)*11,0)</f>
        <v xml:space="preserve">Nguy lo thoát, vững tinh thần         </v>
      </c>
      <c r="N111" s="231" t="str">
        <f ca="1">HLOOKUP(C111,'384Hào'!C3:BN74,71-(VLOOKUP(9,Setup!AK4:AO15,5,0)-1)*11,0)</f>
        <v/>
      </c>
      <c r="AC111" s="251"/>
    </row>
    <row r="112" spans="1:29" ht="12.6" customHeight="1">
      <c r="A112" s="253"/>
      <c r="C112" s="395">
        <f ca="1">IF(C87="","",HLOOKUP(C87,'64Quẻ'!B5:DX25,21,0))</f>
        <v>8</v>
      </c>
      <c r="D112" s="280"/>
      <c r="E112" s="278"/>
      <c r="F112" s="233"/>
      <c r="G112" s="337"/>
      <c r="H112" s="337"/>
      <c r="I112" s="336"/>
      <c r="J112" s="359"/>
      <c r="L112" s="359" t="str">
        <f ca="1">HLOOKUP(C111,'384Hào'!C3:BN74,70-(VLOOKUP(9,Setup!AK4:AO15,5,0)-1)*11,0)</f>
        <v>Bây giờ, danh lợi tiến thân được rồi.</v>
      </c>
      <c r="N112" s="354" t="str">
        <f ca="1">HLOOKUP(C111,'384Hào'!C3:BN74,72-(VLOOKUP(9,Setup!AK4:AO15,5,0)-1)*11,0)</f>
        <v/>
      </c>
      <c r="AC112" s="251"/>
    </row>
    <row r="113" spans="1:29" ht="12.6" customHeight="1">
      <c r="A113" s="250"/>
      <c r="B113" s="250"/>
      <c r="C113" s="239"/>
      <c r="D113" s="346"/>
      <c r="E113" s="250"/>
      <c r="F113" s="232"/>
      <c r="G113" s="339" t="str">
        <f ca="1">HLOOKUP(C123,'384Hào'!C3:BN74,2,0)</f>
        <v>Minh Di là Thương (có ánh sáng nhưng bị tổn thương).</v>
      </c>
      <c r="H113" s="341"/>
      <c r="I113" s="341"/>
      <c r="J113" s="365"/>
      <c r="K113" s="249"/>
      <c r="L113" s="365"/>
      <c r="M113" s="249"/>
      <c r="N113" s="249"/>
      <c r="O113" s="249"/>
      <c r="P113" s="249"/>
      <c r="Q113" s="250"/>
      <c r="R113" s="250"/>
      <c r="S113" s="250"/>
    </row>
    <row r="114" spans="1:29" ht="12.6" customHeight="1">
      <c r="C114" s="260" t="str">
        <f ca="1">IF(AND(Setup!B26&gt;=Setup!B15-1+VLOOKUP(10,Setup!AK4:AO15,2,0),Setup!B26&lt;=Setup!B15-1+VLOOKUP(10,Setup!AK4:AO15,4,0)),"Đương vận","")</f>
        <v/>
      </c>
      <c r="F114" s="233"/>
      <c r="G114" s="340"/>
      <c r="H114" s="342"/>
      <c r="I114" s="343"/>
      <c r="J114" s="359"/>
      <c r="L114" s="359" t="str">
        <f ca="1">HLOOKUP(C123,'384Hào'!C3:BN74,3,0)</f>
        <v xml:space="preserve">Người rình trong đất tổn thương,       </v>
      </c>
      <c r="N114" s="231" t="str">
        <f ca="1">HLOOKUP(C123,'384Hào'!C3:BN74,5,0)</f>
        <v/>
      </c>
    </row>
    <row r="115" spans="1:29" ht="12.6" customHeight="1">
      <c r="C115" s="258" t="str">
        <f ca="1">(Setup!B15-1+VLOOKUP(10,Setup!AK4:AO15,2,0))&amp;"-"&amp;Setup!B15-1+VLOOKUP(10,Setup!AK4:AO15,4,0)</f>
        <v>2068-2073</v>
      </c>
      <c r="F115" s="233"/>
      <c r="G115" s="340"/>
      <c r="H115" s="340"/>
      <c r="I115" s="343"/>
      <c r="J115" s="359"/>
      <c r="L115" s="359" t="str">
        <f ca="1">HLOOKUP(C123,'384Hào'!C3:BN74,4,0)</f>
        <v>Tuổi dương phòng bệnh khó lường hư hao.</v>
      </c>
      <c r="N115" s="231" t="str">
        <f ca="1">HLOOKUP(C123,'384Hào'!C3:BN74,6,0)</f>
        <v/>
      </c>
    </row>
    <row r="116" spans="1:29" ht="12.6" customHeight="1">
      <c r="C116" s="227" t="str">
        <f ca="1">VLOOKUP(10,Setup!AK4:AO15,2,0)&amp;"-"&amp;VLOOKUP(10,Setup!AK4:AO15,4,0)&amp;" Tuổi"</f>
        <v>67-72 Tuổi</v>
      </c>
      <c r="F116" s="233"/>
      <c r="G116" s="334" t="str">
        <f ca="1">HLOOKUP(C123,'384Hào'!C3:BN74,62-(VLOOKUP(10,Setup!AK4:AO15,5,0)-1)*11,0)</f>
        <v>Sự tổn thương của Cơ Tử (ở cạnh hào 6 như Trụ Vương) cứ giữ chính thì có lợi.</v>
      </c>
      <c r="H116" s="337"/>
      <c r="I116" s="336"/>
      <c r="J116" s="359"/>
      <c r="L116" s="359"/>
      <c r="AC116" s="251"/>
    </row>
    <row r="117" spans="1:29" ht="12.6" customHeight="1">
      <c r="B117" s="347" t="str">
        <f ca="1">IF(VLOOKUP(10,Setup!AK4:AO15,5,0)=6,"*","")</f>
        <v/>
      </c>
      <c r="C117" s="216" t="str">
        <f ca="1">HLOOKUP(C123,'64Quẻ'!B5:DX11,2,0)</f>
        <v>—   —</v>
      </c>
      <c r="D117" s="358" t="str">
        <f ca="1">IF(C123="","",HLOOKUP(C123&amp;1,'64Quẻ'!B5:DY11,2,0))</f>
        <v>Q.Dậu</v>
      </c>
      <c r="E117" s="278"/>
      <c r="F117" s="233"/>
      <c r="G117" s="335" t="str">
        <f ca="1">HLOOKUP(C123,'384Hào'!C3:BN74,63-(VLOOKUP(10,Setup!AK4:AO15,5,0)-1)*11,0)</f>
        <v>Ý HÀO: Ở giữa hoạn nạn mà vẫn giữ được chí ngay.</v>
      </c>
      <c r="H117" s="340"/>
      <c r="I117" s="336"/>
      <c r="J117" s="359"/>
      <c r="L117" s="359"/>
      <c r="AC117" s="251"/>
    </row>
    <row r="118" spans="1:29" ht="12.6" customHeight="1">
      <c r="B118" s="280" t="str">
        <f ca="1">IF(VLOOKUP(10,Setup!AK4:AO15,5,0)=5,"*","")</f>
        <v>*</v>
      </c>
      <c r="C118" s="216" t="str">
        <f ca="1">HLOOKUP(C123,'64Quẻ'!B5:DX11,3,0)</f>
        <v>—   —</v>
      </c>
      <c r="D118" s="358" t="str">
        <f ca="1">IF(C123="","",HLOOKUP(C123&amp;1,'64Quẻ'!B5:DY11,3,0))</f>
        <v>Q.Hợi</v>
      </c>
      <c r="E118" s="278"/>
      <c r="F118" s="233"/>
      <c r="G118" s="337"/>
      <c r="H118" s="224" t="str">
        <f ca="1">HLOOKUP(C123,'384Hào'!C3:BN74,64-(VLOOKUP(10,Setup!AK4:AO15,5,0)-1)*11,0)</f>
        <v>MHC: Có cơ mưu lớn mà vẫn giữ được thân mình.</v>
      </c>
      <c r="I118" s="336"/>
      <c r="J118" s="364"/>
      <c r="L118" s="364"/>
      <c r="AC118" s="251"/>
    </row>
    <row r="119" spans="1:29" ht="12.6" customHeight="1">
      <c r="B119" s="280" t="str">
        <f ca="1">IF(VLOOKUP(10,Setup!AK4:AO15,5,0)=4,"*","")</f>
        <v/>
      </c>
      <c r="C119" s="216" t="str">
        <f ca="1">HLOOKUP(C123,'64Quẻ'!B5:DX11,4,0)</f>
        <v>—   —</v>
      </c>
      <c r="D119" s="358" t="str">
        <f ca="1">IF(C123="","",HLOOKUP(C123&amp;1,'64Quẻ'!B5:DY11,4,0))</f>
        <v>Q.Sửu</v>
      </c>
      <c r="E119" s="278"/>
      <c r="F119" s="233"/>
      <c r="G119" s="337"/>
      <c r="H119" s="338" t="str">
        <f ca="1">HLOOKUP(C123,'384Hào'!C3:BN74,65-(VLOOKUP(10,Setup!AK4:AO15,5,0)-1)*11,0)</f>
        <v>MKH: Khó gặp đồng chí, lo lắng, gian nan, bôn tẩu.</v>
      </c>
      <c r="I119" s="336"/>
      <c r="J119" s="359"/>
      <c r="L119" s="359"/>
      <c r="AC119" s="251"/>
    </row>
    <row r="120" spans="1:29" ht="12.6" customHeight="1">
      <c r="B120" s="280" t="str">
        <f ca="1">IF(VLOOKUP(10,Setup!AK4:AO15,5,0)=3,"*","")</f>
        <v/>
      </c>
      <c r="C120" s="278" t="str">
        <f ca="1">HLOOKUP(C123,'64Quẻ'!B5:DX11,5,0)</f>
        <v>———</v>
      </c>
      <c r="D120" s="358" t="str">
        <f ca="1">IF(C123="","",HLOOKUP(C123&amp;1,'64Quẻ'!B5:DY11,5,0))</f>
        <v>K.Hợi</v>
      </c>
      <c r="E120" s="278"/>
      <c r="F120" s="233"/>
      <c r="G120" s="337"/>
      <c r="H120" s="340"/>
      <c r="I120" s="224" t="str">
        <f ca="1">HLOOKUP(C123,'384Hào'!C3:BN74,66-(VLOOKUP(10,Setup!AK4:AO15,5,0)-1)*11,0)</f>
        <v>QC: Kiệm đức tránh nạn.</v>
      </c>
      <c r="J120" s="359"/>
      <c r="L120" s="359"/>
      <c r="AC120" s="251"/>
    </row>
    <row r="121" spans="1:29" ht="12.6" customHeight="1">
      <c r="B121" s="280" t="str">
        <f ca="1">IF(VLOOKUP(10,Setup!AK4:AO15,5,0)=2,"*","")</f>
        <v/>
      </c>
      <c r="C121" s="278" t="str">
        <f ca="1">HLOOKUP(C123,'64Quẻ'!B5:DX11,6,0)</f>
        <v>—   —</v>
      </c>
      <c r="D121" s="358" t="str">
        <f ca="1">IF(C123="","",HLOOKUP(C123&amp;1,'64Quẻ'!B5:DY11,6,0))</f>
        <v>K.Sửu</v>
      </c>
      <c r="E121" s="278"/>
      <c r="F121" s="233"/>
      <c r="G121" s="337"/>
      <c r="H121" s="340"/>
      <c r="I121" s="224" t="str">
        <f ca="1">HLOOKUP(C123,'384Hào'!C3:BN74,67-(VLOOKUP(10,Setup!AK4:AO15,5,0)-1)*11,0)</f>
        <v>GS: Khó gặp tri kỷ.</v>
      </c>
      <c r="J121" s="359"/>
      <c r="L121" s="359"/>
      <c r="AC121" s="251"/>
    </row>
    <row r="122" spans="1:29" ht="12.6" customHeight="1">
      <c r="B122" s="280" t="str">
        <f ca="1">IF(VLOOKUP(10,Setup!AK4:AO15,5,0)=1,"*","")</f>
        <v/>
      </c>
      <c r="C122" s="278" t="str">
        <f ca="1">HLOOKUP(C123,'64Quẻ'!B5:DX11,7,0)</f>
        <v>———</v>
      </c>
      <c r="D122" s="358" t="str">
        <f ca="1">IF(C123="","",HLOOKUP(C123&amp;1,'64Quẻ'!B5:DY11,7,0))</f>
        <v>K.Mão</v>
      </c>
      <c r="E122" s="278"/>
      <c r="F122" s="233"/>
      <c r="G122" s="337"/>
      <c r="H122" s="340"/>
      <c r="I122" s="224" t="str">
        <f ca="1">HLOOKUP(C123,'384Hào'!C3:BN74,68-(VLOOKUP(10,Setup!AK4:AO15,5,0)-1)*11,0)</f>
        <v>NT: Gia đình có hoạn nạn.</v>
      </c>
      <c r="J122" s="359"/>
      <c r="L122" s="359"/>
      <c r="AC122" s="251"/>
    </row>
    <row r="123" spans="1:29" ht="12.6" customHeight="1">
      <c r="C123" s="259" t="str">
        <f ca="1">'Thể cách'!Q10</f>
        <v>M.Di</v>
      </c>
      <c r="D123" s="280"/>
      <c r="E123" s="278"/>
      <c r="F123" s="233"/>
      <c r="G123" s="337"/>
      <c r="H123" s="337"/>
      <c r="I123" s="336"/>
      <c r="J123" s="359"/>
      <c r="L123" s="359" t="str">
        <f ca="1">HLOOKUP(C123,'384Hào'!C3:BN74,69-(VLOOKUP(10,Setup!AK4:AO15,5,0)-1)*11,0)</f>
        <v xml:space="preserve">Gặp thời đen tối đừng rầu,       </v>
      </c>
      <c r="N123" s="231" t="str">
        <f ca="1">HLOOKUP(C123,'384Hào'!C3:BN74,71-(VLOOKUP(10,Setup!AK4:AO15,5,0)-1)*11,0)</f>
        <v/>
      </c>
      <c r="AC123" s="251"/>
    </row>
    <row r="124" spans="1:29" ht="12.6" customHeight="1">
      <c r="A124" s="253"/>
      <c r="C124" s="395">
        <f ca="1">IF(C87="","",HLOOKUP(C87,'64Quẻ'!B5:DX25,21,0))</f>
        <v>8</v>
      </c>
      <c r="D124" s="280"/>
      <c r="E124" s="278"/>
      <c r="F124" s="233"/>
      <c r="G124" s="337"/>
      <c r="H124" s="337"/>
      <c r="I124" s="336"/>
      <c r="J124" s="359"/>
      <c r="L124" s="359" t="str">
        <f ca="1">HLOOKUP(C123,'384Hào'!C3:BN74,70-(VLOOKUP(10,Setup!AK4:AO15,5,0)-1)*11,0)</f>
        <v>Giữ mình ngay thẳng ắt sau tốt lành.</v>
      </c>
      <c r="N124" s="354" t="str">
        <f ca="1">HLOOKUP(C123,'384Hào'!C3:BN74,72-(VLOOKUP(10,Setup!AK4:AO15,5,0)-1)*11,0)</f>
        <v/>
      </c>
      <c r="AC124" s="251"/>
    </row>
    <row r="125" spans="1:29" ht="12.6" customHeight="1">
      <c r="A125" s="250"/>
      <c r="B125" s="250"/>
      <c r="C125" s="239"/>
      <c r="D125" s="346"/>
      <c r="E125" s="250"/>
      <c r="F125" s="232"/>
      <c r="G125" s="339" t="str">
        <f ca="1">HLOOKUP(C135,'384Hào'!C3:BN74,2,0)</f>
        <v>Minh Di là Thương (có ánh sáng nhưng bị tổn thương).</v>
      </c>
      <c r="H125" s="341"/>
      <c r="I125" s="341"/>
      <c r="J125" s="365"/>
      <c r="K125" s="249"/>
      <c r="L125" s="365"/>
      <c r="M125" s="249"/>
      <c r="N125" s="249"/>
      <c r="O125" s="249"/>
      <c r="P125" s="249"/>
      <c r="Q125" s="250"/>
      <c r="R125" s="250"/>
      <c r="S125" s="250"/>
    </row>
    <row r="126" spans="1:29" ht="12.6" customHeight="1">
      <c r="C126" s="260" t="str">
        <f ca="1">IF(AND(Setup!B26&gt;=Setup!B15-1+VLOOKUP(11,Setup!AK4:AO15,2,0),Setup!B26&lt;=Setup!B15-1+VLOOKUP(11,Setup!AK4:AO15,4,0)),"Đương vận","")</f>
        <v/>
      </c>
      <c r="F126" s="233"/>
      <c r="G126" s="340"/>
      <c r="H126" s="342"/>
      <c r="I126" s="343"/>
      <c r="J126" s="359"/>
      <c r="L126" s="359" t="str">
        <f ca="1">HLOOKUP(C135,'384Hào'!C3:BN74,3,0)</f>
        <v xml:space="preserve">Người rình trong đất tổn thương,       </v>
      </c>
      <c r="N126" s="231" t="str">
        <f ca="1">HLOOKUP(C135,'384Hào'!C3:BN74,5,0)</f>
        <v/>
      </c>
    </row>
    <row r="127" spans="1:29" ht="12.6" customHeight="1">
      <c r="C127" s="258" t="str">
        <f ca="1">(Setup!B15-1+VLOOKUP(11,Setup!AK4:AO15,2,0))&amp;"-"&amp;Setup!B15-1+VLOOKUP(11,Setup!AK4:AO15,4,0)</f>
        <v>2074-2079</v>
      </c>
      <c r="F127" s="233"/>
      <c r="G127" s="340"/>
      <c r="H127" s="340"/>
      <c r="I127" s="343"/>
      <c r="J127" s="359"/>
      <c r="L127" s="359" t="str">
        <f ca="1">HLOOKUP(C135,'384Hào'!C3:BN74,4,0)</f>
        <v>Tuổi dương phòng bệnh khó lường hư hao.</v>
      </c>
      <c r="N127" s="231" t="str">
        <f ca="1">HLOOKUP(C135,'384Hào'!C3:BN74,6,0)</f>
        <v/>
      </c>
    </row>
    <row r="128" spans="1:29" ht="12.6" customHeight="1">
      <c r="C128" s="227" t="str">
        <f ca="1">VLOOKUP(11,Setup!AK4:AO15,2,0)&amp;"-"&amp;VLOOKUP(11,Setup!AK4:AO15,4,0)&amp;" Tuổi"</f>
        <v>73-78 Tuổi</v>
      </c>
      <c r="F128" s="233"/>
      <c r="G128" s="334" t="str">
        <f ca="1">HLOOKUP(C135,'384Hào'!C3:BN74,62-(VLOOKUP(11,Setup!AK4:AO15,5,0)-1)*11,0)</f>
        <v>Chẳng sáng mà tối đen, mới thì lên tận trời, sau thì vào tận đất.</v>
      </c>
      <c r="H128" s="337"/>
      <c r="I128" s="336"/>
      <c r="J128" s="359"/>
      <c r="L128" s="359"/>
      <c r="AC128" s="251"/>
    </row>
    <row r="129" spans="1:29" ht="12.6" customHeight="1">
      <c r="B129" s="347" t="str">
        <f ca="1">IF(VLOOKUP(11,Setup!AK4:AO15,5,0)=6,"*","")</f>
        <v>*</v>
      </c>
      <c r="C129" s="216" t="str">
        <f ca="1">HLOOKUP(C135,'64Quẻ'!B5:DX11,2,0)</f>
        <v>—   —</v>
      </c>
      <c r="D129" s="358" t="str">
        <f ca="1">IF(C135="","",HLOOKUP(C135&amp;1,'64Quẻ'!B5:DY11,2,0))</f>
        <v>Q.Dậu</v>
      </c>
      <c r="E129" s="278"/>
      <c r="F129" s="233"/>
      <c r="G129" s="335" t="str">
        <f ca="1">HLOOKUP(C135,'384Hào'!C3:BN74,63-(VLOOKUP(11,Setup!AK4:AO15,5,0)-1)*11,0)</f>
        <v>Ý HÀO: Vô đức nên không giữ được ngôi lớn.</v>
      </c>
      <c r="H129" s="340"/>
      <c r="I129" s="336"/>
      <c r="J129" s="359"/>
      <c r="L129" s="359"/>
      <c r="AC129" s="251"/>
    </row>
    <row r="130" spans="1:29" ht="12.6" customHeight="1">
      <c r="B130" s="280" t="str">
        <f ca="1">IF(VLOOKUP(11,Setup!AK4:AO15,5,0)=5,"*","")</f>
        <v/>
      </c>
      <c r="C130" s="216" t="str">
        <f ca="1">HLOOKUP(C135,'64Quẻ'!B5:DX11,3,0)</f>
        <v>—   —</v>
      </c>
      <c r="D130" s="358" t="str">
        <f ca="1">IF(C135="","",HLOOKUP(C135&amp;1,'64Quẻ'!B5:DY11,3,0))</f>
        <v>Q.Hợi</v>
      </c>
      <c r="E130" s="278"/>
      <c r="F130" s="233"/>
      <c r="G130" s="337"/>
      <c r="H130" s="224" t="str">
        <f ca="1">HLOOKUP(C135,'384Hào'!C3:BN74,64-(VLOOKUP(11,Setup!AK4:AO15,5,0)-1)*11,0)</f>
        <v>MHC: Chí cao vị lớn, cứu đại nạn cho nước.</v>
      </c>
      <c r="I130" s="336"/>
      <c r="J130" s="364"/>
      <c r="L130" s="364"/>
      <c r="AC130" s="251"/>
    </row>
    <row r="131" spans="1:29" ht="12.6" customHeight="1">
      <c r="B131" s="280" t="str">
        <f ca="1">IF(VLOOKUP(11,Setup!AK4:AO15,5,0)=4,"*","")</f>
        <v/>
      </c>
      <c r="C131" s="216" t="str">
        <f ca="1">HLOOKUP(C135,'64Quẻ'!B5:DX11,4,0)</f>
        <v>—   —</v>
      </c>
      <c r="D131" s="358" t="str">
        <f ca="1">IF(C135="","",HLOOKUP(C135&amp;1,'64Quẻ'!B5:DY11,4,0))</f>
        <v>Q.Sửu</v>
      </c>
      <c r="E131" s="278"/>
      <c r="F131" s="233"/>
      <c r="G131" s="337"/>
      <c r="H131" s="338" t="str">
        <f ca="1">HLOOKUP(C135,'384Hào'!C3:BN74,65-(VLOOKUP(11,Setup!AK4:AO15,5,0)-1)*11,0)</f>
        <v>MKH: Ỷ thế làm bậy, bé cuồng ngông, lớn ba đào.</v>
      </c>
      <c r="I131" s="336"/>
      <c r="J131" s="359"/>
      <c r="L131" s="359"/>
      <c r="AC131" s="251"/>
    </row>
    <row r="132" spans="1:29" ht="12.6" customHeight="1">
      <c r="B132" s="280" t="str">
        <f ca="1">IF(VLOOKUP(11,Setup!AK4:AO15,5,0)=3,"*","")</f>
        <v/>
      </c>
      <c r="C132" s="278" t="str">
        <f ca="1">HLOOKUP(C135,'64Quẻ'!B5:DX11,5,0)</f>
        <v>———</v>
      </c>
      <c r="D132" s="358" t="str">
        <f ca="1">IF(C135="","",HLOOKUP(C135&amp;1,'64Quẻ'!B5:DY11,5,0))</f>
        <v>K.Hợi</v>
      </c>
      <c r="E132" s="278"/>
      <c r="F132" s="233"/>
      <c r="G132" s="337"/>
      <c r="H132" s="340"/>
      <c r="I132" s="224" t="str">
        <f ca="1">HLOOKUP(C135,'384Hào'!C3:BN74,66-(VLOOKUP(11,Setup!AK4:AO15,5,0)-1)*11,0)</f>
        <v>QC: Bị sài sể.</v>
      </c>
      <c r="J132" s="359"/>
      <c r="L132" s="359"/>
      <c r="AC132" s="251"/>
    </row>
    <row r="133" spans="1:29" ht="12.6" customHeight="1">
      <c r="B133" s="280" t="str">
        <f ca="1">IF(VLOOKUP(11,Setup!AK4:AO15,5,0)=2,"*","")</f>
        <v/>
      </c>
      <c r="C133" s="278" t="str">
        <f ca="1">HLOOKUP(C135,'64Quẻ'!B5:DX11,6,0)</f>
        <v>—   —</v>
      </c>
      <c r="D133" s="358" t="str">
        <f ca="1">IF(C135="","",HLOOKUP(C135&amp;1,'64Quẻ'!B5:DY11,6,0))</f>
        <v>K.Sửu</v>
      </c>
      <c r="E133" s="278"/>
      <c r="F133" s="233"/>
      <c r="G133" s="337"/>
      <c r="H133" s="340"/>
      <c r="I133" s="224" t="str">
        <f ca="1">HLOOKUP(C135,'384Hào'!C3:BN74,67-(VLOOKUP(11,Setup!AK4:AO15,5,0)-1)*11,0)</f>
        <v>GS: Nổi chìm.</v>
      </c>
      <c r="J133" s="359"/>
      <c r="L133" s="359"/>
      <c r="AC133" s="251"/>
    </row>
    <row r="134" spans="1:29" ht="12.6" customHeight="1">
      <c r="B134" s="280" t="str">
        <f ca="1">IF(VLOOKUP(11,Setup!AK4:AO15,5,0)=1,"*","")</f>
        <v/>
      </c>
      <c r="C134" s="278" t="str">
        <f ca="1">HLOOKUP(C135,'64Quẻ'!B5:DX11,7,0)</f>
        <v>———</v>
      </c>
      <c r="D134" s="358" t="str">
        <f ca="1">IF(C135="","",HLOOKUP(C135&amp;1,'64Quẻ'!B5:DY11,7,0))</f>
        <v>K.Mão</v>
      </c>
      <c r="E134" s="278"/>
      <c r="F134" s="233"/>
      <c r="G134" s="337"/>
      <c r="H134" s="340"/>
      <c r="I134" s="224" t="str">
        <f ca="1">HLOOKUP(C135,'384Hào'!C3:BN74,68-(VLOOKUP(11,Setup!AK4:AO15,5,0)-1)*11,0)</f>
        <v>NT: Trước dễ sau khó. Già quẫn kém thọ.</v>
      </c>
      <c r="J134" s="359"/>
      <c r="L134" s="359"/>
      <c r="AC134" s="251"/>
    </row>
    <row r="135" spans="1:29" ht="12.6" customHeight="1">
      <c r="C135" s="259" t="str">
        <f ca="1">'Thể cách'!Q10</f>
        <v>M.Di</v>
      </c>
      <c r="D135" s="280"/>
      <c r="E135" s="278"/>
      <c r="F135" s="233"/>
      <c r="G135" s="337"/>
      <c r="H135" s="337"/>
      <c r="I135" s="336"/>
      <c r="J135" s="359"/>
      <c r="L135" s="359" t="str">
        <f ca="1">HLOOKUP(C135,'384Hào'!C3:BN74,69-(VLOOKUP(11,Setup!AK4:AO15,5,0)-1)*11,0)</f>
        <v xml:space="preserve">Việc đời đen tối tranh nhau,      </v>
      </c>
      <c r="N135" s="231" t="str">
        <f ca="1">HLOOKUP(C135,'384Hào'!C3:BN74,71-(VLOOKUP(11,Setup!AK4:AO15,5,0)-1)*11,0)</f>
        <v/>
      </c>
      <c r="AC135" s="251"/>
    </row>
    <row r="136" spans="1:29" ht="12.6" customHeight="1">
      <c r="A136" s="253"/>
      <c r="C136" s="395">
        <f ca="1">IF(C87="","",HLOOKUP(C87,'64Quẻ'!B5:DX25,21,0))</f>
        <v>8</v>
      </c>
      <c r="D136" s="280"/>
      <c r="E136" s="278"/>
      <c r="F136" s="233"/>
      <c r="G136" s="337"/>
      <c r="H136" s="337"/>
      <c r="I136" s="336"/>
      <c r="J136" s="359"/>
      <c r="L136" s="359" t="str">
        <f ca="1">HLOOKUP(C135,'384Hào'!C3:BN74,70-(VLOOKUP(11,Setup!AK4:AO15,5,0)-1)*11,0)</f>
        <v>Giai nhân khóc lóc ôm sầu mé sông.</v>
      </c>
      <c r="N136" s="354" t="str">
        <f ca="1">HLOOKUP(C135,'384Hào'!C3:BN74,72-(VLOOKUP(11,Setup!AK4:AO15,5,0)-1)*11,0)</f>
        <v/>
      </c>
      <c r="AC136" s="251"/>
    </row>
    <row r="137" spans="1:29" ht="12.6" customHeight="1">
      <c r="A137" s="250"/>
      <c r="B137" s="250"/>
      <c r="C137" s="239"/>
      <c r="D137" s="346"/>
      <c r="E137" s="250"/>
      <c r="F137" s="232"/>
      <c r="G137" s="339" t="str">
        <f ca="1">HLOOKUP(C147,'384Hào'!C3:BN74,2,0)</f>
        <v>Minh Di là Thương (có ánh sáng nhưng bị tổn thương).</v>
      </c>
      <c r="H137" s="341"/>
      <c r="I137" s="341"/>
      <c r="J137" s="365"/>
      <c r="K137" s="249"/>
      <c r="L137" s="365"/>
      <c r="M137" s="249"/>
      <c r="N137" s="249"/>
      <c r="O137" s="249"/>
      <c r="P137" s="249"/>
      <c r="Q137" s="250"/>
      <c r="R137" s="250"/>
      <c r="S137" s="250"/>
    </row>
    <row r="138" spans="1:29" ht="12.6" customHeight="1">
      <c r="C138" s="260" t="str">
        <f ca="1">IF(AND(Setup!B26&gt;=Setup!B15-1+VLOOKUP(12,Setup!AK4:AO15,2,0),Setup!B26&lt;=Setup!B15-1+VLOOKUP(12,Setup!AK4:AO15,4,0)),"Đương vận","")</f>
        <v/>
      </c>
      <c r="F138" s="233"/>
      <c r="G138" s="340"/>
      <c r="H138" s="342"/>
      <c r="I138" s="343"/>
      <c r="J138" s="359"/>
      <c r="L138" s="359" t="str">
        <f ca="1">HLOOKUP(C147,'384Hào'!C3:BN74,3,0)</f>
        <v xml:space="preserve">Người rình trong đất tổn thương,       </v>
      </c>
      <c r="N138" s="231" t="str">
        <f ca="1">HLOOKUP(C147,'384Hào'!C3:BN74,5,0)</f>
        <v/>
      </c>
    </row>
    <row r="139" spans="1:29" ht="12.6" customHeight="1">
      <c r="C139" s="258" t="str">
        <f ca="1">(Setup!B15-1+VLOOKUP(12,Setup!AK4:AO15,2,0))&amp;"-"&amp;Setup!B15-1+VLOOKUP(12,Setup!AK4:AO15,4,0)</f>
        <v>2080-2088</v>
      </c>
      <c r="F139" s="233"/>
      <c r="G139" s="340"/>
      <c r="H139" s="340"/>
      <c r="I139" s="343"/>
      <c r="J139" s="359"/>
      <c r="L139" s="359" t="str">
        <f ca="1">HLOOKUP(C147,'384Hào'!C3:BN74,4,0)</f>
        <v>Tuổi dương phòng bệnh khó lường hư hao.</v>
      </c>
      <c r="N139" s="231" t="str">
        <f ca="1">HLOOKUP(C147,'384Hào'!C3:BN74,6,0)</f>
        <v/>
      </c>
    </row>
    <row r="140" spans="1:29" ht="12.6" customHeight="1">
      <c r="C140" s="227" t="str">
        <f ca="1">VLOOKUP(12,Setup!AK4:AO15,2,0)&amp;"-"&amp;VLOOKUP(12,Setup!AK4:AO15,4,0)&amp;" Tuổi"</f>
        <v>79-87 Tuổi</v>
      </c>
      <c r="F140" s="233"/>
      <c r="G140" s="334" t="str">
        <f ca="1">HLOOKUP(C147,'384Hào'!C3:BN74,62-(VLOOKUP(12,Setup!AK4:AO15,5,0)-1)*11,0)</f>
        <v>Sự tổn thương (như con chim) lúc bay, đau rũ cánh xuống, người Quân tử (tri cơ) phải đi (để tránh nạn), vội nên ba ngày không ăn, có chuyện đi xa như thế, chắc hẳn người ta cũng có lời bàn tán (nghi ngờ) (hào 1 tránh xa được hào 6 âm là lúc cực tổn thương).</v>
      </c>
      <c r="H140" s="337"/>
      <c r="I140" s="336"/>
      <c r="J140" s="359"/>
      <c r="L140" s="359"/>
      <c r="AC140" s="251"/>
    </row>
    <row r="141" spans="1:29" ht="12.6" customHeight="1">
      <c r="B141" s="347" t="str">
        <f ca="1">IF(VLOOKUP(12,Setup!AK4:AO15,5,0)=6,"*","")</f>
        <v/>
      </c>
      <c r="C141" s="216" t="str">
        <f ca="1">HLOOKUP(C147,'64Quẻ'!B5:DX11,2,0)</f>
        <v>—   —</v>
      </c>
      <c r="D141" s="358" t="str">
        <f ca="1">IF(C147="","",HLOOKUP(C147&amp;1,'64Quẻ'!B5:DY11,2,0))</f>
        <v>Q.Dậu</v>
      </c>
      <c r="E141" s="278"/>
      <c r="F141" s="233"/>
      <c r="G141" s="335" t="str">
        <f ca="1">HLOOKUP(C147,'384Hào'!C3:BN74,63-(VLOOKUP(12,Setup!AK4:AO15,5,0)-1)*11,0)</f>
        <v>Ý HÀO: Biết cơ nên tránh sự tổn thương.</v>
      </c>
      <c r="H141" s="340"/>
      <c r="I141" s="336"/>
      <c r="J141" s="359"/>
      <c r="L141" s="359"/>
    </row>
    <row r="142" spans="1:29" ht="12.6" customHeight="1">
      <c r="B142" s="280" t="str">
        <f ca="1">IF(VLOOKUP(12,Setup!AK4:AO15,5,0)=5,"*","")</f>
        <v/>
      </c>
      <c r="C142" s="216" t="str">
        <f ca="1">HLOOKUP(C147,'64Quẻ'!B5:DX11,3,0)</f>
        <v>—   —</v>
      </c>
      <c r="D142" s="358" t="str">
        <f ca="1">IF(C147="","",HLOOKUP(C147&amp;1,'64Quẻ'!B5:DY11,3,0))</f>
        <v>Q.Hợi</v>
      </c>
      <c r="E142" s="278"/>
      <c r="F142" s="233"/>
      <c r="G142" s="337"/>
      <c r="H142" s="224" t="str">
        <f ca="1">HLOOKUP(C147,'384Hào'!C3:BN74,64-(VLOOKUP(12,Setup!AK4:AO15,5,0)-1)*11,0)</f>
        <v>MHC: Sáng suốt trong sạch nên đắc dụng thời bình, tránh họa thời loạn.</v>
      </c>
      <c r="I142" s="336"/>
      <c r="J142" s="364"/>
      <c r="L142" s="364"/>
    </row>
    <row r="143" spans="1:29" ht="12.6" customHeight="1">
      <c r="B143" s="280" t="str">
        <f ca="1">IF(VLOOKUP(12,Setup!AK4:AO15,5,0)=4,"*","")</f>
        <v/>
      </c>
      <c r="C143" s="216" t="str">
        <f ca="1">HLOOKUP(C147,'64Quẻ'!B5:DX11,4,0)</f>
        <v>—   —</v>
      </c>
      <c r="D143" s="358" t="str">
        <f ca="1">IF(C147="","",HLOOKUP(C147&amp;1,'64Quẻ'!B5:DY11,4,0))</f>
        <v>Q.Sửu</v>
      </c>
      <c r="E143" s="278"/>
      <c r="F143" s="233"/>
      <c r="G143" s="337"/>
      <c r="H143" s="338" t="str">
        <f ca="1">HLOOKUP(C147,'384Hào'!C3:BN74,65-(VLOOKUP(12,Setup!AK4:AO15,5,0)-1)*11,0)</f>
        <v>MKH: Có chí lớn, nhưng động làm là bị tổn thương, dù có công nhưng khó được hưởng lộc.</v>
      </c>
      <c r="I143" s="336"/>
      <c r="J143" s="359"/>
      <c r="L143" s="359"/>
    </row>
    <row r="144" spans="1:29" ht="12.6" customHeight="1">
      <c r="B144" s="280" t="str">
        <f ca="1">IF(VLOOKUP(12,Setup!AK4:AO15,5,0)=3,"*","")</f>
        <v/>
      </c>
      <c r="C144" s="278" t="str">
        <f ca="1">HLOOKUP(C147,'64Quẻ'!B5:DX11,5,0)</f>
        <v>———</v>
      </c>
      <c r="D144" s="358" t="str">
        <f ca="1">IF(C147="","",HLOOKUP(C147&amp;1,'64Quẻ'!B5:DY11,5,0))</f>
        <v>K.Hợi</v>
      </c>
      <c r="E144" s="278"/>
      <c r="F144" s="233"/>
      <c r="G144" s="337"/>
      <c r="H144" s="340"/>
      <c r="I144" s="224" t="str">
        <f ca="1">HLOOKUP(C147,'384Hào'!C3:BN74,66-(VLOOKUP(12,Setup!AK4:AO15,5,0)-1)*11,0)</f>
        <v>QC: Có thể gần mặt trời, phụ tá thân mật nhưng phòng tổn thương.</v>
      </c>
      <c r="J144" s="359"/>
      <c r="L144" s="359"/>
    </row>
    <row r="145" spans="1:19" ht="12.6" customHeight="1">
      <c r="B145" s="280" t="str">
        <f ca="1">IF(VLOOKUP(12,Setup!AK4:AO15,5,0)=2,"*","")</f>
        <v/>
      </c>
      <c r="C145" s="278" t="str">
        <f ca="1">HLOOKUP(C147,'64Quẻ'!B5:DX11,6,0)</f>
        <v>—   —</v>
      </c>
      <c r="D145" s="358" t="str">
        <f ca="1">IF(C147="","",HLOOKUP(C147&amp;1,'64Quẻ'!B5:DY11,6,0))</f>
        <v>K.Sửu</v>
      </c>
      <c r="E145" s="278"/>
      <c r="F145" s="233"/>
      <c r="G145" s="337"/>
      <c r="H145" s="340"/>
      <c r="I145" s="224" t="str">
        <f ca="1">HLOOKUP(C147,'384Hào'!C3:BN74,67-(VLOOKUP(12,Setup!AK4:AO15,5,0)-1)*11,0)</f>
        <v>GS: Có tin thắng lợi.</v>
      </c>
      <c r="J145" s="359"/>
      <c r="L145" s="359"/>
    </row>
    <row r="146" spans="1:19" ht="12.6" customHeight="1">
      <c r="B146" s="280" t="str">
        <f ca="1">IF(VLOOKUP(12,Setup!AK4:AO15,5,0)=1,"*","")</f>
        <v>*</v>
      </c>
      <c r="C146" s="278" t="str">
        <f ca="1">HLOOKUP(C147,'64Quẻ'!B5:DX11,7,0)</f>
        <v>———</v>
      </c>
      <c r="D146" s="358" t="str">
        <f ca="1">IF(C147="","",HLOOKUP(C147&amp;1,'64Quẻ'!B5:DY11,7,0))</f>
        <v>K.Mão</v>
      </c>
      <c r="E146" s="278"/>
      <c r="F146" s="233"/>
      <c r="G146" s="337"/>
      <c r="H146" s="340"/>
      <c r="I146" s="224" t="str">
        <f ca="1">HLOOKUP(C147,'384Hào'!C3:BN74,68-(VLOOKUP(12,Setup!AK4:AO15,5,0)-1)*11,0)</f>
        <v>NT: Tai bay vạ gió, chân tay bị đau. Số tốt có người đem ngựa xe đến.</v>
      </c>
      <c r="J146" s="359"/>
      <c r="L146" s="359"/>
    </row>
    <row r="147" spans="1:19" ht="12.6" customHeight="1">
      <c r="C147" s="259" t="str">
        <f ca="1">'Thể cách'!Q10</f>
        <v>M.Di</v>
      </c>
      <c r="D147" s="280"/>
      <c r="E147" s="278"/>
      <c r="F147" s="233"/>
      <c r="G147" s="337"/>
      <c r="H147" s="337"/>
      <c r="I147" s="336"/>
      <c r="J147" s="359"/>
      <c r="L147" s="359" t="str">
        <f ca="1">HLOOKUP(C147,'384Hào'!C3:BN74,69-(VLOOKUP(12,Setup!AK4:AO15,5,0)-1)*11,0)</f>
        <v>Một cẳng bước hai thuyền,</v>
      </c>
      <c r="N147" s="231" t="str">
        <f ca="1">HLOOKUP(C147,'384Hào'!C3:BN74,71-(VLOOKUP(12,Setup!AK4:AO15,5,0)-1)*11,0)</f>
        <v xml:space="preserve">Đoàn viên thêm phí sức, </v>
      </c>
    </row>
    <row r="148" spans="1:19" ht="12.6" customHeight="1">
      <c r="A148" s="253"/>
      <c r="B148" s="253"/>
      <c r="C148" s="395">
        <f ca="1">IF(C87="","",HLOOKUP(C87,'64Quẻ'!B5:DX25,21,0))</f>
        <v>8</v>
      </c>
      <c r="D148" s="281"/>
      <c r="E148" s="279"/>
      <c r="F148" s="237"/>
      <c r="G148" s="344"/>
      <c r="H148" s="344"/>
      <c r="I148" s="345"/>
      <c r="J148" s="360"/>
      <c r="K148" s="252"/>
      <c r="L148" s="360" t="str">
        <f ca="1">HLOOKUP(C147,'384Hào'!C3:BN74,70-(VLOOKUP(12,Setup!AK4:AO15,5,0)-1)*11,0)</f>
        <v xml:space="preserve">Một gương chiếu hai bên.  </v>
      </c>
      <c r="M148" s="252"/>
      <c r="N148" s="354" t="str">
        <f ca="1">HLOOKUP(C147,'384Hào'!C3:BN74,72-(VLOOKUP(12,Setup!AK4:AO15,5,0)-1)*11,0)</f>
        <v>Phí sức lại đoàn viên.</v>
      </c>
      <c r="O148" s="252"/>
      <c r="P148" s="252"/>
      <c r="Q148" s="253"/>
      <c r="R148" s="253"/>
      <c r="S148" s="253"/>
    </row>
  </sheetData>
  <sheetProtection password="C2DF" sheet="1" objects="1" scenarios="1"/>
  <phoneticPr fontId="3" type="noConversion"/>
  <pageMargins left="1" right="0.5" top="0.5" bottom="0.25" header="0.25" footer="0.2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38F1-BBDF-427F-B3C8-0B6516898F82}">
  <sheetPr codeName="Sheet2"/>
  <dimension ref="A1:T109"/>
  <sheetViews>
    <sheetView showGridLines="0" showRowColHeaders="0" workbookViewId="0">
      <pane ySplit="1" topLeftCell="A2" activePane="bottomLeft" state="frozen"/>
      <selection pane="bottomLeft" activeCell="N19" sqref="N19"/>
    </sheetView>
  </sheetViews>
  <sheetFormatPr defaultRowHeight="12.6" customHeight="1"/>
  <cols>
    <col min="1" max="1" width="2.42578125" style="48" customWidth="1"/>
    <col min="2" max="2" width="1.140625" style="48" customWidth="1"/>
    <col min="3" max="3" width="4.85546875" style="254" customWidth="1"/>
    <col min="4" max="4" width="1" style="256" customWidth="1"/>
    <col min="5" max="5" width="4.7109375" style="48" customWidth="1"/>
    <col min="6" max="6" width="1.140625" style="235" customWidth="1"/>
    <col min="7" max="8" width="1.85546875" style="48" customWidth="1"/>
    <col min="9" max="10" width="4.7109375" style="48" customWidth="1"/>
    <col min="11" max="11" width="15.7109375" style="48" customWidth="1"/>
    <col min="12" max="12" width="6.7109375" style="48" customWidth="1"/>
    <col min="13" max="13" width="4.5703125" style="48" customWidth="1"/>
    <col min="14" max="14" width="9.5703125" style="48" customWidth="1"/>
    <col min="15" max="15" width="19.28515625" style="48" bestFit="1" customWidth="1"/>
    <col min="16" max="16" width="13.5703125" style="48" bestFit="1" customWidth="1"/>
    <col min="17" max="17" width="4.7109375" style="48" customWidth="1"/>
    <col min="18" max="18" width="14.5703125" style="48" customWidth="1"/>
    <col min="19" max="19" width="6.5703125" style="48" customWidth="1"/>
    <col min="20" max="16384" width="9.140625" style="48"/>
  </cols>
  <sheetData>
    <row r="1" spans="1:20" ht="22.5" customHeight="1">
      <c r="A1" s="765" t="str">
        <f>"Vận Năm - "&amp;'Thể cách'!D3</f>
        <v>Vận Năm - Lá số</v>
      </c>
      <c r="B1" s="763"/>
      <c r="C1" s="763"/>
      <c r="D1" s="768"/>
      <c r="E1" s="764"/>
      <c r="F1" s="764"/>
      <c r="G1" s="764"/>
      <c r="H1" s="764"/>
      <c r="I1" s="764"/>
      <c r="J1" s="768"/>
      <c r="K1" s="768"/>
      <c r="L1" s="765"/>
      <c r="M1" s="229"/>
      <c r="N1" s="766" t="s">
        <v>6019</v>
      </c>
      <c r="O1" s="767" t="str">
        <f ca="1">VLOOKUP(Setup!AK3,Setup!AK4:AO15,2,0)&amp;" tuổi - "&amp;VLOOKUP(Setup!AK3,Setup!AK4:AO15,4,0)&amp;" tuổi"</f>
        <v>31 tuổi - 36 tuổi</v>
      </c>
      <c r="P1" s="752" t="str">
        <f ca="1">(Setup!B15-1+VLOOKUP(Setup!AK3,Setup!AK4:AO15,2,0))&amp;" - "&amp;Setup!B15-1+VLOOKUP(Setup!AK3,Setup!AK4:AO15,4,0)</f>
        <v>2032 - 2037</v>
      </c>
      <c r="T1" s="229"/>
    </row>
    <row r="2" spans="1:20" ht="12.6" customHeight="1">
      <c r="B2" s="250"/>
      <c r="C2" s="248"/>
      <c r="D2" s="230"/>
      <c r="E2" s="250"/>
      <c r="F2" s="232"/>
      <c r="G2" s="339" t="str">
        <f ca="1">HLOOKUP(C12,'384Hào'!C3:BN74,2,0)</f>
        <v>Độn là Thoái (lùi về, ở ẩn).</v>
      </c>
      <c r="H2" s="341"/>
      <c r="I2" s="341"/>
      <c r="J2" s="250"/>
      <c r="K2" s="250"/>
      <c r="L2" s="250"/>
      <c r="M2" s="250"/>
      <c r="N2" s="250"/>
      <c r="O2" s="250"/>
      <c r="P2" s="250"/>
      <c r="Q2" s="250"/>
      <c r="R2" s="250"/>
      <c r="S2" s="748"/>
      <c r="T2" s="250"/>
    </row>
    <row r="3" spans="1:20" ht="12.6" customHeight="1">
      <c r="C3" s="50" t="str">
        <f ca="1">IF(B4=Setup!B26,"Năm nay","")</f>
        <v/>
      </c>
      <c r="F3" s="233"/>
      <c r="G3" s="340"/>
      <c r="H3" s="342"/>
      <c r="I3" s="343"/>
      <c r="J3" s="231"/>
      <c r="L3" s="359" t="str">
        <f ca="1">HLOOKUP(C12,'384Hào'!C3:BN74,3,0)</f>
        <v xml:space="preserve">Đừng kêu: Vận kiển mãi trời !          </v>
      </c>
      <c r="N3" s="231" t="str">
        <f ca="1">HLOOKUP(C12,'384Hào'!C3:BN74,5,0)</f>
        <v/>
      </c>
      <c r="S3" s="636"/>
    </row>
    <row r="4" spans="1:20" ht="12.6" customHeight="1">
      <c r="B4" s="981">
        <f ca="1">Setup!AT30</f>
        <v>2032</v>
      </c>
      <c r="C4" s="981"/>
      <c r="D4" s="981"/>
      <c r="F4" s="233"/>
      <c r="G4" s="340"/>
      <c r="H4" s="340"/>
      <c r="I4" s="343"/>
      <c r="J4" s="231"/>
      <c r="L4" s="359" t="str">
        <f ca="1">HLOOKUP(C12,'384Hào'!C3:BN74,4,0)</f>
        <v>Chờ năm Sửu Ngọ đường đời thênh thang.</v>
      </c>
      <c r="N4" s="231" t="str">
        <f ca="1">HLOOKUP(C12,'384Hào'!C3:BN74,6,0)</f>
        <v/>
      </c>
      <c r="S4" s="636"/>
    </row>
    <row r="5" spans="1:20" ht="12.6" customHeight="1">
      <c r="C5" s="216" t="str">
        <f ca="1">INDEX(Setup!D11:D20,MOD(B4,10)+1)&amp;" "&amp;INDEX(Setup!E4:E15,MOD(B4,12)+1)</f>
        <v>Nhâm Tý</v>
      </c>
      <c r="F5" s="233"/>
      <c r="G5" s="334" t="str">
        <f ca="1">HLOOKUP(C12,'384Hào'!C3:BN74,62-(Setup!AQ12-1)*11,0)</f>
        <v>Ẩn tránh mà vẫn bị ràng buộc (bởi 2 hào âm dưới), nên có bệnh và nguy đấy, chỉ nuôi thiếp tôi là tốt.</v>
      </c>
      <c r="H5" s="337"/>
      <c r="I5" s="336"/>
      <c r="J5" s="231"/>
      <c r="L5" s="359"/>
      <c r="N5" s="22"/>
      <c r="S5" s="636"/>
    </row>
    <row r="6" spans="1:20" ht="12.6" customHeight="1">
      <c r="B6" s="280" t="str">
        <f ca="1">IF(Setup!AR3="*","*",IF(Setup!AR3="",""))</f>
        <v/>
      </c>
      <c r="C6" s="216" t="str">
        <f ca="1">IF((C12)="","",HLOOKUP(C12,'64Quẻ'!B5:DX11,2,0))</f>
        <v>———</v>
      </c>
      <c r="D6" s="358" t="str">
        <f ca="1">IF(C12="","",HLOOKUP(C12&amp;1,'64Quẻ'!B5:DY11,2,0))</f>
        <v>N.Tuất</v>
      </c>
      <c r="E6" s="278"/>
      <c r="F6" s="233"/>
      <c r="G6" s="335" t="str">
        <f ca="1">HLOOKUP(C12,'384Hào'!C3:BN74,63-(Setup!AQ12-1)*11,0)</f>
        <v>Ý HÀO: Đáng ẩn trách mà còn hệ lụy không tránh được.</v>
      </c>
      <c r="H6" s="340"/>
      <c r="I6" s="336"/>
      <c r="J6" s="231"/>
      <c r="L6" s="359"/>
      <c r="N6" s="22"/>
      <c r="S6" s="636"/>
    </row>
    <row r="7" spans="1:20" ht="12.6" customHeight="1">
      <c r="B7" s="280" t="str">
        <f ca="1">IF(Setup!AR4="*","*",IF(Setup!AR4="",""))</f>
        <v/>
      </c>
      <c r="C7" s="216" t="str">
        <f ca="1">IF((C12)="","",HLOOKUP(C12,'64Quẻ'!B5:DX11,3,0))</f>
        <v>———</v>
      </c>
      <c r="D7" s="358" t="str">
        <f ca="1">IF(C12="","",HLOOKUP(C12&amp;1,'64Quẻ'!B5:DY11,3,0))</f>
        <v>N.Thân</v>
      </c>
      <c r="E7" s="278"/>
      <c r="F7" s="233"/>
      <c r="G7" s="337"/>
      <c r="H7" s="224" t="str">
        <f ca="1">HLOOKUP(C12,'384Hào'!C3:BN74,64-(Setup!AQ12-1)*11,0)</f>
        <v>MHC: Minh triết giữ được thân, dũng thoái thoát được nạn. Hoặc có hiền thê giúp sức, hoặc có nô bộc hết lòng.</v>
      </c>
      <c r="I7" s="336"/>
      <c r="J7" s="355"/>
      <c r="L7" s="364"/>
      <c r="N7" s="22"/>
      <c r="S7" s="636"/>
    </row>
    <row r="8" spans="1:20" ht="12.6" customHeight="1">
      <c r="B8" s="280" t="str">
        <f ca="1">IF(Setup!AR5="*","*",IF(Setup!AR5="",""))</f>
        <v/>
      </c>
      <c r="C8" s="216" t="str">
        <f ca="1">IF((C12)="","",HLOOKUP(C12,'64Quẻ'!B5:DX11,4,0))</f>
        <v>———</v>
      </c>
      <c r="D8" s="358" t="str">
        <f ca="1">IF(C12="","",HLOOKUP(C12&amp;1,'64Quẻ'!B5:DY11,4,0))</f>
        <v>N.Ngọ</v>
      </c>
      <c r="E8" s="278"/>
      <c r="F8" s="233"/>
      <c r="G8" s="337"/>
      <c r="H8" s="338" t="str">
        <f ca="1">HLOOKUP(C12,'384Hào'!C3:BN74,65-(Setup!AQ12-1)*11,0)</f>
        <v>MKH: Chỉ ăn nhậu, tham tài tham sắc, tật lệ liên miên hoặc bị nô tỳ liên lụy.</v>
      </c>
      <c r="I8" s="336"/>
      <c r="J8" s="231"/>
      <c r="L8" s="359"/>
      <c r="N8" s="22"/>
      <c r="S8" s="636"/>
    </row>
    <row r="9" spans="1:20" ht="12.6" customHeight="1">
      <c r="B9" s="280" t="str">
        <f ca="1">IF(Setup!AR6="*","*",IF(Setup!AR6="",""))</f>
        <v>*</v>
      </c>
      <c r="C9" s="278" t="str">
        <f ca="1">IF((C12)="","",HLOOKUP(C12,'64Quẻ'!B5:DX11,5,0))</f>
        <v>———</v>
      </c>
      <c r="D9" s="358" t="str">
        <f ca="1">IF(C12="","",HLOOKUP(C12&amp;1,'64Quẻ'!B5:DY11,5,0))</f>
        <v>B.Thân</v>
      </c>
      <c r="E9" s="278"/>
      <c r="F9" s="657" t="str">
        <f ca="1">Setup!AR13</f>
        <v>TNK</v>
      </c>
      <c r="G9" s="337"/>
      <c r="H9" s="340"/>
      <c r="I9" s="224" t="str">
        <f ca="1">HLOOKUP(C12,'384Hào'!C3:BN74,66-(Setup!AQ12-1)*11,0)</f>
        <v>QC: Có cái lo về chức phận.</v>
      </c>
      <c r="J9" s="231"/>
      <c r="L9" s="359"/>
      <c r="N9" s="22"/>
      <c r="S9" s="636"/>
    </row>
    <row r="10" spans="1:20" ht="12.6" customHeight="1">
      <c r="B10" s="280" t="str">
        <f ca="1">IF(Setup!AR7="*","*",IF(Setup!AR7="",""))</f>
        <v/>
      </c>
      <c r="C10" s="278" t="str">
        <f ca="1">IF((C12)="","",HLOOKUP(C12,'64Quẻ'!B5:DX11,6,0))</f>
        <v>—   —</v>
      </c>
      <c r="D10" s="358" t="str">
        <f ca="1">IF(C12="","",HLOOKUP(C12&amp;1,'64Quẻ'!B5:DY11,6,0))</f>
        <v>B.Ngọ</v>
      </c>
      <c r="E10" s="278"/>
      <c r="F10" s="657" t="str">
        <f ca="1">Setup!AR14</f>
        <v/>
      </c>
      <c r="G10" s="337"/>
      <c r="H10" s="340"/>
      <c r="I10" s="224" t="str">
        <f ca="1">HLOOKUP(C12,'384Hào'!C3:BN74,67-(Setup!AQ12-1)*11,0)</f>
        <v>GS: Không thành đại sự.</v>
      </c>
      <c r="J10" s="231"/>
      <c r="L10" s="359"/>
      <c r="N10" s="22"/>
      <c r="S10" s="636"/>
    </row>
    <row r="11" spans="1:20" ht="12.6" customHeight="1">
      <c r="B11" s="280" t="str">
        <f ca="1">IF(Setup!AR8="*","*",IF(Setup!AR8="",""))</f>
        <v/>
      </c>
      <c r="C11" s="278" t="str">
        <f ca="1">IF((C12)="","",HLOOKUP(C12,'64Quẻ'!B5:DX11,7,0))</f>
        <v>—   —</v>
      </c>
      <c r="D11" s="358" t="str">
        <f ca="1">IF(C12="","",HLOOKUP(C12&amp;1,'64Quẻ'!B5:DY11,7,0))</f>
        <v>B.Thìn</v>
      </c>
      <c r="E11" s="278"/>
      <c r="F11" s="657" t="str">
        <f ca="1">Setup!AR15</f>
        <v/>
      </c>
      <c r="G11" s="337"/>
      <c r="H11" s="340"/>
      <c r="I11" s="224" t="str">
        <f ca="1">HLOOKUP(C12,'384Hào'!C3:BN74,68-(Setup!AQ12-1)*11,0)</f>
        <v>NT: Nhiều tật ách. Số tốt thì được vợ đắc lực, nhà thêm người.</v>
      </c>
      <c r="J11" s="231"/>
      <c r="L11" s="359"/>
      <c r="N11" s="22"/>
      <c r="S11" s="636"/>
    </row>
    <row r="12" spans="1:20" ht="12.6" customHeight="1">
      <c r="C12" s="277" t="str">
        <f ca="1">IF('Đại Vận'!C13="","",HLOOKUP(Setup!AP15,'64Quẻ'!B4:DX5,2,0))</f>
        <v>Độn</v>
      </c>
      <c r="D12" s="357"/>
      <c r="E12" s="278"/>
      <c r="F12" s="670"/>
      <c r="H12" s="337"/>
      <c r="I12" s="336"/>
      <c r="J12" s="231"/>
      <c r="L12" s="359" t="str">
        <f ca="1">HLOOKUP(C12,'384Hào'!C3:BN74,69-(Setup!AQ12-1)*11,0)</f>
        <v xml:space="preserve">Phòng tật bệnh, gan việc thường  </v>
      </c>
      <c r="N12" s="231" t="str">
        <f ca="1">HLOOKUP(C12,'384Hào'!C3:BN74,71-(Setup!AQ12-1)*11,0)</f>
        <v/>
      </c>
      <c r="S12" s="636"/>
    </row>
    <row r="13" spans="1:20" ht="12.6" customHeight="1">
      <c r="C13" s="356">
        <f ca="1">IF(C12="","",HLOOKUP(C12,'64Quẻ'!B5:DX25,21,0))</f>
        <v>6</v>
      </c>
      <c r="D13" s="357"/>
      <c r="E13" s="278"/>
      <c r="F13" s="689"/>
      <c r="H13" s="337"/>
      <c r="I13" s="336"/>
      <c r="J13" s="231"/>
      <c r="L13" s="359" t="str">
        <f ca="1">HLOOKUP(C12,'384Hào'!C3:BN74,70-(Setup!AQ12-1)*11,0)</f>
        <v>Mưu to chớ ngả, rẽ đường đưa tin.</v>
      </c>
      <c r="N13" s="354" t="str">
        <f ca="1">HLOOKUP(C12,'384Hào'!C3:BN74,72-(Setup!AQ12-1)*11,0)</f>
        <v/>
      </c>
      <c r="S13" s="636"/>
    </row>
    <row r="14" spans="1:20" ht="12.6" customHeight="1">
      <c r="A14" s="250"/>
      <c r="B14" s="250"/>
      <c r="C14" s="248"/>
      <c r="D14" s="230"/>
      <c r="E14" s="250"/>
      <c r="F14" s="232"/>
      <c r="G14" s="339" t="str">
        <f ca="1">HLOOKUP(C24,'384Hào'!C3:BN74,2,0)</f>
        <v>Tiệm là Tiến (tiến dần như chim bay lên cao dần).</v>
      </c>
      <c r="H14" s="341"/>
      <c r="I14" s="341"/>
      <c r="J14" s="236"/>
      <c r="K14" s="250"/>
      <c r="L14" s="365"/>
      <c r="M14" s="250"/>
      <c r="N14" s="330"/>
      <c r="O14" s="250"/>
      <c r="P14" s="250"/>
      <c r="Q14" s="250"/>
      <c r="R14" s="250"/>
      <c r="S14" s="748"/>
      <c r="T14" s="250"/>
    </row>
    <row r="15" spans="1:20" ht="12.6" customHeight="1">
      <c r="C15" s="50" t="str">
        <f ca="1">IF(B16=Setup!B26,"Năm nay","")</f>
        <v/>
      </c>
      <c r="F15" s="233"/>
      <c r="G15" s="340"/>
      <c r="H15" s="342"/>
      <c r="I15" s="343"/>
      <c r="J15" s="231"/>
      <c r="L15" s="359" t="str">
        <f ca="1">HLOOKUP(C24,'384Hào'!C3:BN74,3,0)</f>
        <v xml:space="preserve">Ôm cần đợi cá bên sông,         </v>
      </c>
      <c r="N15" s="231" t="str">
        <f ca="1">HLOOKUP(C24,'384Hào'!C3:BN74,5,0)</f>
        <v/>
      </c>
      <c r="S15" s="636"/>
    </row>
    <row r="16" spans="1:20" ht="12.6" customHeight="1">
      <c r="B16" s="981">
        <f ca="1">B4+1</f>
        <v>2033</v>
      </c>
      <c r="C16" s="981"/>
      <c r="D16" s="981"/>
      <c r="F16" s="233"/>
      <c r="G16" s="340"/>
      <c r="H16" s="340"/>
      <c r="I16" s="343"/>
      <c r="J16" s="231"/>
      <c r="L16" s="359" t="str">
        <f ca="1">HLOOKUP(C24,'384Hào'!C3:BN74,4,0)</f>
        <v>Đợi lâu được cá xúm đông đớp mồi.</v>
      </c>
      <c r="N16" s="231" t="str">
        <f ca="1">HLOOKUP(C24,'384Hào'!C3:BN74,6,0)</f>
        <v/>
      </c>
      <c r="S16" s="636"/>
    </row>
    <row r="17" spans="1:20" ht="12.6" customHeight="1">
      <c r="C17" s="216" t="str">
        <f ca="1">INDEX(Setup!D11:D20,MOD(B16,10)+1)&amp;" "&amp;INDEX(Setup!E4:E15,MOD(B16,12)+1)</f>
        <v>Quý Sửu</v>
      </c>
      <c r="F17" s="233"/>
      <c r="G17" s="334" t="str">
        <f ca="1">HLOOKUP(C24,'384Hào'!C3:BN74,62-(Setup!AQ19-1)*11,0)</f>
        <v>Chim hồng tiến dần lên trên cây, hoặc được cái cành bằng, không lỗi gì.</v>
      </c>
      <c r="H17" s="337"/>
      <c r="I17" s="336"/>
      <c r="J17" s="231"/>
      <c r="L17" s="359"/>
      <c r="N17" s="22"/>
      <c r="S17" s="636"/>
    </row>
    <row r="18" spans="1:20" ht="12.6" customHeight="1">
      <c r="B18" s="280" t="str">
        <f ca="1">IF(AND(Setup!AT32=5,B7="*"),"*",IF(AND(Setup!AT32=8,B9="*"),"*",""))</f>
        <v/>
      </c>
      <c r="C18" s="216" t="str">
        <f ca="1">IF((C24)="","",HLOOKUP(C24,'64Quẻ'!B5:DX11,2,0))</f>
        <v>———</v>
      </c>
      <c r="D18" s="358" t="str">
        <f ca="1">IF(C24="","",HLOOKUP(C24&amp;1,'64Quẻ'!B5:DY11,2,0))</f>
        <v>T.Mão</v>
      </c>
      <c r="E18" s="278"/>
      <c r="F18" s="233"/>
      <c r="G18" s="335" t="str">
        <f ca="1">HLOOKUP(C24,'384Hào'!C3:BN74,63-(Setup!AQ19-1)*11,0)</f>
        <v>Ý HÀO: Gặp bạo mà được yên lành.</v>
      </c>
      <c r="H18" s="340"/>
      <c r="I18" s="336"/>
      <c r="J18" s="231"/>
      <c r="L18" s="359"/>
      <c r="N18" s="22"/>
      <c r="S18" s="636"/>
    </row>
    <row r="19" spans="1:20" ht="12.6" customHeight="1">
      <c r="B19" s="280" t="str">
        <f ca="1">IF(AND(Setup!AT32=5,B8="*"),"*",IF(AND(Setup!AT32=8,B10="*"),"*",""))</f>
        <v/>
      </c>
      <c r="C19" s="216" t="str">
        <f ca="1">IF((C24)="","",HLOOKUP(C24,'64Quẻ'!B5:DX11,3,0))</f>
        <v>———</v>
      </c>
      <c r="D19" s="358" t="str">
        <f ca="1">IF(C24="","",HLOOKUP(C24&amp;1,'64Quẻ'!B5:DY11,3,0))</f>
        <v>T.Tỵ</v>
      </c>
      <c r="E19" s="278"/>
      <c r="F19" s="233"/>
      <c r="G19" s="337"/>
      <c r="H19" s="224" t="str">
        <f ca="1">HLOOKUP(C24,'384Hào'!C3:BN74,64-(Setup!AQ19-1)*11,0)</f>
        <v>MHC: Có đức có vị nhưng khiêm nhường thì suốt đời an vui.</v>
      </c>
      <c r="I19" s="336"/>
      <c r="J19" s="355"/>
      <c r="L19" s="364"/>
      <c r="N19" s="22"/>
      <c r="S19" s="636"/>
    </row>
    <row r="20" spans="1:20" ht="12.6" customHeight="1">
      <c r="B20" s="280" t="str">
        <f ca="1">IF(AND(Setup!AT32=5,B9="*"),"*",IF(AND(Setup!AT32=8,B11="*"),"*",""))</f>
        <v>*</v>
      </c>
      <c r="C20" s="216" t="str">
        <f ca="1">IF((C24)="","",HLOOKUP(C24,'64Quẻ'!B5:DX11,4,0))</f>
        <v>—   —</v>
      </c>
      <c r="D20" s="358" t="str">
        <f ca="1">IF(C24="","",HLOOKUP(C24&amp;1,'64Quẻ'!B5:DY11,4,0))</f>
        <v>T.Mùi</v>
      </c>
      <c r="E20" s="278"/>
      <c r="F20" s="233"/>
      <c r="G20" s="337"/>
      <c r="H20" s="338" t="str">
        <f ca="1">HLOOKUP(C24,'384Hào'!C3:BN74,65-(Setup!AQ19-1)*11,0)</f>
        <v>MKH: Sinh kế khó khăn, phải kiệm ước, muộn mới đủ dùng.</v>
      </c>
      <c r="I20" s="336"/>
      <c r="J20" s="231"/>
      <c r="L20" s="359"/>
      <c r="N20" s="22"/>
      <c r="S20" s="636"/>
    </row>
    <row r="21" spans="1:20" ht="12.6" customHeight="1">
      <c r="B21" s="280" t="str">
        <f ca="1">IF(AND(Setup!AT32=5,B10="*"),"*",IF(AND(Setup!AT32=8,B6="*"),"*",""))</f>
        <v/>
      </c>
      <c r="C21" s="278" t="str">
        <f ca="1">IF((C24)="","",HLOOKUP(C24,'64Quẻ'!B5:DX11,5,0))</f>
        <v>———</v>
      </c>
      <c r="D21" s="358" t="str">
        <f ca="1">IF(C24="","",HLOOKUP(C24&amp;1,'64Quẻ'!B5:DY11,5,0))</f>
        <v>B.Thân</v>
      </c>
      <c r="E21" s="278"/>
      <c r="F21" s="657" t="str">
        <f ca="1">Setup!AR20</f>
        <v/>
      </c>
      <c r="G21" s="337"/>
      <c r="H21" s="340"/>
      <c r="I21" s="224" t="str">
        <f ca="1">HLOOKUP(C24,'384Hào'!C3:BN74,66-(Setup!AQ19-1)*11,0)</f>
        <v>QC: Gặp cường bạo không chế phục nổi, đổi việc, vô định.</v>
      </c>
      <c r="J21" s="231"/>
      <c r="L21" s="359"/>
      <c r="N21" s="22"/>
      <c r="S21" s="636"/>
    </row>
    <row r="22" spans="1:20" ht="12.6" customHeight="1">
      <c r="B22" s="280" t="str">
        <f ca="1">IF(AND(Setup!AT32=5,B11="*"),"*",IF(AND(Setup!AT32=8,B7="*"),"*",""))</f>
        <v/>
      </c>
      <c r="C22" s="278" t="str">
        <f ca="1">IF((C24)="","",HLOOKUP(C24,'64Quẻ'!B5:DX11,6,0))</f>
        <v>—   —</v>
      </c>
      <c r="D22" s="358" t="str">
        <f ca="1">IF(C24="","",HLOOKUP(C24&amp;1,'64Quẻ'!B5:DY11,6,0))</f>
        <v>B.Ngọ</v>
      </c>
      <c r="E22" s="278"/>
      <c r="F22" s="657" t="str">
        <f ca="1">Setup!AR21</f>
        <v>ĐNK</v>
      </c>
      <c r="G22" s="337"/>
      <c r="H22" s="340"/>
      <c r="I22" s="224" t="str">
        <f ca="1">HLOOKUP(C24,'384Hào'!C3:BN74,67-(Setup!AQ19-1)*11,0)</f>
        <v>GS: Đỗ khoa mùa thu.</v>
      </c>
      <c r="J22" s="231"/>
      <c r="L22" s="359"/>
      <c r="N22" s="22"/>
      <c r="S22" s="636"/>
    </row>
    <row r="23" spans="1:20" ht="12.6" customHeight="1">
      <c r="B23" s="280" t="str">
        <f ca="1">IF(AND(Setup!AT32=5,B6="*"),"*",IF(AND(Setup!AT32=8,B8="*"),"*",""))</f>
        <v/>
      </c>
      <c r="C23" s="278" t="str">
        <f ca="1">IF((C24)="","",HLOOKUP(C24,'64Quẻ'!B5:DX11,7,0))</f>
        <v>—   —</v>
      </c>
      <c r="D23" s="358" t="str">
        <f ca="1">IF(C24="","",HLOOKUP(C24&amp;1,'64Quẻ'!B5:DY11,7,0))</f>
        <v>B.Thìn</v>
      </c>
      <c r="E23" s="278"/>
      <c r="F23" s="657" t="str">
        <f ca="1">Setup!AR22</f>
        <v>HC</v>
      </c>
      <c r="G23" s="337"/>
      <c r="H23" s="340"/>
      <c r="I23" s="224" t="str">
        <f ca="1">HLOOKUP(C24,'384Hào'!C3:BN74,68-(Setup!AQ19-1)*11,0)</f>
        <v>NT: Lợi việc tu tạo, nhà yên ổn.</v>
      </c>
      <c r="J23" s="231"/>
      <c r="L23" s="359"/>
      <c r="N23" s="22"/>
      <c r="S23" s="636"/>
    </row>
    <row r="24" spans="1:20" ht="12.6" customHeight="1">
      <c r="C24" s="277" t="str">
        <f ca="1">IF('Đại Vận'!C13="","",HLOOKUP(Setup!AP22,'64Quẻ'!B4:DX5,2,0))</f>
        <v>Tiệm</v>
      </c>
      <c r="D24" s="357"/>
      <c r="E24" s="278"/>
      <c r="F24" s="670"/>
      <c r="H24" s="337"/>
      <c r="I24" s="336"/>
      <c r="J24" s="231"/>
      <c r="L24" s="359" t="str">
        <f ca="1">HLOOKUP(C24,'384Hào'!C3:BN74,69-(Setup!AQ19-1)*11,0)</f>
        <v xml:space="preserve">Non cao xứ đẹp vui cùng,            </v>
      </c>
      <c r="N24" s="231" t="str">
        <f ca="1">HLOOKUP(C24,'384Hào'!C3:BN74,71-(Setup!AQ19-1)*11,0)</f>
        <v/>
      </c>
      <c r="S24" s="636"/>
    </row>
    <row r="25" spans="1:20" ht="12.6" customHeight="1">
      <c r="A25" s="253"/>
      <c r="C25" s="356">
        <f ca="1">IF(C24="","",HLOOKUP(C24,'64Quẻ'!B5:DX25,21,0))</f>
        <v>1</v>
      </c>
      <c r="D25" s="357"/>
      <c r="E25" s="278"/>
      <c r="F25" s="689"/>
      <c r="H25" s="337"/>
      <c r="I25" s="336"/>
      <c r="J25" s="231"/>
      <c r="L25" s="359" t="str">
        <f ca="1">HLOOKUP(C24,'384Hào'!C3:BN74,70-(Setup!AQ19-1)*11,0)</f>
        <v>Mận đào điểm nhụy, cúc mừng lợi danh.</v>
      </c>
      <c r="N25" s="354" t="str">
        <f ca="1">HLOOKUP(C24,'384Hào'!C3:BN74,72-(Setup!AQ19-1)*11,0)</f>
        <v/>
      </c>
      <c r="S25" s="636"/>
    </row>
    <row r="26" spans="1:20" ht="12.6" customHeight="1">
      <c r="A26" s="250"/>
      <c r="B26" s="250"/>
      <c r="C26" s="248"/>
      <c r="D26" s="230"/>
      <c r="E26" s="250"/>
      <c r="F26" s="232"/>
      <c r="G26" s="339" t="str">
        <f ca="1">HLOOKUP(C36,'384Hào'!C3:BN74,2,0)</f>
        <v>Cấn là Chỉ (ngăn bước, ngừng lại, trở ngại trùng trùng).</v>
      </c>
      <c r="H26" s="341"/>
      <c r="I26" s="341"/>
      <c r="J26" s="236"/>
      <c r="K26" s="250"/>
      <c r="L26" s="365"/>
      <c r="M26" s="250"/>
      <c r="N26" s="330"/>
      <c r="O26" s="250"/>
      <c r="P26" s="250"/>
      <c r="Q26" s="250"/>
      <c r="R26" s="250"/>
      <c r="S26" s="748"/>
      <c r="T26" s="250"/>
    </row>
    <row r="27" spans="1:20" ht="12.6" customHeight="1">
      <c r="C27" s="50" t="str">
        <f ca="1">IF(B28=Setup!B26,"Năm nay","")</f>
        <v/>
      </c>
      <c r="F27" s="233"/>
      <c r="G27" s="340"/>
      <c r="H27" s="342"/>
      <c r="I27" s="343"/>
      <c r="J27" s="231"/>
      <c r="L27" s="359" t="str">
        <f ca="1">HLOOKUP(C36,'384Hào'!C3:BN74,3,0)</f>
        <v xml:space="preserve">Tiến hành nay Bắc với mai Đông, </v>
      </c>
      <c r="N27" s="231" t="str">
        <f ca="1">HLOOKUP(C36,'384Hào'!C3:BN74,5,0)</f>
        <v>Lui tới chầu cao, sau có lối</v>
      </c>
      <c r="S27" s="636"/>
    </row>
    <row r="28" spans="1:20" ht="12.6" customHeight="1">
      <c r="B28" s="981">
        <f ca="1">B4+2</f>
        <v>2034</v>
      </c>
      <c r="C28" s="981"/>
      <c r="D28" s="981"/>
      <c r="F28" s="233"/>
      <c r="G28" s="340"/>
      <c r="H28" s="340"/>
      <c r="I28" s="343"/>
      <c r="J28" s="231"/>
      <c r="L28" s="359" t="str">
        <f ca="1">HLOOKUP(C36,'384Hào'!C3:BN74,4,0)</f>
        <v xml:space="preserve">Cầu lộc cầu tài việc cũng thông.     </v>
      </c>
      <c r="N28" s="231" t="str">
        <f ca="1">HLOOKUP(C36,'384Hào'!C3:BN74,6,0)</f>
        <v>Nhưng là nên thủy lại nên chung.</v>
      </c>
      <c r="S28" s="636"/>
    </row>
    <row r="29" spans="1:20" ht="12.6" customHeight="1">
      <c r="C29" s="216" t="str">
        <f ca="1">INDEX(Setup!D11:D20,MOD(B28,10)+1)&amp;" "&amp;INDEX(Setup!E4:E15,MOD(B28,12)+1)</f>
        <v>Giáp Dần</v>
      </c>
      <c r="F29" s="233"/>
      <c r="G29" s="334" t="str">
        <f ca="1">HLOOKUP(C36,'384Hào'!C3:BN74,62-(Setup!AQ26-1)*11,0)</f>
        <v>Biết ngừng ở mép mình, nói năng có thứ tự, khỏi ăn năn gì.</v>
      </c>
      <c r="H29" s="337"/>
      <c r="I29" s="336"/>
      <c r="J29" s="231"/>
      <c r="L29" s="359"/>
      <c r="N29" s="22"/>
      <c r="S29" s="636"/>
    </row>
    <row r="30" spans="1:20" ht="12.6" customHeight="1">
      <c r="B30" s="280" t="str">
        <f ca="1">IF(AND(Setup!AT32=5,B19="*"),"*",IF(AND(Setup!AT32=8,B21="*"),"*",""))</f>
        <v/>
      </c>
      <c r="C30" s="216" t="str">
        <f ca="1">IF((C36)="","",HLOOKUP(C36,'64Quẻ'!B5:DX11,2,0))</f>
        <v>———</v>
      </c>
      <c r="D30" s="358" t="str">
        <f ca="1">IF(C36="","",HLOOKUP(C36&amp;1,'64Quẻ'!B5:DY11,2,0))</f>
        <v>B.Dần</v>
      </c>
      <c r="E30" s="278"/>
      <c r="F30" s="233"/>
      <c r="G30" s="335" t="str">
        <f ca="1">HLOOKUP(C36,'384Hào'!C3:BN74,63-(Setup!AQ26-1)*11,0)</f>
        <v>Ý HÀO: Dè dặt lời nói; nên đỡ lỗi.</v>
      </c>
      <c r="H30" s="340"/>
      <c r="I30" s="336"/>
      <c r="J30" s="231"/>
      <c r="L30" s="359"/>
      <c r="N30" s="22"/>
      <c r="S30" s="636"/>
    </row>
    <row r="31" spans="1:20" ht="12.6" customHeight="1">
      <c r="B31" s="280" t="str">
        <f ca="1">IF(AND(Setup!AT32=5,B20="*"),"*",IF(AND(Setup!AT32=8,B22="*"),"*",""))</f>
        <v>*</v>
      </c>
      <c r="C31" s="216" t="str">
        <f ca="1">IF((C36)="","",HLOOKUP(C36,'64Quẻ'!B5:DX11,3,0))</f>
        <v>—   —</v>
      </c>
      <c r="D31" s="358" t="str">
        <f ca="1">IF(C36="","",HLOOKUP(C36&amp;1,'64Quẻ'!B5:DY11,3,0))</f>
        <v>B.Tý</v>
      </c>
      <c r="E31" s="278"/>
      <c r="F31" s="233"/>
      <c r="G31" s="337"/>
      <c r="H31" s="224" t="str">
        <f ca="1">HLOOKUP(C36,'384Hào'!C3:BN74,64-(Setup!AQ26-1)*11,0)</f>
        <v>MHC: Có đức, có lập ngôn, lớn thì làm ngoại giao, nhỏ thì làm giáo sư.</v>
      </c>
      <c r="I31" s="336"/>
      <c r="J31" s="355"/>
      <c r="L31" s="364"/>
      <c r="N31" s="22"/>
      <c r="S31" s="636"/>
    </row>
    <row r="32" spans="1:20" ht="12.6" customHeight="1">
      <c r="B32" s="280" t="str">
        <f ca="1">IF(AND(Setup!AT32=5,B21="*"),"*",IF(AND(Setup!AT32=8,B23="*"),"*",""))</f>
        <v/>
      </c>
      <c r="C32" s="216" t="str">
        <f ca="1">IF((C36)="","",HLOOKUP(C36,'64Quẻ'!B5:DX11,4,0))</f>
        <v>—   —</v>
      </c>
      <c r="D32" s="358" t="str">
        <f ca="1">IF(C36="","",HLOOKUP(C36&amp;1,'64Quẻ'!B5:DY11,4,0))</f>
        <v>B.Tuất</v>
      </c>
      <c r="E32" s="278"/>
      <c r="F32" s="233"/>
      <c r="G32" s="337"/>
      <c r="H32" s="338" t="str">
        <f ca="1">HLOOKUP(C36,'384Hào'!C3:BN74,65-(Setup!AQ26-1)*11,0)</f>
        <v>MKH: Thì cũng ngâm nga như Đào Tiềm, luận bàn kim cổ, được bằng hữu phụ hội, sinh kế bình thường.</v>
      </c>
      <c r="I32" s="336"/>
      <c r="J32" s="231"/>
      <c r="L32" s="359"/>
      <c r="N32" s="22"/>
      <c r="S32" s="636"/>
    </row>
    <row r="33" spans="1:20" ht="12.6" customHeight="1">
      <c r="B33" s="280" t="str">
        <f ca="1">IF(AND(Setup!AT32=5,B22="*"),"*",IF(AND(Setup!AT32=8,B18="*"),"*",""))</f>
        <v/>
      </c>
      <c r="C33" s="278" t="str">
        <f ca="1">IF((C36)="","",HLOOKUP(C36,'64Quẻ'!B5:DX11,5,0))</f>
        <v>———</v>
      </c>
      <c r="D33" s="358" t="str">
        <f ca="1">IF(C36="","",HLOOKUP(C36&amp;1,'64Quẻ'!B5:DY11,5,0))</f>
        <v>B.Thân</v>
      </c>
      <c r="E33" s="278"/>
      <c r="F33" s="657" t="str">
        <f ca="1">Setup!AR27</f>
        <v/>
      </c>
      <c r="G33" s="337"/>
      <c r="H33" s="340"/>
      <c r="I33" s="224" t="str">
        <f ca="1">HLOOKUP(C36,'384Hào'!C3:BN74,66-(Setup!AQ26-1)*11,0)</f>
        <v>QC: Hiển đạt thì ở vị cao cấp Trung Ương, chưa hiển đạt thì cũng giữ chức ngôn luận.</v>
      </c>
      <c r="J33" s="231"/>
      <c r="L33" s="359"/>
      <c r="N33" s="22"/>
      <c r="S33" s="636"/>
    </row>
    <row r="34" spans="1:20" ht="12.6" customHeight="1">
      <c r="B34" s="280" t="str">
        <f ca="1">IF(AND(Setup!AT32=5,B23="*"),"*",IF(AND(Setup!AT32=8,B19="*"),"*",""))</f>
        <v/>
      </c>
      <c r="C34" s="278" t="str">
        <f ca="1">IF((C36)="","",HLOOKUP(C36,'64Quẻ'!B5:DX11,6,0))</f>
        <v>—   —</v>
      </c>
      <c r="D34" s="358" t="str">
        <f ca="1">IF(C36="","",HLOOKUP(C36&amp;1,'64Quẻ'!B5:DY11,6,0))</f>
        <v>B.Ngọ</v>
      </c>
      <c r="E34" s="278"/>
      <c r="F34" s="657" t="str">
        <f ca="1">Setup!AR28</f>
        <v/>
      </c>
      <c r="G34" s="337"/>
      <c r="H34" s="340"/>
      <c r="I34" s="224" t="str">
        <f ca="1">HLOOKUP(C36,'384Hào'!C3:BN74,67-(Setup!AQ26-1)*11,0)</f>
        <v>GS: Nhờ một lời nói trúng đại nhân mà khoa danh thành tựu.</v>
      </c>
      <c r="J34" s="231"/>
      <c r="L34" s="359"/>
      <c r="N34" s="22"/>
      <c r="S34" s="636"/>
    </row>
    <row r="35" spans="1:20" ht="12.6" customHeight="1">
      <c r="B35" s="280" t="str">
        <f ca="1">IF(AND(Setup!AT32=5,B18="*"),"*",IF(AND(Setup!AT32=8,B20="*"),"*",""))</f>
        <v/>
      </c>
      <c r="C35" s="278" t="str">
        <f ca="1">IF((C36)="","",HLOOKUP(C36,'64Quẻ'!B5:DX11,7,0))</f>
        <v>—   —</v>
      </c>
      <c r="D35" s="358" t="str">
        <f ca="1">IF(C36="","",HLOOKUP(C36&amp;1,'64Quẻ'!B5:DY11,7,0))</f>
        <v>B.Thìn</v>
      </c>
      <c r="E35" s="278"/>
      <c r="F35" s="657" t="str">
        <f ca="1">Setup!AR29</f>
        <v>HC</v>
      </c>
      <c r="G35" s="337"/>
      <c r="H35" s="340"/>
      <c r="I35" s="224" t="str">
        <f ca="1">HLOOKUP(C36,'384Hào'!C3:BN74,68-(Setup!AQ26-1)*11,0)</f>
        <v>NT: Hợp nhân tình, mưu được toại ý. Số xấu thì vạ miệng. Già trẻ khó về sinh kế.</v>
      </c>
      <c r="J35" s="231"/>
      <c r="L35" s="359"/>
      <c r="N35" s="22"/>
      <c r="S35" s="636"/>
    </row>
    <row r="36" spans="1:20" ht="12.6" customHeight="1">
      <c r="C36" s="277" t="str">
        <f ca="1">IF('Đại Vận'!C13="","",HLOOKUP(Setup!AP29,'64Quẻ'!B4:DX5,2,0))</f>
        <v>Cấn</v>
      </c>
      <c r="D36" s="357"/>
      <c r="E36" s="278"/>
      <c r="F36" s="670"/>
      <c r="H36" s="337"/>
      <c r="I36" s="336"/>
      <c r="J36" s="231"/>
      <c r="L36" s="359" t="str">
        <f ca="1">HLOOKUP(C36,'384Hào'!C3:BN74,69-(Setup!AQ26-1)*11,0)</f>
        <v>Lời ngay cùng lẽ phải,</v>
      </c>
      <c r="N36" s="231" t="str">
        <f ca="1">HLOOKUP(C36,'384Hào'!C3:BN74,71-(Setup!AQ26-1)*11,0)</f>
        <v>Đừng hiềm danh lợi muộn,</v>
      </c>
      <c r="S36" s="636"/>
    </row>
    <row r="37" spans="1:20" ht="12.6" customHeight="1">
      <c r="A37" s="253"/>
      <c r="C37" s="356">
        <f ca="1">IF(C36="","",HLOOKUP(C36,'64Quẻ'!B5:DX25,21,0))</f>
        <v>4</v>
      </c>
      <c r="D37" s="357"/>
      <c r="E37" s="278"/>
      <c r="F37" s="689"/>
      <c r="H37" s="337"/>
      <c r="I37" s="336"/>
      <c r="J37" s="231"/>
      <c r="L37" s="359" t="str">
        <f ca="1">HLOOKUP(C36,'384Hào'!C3:BN74,70-(Setup!AQ26-1)*11,0)</f>
        <v>Nên không hối hận gì.</v>
      </c>
      <c r="N37" s="354" t="str">
        <f ca="1">HLOOKUP(C36,'384Hào'!C3:BN74,72-(Setup!AQ26-1)*11,0)</f>
        <v>Xuân sang phúc lộc kỳ.</v>
      </c>
      <c r="S37" s="636"/>
    </row>
    <row r="38" spans="1:20" ht="12.6" customHeight="1">
      <c r="A38" s="250"/>
      <c r="B38" s="250"/>
      <c r="C38" s="248"/>
      <c r="D38" s="230"/>
      <c r="E38" s="250"/>
      <c r="F38" s="232"/>
      <c r="G38" s="339" t="str">
        <f ca="1">HLOOKUP(C48,'384Hào'!C3:BN74,2,0)</f>
        <v>Khiêm là thoái (thoái nhượng, lùi, nhường bước, nhũn nhặn).</v>
      </c>
      <c r="H38" s="341"/>
      <c r="I38" s="341"/>
      <c r="J38" s="236"/>
      <c r="K38" s="250"/>
      <c r="L38" s="365"/>
      <c r="M38" s="250"/>
      <c r="N38" s="330"/>
      <c r="O38" s="250"/>
      <c r="P38" s="250"/>
      <c r="Q38" s="250"/>
      <c r="R38" s="250"/>
      <c r="S38" s="748"/>
      <c r="T38" s="250"/>
    </row>
    <row r="39" spans="1:20" ht="12.6" customHeight="1">
      <c r="C39" s="50" t="str">
        <f ca="1">IF(B40=Setup!B26,"Năm nay","")</f>
        <v/>
      </c>
      <c r="F39" s="233"/>
      <c r="G39" s="340"/>
      <c r="H39" s="342"/>
      <c r="I39" s="343"/>
      <c r="J39" s="231"/>
      <c r="L39" s="359" t="str">
        <f ca="1">HLOOKUP(C48,'384Hào'!C3:BN74,3,0)</f>
        <v xml:space="preserve">Lẽ đời lo ngại nhiễu phiền,            </v>
      </c>
      <c r="N39" s="231" t="str">
        <f ca="1">HLOOKUP(C48,'384Hào'!C3:BN74,5,0)</f>
        <v/>
      </c>
      <c r="S39" s="636"/>
    </row>
    <row r="40" spans="1:20" ht="12.6" customHeight="1">
      <c r="B40" s="981">
        <f ca="1">B4+3</f>
        <v>2035</v>
      </c>
      <c r="C40" s="981"/>
      <c r="D40" s="981"/>
      <c r="F40" s="233"/>
      <c r="G40" s="340"/>
      <c r="H40" s="340"/>
      <c r="I40" s="343"/>
      <c r="J40" s="231"/>
      <c r="L40" s="359" t="str">
        <f ca="1">HLOOKUP(C48,'384Hào'!C3:BN74,4,0)</f>
        <v>Tấm gương chiếu rọi nhãn tiền hư không.</v>
      </c>
      <c r="N40" s="231" t="str">
        <f ca="1">HLOOKUP(C48,'384Hào'!C3:BN74,6,0)</f>
        <v/>
      </c>
      <c r="S40" s="636"/>
    </row>
    <row r="41" spans="1:20" ht="12.6" customHeight="1">
      <c r="C41" s="216" t="str">
        <f ca="1">INDEX(Setup!D11:D20,MOD(B40,10)+1)&amp;" "&amp;INDEX(Setup!E4:E15,MOD(B40,12)+1)</f>
        <v>Ất Mão</v>
      </c>
      <c r="F41" s="233"/>
      <c r="G41" s="334" t="str">
        <f ca="1">HLOOKUP(C48,'384Hào'!C3:BN74,62-(Setup!AQ33-1)*11,0)</f>
        <v>Khiêm nhường có tiếng, dùng việc hành quân có lợi ích chinh phục được ấp nước mình thôi.</v>
      </c>
      <c r="H41" s="337"/>
      <c r="I41" s="336"/>
      <c r="J41" s="231"/>
      <c r="L41" s="359"/>
      <c r="N41" s="22"/>
      <c r="S41" s="636"/>
    </row>
    <row r="42" spans="1:20" ht="12.6" customHeight="1">
      <c r="B42" s="280" t="str">
        <f ca="1">IF(B31="*","*","")</f>
        <v>*</v>
      </c>
      <c r="C42" s="216" t="str">
        <f ca="1">IF((C48)="","",HLOOKUP(C48,'64Quẻ'!B5:DX11,2,0))</f>
        <v>—   —</v>
      </c>
      <c r="D42" s="358" t="str">
        <f ca="1">IF(C48="","",HLOOKUP(C48&amp;1,'64Quẻ'!B5:DY11,2,0))</f>
        <v>Q.Dậu</v>
      </c>
      <c r="E42" s="278"/>
      <c r="F42" s="233"/>
      <c r="G42" s="335" t="str">
        <f ca="1">HLOOKUP(C48,'384Hào'!C3:BN74,63-(Setup!AQ33-1)*11,0)</f>
        <v>Ý HÀO: Khiêm nhường và dùng tài có giới hạn thôi.</v>
      </c>
      <c r="H42" s="340"/>
      <c r="I42" s="336"/>
      <c r="J42" s="231"/>
      <c r="L42" s="359"/>
      <c r="N42" s="22"/>
      <c r="S42" s="636"/>
    </row>
    <row r="43" spans="1:20" ht="12.6" customHeight="1">
      <c r="B43" s="280" t="str">
        <f ca="1">IF(B32="*","*","")</f>
        <v/>
      </c>
      <c r="C43" s="216" t="str">
        <f ca="1">IF((C48)="","",HLOOKUP(C48,'64Quẻ'!B5:DX11,3,0))</f>
        <v>—   —</v>
      </c>
      <c r="D43" s="358" t="str">
        <f ca="1">IF(C48="","",HLOOKUP(C48&amp;1,'64Quẻ'!B5:DY11,3,0))</f>
        <v>Q.Hợi</v>
      </c>
      <c r="E43" s="278"/>
      <c r="F43" s="233"/>
      <c r="G43" s="337"/>
      <c r="H43" s="224" t="str">
        <f ca="1">HLOOKUP(C48,'384Hào'!C3:BN74,64-(Setup!AQ33-1)*11,0)</f>
        <v>MHC: Theo cổ, xử sự có đạo lý, làm vũ chức được như ý.</v>
      </c>
      <c r="I43" s="336"/>
      <c r="J43" s="355"/>
      <c r="L43" s="364"/>
      <c r="N43" s="22"/>
      <c r="S43" s="636"/>
    </row>
    <row r="44" spans="1:20" ht="12.6" customHeight="1">
      <c r="B44" s="280" t="str">
        <f ca="1">IF(B33="*","*","")</f>
        <v/>
      </c>
      <c r="C44" s="216" t="str">
        <f ca="1">IF((C48)="","",HLOOKUP(C48,'64Quẻ'!B5:DX11,4,0))</f>
        <v>—   —</v>
      </c>
      <c r="D44" s="358" t="str">
        <f ca="1">IF(C48="","",HLOOKUP(C48&amp;1,'64Quẻ'!B5:DY11,4,0))</f>
        <v>Q.Sửu</v>
      </c>
      <c r="E44" s="278"/>
      <c r="F44" s="233"/>
      <c r="G44" s="337"/>
      <c r="H44" s="338" t="str">
        <f ca="1">HLOOKUP(C48,'384Hào'!C3:BN74,65-(Setup!AQ33-1)*11,0)</f>
        <v>MKH: Có nhiều tri kỷ, nhưng ít người giúp mình. Quy mô nhỏ hẹp nơi gia đình thôi.</v>
      </c>
      <c r="I44" s="336"/>
      <c r="J44" s="231"/>
      <c r="L44" s="359"/>
      <c r="N44" s="22"/>
      <c r="S44" s="636"/>
    </row>
    <row r="45" spans="1:20" ht="12.6" customHeight="1">
      <c r="B45" s="280" t="str">
        <f ca="1">IF(B34="*","*","")</f>
        <v/>
      </c>
      <c r="C45" s="278" t="str">
        <f ca="1">IF((C48)="","",HLOOKUP(C48,'64Quẻ'!B5:DX11,5,0))</f>
        <v>———</v>
      </c>
      <c r="D45" s="358" t="str">
        <f ca="1">IF(C48="","",HLOOKUP(C48&amp;1,'64Quẻ'!B5:DY11,5,0))</f>
        <v>B.Thân</v>
      </c>
      <c r="E45" s="278"/>
      <c r="F45" s="657" t="str">
        <f ca="1">Setup!AR34</f>
        <v/>
      </c>
      <c r="G45" s="337"/>
      <c r="H45" s="340"/>
      <c r="I45" s="224" t="str">
        <f ca="1">HLOOKUP(C48,'384Hào'!C3:BN74,66-(Setup!AQ33-1)*11,0)</f>
        <v>QC: Được giao quyền quân sự coi bên trong.</v>
      </c>
      <c r="J45" s="231"/>
      <c r="L45" s="359"/>
      <c r="N45" s="22"/>
      <c r="S45" s="636"/>
    </row>
    <row r="46" spans="1:20" ht="12.6" customHeight="1">
      <c r="B46" s="280" t="str">
        <f ca="1">IF(B35="*","*","")</f>
        <v/>
      </c>
      <c r="C46" s="278" t="str">
        <f ca="1">IF((C48)="","",HLOOKUP(C48,'64Quẻ'!B5:DX11,6,0))</f>
        <v>—   —</v>
      </c>
      <c r="D46" s="358" t="str">
        <f ca="1">IF(C48="","",HLOOKUP(C48&amp;1,'64Quẻ'!B5:DY11,6,0))</f>
        <v>B.Ngọ</v>
      </c>
      <c r="E46" s="278"/>
      <c r="F46" s="657" t="str">
        <f ca="1">Setup!AR35</f>
        <v/>
      </c>
      <c r="G46" s="337"/>
      <c r="H46" s="340"/>
      <c r="I46" s="224" t="str">
        <f ca="1">HLOOKUP(C48,'384Hào'!C3:BN74,67-(Setup!AQ33-1)*11,0)</f>
        <v>GS: Thi bằng nhỏ, danh cao dần dần.</v>
      </c>
      <c r="J46" s="231"/>
      <c r="L46" s="359"/>
      <c r="N46" s="22"/>
      <c r="S46" s="636"/>
    </row>
    <row r="47" spans="1:20" ht="12.6" customHeight="1">
      <c r="B47" s="280" t="str">
        <f ca="1">IF(B30="*","*","")</f>
        <v/>
      </c>
      <c r="C47" s="278" t="str">
        <f ca="1">IF((C48)="","",HLOOKUP(C48,'64Quẻ'!B5:DX11,7,0))</f>
        <v>—   —</v>
      </c>
      <c r="D47" s="358" t="str">
        <f ca="1">IF(C48="","",HLOOKUP(C48&amp;1,'64Quẻ'!B5:DY11,7,0))</f>
        <v>B.Thìn</v>
      </c>
      <c r="E47" s="278"/>
      <c r="F47" s="657" t="str">
        <f ca="1">Setup!AR36</f>
        <v>HC</v>
      </c>
      <c r="G47" s="337"/>
      <c r="H47" s="340"/>
      <c r="I47" s="224" t="str">
        <f ca="1">HLOOKUP(C48,'384Hào'!C3:BN74,68-(Setup!AQ33-1)*11,0)</f>
        <v>NT: Có kiện tụng, nhưng tự nhiên minh giải được.</v>
      </c>
      <c r="J47" s="231"/>
      <c r="L47" s="359"/>
      <c r="N47" s="22"/>
      <c r="S47" s="636"/>
    </row>
    <row r="48" spans="1:20" ht="12.6" customHeight="1">
      <c r="C48" s="277" t="str">
        <f ca="1">IF('Đại Vận'!C13="","",HLOOKUP(Setup!AP36,'64Quẻ'!B4:DX5,2,0))</f>
        <v>Khiêm</v>
      </c>
      <c r="D48" s="357"/>
      <c r="E48" s="278"/>
      <c r="F48" s="670"/>
      <c r="H48" s="337"/>
      <c r="I48" s="336"/>
      <c r="J48" s="231"/>
      <c r="L48" s="359" t="str">
        <f ca="1">HLOOKUP(C48,'384Hào'!C3:BN74,69-(Setup!AQ33-1)*11,0)</f>
        <v xml:space="preserve">Làm gì ai cũng biết thừa,          </v>
      </c>
      <c r="N48" s="231" t="str">
        <f ca="1">HLOOKUP(C48,'384Hào'!C3:BN74,71-(Setup!AQ33-1)*11,0)</f>
        <v/>
      </c>
      <c r="S48" s="636"/>
    </row>
    <row r="49" spans="1:20" ht="12.6" customHeight="1">
      <c r="A49" s="253"/>
      <c r="C49" s="356">
        <f ca="1">IF(C48="","",HLOOKUP(C48,'64Quẻ'!B5:DX25,21,0))</f>
        <v>9</v>
      </c>
      <c r="D49" s="357"/>
      <c r="E49" s="278"/>
      <c r="F49" s="689"/>
      <c r="H49" s="337"/>
      <c r="I49" s="336"/>
      <c r="J49" s="231"/>
      <c r="L49" s="359" t="str">
        <f ca="1">HLOOKUP(C48,'384Hào'!C3:BN74,70-(Setup!AQ33-1)*11,0)</f>
        <v>Nghĩa công chưa đạt, lòng ta vẫn bền.</v>
      </c>
      <c r="N49" s="354" t="str">
        <f ca="1">HLOOKUP(C48,'384Hào'!C3:BN74,72-(Setup!AQ33-1)*11,0)</f>
        <v/>
      </c>
      <c r="S49" s="636"/>
    </row>
    <row r="50" spans="1:20" ht="12.6" customHeight="1">
      <c r="A50" s="250"/>
      <c r="B50" s="250"/>
      <c r="C50" s="248"/>
      <c r="D50" s="230"/>
      <c r="E50" s="250"/>
      <c r="F50" s="232"/>
      <c r="G50" s="339" t="str">
        <f ca="1">HLOOKUP(C60,'384Hào'!C3:BN74,2,0)</f>
        <v>Minh Di là Thương (có ánh sáng nhưng bị tổn thương).</v>
      </c>
      <c r="H50" s="341"/>
      <c r="I50" s="341"/>
      <c r="J50" s="236"/>
      <c r="K50" s="250"/>
      <c r="L50" s="365"/>
      <c r="M50" s="250"/>
      <c r="N50" s="330"/>
      <c r="O50" s="250"/>
      <c r="P50" s="250"/>
      <c r="Q50" s="250"/>
      <c r="R50" s="250"/>
      <c r="S50" s="748"/>
      <c r="T50" s="250"/>
    </row>
    <row r="51" spans="1:20" ht="12.6" customHeight="1">
      <c r="C51" s="50" t="str">
        <f ca="1">IF(B52=Setup!B26,"Năm nay","")</f>
        <v/>
      </c>
      <c r="F51" s="233"/>
      <c r="G51" s="340"/>
      <c r="H51" s="342"/>
      <c r="I51" s="343"/>
      <c r="J51" s="231"/>
      <c r="L51" s="359" t="str">
        <f ca="1">HLOOKUP(C60,'384Hào'!C3:BN74,3,0)</f>
        <v xml:space="preserve">Người rình trong đất tổn thương,       </v>
      </c>
      <c r="N51" s="231" t="str">
        <f ca="1">HLOOKUP(C60,'384Hào'!C3:BN74,5,0)</f>
        <v/>
      </c>
      <c r="S51" s="636"/>
    </row>
    <row r="52" spans="1:20" ht="12.6" customHeight="1">
      <c r="B52" s="981">
        <f ca="1">B4+4</f>
        <v>2036</v>
      </c>
      <c r="C52" s="981"/>
      <c r="D52" s="981"/>
      <c r="F52" s="233"/>
      <c r="G52" s="340"/>
      <c r="H52" s="340"/>
      <c r="I52" s="343"/>
      <c r="J52" s="231"/>
      <c r="L52" s="359" t="str">
        <f ca="1">HLOOKUP(C60,'384Hào'!C3:BN74,4,0)</f>
        <v>Tuổi dương phòng bệnh khó lường hư hao.</v>
      </c>
      <c r="N52" s="231" t="str">
        <f ca="1">HLOOKUP(C60,'384Hào'!C3:BN74,6,0)</f>
        <v/>
      </c>
      <c r="S52" s="636"/>
    </row>
    <row r="53" spans="1:20" ht="12.6" customHeight="1">
      <c r="C53" s="216" t="str">
        <f ca="1">INDEX(Setup!D11:D20,MOD(B52,10)+1)&amp;" "&amp;INDEX(Setup!E4:E15,MOD(B52,12)+1)</f>
        <v>Bính Thìn</v>
      </c>
      <c r="F53" s="233"/>
      <c r="G53" s="334" t="str">
        <f ca="1">HLOOKUP(C60,'384Hào'!C3:BN74,62-(Setup!AQ40-1)*11,0)</f>
        <v>Sự tổn thương (như con chim) lúc bay, đau rũ cánh xuống, người Quân tử (tri cơ) phải đi (để tránh nạn), vội nên ba ngày không ăn, có chuyện đi xa như thế, chắc hẳn người ta cũng có lời bàn tán (nghi ngờ) (hào 1 tránh xa được hào 6 âm là lúc cực tổn thương).</v>
      </c>
      <c r="H53" s="337"/>
      <c r="I53" s="336"/>
      <c r="J53" s="231"/>
      <c r="L53" s="359"/>
      <c r="N53" s="22"/>
      <c r="S53" s="636"/>
    </row>
    <row r="54" spans="1:20" ht="12.6" customHeight="1">
      <c r="B54" s="280" t="str">
        <f ca="1">IF(B43="*","*","")</f>
        <v/>
      </c>
      <c r="C54" s="216" t="str">
        <f ca="1">IF((C60)="","",HLOOKUP(C60,'64Quẻ'!B5:DX11,2,0))</f>
        <v>—   —</v>
      </c>
      <c r="D54" s="358" t="str">
        <f ca="1">IF(C60="","",HLOOKUP(C60&amp;1,'64Quẻ'!B5:DY11,2,0))</f>
        <v>Q.Dậu</v>
      </c>
      <c r="E54" s="278"/>
      <c r="F54" s="233"/>
      <c r="G54" s="335" t="str">
        <f ca="1">HLOOKUP(C60,'384Hào'!C3:BN74,63-(Setup!AQ40-1)*11,0)</f>
        <v>Ý HÀO: Biết cơ nên tránh sự tổn thương.</v>
      </c>
      <c r="H54" s="340"/>
      <c r="I54" s="336"/>
      <c r="J54" s="231"/>
      <c r="L54" s="359"/>
      <c r="N54" s="22"/>
      <c r="S54" s="636"/>
    </row>
    <row r="55" spans="1:20" ht="12.6" customHeight="1">
      <c r="B55" s="280" t="str">
        <f ca="1">IF(B44="*","*","")</f>
        <v/>
      </c>
      <c r="C55" s="216" t="str">
        <f ca="1">IF((C60)="","",HLOOKUP(C60,'64Quẻ'!B5:DX11,3,0))</f>
        <v>—   —</v>
      </c>
      <c r="D55" s="358" t="str">
        <f ca="1">IF(C60="","",HLOOKUP(C60&amp;1,'64Quẻ'!B5:DY11,3,0))</f>
        <v>Q.Hợi</v>
      </c>
      <c r="E55" s="278"/>
      <c r="F55" s="233"/>
      <c r="G55" s="337"/>
      <c r="H55" s="224" t="str">
        <f ca="1">HLOOKUP(C60,'384Hào'!C3:BN74,64-(Setup!AQ40-1)*11,0)</f>
        <v>MHC: Sáng suốt trong sạch nên đắc dụng thời bình, tránh họa thời loạn.</v>
      </c>
      <c r="I55" s="336"/>
      <c r="J55" s="355"/>
      <c r="L55" s="364"/>
      <c r="N55" s="22"/>
      <c r="S55" s="636"/>
    </row>
    <row r="56" spans="1:20" ht="12.6" customHeight="1">
      <c r="B56" s="280" t="str">
        <f ca="1">IF(B45="*","*","")</f>
        <v/>
      </c>
      <c r="C56" s="216" t="str">
        <f ca="1">IF((C60)="","",HLOOKUP(C60,'64Quẻ'!B5:DX11,4,0))</f>
        <v>—   —</v>
      </c>
      <c r="D56" s="358" t="str">
        <f ca="1">IF(C60="","",HLOOKUP(C60&amp;1,'64Quẻ'!B5:DY11,4,0))</f>
        <v>Q.Sửu</v>
      </c>
      <c r="E56" s="278"/>
      <c r="F56" s="233"/>
      <c r="G56" s="337"/>
      <c r="H56" s="338" t="str">
        <f ca="1">HLOOKUP(C60,'384Hào'!C3:BN74,65-(Setup!AQ40-1)*11,0)</f>
        <v>MKH: Có chí lớn, nhưng động làm là bị tổn thương, dù có công nhưng khó được hưởng lộc.</v>
      </c>
      <c r="I56" s="336"/>
      <c r="J56" s="231"/>
      <c r="L56" s="359"/>
      <c r="N56" s="22"/>
      <c r="S56" s="636"/>
    </row>
    <row r="57" spans="1:20" ht="12.6" customHeight="1">
      <c r="B57" s="280" t="str">
        <f ca="1">IF(B46="*","*","")</f>
        <v/>
      </c>
      <c r="C57" s="278" t="str">
        <f ca="1">IF((C60)="","",HLOOKUP(C60,'64Quẻ'!B5:DX11,5,0))</f>
        <v>———</v>
      </c>
      <c r="D57" s="358" t="str">
        <f ca="1">IF(C60="","",HLOOKUP(C60&amp;1,'64Quẻ'!B5:DY11,5,0))</f>
        <v>K.Hợi</v>
      </c>
      <c r="E57" s="278"/>
      <c r="F57" s="657" t="str">
        <f ca="1">Setup!AR41</f>
        <v/>
      </c>
      <c r="G57" s="337"/>
      <c r="H57" s="340"/>
      <c r="I57" s="224" t="str">
        <f ca="1">HLOOKUP(C60,'384Hào'!C3:BN74,66-(Setup!AQ40-1)*11,0)</f>
        <v>QC: Có thể gần mặt trời, phụ tá thân mật nhưng phòng tổn thương.</v>
      </c>
      <c r="J57" s="231"/>
      <c r="L57" s="359"/>
      <c r="N57" s="22"/>
      <c r="S57" s="636"/>
    </row>
    <row r="58" spans="1:20" ht="12.6" customHeight="1">
      <c r="B58" s="280" t="str">
        <f ca="1">IF(B47="*","*","")</f>
        <v/>
      </c>
      <c r="C58" s="278" t="str">
        <f ca="1">IF((C60)="","",HLOOKUP(C60,'64Quẻ'!B5:DX11,6,0))</f>
        <v>—   —</v>
      </c>
      <c r="D58" s="358" t="str">
        <f ca="1">IF(C60="","",HLOOKUP(C60&amp;1,'64Quẻ'!B5:DY11,6,0))</f>
        <v>K.Sửu</v>
      </c>
      <c r="E58" s="278"/>
      <c r="F58" s="657" t="str">
        <f ca="1">Setup!AR42</f>
        <v>ĐNK</v>
      </c>
      <c r="G58" s="337"/>
      <c r="H58" s="340"/>
      <c r="I58" s="224" t="str">
        <f ca="1">HLOOKUP(C60,'384Hào'!C3:BN74,67-(Setup!AQ40-1)*11,0)</f>
        <v>GS: Có tin thắng lợi.</v>
      </c>
      <c r="J58" s="231"/>
      <c r="L58" s="359"/>
      <c r="N58" s="22"/>
      <c r="S58" s="636"/>
    </row>
    <row r="59" spans="1:20" ht="12.6" customHeight="1">
      <c r="B59" s="280" t="str">
        <f ca="1">IF(B42="*","*","")</f>
        <v>*</v>
      </c>
      <c r="C59" s="278" t="str">
        <f ca="1">IF((C60)="","",HLOOKUP(C60,'64Quẻ'!B5:DX11,7,0))</f>
        <v>———</v>
      </c>
      <c r="D59" s="358" t="str">
        <f ca="1">IF(C60="","",HLOOKUP(C60&amp;1,'64Quẻ'!B5:DY11,7,0))</f>
        <v>K.Mão</v>
      </c>
      <c r="E59" s="278"/>
      <c r="F59" s="657" t="str">
        <f ca="1">Setup!AR43</f>
        <v>HC</v>
      </c>
      <c r="G59" s="337"/>
      <c r="H59" s="340"/>
      <c r="I59" s="224" t="str">
        <f ca="1">HLOOKUP(C60,'384Hào'!C3:BN74,68-(Setup!AQ40-1)*11,0)</f>
        <v>NT: Tai bay vạ gió, chân tay bị đau. Số tốt có người đem ngựa xe đến.</v>
      </c>
      <c r="J59" s="231"/>
      <c r="L59" s="359"/>
      <c r="N59" s="22"/>
      <c r="S59" s="636"/>
    </row>
    <row r="60" spans="1:20" ht="12.6" customHeight="1">
      <c r="C60" s="277" t="str">
        <f ca="1">IF('Đại Vận'!C13="","",HLOOKUP(Setup!AP43,'64Quẻ'!B4:DX5,2,0))</f>
        <v>M.Di</v>
      </c>
      <c r="D60" s="357"/>
      <c r="E60" s="278"/>
      <c r="F60" s="670"/>
      <c r="H60" s="337"/>
      <c r="I60" s="336"/>
      <c r="J60" s="231"/>
      <c r="L60" s="359" t="str">
        <f ca="1">HLOOKUP(C60,'384Hào'!C3:BN74,69-(Setup!AQ40-1)*11,0)</f>
        <v>Một cẳng bước hai thuyền,</v>
      </c>
      <c r="N60" s="231" t="str">
        <f ca="1">HLOOKUP(C60,'384Hào'!C3:BN74,71-(Setup!AQ40-1)*11,0)</f>
        <v xml:space="preserve">Đoàn viên thêm phí sức, </v>
      </c>
      <c r="S60" s="636"/>
    </row>
    <row r="61" spans="1:20" ht="12.6" customHeight="1">
      <c r="A61" s="253"/>
      <c r="C61" s="356">
        <f ca="1">IF(C60="","",HLOOKUP(C60,'64Quẻ'!B5:DX25,21,0))</f>
        <v>8</v>
      </c>
      <c r="D61" s="357"/>
      <c r="E61" s="278"/>
      <c r="F61" s="689"/>
      <c r="H61" s="337"/>
      <c r="I61" s="336"/>
      <c r="J61" s="231"/>
      <c r="L61" s="359" t="str">
        <f ca="1">HLOOKUP(C60,'384Hào'!C3:BN74,70-(Setup!AQ40-1)*11,0)</f>
        <v xml:space="preserve">Một gương chiếu hai bên.  </v>
      </c>
      <c r="N61" s="354" t="str">
        <f ca="1">HLOOKUP(C60,'384Hào'!C3:BN74,72-(Setup!AQ40-1)*11,0)</f>
        <v>Phí sức lại đoàn viên.</v>
      </c>
      <c r="S61" s="636"/>
    </row>
    <row r="62" spans="1:20" ht="12.6" customHeight="1">
      <c r="A62" s="250"/>
      <c r="B62" s="250"/>
      <c r="C62" s="248"/>
      <c r="D62" s="230"/>
      <c r="E62" s="250"/>
      <c r="F62" s="232"/>
      <c r="G62" s="339" t="str">
        <f ca="1">HLOOKUP(C72,'384Hào'!C3:BN74,2,0)</f>
        <v>Thái là Thông (thời vận hanh thông, rất tốt). Phàm số được quẻ này mà hợp cách cục là cực tốt. Có triệu chứng xuất tướng nhập tướng. Lại sanh tháng 1 là cách công danh phú quý, nếu sinh không đúng thời mà phúc nhỏ, thì chỉ nên thủ phận an thường.</v>
      </c>
      <c r="H62" s="341"/>
      <c r="I62" s="341"/>
      <c r="J62" s="236"/>
      <c r="K62" s="250"/>
      <c r="L62" s="365"/>
      <c r="M62" s="250"/>
      <c r="N62" s="330"/>
      <c r="O62" s="250"/>
      <c r="P62" s="250"/>
      <c r="Q62" s="250"/>
      <c r="R62" s="250"/>
      <c r="S62" s="748"/>
      <c r="T62" s="250"/>
    </row>
    <row r="63" spans="1:20" ht="12.6" customHeight="1">
      <c r="C63" s="50" t="str">
        <f ca="1">IF(B64=Setup!B26,"Năm nay","")</f>
        <v/>
      </c>
      <c r="F63" s="233"/>
      <c r="G63" s="340"/>
      <c r="H63" s="342"/>
      <c r="I63" s="343"/>
      <c r="J63" s="231"/>
      <c r="L63" s="359" t="str">
        <f ca="1">HLOOKUP(C72,'384Hào'!C3:BN74,3,0)</f>
        <v xml:space="preserve">Tuần hoàn bĩ thái luật trời,             </v>
      </c>
      <c r="N63" s="231" t="str">
        <f ca="1">HLOOKUP(C72,'384Hào'!C3:BN74,5,0)</f>
        <v xml:space="preserve">            Tiền trình giữ bước vững vàng,</v>
      </c>
      <c r="S63" s="636"/>
    </row>
    <row r="64" spans="1:20" ht="12.6" customHeight="1">
      <c r="B64" s="981">
        <f ca="1">B4+5</f>
        <v>2037</v>
      </c>
      <c r="C64" s="981"/>
      <c r="D64" s="981"/>
      <c r="F64" s="233"/>
      <c r="G64" s="340"/>
      <c r="H64" s="340"/>
      <c r="I64" s="343"/>
      <c r="J64" s="231"/>
      <c r="L64" s="359" t="str">
        <f ca="1">HLOOKUP(C72,'384Hào'!C3:BN74,4,0)</f>
        <v>Mừng khi sinh dục được thời phong quang.</v>
      </c>
      <c r="N64" s="231" t="str">
        <f ca="1">HLOOKUP(C72,'384Hào'!C3:BN74,6,0)</f>
        <v>Trên đường muôn dặm gió dương thuận buồm.</v>
      </c>
      <c r="S64" s="636"/>
    </row>
    <row r="65" spans="1:20" ht="12.6" customHeight="1">
      <c r="C65" s="216" t="str">
        <f ca="1">INDEX(Setup!D11:D20,MOD(B64,10)+1)&amp;" "&amp;INDEX(Setup!E4:E15,MOD(B64,12)+1)</f>
        <v>Đinh Tỵ</v>
      </c>
      <c r="F65" s="233"/>
      <c r="G65" s="334" t="str">
        <f ca="1">HLOOKUP(C72,'384Hào'!C3:BN74,62-(Setup!AQ47-1)*11,0)</f>
        <v>Bao dong cả hoang tạp, dùng (can đảm) lội sông, chẳng bỏ sót kẻ ở xa, quên bè phái, được đúng đạo trung hành.</v>
      </c>
      <c r="H65" s="337"/>
      <c r="I65" s="336"/>
      <c r="J65" s="231"/>
      <c r="L65" s="359"/>
      <c r="N65" s="22"/>
      <c r="S65" s="636"/>
    </row>
    <row r="66" spans="1:20" ht="12.6" customHeight="1">
      <c r="B66" s="280" t="str">
        <f ca="1">IF(B55="*","*","")</f>
        <v/>
      </c>
      <c r="C66" s="216" t="str">
        <f ca="1">IF((C72)="","",HLOOKUP(C72,'64Quẻ'!B5:DX11,2,0))</f>
        <v>—   —</v>
      </c>
      <c r="D66" s="358" t="str">
        <f ca="1">IF(C72="","",HLOOKUP(C72&amp;1,'64Quẻ'!B5:DY11,2,0))</f>
        <v>Q.Dậu</v>
      </c>
      <c r="E66" s="278"/>
      <c r="F66" s="233"/>
      <c r="G66" s="335" t="str">
        <f ca="1">HLOOKUP(C72,'384Hào'!C3:BN74,63-(Setup!AQ47-1)*11,0)</f>
        <v>Ý HÀO: Có đức cương trung, giữ được nghiệp lớn.</v>
      </c>
      <c r="H66" s="340"/>
      <c r="I66" s="336"/>
      <c r="J66" s="231"/>
      <c r="L66" s="359"/>
      <c r="N66" s="22"/>
      <c r="S66" s="636"/>
    </row>
    <row r="67" spans="1:20" ht="12.6" customHeight="1">
      <c r="B67" s="280" t="str">
        <f ca="1">IF(B56="*","*","")</f>
        <v/>
      </c>
      <c r="C67" s="216" t="str">
        <f ca="1">IF((C72)="","",HLOOKUP(C72,'64Quẻ'!B5:DX11,3,0))</f>
        <v>—   —</v>
      </c>
      <c r="D67" s="358" t="str">
        <f ca="1">IF(C72="","",HLOOKUP(C72&amp;1,'64Quẻ'!B5:DY11,3,0))</f>
        <v>Q.Hợi</v>
      </c>
      <c r="E67" s="278"/>
      <c r="F67" s="233"/>
      <c r="G67" s="337"/>
      <c r="H67" s="224" t="str">
        <f ca="1">HLOOKUP(C72,'384Hào'!C3:BN74,64-(Setup!AQ47-1)*11,0)</f>
        <v>MHC: Độ lượng dung nạp được hết, không thiên gần bỏ xa, mở được vận hội thanh bình, hưởng phú quý.</v>
      </c>
      <c r="I67" s="336"/>
      <c r="J67" s="355"/>
      <c r="L67" s="364"/>
      <c r="N67" s="22"/>
      <c r="S67" s="636"/>
    </row>
    <row r="68" spans="1:20" ht="12.6" customHeight="1">
      <c r="B68" s="280" t="str">
        <f ca="1">IF(B57="*","*","")</f>
        <v/>
      </c>
      <c r="C68" s="216" t="str">
        <f ca="1">IF((C72)="","",HLOOKUP(C72,'64Quẻ'!B5:DX11,4,0))</f>
        <v>—   —</v>
      </c>
      <c r="D68" s="358" t="str">
        <f ca="1">IF(C72="","",HLOOKUP(C72&amp;1,'64Quẻ'!B5:DY11,4,0))</f>
        <v>Q.Sửu</v>
      </c>
      <c r="E68" s="278"/>
      <c r="F68" s="233"/>
      <c r="G68" s="337"/>
      <c r="H68" s="338" t="str">
        <f ca="1">HLOOKUP(C72,'384Hào'!C3:BN74,65-(Setup!AQ47-1)*11,0)</f>
        <v>MKH: Cũng là kẻ sĩ cẩn hậu được kính trọng nơi hương lý, giàu có đầy đặn.</v>
      </c>
      <c r="I68" s="336"/>
      <c r="J68" s="231"/>
      <c r="L68" s="359"/>
      <c r="N68" s="22"/>
      <c r="S68" s="636"/>
    </row>
    <row r="69" spans="1:20" ht="12.6" customHeight="1">
      <c r="B69" s="280" t="str">
        <f ca="1">IF(B58="*","*","")</f>
        <v/>
      </c>
      <c r="C69" s="278" t="str">
        <f ca="1">IF((C72)="","",HLOOKUP(C72,'64Quẻ'!B5:DX11,5,0))</f>
        <v>———</v>
      </c>
      <c r="D69" s="358" t="str">
        <f ca="1">IF(C72="","",HLOOKUP(C72&amp;1,'64Quẻ'!B5:DY11,5,0))</f>
        <v>G.Thìn</v>
      </c>
      <c r="E69" s="278"/>
      <c r="F69" s="657" t="str">
        <f ca="1">Setup!AR48</f>
        <v>TNK</v>
      </c>
      <c r="G69" s="337"/>
      <c r="H69" s="340"/>
      <c r="I69" s="224" t="str">
        <f ca="1">HLOOKUP(C72,'384Hào'!C3:BN74,66-(Setup!AQ47-1)*11,0)</f>
        <v>QC: Bảo vệ biên cương, sông hồ.</v>
      </c>
      <c r="J69" s="231"/>
      <c r="L69" s="359"/>
      <c r="N69" s="22"/>
      <c r="S69" s="636"/>
    </row>
    <row r="70" spans="1:20" ht="12.6" customHeight="1">
      <c r="B70" s="280" t="str">
        <f ca="1">IF(B59="*","*","")</f>
        <v>*</v>
      </c>
      <c r="C70" s="278" t="str">
        <f ca="1">IF((C72)="","",HLOOKUP(C72,'64Quẻ'!B5:DX11,6,0))</f>
        <v>———</v>
      </c>
      <c r="D70" s="358" t="str">
        <f ca="1">IF(C72="","",HLOOKUP(C72&amp;1,'64Quẻ'!B5:DY11,6,0))</f>
        <v>G.Dần</v>
      </c>
      <c r="E70" s="278"/>
      <c r="F70" s="657" t="str">
        <f ca="1">Setup!AR49</f>
        <v/>
      </c>
      <c r="G70" s="337"/>
      <c r="H70" s="340"/>
      <c r="I70" s="224" t="str">
        <f ca="1">HLOOKUP(C72,'384Hào'!C3:BN74,67-(Setup!AQ47-1)*11,0)</f>
        <v>GS: Tiến thủ thành danh, doanh mưu hoạch lợi.</v>
      </c>
      <c r="J70" s="231"/>
      <c r="L70" s="359"/>
      <c r="N70" s="22"/>
      <c r="S70" s="636"/>
    </row>
    <row r="71" spans="1:20" ht="12.6" customHeight="1">
      <c r="B71" s="280" t="str">
        <f ca="1">IF(B54="*","*","")</f>
        <v/>
      </c>
      <c r="C71" s="278" t="str">
        <f ca="1">IF((C72)="","",HLOOKUP(C72,'64Quẻ'!B5:DX11,7,0))</f>
        <v>———</v>
      </c>
      <c r="D71" s="358" t="str">
        <f ca="1">IF(C72="","",HLOOKUP(C72&amp;1,'64Quẻ'!B5:DY11,7,0))</f>
        <v>G.Tý</v>
      </c>
      <c r="E71" s="278"/>
      <c r="F71" s="657" t="str">
        <f ca="1">Setup!AR50</f>
        <v/>
      </c>
      <c r="G71" s="337"/>
      <c r="H71" s="340"/>
      <c r="I71" s="224" t="str">
        <f ca="1">HLOOKUP(C72,'384Hào'!C3:BN74,68-(Setup!AQ47-1)*11,0)</f>
        <v>NT: Được qua nơi tôn quý. Nếu không hợp cục đắc vị thì đề phòng bậc tôn trưởng bị tổn thiệt, ngôn ngữ mếch lòng, có hại.</v>
      </c>
      <c r="J71" s="231"/>
      <c r="L71" s="359"/>
      <c r="N71" s="22"/>
      <c r="S71" s="636"/>
    </row>
    <row r="72" spans="1:20" ht="12.6" customHeight="1">
      <c r="C72" s="277" t="str">
        <f ca="1">IF('Đại Vận'!C13="","",HLOOKUP(Setup!AP50,'64Quẻ'!B4:DX5,2,0))</f>
        <v>Thái</v>
      </c>
      <c r="D72" s="357"/>
      <c r="E72" s="278"/>
      <c r="F72" s="670"/>
      <c r="H72" s="337"/>
      <c r="I72" s="336"/>
      <c r="J72" s="231"/>
      <c r="L72" s="359" t="str">
        <f ca="1">HLOOKUP(C72,'384Hào'!C3:BN74,69-(Setup!AQ47-1)*11,0)</f>
        <v xml:space="preserve">Đạo trung thuận đã yên lòng,   </v>
      </c>
      <c r="N72" s="231" t="str">
        <f ca="1">HLOOKUP(C72,'384Hào'!C3:BN74,71-(Setup!AQ47-1)*11,0)</f>
        <v/>
      </c>
      <c r="S72" s="636"/>
    </row>
    <row r="73" spans="1:20" ht="12.6" customHeight="1">
      <c r="A73" s="253"/>
      <c r="C73" s="356">
        <f ca="1">IF(C72="","",HLOOKUP(C72,'64Quẻ'!B5:DX25,21,0))</f>
        <v>1</v>
      </c>
      <c r="D73" s="357"/>
      <c r="E73" s="278"/>
      <c r="F73" s="689"/>
      <c r="H73" s="337"/>
      <c r="I73" s="336"/>
      <c r="J73" s="231"/>
      <c r="L73" s="359" t="str">
        <f ca="1">HLOOKUP(C72,'384Hào'!C3:BN74,70-(Setup!AQ47-1)*11,0)</f>
        <v>Trước non cửa mở, đầu sông cá vào.</v>
      </c>
      <c r="N73" s="354" t="str">
        <f ca="1">HLOOKUP(C72,'384Hào'!C3:BN74,72-(Setup!AQ47-1)*11,0)</f>
        <v/>
      </c>
      <c r="S73" s="636"/>
    </row>
    <row r="74" spans="1:20" ht="12.6" customHeight="1">
      <c r="B74" s="250"/>
      <c r="C74" s="248"/>
      <c r="D74" s="230"/>
      <c r="E74" s="250"/>
      <c r="F74" s="232"/>
      <c r="G74" s="339" t="str">
        <f ca="1">IF(C84="","",HLOOKUP(C84,'384Hào'!C3:BN74,2,0))</f>
        <v/>
      </c>
      <c r="H74" s="341"/>
      <c r="I74" s="341"/>
      <c r="J74" s="236"/>
      <c r="K74" s="250"/>
      <c r="L74" s="365"/>
      <c r="M74" s="250"/>
      <c r="N74" s="330"/>
      <c r="O74" s="250"/>
      <c r="P74" s="250"/>
      <c r="Q74" s="250"/>
      <c r="R74" s="250"/>
      <c r="S74" s="748"/>
      <c r="T74" s="250"/>
    </row>
    <row r="75" spans="1:20" ht="12.6" customHeight="1">
      <c r="C75" s="50" t="str">
        <f ca="1">IF(B76=Setup!B26,"Năm nay","")</f>
        <v/>
      </c>
      <c r="F75" s="233"/>
      <c r="G75" s="340"/>
      <c r="H75" s="342"/>
      <c r="I75" s="343"/>
      <c r="J75" s="231"/>
      <c r="L75" s="359" t="str">
        <f ca="1">IF(C84="","",HLOOKUP(C84,'384Hào'!C3:BN74,3,0))</f>
        <v/>
      </c>
      <c r="N75" s="231" t="str">
        <f ca="1">IF(C84="","",HLOOKUP(C84,'384Hào'!C3:BN74,5,0))</f>
        <v/>
      </c>
      <c r="S75" s="636"/>
    </row>
    <row r="76" spans="1:20" ht="12.6" customHeight="1">
      <c r="B76" s="981" t="str">
        <f ca="1">IF(Setup!AT32=5,"",B64+1)</f>
        <v/>
      </c>
      <c r="C76" s="981"/>
      <c r="D76" s="981"/>
      <c r="F76" s="233"/>
      <c r="G76" s="340"/>
      <c r="H76" s="340"/>
      <c r="I76" s="343"/>
      <c r="J76" s="231"/>
      <c r="L76" s="359" t="str">
        <f ca="1">IF(C84="","",HLOOKUP(C84,'384Hào'!C3:BN74,4,0))</f>
        <v/>
      </c>
      <c r="N76" s="231" t="str">
        <f ca="1">IF(C84="","",HLOOKUP(C84,'384Hào'!C3:BN74,6,0))</f>
        <v/>
      </c>
      <c r="S76" s="636"/>
    </row>
    <row r="77" spans="1:20" ht="12.6" customHeight="1">
      <c r="C77" s="216" t="str">
        <f ca="1">IF(Setup!AT32=5,"",INDEX(Setup!D11:D20,MOD(B76,10)+1)&amp;" "&amp;INDEX(Setup!E4:E15,MOD(B76,12)+1))</f>
        <v/>
      </c>
      <c r="F77" s="233"/>
      <c r="G77" s="334" t="str">
        <f ca="1">IF(C84="","",HLOOKUP(C84,'384Hào'!C3:BN74,62-(Setup!AQ54-1)*11,0))</f>
        <v/>
      </c>
      <c r="H77" s="337"/>
      <c r="I77" s="336"/>
      <c r="J77" s="231"/>
      <c r="L77" s="359"/>
      <c r="N77" s="22"/>
      <c r="S77" s="636"/>
    </row>
    <row r="78" spans="1:20" ht="12.6" customHeight="1">
      <c r="B78" s="280" t="str">
        <f ca="1">IF(AND(Setup!AT32=8,B67="*"),"*",IF(Setup!AT32=5,"",""))</f>
        <v/>
      </c>
      <c r="C78" s="216" t="str">
        <f ca="1">IF(C84="", "",HLOOKUP(C84,'64Quẻ'!B5:DX11,2,0))</f>
        <v/>
      </c>
      <c r="D78" s="358" t="str">
        <f ca="1">IF(C84="","",HLOOKUP(C84&amp;1,'64Quẻ'!B5:DY11,2,0))</f>
        <v/>
      </c>
      <c r="E78" s="278"/>
      <c r="F78" s="233"/>
      <c r="G78" s="335" t="str">
        <f ca="1">IF(C84="","",HLOOKUP(C84,'384Hào'!C3:BN74,63-(Setup!AQ54-1)*11,0))</f>
        <v/>
      </c>
      <c r="H78" s="340"/>
      <c r="I78" s="336"/>
      <c r="J78" s="231"/>
      <c r="L78" s="359"/>
      <c r="N78" s="22"/>
      <c r="S78" s="636"/>
    </row>
    <row r="79" spans="1:20" ht="12.6" customHeight="1">
      <c r="B79" s="280" t="str">
        <f ca="1">IF(AND(Setup!AT32=8,B68="*"),"*",IF(Setup!AT32=5,"",""))</f>
        <v/>
      </c>
      <c r="C79" s="216" t="str">
        <f ca="1">IF(C84="", "",HLOOKUP(C84,'64Quẻ'!B5:DX11,3,0))</f>
        <v/>
      </c>
      <c r="D79" s="358" t="str">
        <f ca="1">IF(C84="","",HLOOKUP(C84&amp;1,'64Quẻ'!B5:DY11,3,0))</f>
        <v/>
      </c>
      <c r="E79" s="278"/>
      <c r="F79" s="233"/>
      <c r="G79" s="337"/>
      <c r="H79" s="224" t="str">
        <f ca="1">IF(C84="","",HLOOKUP(C84,'384Hào'!C3:BN74,64-(Setup!AQ54-1)*11,0))</f>
        <v/>
      </c>
      <c r="I79" s="336"/>
      <c r="J79" s="355"/>
      <c r="L79" s="364"/>
      <c r="N79" s="22"/>
      <c r="S79" s="636"/>
    </row>
    <row r="80" spans="1:20" ht="12.6" customHeight="1">
      <c r="B80" s="280" t="str">
        <f ca="1">IF(AND(Setup!AT32=8,B69="*"),"*",IF(Setup!AT32=5,"",""))</f>
        <v/>
      </c>
      <c r="C80" s="216" t="str">
        <f ca="1">IF(C84="", "",HLOOKUP(C84,'64Quẻ'!B5:DX11,4,0))</f>
        <v/>
      </c>
      <c r="D80" s="358" t="str">
        <f ca="1">IF(C84="","",HLOOKUP(C84&amp;1,'64Quẻ'!B5:DY11,4,0))</f>
        <v/>
      </c>
      <c r="E80" s="278"/>
      <c r="F80" s="233"/>
      <c r="G80" s="337"/>
      <c r="H80" s="338" t="str">
        <f ca="1">IF(C84="","",HLOOKUP(C84,'384Hào'!C3:BN74,65-(Setup!AQ54-1)*11,0))</f>
        <v/>
      </c>
      <c r="I80" s="336"/>
      <c r="J80" s="231"/>
      <c r="L80" s="359"/>
      <c r="N80" s="22"/>
      <c r="S80" s="636"/>
    </row>
    <row r="81" spans="2:20" ht="12.6" customHeight="1">
      <c r="B81" s="280" t="str">
        <f ca="1">IF(AND(Setup!AT32=8,B70="*"),"*",IF(Setup!AT32=5,"",""))</f>
        <v/>
      </c>
      <c r="C81" s="278" t="str">
        <f ca="1">IF(C84="", "",HLOOKUP(C84,'64Quẻ'!B5:DX11,5,0))</f>
        <v/>
      </c>
      <c r="D81" s="358" t="str">
        <f ca="1">IF(C84="","",HLOOKUP(C84&amp;1,'64Quẻ'!B5:DY11,5,0))</f>
        <v/>
      </c>
      <c r="E81" s="278"/>
      <c r="F81" s="657" t="str">
        <f ca="1">Setup!AR55</f>
        <v/>
      </c>
      <c r="G81" s="337"/>
      <c r="H81" s="340"/>
      <c r="I81" s="224" t="str">
        <f ca="1">IF(C84="","",HLOOKUP(C84,'384Hào'!C3:BN74,66-(Setup!AQ54-1)*11,0))</f>
        <v/>
      </c>
      <c r="J81" s="231"/>
      <c r="L81" s="359"/>
      <c r="N81" s="22"/>
      <c r="S81" s="636"/>
    </row>
    <row r="82" spans="2:20" ht="12.6" customHeight="1">
      <c r="B82" s="280" t="str">
        <f ca="1">IF(AND(Setup!AT32=8,B71="*"),"*",IF(Setup!AT32=5,"",""))</f>
        <v/>
      </c>
      <c r="C82" s="278" t="str">
        <f ca="1">IF(C84="", "",HLOOKUP(C84,'64Quẻ'!B5:DX11,6,0))</f>
        <v/>
      </c>
      <c r="D82" s="358" t="str">
        <f ca="1">IF(C84="","",HLOOKUP(C84&amp;1,'64Quẻ'!B5:DY11,6,0))</f>
        <v/>
      </c>
      <c r="E82" s="278"/>
      <c r="F82" s="657" t="str">
        <f ca="1">Setup!AR56</f>
        <v/>
      </c>
      <c r="G82" s="337"/>
      <c r="H82" s="340"/>
      <c r="I82" s="224" t="str">
        <f ca="1">IF(C84="","",HLOOKUP(C84,'384Hào'!C3:BN74,67-(Setup!AQ54-1)*11,0))</f>
        <v/>
      </c>
      <c r="J82" s="231"/>
      <c r="L82" s="359"/>
      <c r="N82" s="22"/>
      <c r="S82" s="636"/>
    </row>
    <row r="83" spans="2:20" ht="12.6" customHeight="1">
      <c r="B83" s="280" t="str">
        <f ca="1">IF(AND(Setup!AT32=8,B66="*"),"*",IF(Setup!AT32=5,"",""))</f>
        <v/>
      </c>
      <c r="C83" s="278" t="str">
        <f ca="1">IF(C84="", "",HLOOKUP(C84,'64Quẻ'!B5:DX11,7,0))</f>
        <v/>
      </c>
      <c r="D83" s="358" t="str">
        <f ca="1">IF(C84="","",HLOOKUP(C84&amp;1,'64Quẻ'!B5:DY11,7,0))</f>
        <v/>
      </c>
      <c r="E83" s="278"/>
      <c r="F83" s="657" t="str">
        <f ca="1">Setup!AR57</f>
        <v/>
      </c>
      <c r="G83" s="337"/>
      <c r="H83" s="340"/>
      <c r="I83" s="224" t="str">
        <f ca="1">IF(C84="","",HLOOKUP(C84,'384Hào'!C3:BN74,68-(Setup!AQ54-1)*11,0))</f>
        <v/>
      </c>
      <c r="J83" s="231"/>
      <c r="L83" s="359"/>
      <c r="N83" s="22"/>
      <c r="S83" s="636"/>
    </row>
    <row r="84" spans="2:20" ht="12.6" customHeight="1">
      <c r="C84" s="277" t="str">
        <f ca="1">IF(Setup!AT32=5,"",HLOOKUP(Setup!AP57,'64Quẻ'!B4:DX5,2,0))</f>
        <v/>
      </c>
      <c r="D84" s="357"/>
      <c r="E84" s="278"/>
      <c r="F84" s="670"/>
      <c r="H84" s="337"/>
      <c r="I84" s="336"/>
      <c r="J84" s="231"/>
      <c r="L84" s="359" t="str">
        <f ca="1">IF(C84="","",HLOOKUP(C84,'384Hào'!C3:BN74,69-(Setup!AQ54-1)*11,0))</f>
        <v/>
      </c>
      <c r="N84" s="231" t="str">
        <f ca="1">IF(C84="","",HLOOKUP(C84,'384Hào'!C3:BN74,71-(Setup!AQ54-1)*11,0))</f>
        <v/>
      </c>
      <c r="S84" s="636"/>
    </row>
    <row r="85" spans="2:20" ht="12.6" customHeight="1">
      <c r="C85" s="356" t="str">
        <f ca="1">IF(C84="","",HLOOKUP(C84,'64Quẻ'!B5:DX25,21,0))</f>
        <v/>
      </c>
      <c r="D85" s="357"/>
      <c r="E85" s="278"/>
      <c r="F85" s="689"/>
      <c r="H85" s="337"/>
      <c r="I85" s="336"/>
      <c r="J85" s="231"/>
      <c r="L85" s="359" t="str">
        <f ca="1">IF(C84="","",HLOOKUP(C84,'384Hào'!C3:BN74,70-(Setup!AQ54-1)*11,0))</f>
        <v/>
      </c>
      <c r="N85" s="354" t="str">
        <f ca="1">IF(C84="","",HLOOKUP(C84,'384Hào'!C3:BN74,72-(Setup!AQ54-1)*11,0))</f>
        <v/>
      </c>
      <c r="S85" s="636"/>
    </row>
    <row r="86" spans="2:20" ht="12.6" customHeight="1">
      <c r="B86" s="250"/>
      <c r="C86" s="248"/>
      <c r="D86" s="230"/>
      <c r="E86" s="250"/>
      <c r="F86" s="232"/>
      <c r="G86" s="339" t="str">
        <f ca="1">IF(C84="","",HLOOKUP(C96,'384Hào'!C3:BN74,2,0))</f>
        <v/>
      </c>
      <c r="H86" s="341"/>
      <c r="I86" s="341"/>
      <c r="J86" s="236"/>
      <c r="K86" s="250"/>
      <c r="L86" s="365"/>
      <c r="M86" s="250"/>
      <c r="N86" s="330"/>
      <c r="O86" s="250"/>
      <c r="P86" s="250"/>
      <c r="Q86" s="250"/>
      <c r="R86" s="250"/>
      <c r="S86" s="748"/>
      <c r="T86" s="250"/>
    </row>
    <row r="87" spans="2:20" ht="12.6" customHeight="1">
      <c r="C87" s="50" t="str">
        <f ca="1">IF(B88=Setup!B26,"Năm nay","")</f>
        <v/>
      </c>
      <c r="F87" s="233"/>
      <c r="G87" s="340"/>
      <c r="H87" s="342"/>
      <c r="I87" s="343"/>
      <c r="J87" s="231"/>
      <c r="L87" s="359" t="str">
        <f ca="1">IF(C84="","",HLOOKUP(C96,'384Hào'!C3:BN74,3,0))</f>
        <v/>
      </c>
      <c r="N87" s="231" t="str">
        <f ca="1">IF(C84="","",HLOOKUP(C96,'384Hào'!C3:BN74,5,0))</f>
        <v/>
      </c>
      <c r="S87" s="636"/>
    </row>
    <row r="88" spans="2:20" ht="12.6" customHeight="1">
      <c r="B88" s="981" t="str">
        <f ca="1">IF(Setup!AT32=5,"",B76+1)</f>
        <v/>
      </c>
      <c r="C88" s="981"/>
      <c r="D88" s="981"/>
      <c r="F88" s="233"/>
      <c r="G88" s="340"/>
      <c r="H88" s="340"/>
      <c r="I88" s="343"/>
      <c r="J88" s="231"/>
      <c r="L88" s="359" t="str">
        <f ca="1">IF(C84="","",HLOOKUP(C96,'384Hào'!C3:BN74,4,0))</f>
        <v/>
      </c>
      <c r="N88" s="231" t="str">
        <f ca="1">IF(C84="","",HLOOKUP(C96,'384Hào'!C3:BN74,6,0))</f>
        <v/>
      </c>
      <c r="S88" s="636"/>
    </row>
    <row r="89" spans="2:20" ht="12.6" customHeight="1">
      <c r="C89" s="216" t="str">
        <f ca="1">IF(Setup!AT32=5,"",INDEX(Setup!D11:D20,MOD(B88,10)+1)&amp;" "&amp;INDEX(Setup!E4:E15,MOD(B88,12)+1))</f>
        <v/>
      </c>
      <c r="F89" s="233"/>
      <c r="G89" s="334" t="str">
        <f ca="1">IF(C84="","",HLOOKUP(C96,'384Hào'!C3:BN74,62-(Setup!AQ61-1)*11,0))</f>
        <v/>
      </c>
      <c r="H89" s="337"/>
      <c r="I89" s="336"/>
      <c r="J89" s="231"/>
      <c r="L89" s="359"/>
      <c r="N89" s="22"/>
      <c r="S89" s="636"/>
    </row>
    <row r="90" spans="2:20" ht="12.6" customHeight="1">
      <c r="B90" s="280" t="str">
        <f ca="1">IF(AND(Setup!AT32=8,B79="*"),"*",IF(Setup!AT32=5,"",""))</f>
        <v/>
      </c>
      <c r="C90" s="216" t="str">
        <f ca="1">IF(C96="", "",HLOOKUP(C96,'64Quẻ'!B5:DX11,2,0))</f>
        <v/>
      </c>
      <c r="D90" s="358" t="str">
        <f ca="1">IF(C96="","",HLOOKUP(C96&amp;1,'64Quẻ'!B5:DY11,2,0))</f>
        <v/>
      </c>
      <c r="E90" s="278"/>
      <c r="F90" s="233"/>
      <c r="G90" s="335" t="str">
        <f ca="1">IF(C84="","",HLOOKUP(C96,'384Hào'!C3:BN74,63-(Setup!AQ61-1)*11,0))</f>
        <v/>
      </c>
      <c r="H90" s="340"/>
      <c r="I90" s="336"/>
      <c r="J90" s="231"/>
      <c r="L90" s="359"/>
      <c r="N90" s="22"/>
      <c r="S90" s="636"/>
    </row>
    <row r="91" spans="2:20" ht="12.6" customHeight="1">
      <c r="B91" s="280" t="str">
        <f ca="1">IF(AND(Setup!AT32=8,B80="*"),"*",IF(Setup!AT32=5,"",""))</f>
        <v/>
      </c>
      <c r="C91" s="216" t="str">
        <f ca="1">IF(C96="", "",HLOOKUP(C96,'64Quẻ'!B5:DX11,3,0))</f>
        <v/>
      </c>
      <c r="D91" s="358" t="str">
        <f ca="1">IF(C96="","",HLOOKUP(C96&amp;1,'64Quẻ'!B5:DY11,3,0))</f>
        <v/>
      </c>
      <c r="E91" s="278"/>
      <c r="F91" s="233"/>
      <c r="G91" s="337"/>
      <c r="H91" s="224" t="str">
        <f ca="1">IF(C84="","",HLOOKUP(C96,'384Hào'!C3:BN74,64-(Setup!AQ61-1)*11,0))</f>
        <v/>
      </c>
      <c r="I91" s="336"/>
      <c r="J91" s="355"/>
      <c r="L91" s="364"/>
      <c r="N91" s="22"/>
      <c r="S91" s="636"/>
    </row>
    <row r="92" spans="2:20" ht="12.6" customHeight="1">
      <c r="B92" s="280" t="str">
        <f ca="1">IF(AND(Setup!AT32=8,B81="*"),"*",IF(Setup!AT32=5,"",""))</f>
        <v/>
      </c>
      <c r="C92" s="216" t="str">
        <f ca="1">IF(C96="", "",HLOOKUP(C96,'64Quẻ'!B5:DX11,4,0))</f>
        <v/>
      </c>
      <c r="D92" s="358" t="str">
        <f ca="1">IF(C96="","",HLOOKUP(C96&amp;1,'64Quẻ'!B5:DY11,4,0))</f>
        <v/>
      </c>
      <c r="E92" s="278"/>
      <c r="F92" s="233"/>
      <c r="G92" s="337"/>
      <c r="H92" s="338" t="str">
        <f ca="1">IF(C84="","",HLOOKUP(C96,'384Hào'!C3:BN74,65-(Setup!AQ61-1)*11,0))</f>
        <v/>
      </c>
      <c r="I92" s="336"/>
      <c r="J92" s="231"/>
      <c r="L92" s="359"/>
      <c r="N92" s="22"/>
      <c r="S92" s="636"/>
    </row>
    <row r="93" spans="2:20" ht="12.6" customHeight="1">
      <c r="B93" s="280" t="str">
        <f ca="1">IF(AND(Setup!AT32=8,B82="*"),"*",IF(Setup!AT32=5,"",""))</f>
        <v/>
      </c>
      <c r="C93" s="278" t="str">
        <f ca="1">IF(C96="", "",HLOOKUP(C96,'64Quẻ'!B5:DX11,5,0))</f>
        <v/>
      </c>
      <c r="D93" s="358" t="str">
        <f ca="1">IF(C96="","",HLOOKUP(C96&amp;1,'64Quẻ'!B5:DY11,5,0))</f>
        <v/>
      </c>
      <c r="E93" s="278"/>
      <c r="F93" s="657" t="str">
        <f ca="1">Setup!AR62</f>
        <v/>
      </c>
      <c r="G93" s="337"/>
      <c r="H93" s="340"/>
      <c r="I93" s="224" t="str">
        <f ca="1">IF(C84="","",HLOOKUP(C96,'384Hào'!C3:BN74,66-(Setup!AQ61-1)*11,0))</f>
        <v/>
      </c>
      <c r="J93" s="231"/>
      <c r="L93" s="359"/>
      <c r="N93" s="22"/>
      <c r="S93" s="636"/>
    </row>
    <row r="94" spans="2:20" ht="12.6" customHeight="1">
      <c r="B94" s="280" t="str">
        <f ca="1">IF(AND(Setup!AT32=8,B83="*"),"*",IF(Setup!AT32=5,"",""))</f>
        <v/>
      </c>
      <c r="C94" s="278" t="str">
        <f ca="1">IF(C96="", "",HLOOKUP(C96,'64Quẻ'!B5:DX11,6,0))</f>
        <v/>
      </c>
      <c r="D94" s="358" t="str">
        <f ca="1">IF(C96="","",HLOOKUP(C96&amp;1,'64Quẻ'!B5:DY11,6,0))</f>
        <v/>
      </c>
      <c r="E94" s="278"/>
      <c r="F94" s="657" t="str">
        <f ca="1">Setup!AR63</f>
        <v/>
      </c>
      <c r="G94" s="337"/>
      <c r="H94" s="340"/>
      <c r="I94" s="224" t="str">
        <f ca="1">IF(C84="","",HLOOKUP(C96,'384Hào'!C3:BN74,67-(Setup!AQ61-1)*11,0))</f>
        <v/>
      </c>
      <c r="J94" s="231"/>
      <c r="L94" s="359"/>
      <c r="N94" s="22"/>
      <c r="S94" s="636"/>
    </row>
    <row r="95" spans="2:20" ht="12.6" customHeight="1">
      <c r="B95" s="280" t="str">
        <f ca="1">IF(AND(Setup!AT32=8,B78="*"),"*",IF(Setup!AT32=5,"",""))</f>
        <v/>
      </c>
      <c r="C95" s="278" t="str">
        <f ca="1">IF(C96="", "",HLOOKUP(C96,'64Quẻ'!B5:DX11,7,0))</f>
        <v/>
      </c>
      <c r="D95" s="358" t="str">
        <f ca="1">IF(C96="","",HLOOKUP(C96&amp;1,'64Quẻ'!B5:DY11,7,0))</f>
        <v/>
      </c>
      <c r="E95" s="278"/>
      <c r="F95" s="657" t="str">
        <f ca="1">Setup!AR64</f>
        <v/>
      </c>
      <c r="G95" s="337"/>
      <c r="H95" s="340"/>
      <c r="I95" s="224" t="str">
        <f ca="1">IF(C84="","",HLOOKUP(C96,'384Hào'!C3:BN74,68-(Setup!AQ61-1)*11,0))</f>
        <v/>
      </c>
      <c r="J95" s="231"/>
      <c r="L95" s="359"/>
      <c r="N95" s="22"/>
      <c r="S95" s="636"/>
    </row>
    <row r="96" spans="2:20" ht="12.6" customHeight="1">
      <c r="C96" s="277" t="str">
        <f ca="1">IF(Setup!AT32=5,"",HLOOKUP(Setup!AP64,'64Quẻ'!B4:DX5,2,0))</f>
        <v/>
      </c>
      <c r="D96" s="357"/>
      <c r="E96" s="278"/>
      <c r="F96" s="670"/>
      <c r="H96" s="337"/>
      <c r="I96" s="336"/>
      <c r="J96" s="231"/>
      <c r="L96" s="359" t="str">
        <f ca="1">IF(C84="","",HLOOKUP(C96,'384Hào'!C3:BN74,69-(Setup!AQ61-1)*11,0))</f>
        <v/>
      </c>
      <c r="N96" s="231" t="str">
        <f ca="1">IF(C84="","",HLOOKUP(C96,'384Hào'!C3:BN74,71-(Setup!AQ61-1)*11,0))</f>
        <v/>
      </c>
      <c r="S96" s="636"/>
    </row>
    <row r="97" spans="2:20" ht="12.6" customHeight="1">
      <c r="C97" s="356" t="str">
        <f ca="1">IF(C96="","",HLOOKUP(C96,'64Quẻ'!B5:DX25,21,0))</f>
        <v/>
      </c>
      <c r="D97" s="357"/>
      <c r="E97" s="278"/>
      <c r="F97" s="689"/>
      <c r="H97" s="337"/>
      <c r="I97" s="336"/>
      <c r="J97" s="231"/>
      <c r="L97" s="359" t="str">
        <f ca="1">IF(C84="","",HLOOKUP(C96,'384Hào'!C3:BN74,70-(Setup!AQ61-1)*11,0))</f>
        <v/>
      </c>
      <c r="N97" s="354" t="str">
        <f ca="1">IF(C84="","",HLOOKUP(C96,'384Hào'!C3:BN74,72-(Setup!AQ61-1)*11,0))</f>
        <v/>
      </c>
      <c r="S97" s="636"/>
    </row>
    <row r="98" spans="2:20" ht="12.6" customHeight="1">
      <c r="B98" s="250"/>
      <c r="C98" s="248"/>
      <c r="D98" s="230"/>
      <c r="E98" s="250"/>
      <c r="F98" s="232"/>
      <c r="G98" s="339" t="str">
        <f ca="1">IF(C84="","",HLOOKUP(C108,'384Hào'!C3:BN74,2,0))</f>
        <v/>
      </c>
      <c r="H98" s="341"/>
      <c r="I98" s="341"/>
      <c r="J98" s="236"/>
      <c r="K98" s="250"/>
      <c r="L98" s="365"/>
      <c r="M98" s="250"/>
      <c r="N98" s="330"/>
      <c r="O98" s="250"/>
      <c r="P98" s="250"/>
      <c r="Q98" s="250"/>
      <c r="R98" s="250"/>
      <c r="S98" s="748"/>
      <c r="T98" s="250"/>
    </row>
    <row r="99" spans="2:20" ht="12.6" customHeight="1">
      <c r="C99" s="50" t="str">
        <f ca="1">IF(B100=Setup!B26,"Năm nay","")</f>
        <v/>
      </c>
      <c r="F99" s="233"/>
      <c r="G99" s="340"/>
      <c r="H99" s="342"/>
      <c r="I99" s="343"/>
      <c r="J99" s="231"/>
      <c r="L99" s="359" t="str">
        <f ca="1">IF(C84="","",HLOOKUP(C108,'384Hào'!C3:BN74,3,0))</f>
        <v/>
      </c>
      <c r="N99" s="231" t="str">
        <f ca="1">IF(C84="","",HLOOKUP(C108,'384Hào'!C3:BN74,5,0))</f>
        <v/>
      </c>
      <c r="S99" s="636"/>
    </row>
    <row r="100" spans="2:20" ht="12.6" customHeight="1">
      <c r="B100" s="981" t="str">
        <f ca="1">IF(Setup!AT32=5,"",B76+2)</f>
        <v/>
      </c>
      <c r="C100" s="981"/>
      <c r="D100" s="981"/>
      <c r="F100" s="233"/>
      <c r="G100" s="340"/>
      <c r="H100" s="340"/>
      <c r="I100" s="343"/>
      <c r="J100" s="231"/>
      <c r="L100" s="359" t="str">
        <f ca="1">IF(C84="","",HLOOKUP(C108,'384Hào'!C3:BN74,4,0))</f>
        <v/>
      </c>
      <c r="N100" s="231" t="str">
        <f ca="1">IF(C84="","",HLOOKUP(C108,'384Hào'!C3:BN74,6,0))</f>
        <v/>
      </c>
      <c r="S100" s="636"/>
    </row>
    <row r="101" spans="2:20" ht="12.6" customHeight="1">
      <c r="C101" s="216" t="str">
        <f ca="1">IF(Setup!AT32=5,"",INDEX(Setup!D11:D20,MOD(B100,10)+1)&amp;" "&amp;INDEX(Setup!E4:E15,MOD(B100,12)+1))</f>
        <v/>
      </c>
      <c r="F101" s="233"/>
      <c r="G101" s="334" t="str">
        <f ca="1">IF(C84="","",HLOOKUP(C108,'384Hào'!C3:BN74,62-(Setup!AQ68-1)*11,0))</f>
        <v/>
      </c>
      <c r="H101" s="337"/>
      <c r="I101" s="336"/>
      <c r="J101" s="231"/>
      <c r="L101" s="359"/>
      <c r="N101" s="22"/>
      <c r="S101" s="636"/>
    </row>
    <row r="102" spans="2:20" ht="12.6" customHeight="1">
      <c r="B102" s="280" t="str">
        <f ca="1">IF(AND(Setup!AT32=8,B91="*"),"*",IF(Setup!AT32=5,"",""))</f>
        <v/>
      </c>
      <c r="C102" s="216" t="str">
        <f ca="1">IF(C108="", "",HLOOKUP(C108,'64Quẻ'!B5:DX11,2,0))</f>
        <v/>
      </c>
      <c r="D102" s="358" t="str">
        <f ca="1">IF(C108="","",HLOOKUP(C108&amp;1,'64Quẻ'!B5:DY11,2,0))</f>
        <v/>
      </c>
      <c r="E102" s="278"/>
      <c r="F102" s="233"/>
      <c r="G102" s="335" t="str">
        <f ca="1">IF(C84="","",HLOOKUP(C108,'384Hào'!C3:BN74,63-(Setup!AQ68-1)*11,0))</f>
        <v/>
      </c>
      <c r="H102" s="340"/>
      <c r="I102" s="336"/>
      <c r="J102" s="231"/>
      <c r="L102" s="359"/>
      <c r="N102" s="22"/>
      <c r="S102" s="636"/>
    </row>
    <row r="103" spans="2:20" ht="12.6" customHeight="1">
      <c r="B103" s="280" t="str">
        <f ca="1">IF(AND(Setup!AT32=8,B92="*"),"*",IF(Setup!AT32=5,"",""))</f>
        <v/>
      </c>
      <c r="C103" s="216" t="str">
        <f ca="1">IF(C108="", "",HLOOKUP(C108,'64Quẻ'!B5:DX11,3,0))</f>
        <v/>
      </c>
      <c r="D103" s="358" t="str">
        <f ca="1">IF(C108="","",HLOOKUP(C108&amp;1,'64Quẻ'!B5:DY11,3,0))</f>
        <v/>
      </c>
      <c r="E103" s="278"/>
      <c r="F103" s="233"/>
      <c r="G103" s="337"/>
      <c r="H103" s="224" t="str">
        <f ca="1">IF(C84="","",HLOOKUP(C108,'384Hào'!C3:BN74,64-(Setup!AQ68-1)*11,0))</f>
        <v/>
      </c>
      <c r="I103" s="336"/>
      <c r="J103" s="355"/>
      <c r="L103" s="364"/>
      <c r="N103" s="22"/>
      <c r="S103" s="636"/>
    </row>
    <row r="104" spans="2:20" ht="12.6" customHeight="1">
      <c r="B104" s="280" t="str">
        <f ca="1">IF(AND(Setup!AT32=8,B93="*"),"*",IF(Setup!AT32=5,"",""))</f>
        <v/>
      </c>
      <c r="C104" s="216" t="str">
        <f ca="1">IF(C108="", "",HLOOKUP(C108,'64Quẻ'!B5:DX11,4,0))</f>
        <v/>
      </c>
      <c r="D104" s="358" t="str">
        <f ca="1">IF(C108="","",HLOOKUP(C108&amp;1,'64Quẻ'!B5:DY11,4,0))</f>
        <v/>
      </c>
      <c r="E104" s="278"/>
      <c r="F104" s="233"/>
      <c r="G104" s="337"/>
      <c r="H104" s="338" t="str">
        <f ca="1">IF(C84="","",HLOOKUP(C108,'384Hào'!C3:BN74,65-(Setup!AQ68-1)*11,0))</f>
        <v/>
      </c>
      <c r="I104" s="336"/>
      <c r="J104" s="231"/>
      <c r="L104" s="359"/>
      <c r="N104" s="22"/>
      <c r="S104" s="636"/>
    </row>
    <row r="105" spans="2:20" ht="12.6" customHeight="1">
      <c r="B105" s="280" t="str">
        <f ca="1">IF(AND(Setup!AT32=8,B94="*"),"*",IF(Setup!AT32=5,"",""))</f>
        <v/>
      </c>
      <c r="C105" s="278" t="str">
        <f ca="1">IF(C108="", "",HLOOKUP(C108,'64Quẻ'!B5:DX11,5,0))</f>
        <v/>
      </c>
      <c r="D105" s="358" t="str">
        <f ca="1">IF(C108="","",HLOOKUP(C108&amp;1,'64Quẻ'!B5:DY11,5,0))</f>
        <v/>
      </c>
      <c r="E105" s="278"/>
      <c r="F105" s="657" t="str">
        <f ca="1">Setup!AR69</f>
        <v/>
      </c>
      <c r="G105" s="337"/>
      <c r="H105" s="340"/>
      <c r="I105" s="224" t="str">
        <f ca="1">IF(C84="","",HLOOKUP(C108,'384Hào'!C3:BN74,66-(Setup!AQ68-1)*11,0))</f>
        <v/>
      </c>
      <c r="J105" s="231"/>
      <c r="L105" s="359"/>
      <c r="N105" s="22"/>
      <c r="S105" s="636"/>
    </row>
    <row r="106" spans="2:20" ht="12.6" customHeight="1">
      <c r="B106" s="280" t="str">
        <f ca="1">IF(AND(Setup!AT32=8,B95="*"),"*",IF(Setup!AT32=5,"",""))</f>
        <v/>
      </c>
      <c r="C106" s="278" t="str">
        <f ca="1">IF(C108="", "",HLOOKUP(C108,'64Quẻ'!B5:DX11,6,0))</f>
        <v/>
      </c>
      <c r="D106" s="358" t="str">
        <f ca="1">IF(C108="","",HLOOKUP(C108&amp;1,'64Quẻ'!B5:DY11,6,0))</f>
        <v/>
      </c>
      <c r="E106" s="278"/>
      <c r="F106" s="657" t="str">
        <f ca="1">Setup!AR70</f>
        <v/>
      </c>
      <c r="G106" s="337"/>
      <c r="H106" s="340"/>
      <c r="I106" s="224" t="str">
        <f ca="1">IF(C84="","",HLOOKUP(C108,'384Hào'!C3:BN74,67-(Setup!AQ68-1)*11,0))</f>
        <v/>
      </c>
      <c r="J106" s="231"/>
      <c r="L106" s="359"/>
      <c r="N106" s="22"/>
      <c r="S106" s="636"/>
    </row>
    <row r="107" spans="2:20" ht="12.6" customHeight="1">
      <c r="B107" s="280" t="str">
        <f ca="1">IF(AND(Setup!AT32=8,B90="*"),"*",IF(Setup!AT32=5,"",""))</f>
        <v/>
      </c>
      <c r="C107" s="278" t="str">
        <f ca="1">IF(C108="", "",HLOOKUP(C108,'64Quẻ'!B5:DX11,7,0))</f>
        <v/>
      </c>
      <c r="D107" s="358" t="str">
        <f ca="1">IF(C108="","",HLOOKUP(C108&amp;1,'64Quẻ'!B5:DY11,7,0))</f>
        <v/>
      </c>
      <c r="E107" s="278"/>
      <c r="F107" s="657" t="str">
        <f ca="1">Setup!AR71</f>
        <v/>
      </c>
      <c r="G107" s="337"/>
      <c r="H107" s="340"/>
      <c r="I107" s="224" t="str">
        <f ca="1">IF(C84="","",HLOOKUP(C108,'384Hào'!C3:BN74,68-(Setup!AQ68-1)*11,0))</f>
        <v/>
      </c>
      <c r="J107" s="231"/>
      <c r="L107" s="359"/>
      <c r="N107" s="22"/>
      <c r="S107" s="636"/>
    </row>
    <row r="108" spans="2:20" ht="12.6" customHeight="1">
      <c r="C108" s="277" t="str">
        <f ca="1">IF(Setup!AT32=5,"",HLOOKUP(Setup!AP71,'64Quẻ'!B4:DX5,2,0))</f>
        <v/>
      </c>
      <c r="D108" s="357"/>
      <c r="E108" s="278"/>
      <c r="F108" s="670"/>
      <c r="H108" s="337"/>
      <c r="I108" s="336"/>
      <c r="J108" s="231"/>
      <c r="L108" s="359" t="str">
        <f ca="1">IF(C84="","",HLOOKUP(C108,'384Hào'!C3:BN74,69-(Setup!AQ68-1)*11,0))</f>
        <v/>
      </c>
      <c r="N108" s="231" t="str">
        <f ca="1">IF(C84="","",HLOOKUP(C108,'384Hào'!C3:BN74,71-(Setup!AQ68-1)*11,0))</f>
        <v/>
      </c>
      <c r="S108" s="636"/>
    </row>
    <row r="109" spans="2:20" ht="12.6" customHeight="1">
      <c r="B109" s="253"/>
      <c r="C109" s="353" t="str">
        <f ca="1">IF(C108="","",HLOOKUP(C108,'64Quẻ'!B5:DX25,21,0))</f>
        <v/>
      </c>
      <c r="D109" s="658"/>
      <c r="E109" s="279"/>
      <c r="F109" s="689"/>
      <c r="G109" s="253"/>
      <c r="H109" s="344"/>
      <c r="I109" s="345"/>
      <c r="J109" s="354"/>
      <c r="K109" s="253"/>
      <c r="L109" s="360" t="str">
        <f ca="1">IF(C84="","",HLOOKUP(C108,'384Hào'!C3:BN74,70-(Setup!AQ68-1)*11,0))</f>
        <v/>
      </c>
      <c r="M109" s="253"/>
      <c r="N109" s="354" t="str">
        <f ca="1">IF(C84="","",HLOOKUP(C108,'384Hào'!C3:BN74,72-(Setup!AQ68-1)*11,0))</f>
        <v/>
      </c>
      <c r="O109" s="253"/>
      <c r="P109" s="253"/>
      <c r="Q109" s="253"/>
      <c r="R109" s="253"/>
      <c r="S109" s="749"/>
      <c r="T109" s="253"/>
    </row>
  </sheetData>
  <sheetProtection password="C2DF" sheet="1" objects="1" scenarios="1"/>
  <mergeCells count="9">
    <mergeCell ref="B100:D100"/>
    <mergeCell ref="B88:D88"/>
    <mergeCell ref="B4:D4"/>
    <mergeCell ref="B16:D16"/>
    <mergeCell ref="B28:D28"/>
    <mergeCell ref="B40:D40"/>
    <mergeCell ref="B52:D52"/>
    <mergeCell ref="B64:D64"/>
    <mergeCell ref="B76:D76"/>
  </mergeCells>
  <phoneticPr fontId="3" type="noConversion"/>
  <pageMargins left="1" right="0.5" top="0.5" bottom="0.25" header="0.25" footer="0.25"/>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44" r:id="rId4" name="Spinner 20">
              <controlPr defaultSize="0" autoPict="0">
                <anchor moveWithCells="1" sizeWithCells="1">
                  <from>
                    <xdr:col>16</xdr:col>
                    <xdr:colOff>0</xdr:colOff>
                    <xdr:row>0</xdr:row>
                    <xdr:rowOff>0</xdr:rowOff>
                  </from>
                  <to>
                    <xdr:col>17</xdr:col>
                    <xdr:colOff>0</xdr:colOff>
                    <xdr:row>1</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C311-9744-41BB-8F31-9278E7485258}">
  <sheetPr codeName="Sheet7"/>
  <dimension ref="A2:BN75"/>
  <sheetViews>
    <sheetView zoomScale="85" workbookViewId="0">
      <selection activeCell="E7" sqref="E7"/>
    </sheetView>
  </sheetViews>
  <sheetFormatPr defaultColWidth="30.7109375" defaultRowHeight="12.75"/>
  <cols>
    <col min="1" max="1" width="2.85546875" style="270" bestFit="1" customWidth="1"/>
    <col min="2" max="2" width="7.140625" style="274" bestFit="1" customWidth="1"/>
    <col min="3" max="3" width="41" style="275" bestFit="1" customWidth="1"/>
    <col min="4" max="4" width="41.85546875" style="275" bestFit="1" customWidth="1"/>
    <col min="5" max="6" width="42.28515625" style="275" bestFit="1" customWidth="1"/>
    <col min="7" max="8" width="42.42578125" style="275" bestFit="1" customWidth="1"/>
    <col min="9" max="9" width="42.28515625" style="275" bestFit="1" customWidth="1"/>
    <col min="10" max="10" width="41.42578125" style="275" bestFit="1" customWidth="1"/>
    <col min="11" max="11" width="42.28515625" style="275" bestFit="1" customWidth="1"/>
    <col min="12" max="12" width="42.42578125" style="275" bestFit="1" customWidth="1"/>
    <col min="13" max="13" width="42" style="275" bestFit="1" customWidth="1"/>
    <col min="14" max="14" width="41.42578125" style="275" bestFit="1" customWidth="1"/>
    <col min="15" max="15" width="42.140625" style="275" bestFit="1" customWidth="1"/>
    <col min="16" max="16" width="42.42578125" style="275" bestFit="1" customWidth="1"/>
    <col min="17" max="17" width="42.140625" style="275" bestFit="1" customWidth="1"/>
    <col min="18" max="18" width="42.28515625" style="275" bestFit="1" customWidth="1"/>
    <col min="19" max="19" width="42.140625" style="275" bestFit="1" customWidth="1"/>
    <col min="20" max="21" width="41.7109375" style="275" bestFit="1" customWidth="1"/>
    <col min="22" max="22" width="42" style="275" bestFit="1" customWidth="1"/>
    <col min="23" max="23" width="41.7109375" style="275" bestFit="1" customWidth="1"/>
    <col min="24" max="24" width="42.42578125" style="275" bestFit="1" customWidth="1"/>
    <col min="25" max="25" width="42.140625" style="275" bestFit="1" customWidth="1"/>
    <col min="26" max="26" width="41" style="275" bestFit="1" customWidth="1"/>
    <col min="27" max="27" width="42.140625" style="275" bestFit="1" customWidth="1"/>
    <col min="28" max="28" width="41" style="275" bestFit="1" customWidth="1"/>
    <col min="29" max="29" width="42.42578125" style="275" bestFit="1" customWidth="1"/>
    <col min="30" max="30" width="48.140625" style="275" customWidth="1"/>
    <col min="31" max="31" width="41.42578125" style="275" bestFit="1" customWidth="1"/>
    <col min="32" max="32" width="42.28515625" style="275" bestFit="1" customWidth="1"/>
    <col min="33" max="33" width="42.42578125" style="275" bestFit="1" customWidth="1"/>
    <col min="34" max="34" width="41" style="275" bestFit="1" customWidth="1"/>
    <col min="35" max="35" width="41.42578125" style="275" bestFit="1" customWidth="1"/>
    <col min="36" max="36" width="42.28515625" style="275" bestFit="1" customWidth="1"/>
    <col min="37" max="37" width="41.7109375" style="275" bestFit="1" customWidth="1"/>
    <col min="38" max="38" width="42.42578125" style="275" bestFit="1" customWidth="1"/>
    <col min="39" max="39" width="41.42578125" style="275" bestFit="1" customWidth="1"/>
    <col min="40" max="40" width="42.42578125" style="275" bestFit="1" customWidth="1"/>
    <col min="41" max="41" width="41" style="275" bestFit="1" customWidth="1"/>
    <col min="42" max="42" width="41.7109375" style="275" bestFit="1" customWidth="1"/>
    <col min="43" max="43" width="42.28515625" style="275" bestFit="1" customWidth="1"/>
    <col min="44" max="47" width="42.42578125" style="275" bestFit="1" customWidth="1"/>
    <col min="48" max="48" width="42" style="275" bestFit="1" customWidth="1"/>
    <col min="49" max="49" width="42.42578125" style="275" bestFit="1" customWidth="1"/>
    <col min="50" max="50" width="40.28515625" style="275" bestFit="1" customWidth="1"/>
    <col min="51" max="51" width="39" style="275" customWidth="1"/>
    <col min="52" max="52" width="42.28515625" style="275" bestFit="1" customWidth="1"/>
    <col min="53" max="53" width="42.42578125" style="275" bestFit="1" customWidth="1"/>
    <col min="54" max="54" width="41.42578125" style="275" bestFit="1" customWidth="1"/>
    <col min="55" max="56" width="42.28515625" style="275" bestFit="1" customWidth="1"/>
    <col min="57" max="57" width="41.85546875" style="275" bestFit="1" customWidth="1"/>
    <col min="58" max="58" width="42.140625" style="275" bestFit="1" customWidth="1"/>
    <col min="59" max="60" width="42.28515625" style="275" bestFit="1" customWidth="1"/>
    <col min="61" max="61" width="42" style="275" bestFit="1" customWidth="1"/>
    <col min="62" max="62" width="40.85546875" style="275" bestFit="1" customWidth="1"/>
    <col min="63" max="63" width="47" style="275" customWidth="1"/>
    <col min="64" max="65" width="42.42578125" style="275" bestFit="1" customWidth="1"/>
    <col min="66" max="66" width="42.28515625" style="275" bestFit="1" customWidth="1"/>
    <col min="67" max="16384" width="30.7109375" style="275"/>
  </cols>
  <sheetData>
    <row r="2" spans="1:66" s="270" customFormat="1">
      <c r="B2" s="271"/>
      <c r="C2" s="270">
        <v>1</v>
      </c>
      <c r="D2" s="270">
        <v>2</v>
      </c>
      <c r="E2" s="270">
        <v>3</v>
      </c>
      <c r="F2" s="270">
        <v>4</v>
      </c>
      <c r="G2" s="270">
        <v>5</v>
      </c>
      <c r="H2" s="270">
        <v>6</v>
      </c>
      <c r="I2" s="270">
        <v>7</v>
      </c>
      <c r="J2" s="270">
        <v>8</v>
      </c>
      <c r="K2" s="270">
        <v>9</v>
      </c>
      <c r="L2" s="270">
        <v>10</v>
      </c>
      <c r="M2" s="270">
        <v>11</v>
      </c>
      <c r="N2" s="270">
        <v>12</v>
      </c>
      <c r="O2" s="270">
        <v>13</v>
      </c>
      <c r="P2" s="270">
        <v>14</v>
      </c>
      <c r="Q2" s="270">
        <v>15</v>
      </c>
      <c r="R2" s="270">
        <v>16</v>
      </c>
      <c r="S2" s="270">
        <v>17</v>
      </c>
      <c r="T2" s="270">
        <v>18</v>
      </c>
      <c r="U2" s="270">
        <v>19</v>
      </c>
      <c r="V2" s="270">
        <v>20</v>
      </c>
      <c r="W2" s="270">
        <v>21</v>
      </c>
      <c r="X2" s="270">
        <v>22</v>
      </c>
      <c r="Y2" s="270">
        <v>23</v>
      </c>
      <c r="Z2" s="270">
        <v>24</v>
      </c>
      <c r="AA2" s="270">
        <v>25</v>
      </c>
      <c r="AB2" s="270">
        <v>26</v>
      </c>
      <c r="AC2" s="270">
        <v>27</v>
      </c>
      <c r="AD2" s="270">
        <v>28</v>
      </c>
      <c r="AE2" s="270">
        <v>29</v>
      </c>
      <c r="AF2" s="270">
        <v>30</v>
      </c>
      <c r="AG2" s="270">
        <v>31</v>
      </c>
      <c r="AH2" s="270">
        <v>32</v>
      </c>
      <c r="AI2" s="270">
        <v>33</v>
      </c>
      <c r="AJ2" s="270">
        <v>34</v>
      </c>
      <c r="AK2" s="270">
        <v>35</v>
      </c>
      <c r="AL2" s="270">
        <v>36</v>
      </c>
      <c r="AM2" s="270">
        <v>37</v>
      </c>
      <c r="AN2" s="270">
        <v>38</v>
      </c>
      <c r="AO2" s="270">
        <v>39</v>
      </c>
      <c r="AP2" s="270">
        <v>40</v>
      </c>
      <c r="AQ2" s="270">
        <v>41</v>
      </c>
      <c r="AR2" s="270">
        <v>42</v>
      </c>
      <c r="AS2" s="270">
        <v>43</v>
      </c>
      <c r="AT2" s="270">
        <v>44</v>
      </c>
      <c r="AU2" s="270">
        <v>45</v>
      </c>
      <c r="AV2" s="270">
        <v>46</v>
      </c>
      <c r="AW2" s="270">
        <v>47</v>
      </c>
      <c r="AX2" s="270">
        <v>48</v>
      </c>
      <c r="AY2" s="270">
        <v>49</v>
      </c>
      <c r="AZ2" s="270">
        <v>50</v>
      </c>
      <c r="BA2" s="270">
        <v>51</v>
      </c>
      <c r="BB2" s="270">
        <v>52</v>
      </c>
      <c r="BC2" s="270">
        <v>53</v>
      </c>
      <c r="BD2" s="270">
        <v>54</v>
      </c>
      <c r="BE2" s="270">
        <v>55</v>
      </c>
      <c r="BF2" s="270">
        <v>56</v>
      </c>
      <c r="BG2" s="270">
        <v>57</v>
      </c>
      <c r="BH2" s="270">
        <v>58</v>
      </c>
      <c r="BI2" s="270">
        <v>59</v>
      </c>
      <c r="BJ2" s="270">
        <v>60</v>
      </c>
      <c r="BK2" s="270">
        <v>61</v>
      </c>
      <c r="BL2" s="270">
        <v>62</v>
      </c>
      <c r="BM2" s="270">
        <v>63</v>
      </c>
      <c r="BN2" s="270">
        <v>64</v>
      </c>
    </row>
    <row r="3" spans="1:66" s="301" customFormat="1" ht="18.75">
      <c r="A3" s="329"/>
      <c r="B3" s="300"/>
      <c r="C3" s="301" t="s">
        <v>5934</v>
      </c>
      <c r="D3" s="301" t="s">
        <v>9015</v>
      </c>
      <c r="E3" s="301" t="s">
        <v>3032</v>
      </c>
      <c r="F3" s="301" t="s">
        <v>845</v>
      </c>
      <c r="G3" s="302" t="s">
        <v>5940</v>
      </c>
      <c r="H3" s="302" t="s">
        <v>1484</v>
      </c>
      <c r="I3" s="302" t="s">
        <v>843</v>
      </c>
      <c r="J3" s="302" t="s">
        <v>5930</v>
      </c>
      <c r="K3" s="302" t="s">
        <v>5938</v>
      </c>
      <c r="L3" s="302" t="s">
        <v>833</v>
      </c>
      <c r="M3" s="302" t="s">
        <v>5944</v>
      </c>
      <c r="N3" s="302" t="s">
        <v>9315</v>
      </c>
      <c r="O3" s="302" t="s">
        <v>3700</v>
      </c>
      <c r="P3" s="302" t="s">
        <v>5936</v>
      </c>
      <c r="Q3" s="302" t="s">
        <v>830</v>
      </c>
      <c r="R3" s="302" t="s">
        <v>5984</v>
      </c>
      <c r="S3" s="302" t="s">
        <v>4292</v>
      </c>
      <c r="T3" s="302" t="s">
        <v>839</v>
      </c>
      <c r="U3" s="302" t="s">
        <v>5946</v>
      </c>
      <c r="V3" s="302" t="s">
        <v>9333</v>
      </c>
      <c r="W3" s="302" t="s">
        <v>4290</v>
      </c>
      <c r="X3" s="302" t="s">
        <v>831</v>
      </c>
      <c r="Y3" s="302" t="s">
        <v>9302</v>
      </c>
      <c r="Z3" s="302" t="s">
        <v>3028</v>
      </c>
      <c r="AA3" s="302" t="s">
        <v>3191</v>
      </c>
      <c r="AB3" s="302" t="s">
        <v>5942</v>
      </c>
      <c r="AC3" s="302" t="s">
        <v>3030</v>
      </c>
      <c r="AD3" s="302" t="s">
        <v>3195</v>
      </c>
      <c r="AE3" s="302" t="s">
        <v>7208</v>
      </c>
      <c r="AF3" s="302" t="s">
        <v>6353</v>
      </c>
      <c r="AG3" s="302" t="s">
        <v>1346</v>
      </c>
      <c r="AH3" s="302" t="s">
        <v>3199</v>
      </c>
      <c r="AI3" s="302" t="s">
        <v>1486</v>
      </c>
      <c r="AJ3" s="302" t="s">
        <v>5932</v>
      </c>
      <c r="AK3" s="302" t="s">
        <v>5986</v>
      </c>
      <c r="AL3" s="302" t="s">
        <v>76</v>
      </c>
      <c r="AM3" s="302" t="s">
        <v>4519</v>
      </c>
      <c r="AN3" s="302" t="s">
        <v>832</v>
      </c>
      <c r="AO3" s="302" t="s">
        <v>5977</v>
      </c>
      <c r="AP3" s="302" t="s">
        <v>1478</v>
      </c>
      <c r="AQ3" s="302" t="s">
        <v>458</v>
      </c>
      <c r="AR3" s="302" t="s">
        <v>3034</v>
      </c>
      <c r="AS3" s="302" t="s">
        <v>457</v>
      </c>
      <c r="AT3" s="302" t="s">
        <v>3193</v>
      </c>
      <c r="AU3" s="302" t="s">
        <v>5988</v>
      </c>
      <c r="AV3" s="302" t="s">
        <v>841</v>
      </c>
      <c r="AW3" s="302" t="s">
        <v>1482</v>
      </c>
      <c r="AX3" s="302" t="s">
        <v>837</v>
      </c>
      <c r="AY3" s="302" t="s">
        <v>6351</v>
      </c>
      <c r="AZ3" s="302" t="s">
        <v>3197</v>
      </c>
      <c r="BA3" s="302" t="s">
        <v>4288</v>
      </c>
      <c r="BB3" s="302" t="s">
        <v>9014</v>
      </c>
      <c r="BC3" s="302" t="s">
        <v>5975</v>
      </c>
      <c r="BD3" s="302" t="s">
        <v>3695</v>
      </c>
      <c r="BE3" s="302" t="s">
        <v>5931</v>
      </c>
      <c r="BF3" s="302" t="s">
        <v>8984</v>
      </c>
      <c r="BG3" s="302" t="s">
        <v>835</v>
      </c>
      <c r="BH3" s="302" t="s">
        <v>456</v>
      </c>
      <c r="BI3" s="302" t="s">
        <v>1162</v>
      </c>
      <c r="BJ3" s="302" t="s">
        <v>5949</v>
      </c>
      <c r="BK3" s="302" t="s">
        <v>5951</v>
      </c>
      <c r="BL3" s="302" t="s">
        <v>5973</v>
      </c>
      <c r="BM3" s="302" t="s">
        <v>73</v>
      </c>
      <c r="BN3" s="302" t="s">
        <v>1480</v>
      </c>
    </row>
    <row r="4" spans="1:66" s="420" customFormat="1" ht="76.5">
      <c r="A4" s="416"/>
      <c r="B4" s="417"/>
      <c r="C4" s="418" t="s">
        <v>201</v>
      </c>
      <c r="D4" s="418" t="s">
        <v>7526</v>
      </c>
      <c r="E4" s="418" t="s">
        <v>1791</v>
      </c>
      <c r="F4" s="418" t="s">
        <v>6273</v>
      </c>
      <c r="G4" s="418" t="s">
        <v>5030</v>
      </c>
      <c r="H4" s="418" t="s">
        <v>6274</v>
      </c>
      <c r="I4" s="418" t="s">
        <v>203</v>
      </c>
      <c r="J4" s="418" t="s">
        <v>204</v>
      </c>
      <c r="K4" s="418" t="s">
        <v>1973</v>
      </c>
      <c r="L4" s="418" t="s">
        <v>2680</v>
      </c>
      <c r="M4" s="418" t="s">
        <v>1613</v>
      </c>
      <c r="N4" s="419" t="s">
        <v>3784</v>
      </c>
      <c r="O4" s="418" t="s">
        <v>3660</v>
      </c>
      <c r="P4" s="418" t="s">
        <v>7328</v>
      </c>
      <c r="Q4" s="418" t="s">
        <v>5720</v>
      </c>
      <c r="R4" s="418" t="s">
        <v>9359</v>
      </c>
      <c r="S4" s="418" t="s">
        <v>7513</v>
      </c>
      <c r="T4" s="418" t="s">
        <v>4793</v>
      </c>
      <c r="U4" s="418" t="s">
        <v>3661</v>
      </c>
      <c r="V4" s="418" t="s">
        <v>3662</v>
      </c>
      <c r="W4" s="418" t="s">
        <v>1974</v>
      </c>
      <c r="X4" s="418" t="s">
        <v>3663</v>
      </c>
      <c r="Y4" s="418" t="s">
        <v>1559</v>
      </c>
      <c r="Z4" s="418" t="s">
        <v>3664</v>
      </c>
      <c r="AA4" s="418" t="s">
        <v>549</v>
      </c>
      <c r="AB4" s="418" t="s">
        <v>3665</v>
      </c>
      <c r="AC4" s="418" t="s">
        <v>3640</v>
      </c>
      <c r="AD4" s="418" t="s">
        <v>7311</v>
      </c>
      <c r="AE4" s="418" t="s">
        <v>3666</v>
      </c>
      <c r="AF4" s="418" t="s">
        <v>3667</v>
      </c>
      <c r="AG4" s="418" t="s">
        <v>3668</v>
      </c>
      <c r="AH4" s="418" t="s">
        <v>5472</v>
      </c>
      <c r="AI4" s="418" t="s">
        <v>3669</v>
      </c>
      <c r="AJ4" s="418" t="s">
        <v>6020</v>
      </c>
      <c r="AK4" s="418" t="s">
        <v>3670</v>
      </c>
      <c r="AL4" s="418" t="s">
        <v>8723</v>
      </c>
      <c r="AM4" s="418" t="s">
        <v>3671</v>
      </c>
      <c r="AN4" s="418" t="s">
        <v>3672</v>
      </c>
      <c r="AO4" s="418" t="s">
        <v>3673</v>
      </c>
      <c r="AP4" s="418" t="s">
        <v>554</v>
      </c>
      <c r="AQ4" s="418" t="s">
        <v>8726</v>
      </c>
      <c r="AR4" s="418" t="s">
        <v>4575</v>
      </c>
      <c r="AS4" s="418" t="s">
        <v>5600</v>
      </c>
      <c r="AT4" s="418" t="s">
        <v>5627</v>
      </c>
      <c r="AU4" s="418" t="s">
        <v>6476</v>
      </c>
      <c r="AV4" s="418" t="s">
        <v>5628</v>
      </c>
      <c r="AW4" s="418" t="s">
        <v>5629</v>
      </c>
      <c r="AX4" s="418" t="s">
        <v>5630</v>
      </c>
      <c r="AY4" s="418" t="s">
        <v>5631</v>
      </c>
      <c r="AZ4" s="418" t="s">
        <v>5632</v>
      </c>
      <c r="BA4" s="418" t="s">
        <v>5633</v>
      </c>
      <c r="BB4" s="418" t="s">
        <v>5146</v>
      </c>
      <c r="BC4" s="418" t="s">
        <v>5147</v>
      </c>
      <c r="BD4" s="418" t="s">
        <v>3522</v>
      </c>
      <c r="BE4" s="418" t="s">
        <v>7959</v>
      </c>
      <c r="BF4" s="418" t="s">
        <v>5587</v>
      </c>
      <c r="BG4" s="418" t="s">
        <v>5548</v>
      </c>
      <c r="BH4" s="418" t="s">
        <v>8813</v>
      </c>
      <c r="BI4" s="418" t="s">
        <v>2331</v>
      </c>
      <c r="BJ4" s="418" t="s">
        <v>5826</v>
      </c>
      <c r="BK4" s="418" t="s">
        <v>3763</v>
      </c>
      <c r="BL4" s="418" t="s">
        <v>3764</v>
      </c>
      <c r="BM4" s="418" t="s">
        <v>3957</v>
      </c>
      <c r="BN4" s="418" t="s">
        <v>3891</v>
      </c>
    </row>
    <row r="5" spans="1:66" s="348" customFormat="1" ht="18">
      <c r="A5" s="366"/>
      <c r="C5" s="414" t="s">
        <v>1121</v>
      </c>
      <c r="D5" s="414" t="s">
        <v>6287</v>
      </c>
      <c r="E5" s="414" t="s">
        <v>1024</v>
      </c>
      <c r="F5" s="414" t="s">
        <v>5701</v>
      </c>
      <c r="G5" s="414" t="s">
        <v>5031</v>
      </c>
      <c r="H5" s="414" t="s">
        <v>5217</v>
      </c>
      <c r="I5" s="414" t="s">
        <v>7428</v>
      </c>
      <c r="J5" s="414" t="s">
        <v>5298</v>
      </c>
      <c r="K5" s="414" t="s">
        <v>5300</v>
      </c>
      <c r="L5" s="414" t="s">
        <v>3284</v>
      </c>
      <c r="M5" s="414" t="s">
        <v>3604</v>
      </c>
      <c r="N5" s="414" t="s">
        <v>3605</v>
      </c>
      <c r="O5" s="414" t="s">
        <v>6291</v>
      </c>
      <c r="P5" s="414" t="s">
        <v>7329</v>
      </c>
      <c r="Q5" s="414" t="s">
        <v>3573</v>
      </c>
      <c r="R5" s="414" t="s">
        <v>3574</v>
      </c>
      <c r="S5" s="414" t="s">
        <v>6455</v>
      </c>
      <c r="T5" s="414" t="s">
        <v>3769</v>
      </c>
      <c r="U5" s="414" t="s">
        <v>4797</v>
      </c>
      <c r="V5" s="414" t="s">
        <v>7790</v>
      </c>
      <c r="W5" s="414" t="s">
        <v>3779</v>
      </c>
      <c r="X5" s="414" t="s">
        <v>1980</v>
      </c>
      <c r="Y5" s="414" t="s">
        <v>6236</v>
      </c>
      <c r="Z5" s="414" t="s">
        <v>6238</v>
      </c>
      <c r="AA5" s="414" t="s">
        <v>550</v>
      </c>
      <c r="AB5" s="414" t="s">
        <v>3888</v>
      </c>
      <c r="AC5" s="414" t="s">
        <v>493</v>
      </c>
      <c r="AD5" s="414" t="s">
        <v>7312</v>
      </c>
      <c r="AE5" s="414" t="s">
        <v>5367</v>
      </c>
      <c r="AF5" s="414" t="s">
        <v>4883</v>
      </c>
      <c r="AG5" s="414" t="s">
        <v>4882</v>
      </c>
      <c r="AH5" s="414" t="s">
        <v>5380</v>
      </c>
      <c r="AI5" s="414" t="s">
        <v>7540</v>
      </c>
      <c r="AJ5" s="414" t="s">
        <v>5862</v>
      </c>
      <c r="AK5" s="414" t="s">
        <v>6185</v>
      </c>
      <c r="AL5" s="414" t="s">
        <v>1737</v>
      </c>
      <c r="AM5" s="414" t="s">
        <v>716</v>
      </c>
      <c r="AN5" s="414" t="s">
        <v>2430</v>
      </c>
      <c r="AO5" s="414" t="s">
        <v>8928</v>
      </c>
      <c r="AP5" s="414" t="s">
        <v>8929</v>
      </c>
      <c r="AQ5" s="414" t="s">
        <v>8701</v>
      </c>
      <c r="AR5" s="414" t="s">
        <v>4486</v>
      </c>
      <c r="AS5" s="414" t="s">
        <v>4497</v>
      </c>
      <c r="AT5" s="414" t="s">
        <v>4569</v>
      </c>
      <c r="AU5" s="414" t="s">
        <v>5726</v>
      </c>
      <c r="AV5" s="414" t="s">
        <v>5666</v>
      </c>
      <c r="AW5" s="414" t="s">
        <v>5668</v>
      </c>
      <c r="AX5" s="414" t="s">
        <v>9244</v>
      </c>
      <c r="AY5" s="414" t="s">
        <v>2157</v>
      </c>
      <c r="AZ5" s="414" t="s">
        <v>3442</v>
      </c>
      <c r="BA5" s="414" t="s">
        <v>7406</v>
      </c>
      <c r="BB5" s="414" t="s">
        <v>9060</v>
      </c>
      <c r="BC5" s="414" t="s">
        <v>3529</v>
      </c>
      <c r="BD5" s="414" t="s">
        <v>5320</v>
      </c>
      <c r="BE5" s="414" t="s">
        <v>5071</v>
      </c>
      <c r="BF5" s="414" t="s">
        <v>2800</v>
      </c>
      <c r="BG5" s="414" t="s">
        <v>1652</v>
      </c>
      <c r="BH5" s="414" t="s">
        <v>1653</v>
      </c>
      <c r="BI5" s="414" t="s">
        <v>5759</v>
      </c>
      <c r="BJ5" s="414" t="s">
        <v>3482</v>
      </c>
      <c r="BK5" s="378" t="s">
        <v>4681</v>
      </c>
      <c r="BL5" s="414" t="s">
        <v>2606</v>
      </c>
      <c r="BM5" s="414" t="s">
        <v>2387</v>
      </c>
      <c r="BN5" s="414" t="s">
        <v>461</v>
      </c>
    </row>
    <row r="6" spans="1:66" s="332" customFormat="1" ht="15" customHeight="1">
      <c r="A6" s="367"/>
      <c r="C6" s="414" t="s">
        <v>8925</v>
      </c>
      <c r="D6" s="414" t="s">
        <v>7542</v>
      </c>
      <c r="E6" s="414" t="s">
        <v>2133</v>
      </c>
      <c r="F6" s="414" t="s">
        <v>2134</v>
      </c>
      <c r="G6" s="414" t="s">
        <v>5295</v>
      </c>
      <c r="H6" s="414" t="s">
        <v>2135</v>
      </c>
      <c r="I6" s="414" t="s">
        <v>3846</v>
      </c>
      <c r="J6" s="414" t="s">
        <v>5299</v>
      </c>
      <c r="K6" s="414" t="s">
        <v>3850</v>
      </c>
      <c r="L6" s="414" t="s">
        <v>3851</v>
      </c>
      <c r="M6" s="414" t="s">
        <v>7097</v>
      </c>
      <c r="N6" s="414" t="s">
        <v>4449</v>
      </c>
      <c r="O6" s="414" t="s">
        <v>6330</v>
      </c>
      <c r="P6" s="414" t="s">
        <v>6331</v>
      </c>
      <c r="Q6" s="414" t="s">
        <v>4574</v>
      </c>
      <c r="R6" s="414" t="s">
        <v>5758</v>
      </c>
      <c r="S6" s="414" t="s">
        <v>6272</v>
      </c>
      <c r="T6" s="414" t="s">
        <v>6456</v>
      </c>
      <c r="U6" s="414" t="s">
        <v>2620</v>
      </c>
      <c r="V6" s="414" t="s">
        <v>4618</v>
      </c>
      <c r="W6" s="414" t="s">
        <v>2591</v>
      </c>
      <c r="X6" s="414" t="s">
        <v>2592</v>
      </c>
      <c r="Y6" s="414" t="s">
        <v>6237</v>
      </c>
      <c r="Z6" s="414" t="s">
        <v>2593</v>
      </c>
      <c r="AA6" s="414" t="s">
        <v>2594</v>
      </c>
      <c r="AB6" s="414" t="s">
        <v>463</v>
      </c>
      <c r="AC6" s="414" t="s">
        <v>464</v>
      </c>
      <c r="AD6" s="414" t="s">
        <v>1984</v>
      </c>
      <c r="AE6" s="414" t="s">
        <v>5368</v>
      </c>
      <c r="AF6" s="414" t="s">
        <v>2391</v>
      </c>
      <c r="AG6" s="414" t="s">
        <v>3373</v>
      </c>
      <c r="AH6" s="414" t="s">
        <v>2392</v>
      </c>
      <c r="AI6" s="414" t="s">
        <v>712</v>
      </c>
      <c r="AJ6" s="414" t="s">
        <v>713</v>
      </c>
      <c r="AK6" s="414" t="s">
        <v>715</v>
      </c>
      <c r="AL6" s="414" t="s">
        <v>5326</v>
      </c>
      <c r="AM6" s="414" t="s">
        <v>5330</v>
      </c>
      <c r="AN6" s="414" t="s">
        <v>8696</v>
      </c>
      <c r="AO6" s="414" t="s">
        <v>8697</v>
      </c>
      <c r="AP6" s="414" t="s">
        <v>8698</v>
      </c>
      <c r="AQ6" s="414" t="s">
        <v>6277</v>
      </c>
      <c r="AR6" s="414" t="s">
        <v>6280</v>
      </c>
      <c r="AS6" s="414" t="s">
        <v>3586</v>
      </c>
      <c r="AT6" s="414" t="s">
        <v>3230</v>
      </c>
      <c r="AU6" s="414" t="s">
        <v>6283</v>
      </c>
      <c r="AV6" s="414" t="s">
        <v>5761</v>
      </c>
      <c r="AW6" s="414" t="s">
        <v>9243</v>
      </c>
      <c r="AX6" s="414" t="s">
        <v>7404</v>
      </c>
      <c r="AY6" s="414" t="s">
        <v>4619</v>
      </c>
      <c r="AZ6" s="414" t="s">
        <v>7405</v>
      </c>
      <c r="BA6" s="414" t="s">
        <v>3102</v>
      </c>
      <c r="BB6" s="414" t="s">
        <v>6181</v>
      </c>
      <c r="BC6" s="414" t="s">
        <v>5069</v>
      </c>
      <c r="BD6" s="414" t="s">
        <v>5070</v>
      </c>
      <c r="BE6" s="414" t="s">
        <v>5142</v>
      </c>
      <c r="BF6" s="414" t="s">
        <v>5588</v>
      </c>
      <c r="BG6" s="414" t="s">
        <v>5074</v>
      </c>
      <c r="BH6" s="414" t="s">
        <v>5076</v>
      </c>
      <c r="BI6" s="414" t="s">
        <v>5078</v>
      </c>
      <c r="BJ6" s="414" t="s">
        <v>5080</v>
      </c>
      <c r="BK6" s="379" t="s">
        <v>4681</v>
      </c>
      <c r="BL6" s="414" t="s">
        <v>2607</v>
      </c>
      <c r="BM6" s="414" t="s">
        <v>2818</v>
      </c>
      <c r="BN6" s="414" t="s">
        <v>2388</v>
      </c>
    </row>
    <row r="7" spans="1:66" s="369" customFormat="1">
      <c r="A7" s="368"/>
      <c r="C7" s="370" t="s">
        <v>4681</v>
      </c>
      <c r="D7" s="415" t="s">
        <v>7543</v>
      </c>
      <c r="E7" s="370" t="s">
        <v>4681</v>
      </c>
      <c r="F7" s="415" t="s">
        <v>3511</v>
      </c>
      <c r="G7" s="415" t="s">
        <v>3513</v>
      </c>
      <c r="H7" s="370" t="s">
        <v>4681</v>
      </c>
      <c r="I7" s="415" t="s">
        <v>7429</v>
      </c>
      <c r="J7" s="415" t="s">
        <v>3848</v>
      </c>
      <c r="K7" s="370" t="s">
        <v>4681</v>
      </c>
      <c r="L7" s="370" t="s">
        <v>4681</v>
      </c>
      <c r="M7" s="415" t="s">
        <v>5760</v>
      </c>
      <c r="N7" s="415" t="s">
        <v>3606</v>
      </c>
      <c r="O7" s="370" t="s">
        <v>4681</v>
      </c>
      <c r="P7" s="415" t="s">
        <v>5675</v>
      </c>
      <c r="Q7" s="370" t="s">
        <v>4681</v>
      </c>
      <c r="R7" s="370" t="s">
        <v>4681</v>
      </c>
      <c r="S7" s="370" t="s">
        <v>4681</v>
      </c>
      <c r="T7" s="415" t="s">
        <v>5847</v>
      </c>
      <c r="U7" s="370" t="s">
        <v>4681</v>
      </c>
      <c r="V7" s="415" t="s">
        <v>2589</v>
      </c>
      <c r="W7" s="370" t="s">
        <v>4681</v>
      </c>
      <c r="X7" s="370" t="s">
        <v>4681</v>
      </c>
      <c r="Y7" s="370" t="s">
        <v>4681</v>
      </c>
      <c r="Z7" s="370" t="s">
        <v>4681</v>
      </c>
      <c r="AA7" s="370" t="s">
        <v>4681</v>
      </c>
      <c r="AB7" s="370" t="s">
        <v>4681</v>
      </c>
      <c r="AC7" s="370" t="s">
        <v>4681</v>
      </c>
      <c r="AD7" s="370" t="s">
        <v>4681</v>
      </c>
      <c r="AE7" s="415" t="s">
        <v>2389</v>
      </c>
      <c r="AF7" s="370" t="s">
        <v>4681</v>
      </c>
      <c r="AG7" s="370" t="s">
        <v>4681</v>
      </c>
      <c r="AH7" s="415" t="s">
        <v>5473</v>
      </c>
      <c r="AI7" s="370" t="s">
        <v>4681</v>
      </c>
      <c r="AJ7" s="415" t="s">
        <v>5321</v>
      </c>
      <c r="AK7" s="370" t="s">
        <v>4681</v>
      </c>
      <c r="AL7" s="370" t="s">
        <v>4681</v>
      </c>
      <c r="AM7" s="415" t="s">
        <v>5863</v>
      </c>
      <c r="AN7" s="370" t="s">
        <v>4681</v>
      </c>
      <c r="AO7" s="370" t="s">
        <v>4681</v>
      </c>
      <c r="AP7" s="415" t="s">
        <v>8699</v>
      </c>
      <c r="AQ7" s="415" t="s">
        <v>6278</v>
      </c>
      <c r="AR7" s="415" t="s">
        <v>6281</v>
      </c>
      <c r="AS7" s="370" t="s">
        <v>4681</v>
      </c>
      <c r="AT7" s="415" t="s">
        <v>3585</v>
      </c>
      <c r="AU7" s="415" t="s">
        <v>6284</v>
      </c>
      <c r="AV7" s="415" t="s">
        <v>3244</v>
      </c>
      <c r="AW7" s="415" t="s">
        <v>5669</v>
      </c>
      <c r="AX7" s="370" t="s">
        <v>4681</v>
      </c>
      <c r="AY7" s="415" t="s">
        <v>1563</v>
      </c>
      <c r="AZ7" s="370" t="s">
        <v>4681</v>
      </c>
      <c r="BA7" s="415" t="s">
        <v>9058</v>
      </c>
      <c r="BB7" s="415" t="s">
        <v>3528</v>
      </c>
      <c r="BC7" s="370" t="s">
        <v>4681</v>
      </c>
      <c r="BD7" s="370" t="s">
        <v>4681</v>
      </c>
      <c r="BE7" s="415" t="s">
        <v>5072</v>
      </c>
      <c r="BF7" s="370" t="s">
        <v>4681</v>
      </c>
      <c r="BG7" s="415" t="s">
        <v>577</v>
      </c>
      <c r="BH7" s="415" t="s">
        <v>2434</v>
      </c>
      <c r="BI7" s="415" t="s">
        <v>3481</v>
      </c>
      <c r="BJ7" s="415" t="s">
        <v>3483</v>
      </c>
      <c r="BK7" s="415" t="s">
        <v>982</v>
      </c>
      <c r="BL7" s="415" t="s">
        <v>2604</v>
      </c>
      <c r="BM7" s="415" t="s">
        <v>2819</v>
      </c>
      <c r="BN7" s="415" t="s">
        <v>462</v>
      </c>
    </row>
    <row r="8" spans="1:66" s="372" customFormat="1" ht="17.25" customHeight="1">
      <c r="A8" s="371"/>
      <c r="C8" s="350" t="s">
        <v>4681</v>
      </c>
      <c r="D8" s="426" t="s">
        <v>8926</v>
      </c>
      <c r="E8" s="350" t="s">
        <v>4681</v>
      </c>
      <c r="F8" s="426" t="s">
        <v>5702</v>
      </c>
      <c r="G8" s="426" t="s">
        <v>3512</v>
      </c>
      <c r="H8" s="350" t="s">
        <v>4681</v>
      </c>
      <c r="I8" s="426" t="s">
        <v>3847</v>
      </c>
      <c r="J8" s="426" t="s">
        <v>3849</v>
      </c>
      <c r="K8" s="350" t="s">
        <v>4681</v>
      </c>
      <c r="L8" s="350" t="s">
        <v>4681</v>
      </c>
      <c r="M8" s="426" t="s">
        <v>6328</v>
      </c>
      <c r="N8" s="426" t="s">
        <v>6329</v>
      </c>
      <c r="O8" s="350" t="s">
        <v>4681</v>
      </c>
      <c r="P8" s="426" t="s">
        <v>5674</v>
      </c>
      <c r="Q8" s="350" t="s">
        <v>4681</v>
      </c>
      <c r="R8" s="350" t="s">
        <v>4681</v>
      </c>
      <c r="S8" s="350" t="s">
        <v>4681</v>
      </c>
      <c r="T8" s="426" t="s">
        <v>2588</v>
      </c>
      <c r="U8" s="350" t="s">
        <v>4681</v>
      </c>
      <c r="V8" s="426" t="s">
        <v>2590</v>
      </c>
      <c r="W8" s="350" t="s">
        <v>4681</v>
      </c>
      <c r="X8" s="350" t="s">
        <v>4681</v>
      </c>
      <c r="Y8" s="427" t="s">
        <v>4681</v>
      </c>
      <c r="Z8" s="350" t="s">
        <v>4681</v>
      </c>
      <c r="AA8" s="350" t="s">
        <v>4681</v>
      </c>
      <c r="AB8" s="350" t="s">
        <v>4681</v>
      </c>
      <c r="AC8" s="350" t="s">
        <v>4681</v>
      </c>
      <c r="AD8" s="350" t="s">
        <v>4681</v>
      </c>
      <c r="AE8" s="426" t="s">
        <v>2390</v>
      </c>
      <c r="AF8" s="350" t="s">
        <v>4681</v>
      </c>
      <c r="AG8" s="350" t="s">
        <v>4681</v>
      </c>
      <c r="AH8" s="426" t="s">
        <v>3765</v>
      </c>
      <c r="AI8" s="350" t="s">
        <v>4681</v>
      </c>
      <c r="AJ8" s="426" t="s">
        <v>714</v>
      </c>
      <c r="AK8" s="350" t="s">
        <v>4681</v>
      </c>
      <c r="AL8" s="350" t="s">
        <v>4681</v>
      </c>
      <c r="AM8" s="426" t="s">
        <v>717</v>
      </c>
      <c r="AN8" s="350" t="s">
        <v>4681</v>
      </c>
      <c r="AO8" s="350" t="s">
        <v>4681</v>
      </c>
      <c r="AP8" s="426" t="s">
        <v>8700</v>
      </c>
      <c r="AQ8" s="426" t="s">
        <v>6279</v>
      </c>
      <c r="AR8" s="426" t="s">
        <v>6282</v>
      </c>
      <c r="AS8" s="350" t="s">
        <v>4681</v>
      </c>
      <c r="AT8" s="426" t="s">
        <v>666</v>
      </c>
      <c r="AU8" s="426" t="s">
        <v>6285</v>
      </c>
      <c r="AV8" s="426" t="s">
        <v>5667</v>
      </c>
      <c r="AW8" s="426" t="s">
        <v>5670</v>
      </c>
      <c r="AX8" s="350" t="s">
        <v>4681</v>
      </c>
      <c r="AY8" s="426" t="s">
        <v>3439</v>
      </c>
      <c r="AZ8" s="350" t="s">
        <v>4681</v>
      </c>
      <c r="BA8" s="426" t="s">
        <v>9059</v>
      </c>
      <c r="BB8" s="426" t="s">
        <v>1151</v>
      </c>
      <c r="BC8" s="350" t="s">
        <v>4681</v>
      </c>
      <c r="BD8" s="350" t="s">
        <v>4681</v>
      </c>
      <c r="BE8" s="426" t="s">
        <v>5073</v>
      </c>
      <c r="BF8" s="350" t="s">
        <v>4681</v>
      </c>
      <c r="BG8" s="426" t="s">
        <v>5075</v>
      </c>
      <c r="BH8" s="426" t="s">
        <v>5077</v>
      </c>
      <c r="BI8" s="426" t="s">
        <v>5079</v>
      </c>
      <c r="BJ8" s="426" t="s">
        <v>5081</v>
      </c>
      <c r="BK8" s="426" t="s">
        <v>6191</v>
      </c>
      <c r="BL8" s="426" t="s">
        <v>2605</v>
      </c>
      <c r="BM8" s="426" t="s">
        <v>5082</v>
      </c>
      <c r="BN8" s="426" t="s">
        <v>4991</v>
      </c>
    </row>
    <row r="9" spans="1:66" s="424" customFormat="1" ht="76.5">
      <c r="A9" s="421">
        <v>6</v>
      </c>
      <c r="B9" s="422" t="s">
        <v>3624</v>
      </c>
      <c r="C9" s="423" t="s">
        <v>5802</v>
      </c>
      <c r="D9" s="423" t="s">
        <v>1301</v>
      </c>
      <c r="E9" s="680" t="s">
        <v>851</v>
      </c>
      <c r="F9" s="680" t="s">
        <v>811</v>
      </c>
      <c r="G9" s="680" t="s">
        <v>1064</v>
      </c>
      <c r="H9" s="680" t="s">
        <v>1302</v>
      </c>
      <c r="I9" s="680" t="s">
        <v>7988</v>
      </c>
      <c r="J9" s="681" t="s">
        <v>6460</v>
      </c>
      <c r="K9" s="680" t="s">
        <v>1403</v>
      </c>
      <c r="L9" s="681" t="s">
        <v>409</v>
      </c>
      <c r="M9" s="680" t="s">
        <v>3895</v>
      </c>
      <c r="N9" s="681" t="s">
        <v>9328</v>
      </c>
      <c r="O9" s="681" t="s">
        <v>8019</v>
      </c>
      <c r="P9" s="681" t="s">
        <v>1154</v>
      </c>
      <c r="Q9" s="680" t="s">
        <v>2690</v>
      </c>
      <c r="R9" s="681" t="s">
        <v>71</v>
      </c>
      <c r="S9" s="680" t="s">
        <v>906</v>
      </c>
      <c r="T9" s="681" t="s">
        <v>9218</v>
      </c>
      <c r="U9" s="681" t="s">
        <v>7445</v>
      </c>
      <c r="V9" s="681" t="s">
        <v>5534</v>
      </c>
      <c r="W9" s="681" t="s">
        <v>8111</v>
      </c>
      <c r="X9" s="681" t="s">
        <v>8945</v>
      </c>
      <c r="Y9" s="680" t="s">
        <v>2130</v>
      </c>
      <c r="Z9" s="680" t="s">
        <v>5995</v>
      </c>
      <c r="AA9" s="681" t="s">
        <v>8787</v>
      </c>
      <c r="AB9" s="681" t="s">
        <v>3639</v>
      </c>
      <c r="AC9" s="680" t="s">
        <v>1437</v>
      </c>
      <c r="AD9" s="681" t="s">
        <v>7098</v>
      </c>
      <c r="AE9" s="680" t="s">
        <v>1063</v>
      </c>
      <c r="AF9" s="680" t="s">
        <v>9215</v>
      </c>
      <c r="AG9" s="681" t="s">
        <v>6350</v>
      </c>
      <c r="AH9" s="681" t="s">
        <v>3190</v>
      </c>
      <c r="AI9" s="681" t="s">
        <v>3636</v>
      </c>
      <c r="AJ9" s="680" t="s">
        <v>8644</v>
      </c>
      <c r="AK9" s="680" t="s">
        <v>8722</v>
      </c>
      <c r="AL9" s="680" t="s">
        <v>8738</v>
      </c>
      <c r="AM9" s="681" t="s">
        <v>4532</v>
      </c>
      <c r="AN9" s="423" t="s">
        <v>4801</v>
      </c>
      <c r="AO9" s="680" t="s">
        <v>7176</v>
      </c>
      <c r="AP9" s="680" t="s">
        <v>6145</v>
      </c>
      <c r="AQ9" s="680" t="s">
        <v>8731</v>
      </c>
      <c r="AR9" s="680" t="s">
        <v>2311</v>
      </c>
      <c r="AS9" s="681" t="s">
        <v>2960</v>
      </c>
      <c r="AT9" s="680" t="s">
        <v>3077</v>
      </c>
      <c r="AU9" s="680" t="s">
        <v>3495</v>
      </c>
      <c r="AV9" s="680" t="s">
        <v>5440</v>
      </c>
      <c r="AW9" s="680" t="s">
        <v>180</v>
      </c>
      <c r="AX9" s="680" t="s">
        <v>916</v>
      </c>
      <c r="AY9" s="680" t="s">
        <v>1224</v>
      </c>
      <c r="AZ9" s="680" t="s">
        <v>2703</v>
      </c>
      <c r="BA9" s="680" t="s">
        <v>7143</v>
      </c>
      <c r="BB9" s="681" t="s">
        <v>8737</v>
      </c>
      <c r="BC9" s="680" t="s">
        <v>887</v>
      </c>
      <c r="BD9" s="680" t="s">
        <v>7958</v>
      </c>
      <c r="BE9" s="680" t="s">
        <v>4648</v>
      </c>
      <c r="BF9" s="680" t="s">
        <v>5547</v>
      </c>
      <c r="BG9" s="680" t="s">
        <v>3600</v>
      </c>
      <c r="BH9" s="681" t="s">
        <v>9029</v>
      </c>
      <c r="BI9" s="680" t="s">
        <v>908</v>
      </c>
      <c r="BJ9" s="680" t="s">
        <v>8056</v>
      </c>
      <c r="BK9" s="680" t="s">
        <v>3655</v>
      </c>
      <c r="BL9" s="680" t="s">
        <v>407</v>
      </c>
      <c r="BM9" s="681" t="s">
        <v>9318</v>
      </c>
      <c r="BN9" s="680" t="s">
        <v>3160</v>
      </c>
    </row>
    <row r="10" spans="1:66" s="272" customFormat="1" ht="25.5">
      <c r="A10" s="270"/>
      <c r="B10" s="271" t="s">
        <v>1392</v>
      </c>
      <c r="C10" s="413" t="s">
        <v>1393</v>
      </c>
      <c r="D10" s="413" t="s">
        <v>1394</v>
      </c>
      <c r="E10" s="413" t="s">
        <v>6136</v>
      </c>
      <c r="F10" s="413" t="s">
        <v>1395</v>
      </c>
      <c r="G10" s="413" t="s">
        <v>6137</v>
      </c>
      <c r="H10" s="413" t="s">
        <v>6138</v>
      </c>
      <c r="I10" s="413" t="s">
        <v>6139</v>
      </c>
      <c r="J10" s="413" t="s">
        <v>6140</v>
      </c>
      <c r="K10" s="413" t="s">
        <v>6141</v>
      </c>
      <c r="L10" s="413" t="s">
        <v>757</v>
      </c>
      <c r="M10" s="413" t="s">
        <v>6142</v>
      </c>
      <c r="N10" s="413" t="s">
        <v>6143</v>
      </c>
      <c r="O10" s="413" t="s">
        <v>6144</v>
      </c>
      <c r="P10" s="413" t="s">
        <v>4021</v>
      </c>
      <c r="Q10" s="413" t="s">
        <v>4022</v>
      </c>
      <c r="R10" s="413" t="s">
        <v>4023</v>
      </c>
      <c r="S10" s="413" t="s">
        <v>4024</v>
      </c>
      <c r="T10" s="413" t="s">
        <v>5063</v>
      </c>
      <c r="U10" s="413" t="s">
        <v>5064</v>
      </c>
      <c r="V10" s="413" t="s">
        <v>5065</v>
      </c>
      <c r="W10" s="413" t="s">
        <v>5066</v>
      </c>
      <c r="X10" s="413" t="s">
        <v>5067</v>
      </c>
      <c r="Y10" s="413" t="s">
        <v>5068</v>
      </c>
      <c r="Z10" s="413" t="s">
        <v>5051</v>
      </c>
      <c r="AA10" s="413" t="s">
        <v>5052</v>
      </c>
      <c r="AB10" s="413" t="s">
        <v>5053</v>
      </c>
      <c r="AC10" s="413" t="s">
        <v>5054</v>
      </c>
      <c r="AD10" s="413" t="s">
        <v>5055</v>
      </c>
      <c r="AE10" s="413" t="s">
        <v>5056</v>
      </c>
      <c r="AF10" s="413" t="s">
        <v>3038</v>
      </c>
      <c r="AG10" s="413" t="s">
        <v>3039</v>
      </c>
      <c r="AH10" s="413" t="s">
        <v>3040</v>
      </c>
      <c r="AI10" s="413" t="s">
        <v>3041</v>
      </c>
      <c r="AJ10" s="413" t="s">
        <v>5042</v>
      </c>
      <c r="AK10" s="413" t="s">
        <v>5043</v>
      </c>
      <c r="AL10" s="413" t="s">
        <v>5044</v>
      </c>
      <c r="AM10" s="413" t="s">
        <v>5045</v>
      </c>
      <c r="AN10" s="413" t="s">
        <v>5046</v>
      </c>
      <c r="AO10" s="413" t="s">
        <v>5047</v>
      </c>
      <c r="AP10" s="413" t="s">
        <v>5048</v>
      </c>
      <c r="AQ10" s="413" t="s">
        <v>5049</v>
      </c>
      <c r="AR10" s="413" t="s">
        <v>5050</v>
      </c>
      <c r="AS10" s="413" t="s">
        <v>8732</v>
      </c>
      <c r="AT10" s="413" t="s">
        <v>3106</v>
      </c>
      <c r="AU10" s="413" t="s">
        <v>2803</v>
      </c>
      <c r="AV10" s="413" t="s">
        <v>2804</v>
      </c>
      <c r="AW10" s="413" t="s">
        <v>2805</v>
      </c>
      <c r="AX10" s="413" t="s">
        <v>2806</v>
      </c>
      <c r="AY10" s="413" t="s">
        <v>2807</v>
      </c>
      <c r="AZ10" s="413" t="s">
        <v>2808</v>
      </c>
      <c r="BA10" s="413" t="s">
        <v>2809</v>
      </c>
      <c r="BB10" s="413" t="s">
        <v>2810</v>
      </c>
      <c r="BC10" s="413" t="s">
        <v>959</v>
      </c>
      <c r="BD10" s="413" t="s">
        <v>960</v>
      </c>
      <c r="BE10" s="413" t="s">
        <v>961</v>
      </c>
      <c r="BF10" s="413" t="s">
        <v>6214</v>
      </c>
      <c r="BG10" s="413" t="s">
        <v>3974</v>
      </c>
      <c r="BH10" s="413" t="s">
        <v>3975</v>
      </c>
      <c r="BI10" s="413" t="s">
        <v>3976</v>
      </c>
      <c r="BJ10" s="413" t="s">
        <v>3977</v>
      </c>
      <c r="BK10" s="413" t="s">
        <v>3978</v>
      </c>
      <c r="BL10" s="413" t="s">
        <v>3979</v>
      </c>
      <c r="BM10" s="413" t="s">
        <v>3980</v>
      </c>
      <c r="BN10" s="413" t="s">
        <v>3981</v>
      </c>
    </row>
    <row r="11" spans="1:66" s="272" customFormat="1" ht="51">
      <c r="A11" s="270"/>
      <c r="B11" s="271" t="s">
        <v>3621</v>
      </c>
      <c r="C11" s="413" t="s">
        <v>3601</v>
      </c>
      <c r="D11" s="413" t="s">
        <v>3594</v>
      </c>
      <c r="E11" s="413" t="s">
        <v>4798</v>
      </c>
      <c r="F11" s="413" t="s">
        <v>5156</v>
      </c>
      <c r="G11" s="413" t="s">
        <v>5157</v>
      </c>
      <c r="H11" s="413" t="s">
        <v>3532</v>
      </c>
      <c r="I11" s="413" t="s">
        <v>3533</v>
      </c>
      <c r="J11" s="413" t="s">
        <v>5733</v>
      </c>
      <c r="K11" s="413" t="s">
        <v>4884</v>
      </c>
      <c r="L11" s="413" t="s">
        <v>4885</v>
      </c>
      <c r="M11" s="413" t="s">
        <v>4886</v>
      </c>
      <c r="N11" s="413" t="s">
        <v>2947</v>
      </c>
      <c r="O11" s="413" t="s">
        <v>2948</v>
      </c>
      <c r="P11" s="413" t="s">
        <v>2949</v>
      </c>
      <c r="Q11" s="413" t="s">
        <v>7384</v>
      </c>
      <c r="R11" s="413" t="s">
        <v>7385</v>
      </c>
      <c r="S11" s="413" t="s">
        <v>7386</v>
      </c>
      <c r="T11" s="413" t="s">
        <v>7387</v>
      </c>
      <c r="U11" s="413" t="s">
        <v>6493</v>
      </c>
      <c r="V11" s="413" t="s">
        <v>6494</v>
      </c>
      <c r="W11" s="413" t="s">
        <v>6495</v>
      </c>
      <c r="X11" s="413" t="s">
        <v>6496</v>
      </c>
      <c r="Y11" s="413" t="s">
        <v>7394</v>
      </c>
      <c r="Z11" s="413" t="s">
        <v>7395</v>
      </c>
      <c r="AA11" s="413" t="s">
        <v>7396</v>
      </c>
      <c r="AB11" s="413" t="s">
        <v>7397</v>
      </c>
      <c r="AC11" s="413" t="s">
        <v>7398</v>
      </c>
      <c r="AD11" s="413" t="s">
        <v>7399</v>
      </c>
      <c r="AE11" s="413" t="s">
        <v>6095</v>
      </c>
      <c r="AF11" s="413" t="s">
        <v>6096</v>
      </c>
      <c r="AG11" s="413" t="s">
        <v>4104</v>
      </c>
      <c r="AH11" s="413" t="s">
        <v>4105</v>
      </c>
      <c r="AI11" s="413" t="s">
        <v>4106</v>
      </c>
      <c r="AJ11" s="413" t="s">
        <v>4107</v>
      </c>
      <c r="AK11" s="413" t="s">
        <v>4108</v>
      </c>
      <c r="AL11" s="413" t="s">
        <v>9052</v>
      </c>
      <c r="AM11" s="413" t="s">
        <v>9053</v>
      </c>
      <c r="AN11" s="413" t="s">
        <v>9054</v>
      </c>
      <c r="AO11" s="413" t="s">
        <v>9055</v>
      </c>
      <c r="AP11" s="413" t="s">
        <v>9056</v>
      </c>
      <c r="AQ11" s="413" t="s">
        <v>3836</v>
      </c>
      <c r="AR11" s="413" t="s">
        <v>3837</v>
      </c>
      <c r="AS11" s="413" t="s">
        <v>3838</v>
      </c>
      <c r="AT11" s="413" t="s">
        <v>8087</v>
      </c>
      <c r="AU11" s="413" t="s">
        <v>8088</v>
      </c>
      <c r="AV11" s="413" t="s">
        <v>8089</v>
      </c>
      <c r="AW11" s="413" t="s">
        <v>8090</v>
      </c>
      <c r="AX11" s="413" t="s">
        <v>8091</v>
      </c>
      <c r="AY11" s="413" t="s">
        <v>3839</v>
      </c>
      <c r="AZ11" s="413" t="s">
        <v>3840</v>
      </c>
      <c r="BA11" s="413" t="s">
        <v>3841</v>
      </c>
      <c r="BB11" s="413" t="s">
        <v>3842</v>
      </c>
      <c r="BC11" s="413" t="s">
        <v>3843</v>
      </c>
      <c r="BD11" s="413" t="s">
        <v>8048</v>
      </c>
      <c r="BE11" s="413" t="s">
        <v>9278</v>
      </c>
      <c r="BF11" s="413" t="s">
        <v>9279</v>
      </c>
      <c r="BG11" s="413" t="s">
        <v>9280</v>
      </c>
      <c r="BH11" s="413" t="s">
        <v>9281</v>
      </c>
      <c r="BI11" s="413" t="s">
        <v>9282</v>
      </c>
      <c r="BJ11" s="413" t="s">
        <v>9283</v>
      </c>
      <c r="BK11" s="413" t="s">
        <v>9284</v>
      </c>
      <c r="BL11" s="413" t="s">
        <v>9285</v>
      </c>
      <c r="BM11" s="413" t="s">
        <v>8104</v>
      </c>
      <c r="BN11" s="413" t="s">
        <v>8105</v>
      </c>
    </row>
    <row r="12" spans="1:66" s="272" customFormat="1" ht="63.75">
      <c r="A12" s="270"/>
      <c r="B12" s="271" t="s">
        <v>3622</v>
      </c>
      <c r="C12" s="413" t="s">
        <v>5148</v>
      </c>
      <c r="D12" s="413" t="s">
        <v>1790</v>
      </c>
      <c r="E12" s="413" t="s">
        <v>963</v>
      </c>
      <c r="F12" s="413" t="s">
        <v>964</v>
      </c>
      <c r="G12" s="413" t="s">
        <v>965</v>
      </c>
      <c r="H12" s="413" t="s">
        <v>704</v>
      </c>
      <c r="I12" s="413" t="s">
        <v>705</v>
      </c>
      <c r="J12" s="413" t="s">
        <v>706</v>
      </c>
      <c r="K12" s="413" t="s">
        <v>707</v>
      </c>
      <c r="L12" s="413" t="s">
        <v>708</v>
      </c>
      <c r="M12" s="413" t="s">
        <v>709</v>
      </c>
      <c r="N12" s="413" t="s">
        <v>710</v>
      </c>
      <c r="O12" s="413" t="s">
        <v>711</v>
      </c>
      <c r="P12" s="413" t="s">
        <v>7349</v>
      </c>
      <c r="Q12" s="413" t="s">
        <v>7350</v>
      </c>
      <c r="R12" s="413" t="s">
        <v>7351</v>
      </c>
      <c r="S12" s="413" t="s">
        <v>7352</v>
      </c>
      <c r="T12" s="413" t="s">
        <v>2241</v>
      </c>
      <c r="U12" s="413" t="s">
        <v>1899</v>
      </c>
      <c r="V12" s="413" t="s">
        <v>1900</v>
      </c>
      <c r="W12" s="413" t="s">
        <v>1901</v>
      </c>
      <c r="X12" s="413" t="s">
        <v>1902</v>
      </c>
      <c r="Y12" s="413" t="s">
        <v>1903</v>
      </c>
      <c r="Z12" s="413" t="s">
        <v>1904</v>
      </c>
      <c r="AA12" s="413" t="s">
        <v>1905</v>
      </c>
      <c r="AB12" s="413" t="s">
        <v>7230</v>
      </c>
      <c r="AC12" s="413" t="s">
        <v>7231</v>
      </c>
      <c r="AD12" s="413" t="s">
        <v>7232</v>
      </c>
      <c r="AE12" s="413" t="s">
        <v>7233</v>
      </c>
      <c r="AF12" s="413" t="s">
        <v>7234</v>
      </c>
      <c r="AG12" s="413" t="s">
        <v>7235</v>
      </c>
      <c r="AH12" s="413" t="s">
        <v>5784</v>
      </c>
      <c r="AI12" s="413" t="s">
        <v>5785</v>
      </c>
      <c r="AJ12" s="413" t="s">
        <v>5786</v>
      </c>
      <c r="AK12" s="413" t="s">
        <v>5787</v>
      </c>
      <c r="AL12" s="413" t="s">
        <v>5788</v>
      </c>
      <c r="AM12" s="413" t="s">
        <v>5789</v>
      </c>
      <c r="AN12" s="413" t="s">
        <v>5790</v>
      </c>
      <c r="AO12" s="413" t="s">
        <v>5791</v>
      </c>
      <c r="AP12" s="413" t="s">
        <v>5792</v>
      </c>
      <c r="AQ12" s="413" t="s">
        <v>8822</v>
      </c>
      <c r="AR12" s="413" t="s">
        <v>7303</v>
      </c>
      <c r="AS12" s="413" t="s">
        <v>7304</v>
      </c>
      <c r="AT12" s="413" t="s">
        <v>7305</v>
      </c>
      <c r="AU12" s="413" t="s">
        <v>7295</v>
      </c>
      <c r="AV12" s="413" t="s">
        <v>7296</v>
      </c>
      <c r="AW12" s="413" t="s">
        <v>7297</v>
      </c>
      <c r="AX12" s="413" t="s">
        <v>7298</v>
      </c>
      <c r="AY12" s="413" t="s">
        <v>7299</v>
      </c>
      <c r="AZ12" s="413" t="s">
        <v>7300</v>
      </c>
      <c r="BA12" s="413" t="s">
        <v>7301</v>
      </c>
      <c r="BB12" s="413" t="s">
        <v>7302</v>
      </c>
      <c r="BC12" s="413" t="s">
        <v>3679</v>
      </c>
      <c r="BD12" s="413" t="s">
        <v>3680</v>
      </c>
      <c r="BE12" s="413" t="s">
        <v>8224</v>
      </c>
      <c r="BF12" s="413" t="s">
        <v>8225</v>
      </c>
      <c r="BG12" s="413" t="s">
        <v>8226</v>
      </c>
      <c r="BH12" s="413" t="s">
        <v>6252</v>
      </c>
      <c r="BI12" s="413" t="s">
        <v>6253</v>
      </c>
      <c r="BJ12" s="413" t="s">
        <v>8208</v>
      </c>
      <c r="BK12" s="413" t="s">
        <v>8209</v>
      </c>
      <c r="BL12" s="413" t="s">
        <v>8210</v>
      </c>
      <c r="BM12" s="413" t="s">
        <v>8211</v>
      </c>
      <c r="BN12" s="413" t="s">
        <v>8212</v>
      </c>
    </row>
    <row r="13" spans="1:66" s="304" customFormat="1" ht="25.5">
      <c r="A13" s="270"/>
      <c r="B13" s="328" t="s">
        <v>3625</v>
      </c>
      <c r="C13" s="303" t="s">
        <v>4645</v>
      </c>
      <c r="D13" s="303" t="s">
        <v>2962</v>
      </c>
      <c r="E13" s="303" t="s">
        <v>852</v>
      </c>
      <c r="F13" s="413" t="s">
        <v>5058</v>
      </c>
      <c r="G13" s="413" t="s">
        <v>5059</v>
      </c>
      <c r="H13" s="413" t="s">
        <v>7236</v>
      </c>
      <c r="I13" s="413" t="s">
        <v>7237</v>
      </c>
      <c r="J13" s="413" t="s">
        <v>7238</v>
      </c>
      <c r="K13" s="413" t="s">
        <v>7239</v>
      </c>
      <c r="L13" s="413" t="s">
        <v>7240</v>
      </c>
      <c r="M13" s="413" t="s">
        <v>7241</v>
      </c>
      <c r="N13" s="303" t="s">
        <v>3159</v>
      </c>
      <c r="O13" s="413" t="s">
        <v>7242</v>
      </c>
      <c r="P13" s="413" t="s">
        <v>7243</v>
      </c>
      <c r="Q13" s="413" t="s">
        <v>7244</v>
      </c>
      <c r="R13" s="413" t="s">
        <v>7245</v>
      </c>
      <c r="S13" s="303" t="s">
        <v>1148</v>
      </c>
      <c r="T13" s="413" t="s">
        <v>7246</v>
      </c>
      <c r="U13" s="413" t="s">
        <v>7247</v>
      </c>
      <c r="V13" s="413" t="s">
        <v>7248</v>
      </c>
      <c r="W13" s="413" t="s">
        <v>7249</v>
      </c>
      <c r="X13" s="413" t="s">
        <v>351</v>
      </c>
      <c r="Y13" s="413" t="s">
        <v>7250</v>
      </c>
      <c r="Z13" s="413" t="s">
        <v>7251</v>
      </c>
      <c r="AA13" s="413" t="s">
        <v>7252</v>
      </c>
      <c r="AB13" s="303" t="s">
        <v>2781</v>
      </c>
      <c r="AC13" s="413" t="s">
        <v>7253</v>
      </c>
      <c r="AD13" s="303" t="s">
        <v>3656</v>
      </c>
      <c r="AE13" s="413" t="s">
        <v>7254</v>
      </c>
      <c r="AF13" s="413" t="s">
        <v>7255</v>
      </c>
      <c r="AG13" s="303" t="s">
        <v>2423</v>
      </c>
      <c r="AH13" s="303" t="s">
        <v>8947</v>
      </c>
      <c r="AI13" s="413" t="s">
        <v>2424</v>
      </c>
      <c r="AJ13" s="413" t="s">
        <v>7256</v>
      </c>
      <c r="AK13" s="413" t="s">
        <v>6050</v>
      </c>
      <c r="AL13" s="413" t="s">
        <v>6051</v>
      </c>
      <c r="AM13" s="413" t="s">
        <v>6052</v>
      </c>
      <c r="AN13" s="413" t="s">
        <v>6053</v>
      </c>
      <c r="AO13" s="413" t="s">
        <v>6054</v>
      </c>
      <c r="AP13" s="413" t="s">
        <v>6055</v>
      </c>
      <c r="AQ13" s="413" t="s">
        <v>6056</v>
      </c>
      <c r="AR13" s="413" t="s">
        <v>6057</v>
      </c>
      <c r="AS13" s="413" t="s">
        <v>6058</v>
      </c>
      <c r="AT13" s="413" t="s">
        <v>6059</v>
      </c>
      <c r="AU13" s="303" t="s">
        <v>4678</v>
      </c>
      <c r="AV13" s="413" t="s">
        <v>6060</v>
      </c>
      <c r="AW13" s="413" t="s">
        <v>6061</v>
      </c>
      <c r="AX13" s="303" t="s">
        <v>904</v>
      </c>
      <c r="AY13" s="413" t="s">
        <v>6062</v>
      </c>
      <c r="AZ13" s="413" t="s">
        <v>6063</v>
      </c>
      <c r="BA13" s="303" t="s">
        <v>4296</v>
      </c>
      <c r="BB13" s="413" t="s">
        <v>6064</v>
      </c>
      <c r="BC13" s="413" t="s">
        <v>6065</v>
      </c>
      <c r="BD13" s="413" t="s">
        <v>6066</v>
      </c>
      <c r="BE13" s="413" t="s">
        <v>6067</v>
      </c>
      <c r="BF13" s="413" t="s">
        <v>6068</v>
      </c>
      <c r="BG13" s="303" t="s">
        <v>5597</v>
      </c>
      <c r="BH13" s="413" t="s">
        <v>6069</v>
      </c>
      <c r="BI13" s="413" t="s">
        <v>6070</v>
      </c>
      <c r="BJ13" s="413" t="s">
        <v>6071</v>
      </c>
      <c r="BK13" s="413" t="s">
        <v>6072</v>
      </c>
      <c r="BL13" s="413" t="s">
        <v>6073</v>
      </c>
      <c r="BM13" s="413" t="s">
        <v>1632</v>
      </c>
      <c r="BN13" s="413" t="s">
        <v>3210</v>
      </c>
    </row>
    <row r="14" spans="1:66" s="304" customFormat="1" ht="25.5">
      <c r="A14" s="270"/>
      <c r="B14" s="328" t="s">
        <v>3626</v>
      </c>
      <c r="C14" s="303" t="s">
        <v>1875</v>
      </c>
      <c r="D14" s="303" t="s">
        <v>3473</v>
      </c>
      <c r="E14" s="303" t="s">
        <v>853</v>
      </c>
      <c r="F14" s="413" t="s">
        <v>4129</v>
      </c>
      <c r="G14" s="413" t="s">
        <v>4130</v>
      </c>
      <c r="H14" s="413" t="s">
        <v>4131</v>
      </c>
      <c r="I14" s="413" t="s">
        <v>4132</v>
      </c>
      <c r="J14" s="413" t="s">
        <v>4133</v>
      </c>
      <c r="K14" s="413" t="s">
        <v>4134</v>
      </c>
      <c r="L14" s="413" t="s">
        <v>4135</v>
      </c>
      <c r="M14" s="413" t="s">
        <v>4136</v>
      </c>
      <c r="N14" s="303" t="s">
        <v>8712</v>
      </c>
      <c r="O14" s="413" t="s">
        <v>670</v>
      </c>
      <c r="P14" s="413" t="s">
        <v>671</v>
      </c>
      <c r="Q14" s="413" t="s">
        <v>672</v>
      </c>
      <c r="R14" s="413" t="s">
        <v>673</v>
      </c>
      <c r="S14" s="303" t="s">
        <v>1149</v>
      </c>
      <c r="T14" s="413" t="s">
        <v>674</v>
      </c>
      <c r="U14" s="413" t="s">
        <v>675</v>
      </c>
      <c r="V14" s="413" t="s">
        <v>676</v>
      </c>
      <c r="W14" s="413" t="s">
        <v>677</v>
      </c>
      <c r="X14" s="413" t="s">
        <v>678</v>
      </c>
      <c r="Y14" s="413" t="s">
        <v>679</v>
      </c>
      <c r="Z14" s="413" t="s">
        <v>680</v>
      </c>
      <c r="AA14" s="413" t="s">
        <v>681</v>
      </c>
      <c r="AB14" s="303" t="s">
        <v>3898</v>
      </c>
      <c r="AC14" s="413" t="s">
        <v>2780</v>
      </c>
      <c r="AD14" s="303" t="s">
        <v>3657</v>
      </c>
      <c r="AE14" s="413" t="s">
        <v>7267</v>
      </c>
      <c r="AF14" s="413" t="s">
        <v>7268</v>
      </c>
      <c r="AG14" s="303" t="s">
        <v>7451</v>
      </c>
      <c r="AH14" s="303" t="s">
        <v>8948</v>
      </c>
      <c r="AI14" s="413" t="s">
        <v>674</v>
      </c>
      <c r="AJ14" s="413" t="s">
        <v>7269</v>
      </c>
      <c r="AK14" s="413" t="s">
        <v>7270</v>
      </c>
      <c r="AL14" s="413" t="s">
        <v>7271</v>
      </c>
      <c r="AM14" s="413" t="s">
        <v>7272</v>
      </c>
      <c r="AN14" s="413" t="s">
        <v>5131</v>
      </c>
      <c r="AO14" s="413" t="s">
        <v>7272</v>
      </c>
      <c r="AP14" s="413" t="s">
        <v>3497</v>
      </c>
      <c r="AQ14" s="413" t="s">
        <v>5132</v>
      </c>
      <c r="AR14" s="413" t="s">
        <v>5133</v>
      </c>
      <c r="AS14" s="413" t="s">
        <v>5134</v>
      </c>
      <c r="AT14" s="413" t="s">
        <v>7339</v>
      </c>
      <c r="AU14" s="303" t="s">
        <v>4679</v>
      </c>
      <c r="AV14" s="413" t="s">
        <v>7340</v>
      </c>
      <c r="AW14" s="413" t="s">
        <v>4044</v>
      </c>
      <c r="AX14" s="303" t="s">
        <v>917</v>
      </c>
      <c r="AY14" s="413" t="s">
        <v>4045</v>
      </c>
      <c r="AZ14" s="413" t="s">
        <v>4046</v>
      </c>
      <c r="BA14" s="303" t="s">
        <v>7393</v>
      </c>
      <c r="BB14" s="413" t="s">
        <v>4047</v>
      </c>
      <c r="BC14" s="413" t="s">
        <v>4048</v>
      </c>
      <c r="BD14" s="413" t="s">
        <v>4049</v>
      </c>
      <c r="BE14" s="413" t="s">
        <v>6194</v>
      </c>
      <c r="BF14" s="413" t="s">
        <v>6195</v>
      </c>
      <c r="BG14" s="303" t="s">
        <v>8812</v>
      </c>
      <c r="BH14" s="413" t="s">
        <v>6196</v>
      </c>
      <c r="BI14" s="413" t="s">
        <v>6197</v>
      </c>
      <c r="BJ14" s="413" t="s">
        <v>6198</v>
      </c>
      <c r="BK14" s="413" t="s">
        <v>6199</v>
      </c>
      <c r="BL14" s="413" t="s">
        <v>6194</v>
      </c>
      <c r="BM14" s="413" t="s">
        <v>6200</v>
      </c>
      <c r="BN14" s="413" t="s">
        <v>6201</v>
      </c>
    </row>
    <row r="15" spans="1:66" s="304" customFormat="1" ht="38.25">
      <c r="A15" s="270"/>
      <c r="B15" s="328" t="s">
        <v>3627</v>
      </c>
      <c r="C15" s="303" t="s">
        <v>3161</v>
      </c>
      <c r="D15" s="303" t="s">
        <v>7939</v>
      </c>
      <c r="E15" s="303" t="s">
        <v>854</v>
      </c>
      <c r="F15" s="413" t="s">
        <v>1185</v>
      </c>
      <c r="G15" s="413" t="s">
        <v>3982</v>
      </c>
      <c r="H15" s="413" t="s">
        <v>1186</v>
      </c>
      <c r="I15" s="303" t="s">
        <v>6461</v>
      </c>
      <c r="J15" s="413" t="s">
        <v>1187</v>
      </c>
      <c r="K15" s="413" t="s">
        <v>1188</v>
      </c>
      <c r="L15" s="413" t="s">
        <v>1189</v>
      </c>
      <c r="M15" s="413" t="s">
        <v>1190</v>
      </c>
      <c r="N15" s="303" t="s">
        <v>8197</v>
      </c>
      <c r="O15" s="413" t="s">
        <v>4051</v>
      </c>
      <c r="P15" s="413" t="s">
        <v>4052</v>
      </c>
      <c r="Q15" s="413" t="s">
        <v>4053</v>
      </c>
      <c r="R15" s="413" t="s">
        <v>4054</v>
      </c>
      <c r="S15" s="303" t="s">
        <v>1150</v>
      </c>
      <c r="T15" s="413" t="s">
        <v>1612</v>
      </c>
      <c r="U15" s="413" t="s">
        <v>3291</v>
      </c>
      <c r="V15" s="413" t="s">
        <v>3292</v>
      </c>
      <c r="W15" s="303" t="s">
        <v>381</v>
      </c>
      <c r="X15" s="413" t="s">
        <v>3293</v>
      </c>
      <c r="Y15" s="413" t="s">
        <v>3294</v>
      </c>
      <c r="Z15" s="413" t="s">
        <v>3295</v>
      </c>
      <c r="AA15" s="303" t="s">
        <v>2670</v>
      </c>
      <c r="AB15" s="273" t="s">
        <v>6504</v>
      </c>
      <c r="AC15" s="413" t="s">
        <v>3291</v>
      </c>
      <c r="AD15" s="303" t="s">
        <v>6505</v>
      </c>
      <c r="AE15" s="413" t="s">
        <v>3296</v>
      </c>
      <c r="AF15" s="413" t="s">
        <v>3297</v>
      </c>
      <c r="AG15" s="303" t="s">
        <v>7452</v>
      </c>
      <c r="AH15" s="303" t="s">
        <v>1744</v>
      </c>
      <c r="AI15" s="413" t="s">
        <v>3298</v>
      </c>
      <c r="AJ15" s="413" t="s">
        <v>3299</v>
      </c>
      <c r="AK15" s="303" t="s">
        <v>1490</v>
      </c>
      <c r="AL15" s="413" t="s">
        <v>3300</v>
      </c>
      <c r="AM15" s="273" t="s">
        <v>5571</v>
      </c>
      <c r="AN15" s="413" t="s">
        <v>1385</v>
      </c>
      <c r="AO15" s="413" t="s">
        <v>1386</v>
      </c>
      <c r="AP15" s="413" t="s">
        <v>1387</v>
      </c>
      <c r="AQ15" s="413" t="s">
        <v>1388</v>
      </c>
      <c r="AR15" s="413" t="s">
        <v>2584</v>
      </c>
      <c r="AS15" s="303" t="s">
        <v>7955</v>
      </c>
      <c r="AT15" s="413" t="s">
        <v>2585</v>
      </c>
      <c r="AU15" s="303" t="s">
        <v>2096</v>
      </c>
      <c r="AV15" s="303" t="s">
        <v>343</v>
      </c>
      <c r="AW15" s="413" t="s">
        <v>2586</v>
      </c>
      <c r="AX15" s="303" t="s">
        <v>918</v>
      </c>
      <c r="AY15" s="413" t="s">
        <v>4420</v>
      </c>
      <c r="AZ15" s="303" t="s">
        <v>1353</v>
      </c>
      <c r="BA15" s="413" t="s">
        <v>4077</v>
      </c>
      <c r="BB15" s="413" t="s">
        <v>4078</v>
      </c>
      <c r="BC15" s="413" t="s">
        <v>4079</v>
      </c>
      <c r="BD15" s="413" t="s">
        <v>4080</v>
      </c>
      <c r="BE15" s="413" t="s">
        <v>4081</v>
      </c>
      <c r="BF15" s="413" t="s">
        <v>1577</v>
      </c>
      <c r="BG15" s="413" t="s">
        <v>1578</v>
      </c>
      <c r="BH15" s="303" t="s">
        <v>4377</v>
      </c>
      <c r="BI15" s="303" t="s">
        <v>2692</v>
      </c>
      <c r="BJ15" s="413" t="s">
        <v>1579</v>
      </c>
      <c r="BK15" s="273" t="s">
        <v>3897</v>
      </c>
      <c r="BL15" s="413" t="s">
        <v>1605</v>
      </c>
      <c r="BM15" s="413" t="s">
        <v>1606</v>
      </c>
      <c r="BN15" s="303" t="s">
        <v>7956</v>
      </c>
    </row>
    <row r="16" spans="1:66" s="363" customFormat="1">
      <c r="A16" s="331"/>
      <c r="B16" s="331" t="s">
        <v>3623</v>
      </c>
      <c r="C16" s="414" t="s">
        <v>1123</v>
      </c>
      <c r="D16" s="414" t="s">
        <v>1020</v>
      </c>
      <c r="E16" s="414" t="s">
        <v>1025</v>
      </c>
      <c r="F16" s="414" t="s">
        <v>5703</v>
      </c>
      <c r="G16" s="414" t="s">
        <v>3762</v>
      </c>
      <c r="H16" s="414" t="s">
        <v>5218</v>
      </c>
      <c r="I16" s="414" t="s">
        <v>1620</v>
      </c>
      <c r="J16" s="414" t="s">
        <v>727</v>
      </c>
      <c r="K16" s="414" t="s">
        <v>3283</v>
      </c>
      <c r="L16" s="414" t="s">
        <v>5305</v>
      </c>
      <c r="M16" s="414" t="s">
        <v>7788</v>
      </c>
      <c r="N16" s="414" t="s">
        <v>4448</v>
      </c>
      <c r="O16" s="414" t="s">
        <v>7327</v>
      </c>
      <c r="P16" s="414" t="s">
        <v>2571</v>
      </c>
      <c r="Q16" s="414" t="s">
        <v>2603</v>
      </c>
      <c r="R16" s="414" t="s">
        <v>3575</v>
      </c>
      <c r="S16" s="414" t="s">
        <v>6454</v>
      </c>
      <c r="T16" s="414" t="s">
        <v>3768</v>
      </c>
      <c r="U16" s="414" t="s">
        <v>3770</v>
      </c>
      <c r="V16" s="414" t="s">
        <v>3778</v>
      </c>
      <c r="W16" s="414" t="s">
        <v>1979</v>
      </c>
      <c r="X16" s="414" t="s">
        <v>3593</v>
      </c>
      <c r="Y16" s="414" t="s">
        <v>4063</v>
      </c>
      <c r="Z16" s="414" t="s">
        <v>6239</v>
      </c>
      <c r="AA16" s="414" t="s">
        <v>489</v>
      </c>
      <c r="AB16" s="414" t="s">
        <v>490</v>
      </c>
      <c r="AC16" s="414" t="s">
        <v>492</v>
      </c>
      <c r="AD16" s="414" t="s">
        <v>5366</v>
      </c>
      <c r="AE16" s="414" t="s">
        <v>4879</v>
      </c>
      <c r="AF16" s="414" t="s">
        <v>3372</v>
      </c>
      <c r="AG16" s="414" t="s">
        <v>3374</v>
      </c>
      <c r="AH16" s="414" t="s">
        <v>5992</v>
      </c>
      <c r="AI16" s="414" t="s">
        <v>3755</v>
      </c>
      <c r="AJ16" s="414" t="s">
        <v>5861</v>
      </c>
      <c r="AK16" s="414" t="s">
        <v>5322</v>
      </c>
      <c r="AL16" s="414" t="s">
        <v>5285</v>
      </c>
      <c r="AM16" s="414" t="s">
        <v>5291</v>
      </c>
      <c r="AN16" s="414" t="s">
        <v>2429</v>
      </c>
      <c r="AO16" s="414" t="s">
        <v>2431</v>
      </c>
      <c r="AP16" s="414" t="s">
        <v>5310</v>
      </c>
      <c r="AQ16" s="414" t="s">
        <v>5470</v>
      </c>
      <c r="AR16" s="414" t="s">
        <v>9210</v>
      </c>
      <c r="AS16" s="414" t="s">
        <v>4496</v>
      </c>
      <c r="AT16" s="414" t="s">
        <v>4570</v>
      </c>
      <c r="AU16" s="414" t="s">
        <v>5725</v>
      </c>
      <c r="AV16" s="414" t="s">
        <v>5727</v>
      </c>
      <c r="AW16" s="414" t="s">
        <v>3245</v>
      </c>
      <c r="AX16" s="414" t="s">
        <v>9245</v>
      </c>
      <c r="AY16" s="414" t="s">
        <v>3905</v>
      </c>
      <c r="AZ16" s="414" t="s">
        <v>3441</v>
      </c>
      <c r="BA16" s="414" t="s">
        <v>3444</v>
      </c>
      <c r="BB16" s="414" t="s">
        <v>6182</v>
      </c>
      <c r="BC16" s="414" t="s">
        <v>70</v>
      </c>
      <c r="BD16" s="414" t="s">
        <v>2383</v>
      </c>
      <c r="BE16" s="414" t="s">
        <v>2799</v>
      </c>
      <c r="BF16" s="414" t="s">
        <v>2801</v>
      </c>
      <c r="BG16" s="414" t="s">
        <v>1651</v>
      </c>
      <c r="BH16" s="414" t="s">
        <v>8176</v>
      </c>
      <c r="BI16" s="414" t="s">
        <v>2435</v>
      </c>
      <c r="BJ16" s="414" t="s">
        <v>216</v>
      </c>
      <c r="BK16" s="414" t="s">
        <v>5618</v>
      </c>
      <c r="BL16" s="414" t="s">
        <v>663</v>
      </c>
      <c r="BM16" s="414" t="s">
        <v>2820</v>
      </c>
      <c r="BN16" s="414" t="s">
        <v>7511</v>
      </c>
    </row>
    <row r="17" spans="1:66" s="363" customFormat="1">
      <c r="A17" s="331"/>
      <c r="B17" s="331"/>
      <c r="C17" s="414" t="s">
        <v>8922</v>
      </c>
      <c r="D17" s="414" t="s">
        <v>5697</v>
      </c>
      <c r="E17" s="414" t="s">
        <v>2841</v>
      </c>
      <c r="F17" s="414" t="s">
        <v>1759</v>
      </c>
      <c r="G17" s="414" t="s">
        <v>1762</v>
      </c>
      <c r="H17" s="414" t="s">
        <v>5754</v>
      </c>
      <c r="I17" s="414" t="s">
        <v>4683</v>
      </c>
      <c r="J17" s="414" t="s">
        <v>7430</v>
      </c>
      <c r="K17" s="414" t="s">
        <v>2695</v>
      </c>
      <c r="L17" s="414" t="s">
        <v>5304</v>
      </c>
      <c r="M17" s="414" t="s">
        <v>5752</v>
      </c>
      <c r="N17" s="414" t="s">
        <v>3607</v>
      </c>
      <c r="O17" s="414" t="s">
        <v>7803</v>
      </c>
      <c r="P17" s="414" t="s">
        <v>7807</v>
      </c>
      <c r="Q17" s="414" t="s">
        <v>7812</v>
      </c>
      <c r="R17" s="414" t="s">
        <v>2925</v>
      </c>
      <c r="S17" s="414" t="s">
        <v>2312</v>
      </c>
      <c r="T17" s="414" t="s">
        <v>3136</v>
      </c>
      <c r="U17" s="414" t="s">
        <v>1214</v>
      </c>
      <c r="V17" s="414" t="s">
        <v>2314</v>
      </c>
      <c r="W17" s="414" t="s">
        <v>2595</v>
      </c>
      <c r="X17" s="414" t="s">
        <v>3130</v>
      </c>
      <c r="Y17" s="414" t="s">
        <v>2583</v>
      </c>
      <c r="Z17" s="414" t="s">
        <v>6240</v>
      </c>
      <c r="AA17" s="414" t="s">
        <v>5841</v>
      </c>
      <c r="AB17" s="414" t="s">
        <v>2256</v>
      </c>
      <c r="AC17" s="414" t="s">
        <v>4263</v>
      </c>
      <c r="AD17" s="414" t="s">
        <v>8933</v>
      </c>
      <c r="AE17" s="414" t="s">
        <v>4929</v>
      </c>
      <c r="AF17" s="414" t="s">
        <v>4934</v>
      </c>
      <c r="AG17" s="414" t="s">
        <v>2678</v>
      </c>
      <c r="AH17" s="414" t="s">
        <v>7039</v>
      </c>
      <c r="AI17" s="414" t="s">
        <v>7046</v>
      </c>
      <c r="AJ17" s="414" t="s">
        <v>988</v>
      </c>
      <c r="AK17" s="414" t="s">
        <v>6186</v>
      </c>
      <c r="AL17" s="414" t="s">
        <v>7457</v>
      </c>
      <c r="AM17" s="414" t="s">
        <v>7462</v>
      </c>
      <c r="AN17" s="414" t="s">
        <v>7468</v>
      </c>
      <c r="AO17" s="414" t="s">
        <v>7472</v>
      </c>
      <c r="AP17" s="414" t="s">
        <v>7477</v>
      </c>
      <c r="AQ17" s="414" t="s">
        <v>7274</v>
      </c>
      <c r="AR17" s="414" t="s">
        <v>5118</v>
      </c>
      <c r="AS17" s="414" t="s">
        <v>5880</v>
      </c>
      <c r="AT17" s="414" t="s">
        <v>3906</v>
      </c>
      <c r="AU17" s="414" t="s">
        <v>3911</v>
      </c>
      <c r="AV17" s="414" t="s">
        <v>5957</v>
      </c>
      <c r="AW17" s="414" t="s">
        <v>8936</v>
      </c>
      <c r="AX17" s="414" t="s">
        <v>8941</v>
      </c>
      <c r="AY17" s="414" t="s">
        <v>3451</v>
      </c>
      <c r="AZ17" s="414" t="s">
        <v>8955</v>
      </c>
      <c r="BA17" s="414" t="s">
        <v>3443</v>
      </c>
      <c r="BB17" s="414" t="s">
        <v>2788</v>
      </c>
      <c r="BC17" s="414" t="s">
        <v>9287</v>
      </c>
      <c r="BD17" s="414" t="s">
        <v>9290</v>
      </c>
      <c r="BE17" s="414" t="s">
        <v>9294</v>
      </c>
      <c r="BF17" s="414" t="s">
        <v>4388</v>
      </c>
      <c r="BG17" s="414" t="s">
        <v>8169</v>
      </c>
      <c r="BH17" s="414" t="s">
        <v>1654</v>
      </c>
      <c r="BI17" s="414" t="s">
        <v>7324</v>
      </c>
      <c r="BJ17" s="414" t="s">
        <v>5611</v>
      </c>
      <c r="BK17" s="414" t="s">
        <v>1708</v>
      </c>
      <c r="BL17" s="414" t="s">
        <v>5625</v>
      </c>
      <c r="BM17" s="414" t="s">
        <v>2821</v>
      </c>
      <c r="BN17" s="414" t="s">
        <v>1549</v>
      </c>
    </row>
    <row r="18" spans="1:66" s="369" customFormat="1">
      <c r="A18" s="373"/>
      <c r="B18" s="373"/>
      <c r="C18" s="370" t="s">
        <v>4681</v>
      </c>
      <c r="D18" s="415" t="s">
        <v>1021</v>
      </c>
      <c r="E18" s="370" t="s">
        <v>4681</v>
      </c>
      <c r="F18" s="370" t="s">
        <v>4681</v>
      </c>
      <c r="G18" s="415" t="s">
        <v>1763</v>
      </c>
      <c r="H18" s="370" t="s">
        <v>4681</v>
      </c>
      <c r="I18" s="415" t="s">
        <v>4684</v>
      </c>
      <c r="J18" s="370" t="s">
        <v>4681</v>
      </c>
      <c r="K18" s="370" t="s">
        <v>4681</v>
      </c>
      <c r="L18" s="370" t="s">
        <v>4681</v>
      </c>
      <c r="M18" s="415" t="s">
        <v>7789</v>
      </c>
      <c r="N18" s="415" t="s">
        <v>3682</v>
      </c>
      <c r="O18" s="370" t="s">
        <v>4681</v>
      </c>
      <c r="P18" s="370" t="s">
        <v>4681</v>
      </c>
      <c r="Q18" s="370" t="s">
        <v>4681</v>
      </c>
      <c r="R18" s="370" t="s">
        <v>4681</v>
      </c>
      <c r="S18" s="370" t="s">
        <v>4681</v>
      </c>
      <c r="T18" s="370" t="s">
        <v>4681</v>
      </c>
      <c r="U18" s="370" t="s">
        <v>4681</v>
      </c>
      <c r="V18" s="370" t="s">
        <v>4681</v>
      </c>
      <c r="W18" s="370" t="s">
        <v>4681</v>
      </c>
      <c r="X18" s="370" t="s">
        <v>4681</v>
      </c>
      <c r="Y18" s="370" t="s">
        <v>4681</v>
      </c>
      <c r="Z18" s="370" t="s">
        <v>4681</v>
      </c>
      <c r="AA18" s="415" t="s">
        <v>6246</v>
      </c>
      <c r="AB18" s="370" t="s">
        <v>4681</v>
      </c>
      <c r="AC18" s="415" t="s">
        <v>4264</v>
      </c>
      <c r="AD18" s="370" t="s">
        <v>4681</v>
      </c>
      <c r="AE18" s="370" t="s">
        <v>4681</v>
      </c>
      <c r="AF18" s="370" t="s">
        <v>4681</v>
      </c>
      <c r="AG18" s="415" t="s">
        <v>498</v>
      </c>
      <c r="AH18" s="415" t="s">
        <v>7539</v>
      </c>
      <c r="AI18" s="370" t="s">
        <v>4681</v>
      </c>
      <c r="AJ18" s="682" t="s">
        <v>404</v>
      </c>
      <c r="AK18" s="370" t="s">
        <v>4681</v>
      </c>
      <c r="AL18" s="370" t="s">
        <v>4681</v>
      </c>
      <c r="AM18" s="370" t="s">
        <v>4681</v>
      </c>
      <c r="AN18" s="370" t="s">
        <v>4681</v>
      </c>
      <c r="AO18" s="370" t="s">
        <v>4681</v>
      </c>
      <c r="AP18" s="415" t="s">
        <v>5335</v>
      </c>
      <c r="AQ18" s="370" t="s">
        <v>4681</v>
      </c>
      <c r="AR18" s="370" t="s">
        <v>4681</v>
      </c>
      <c r="AS18" s="370" t="s">
        <v>4681</v>
      </c>
      <c r="AT18" s="370" t="s">
        <v>4681</v>
      </c>
      <c r="AU18" s="370" t="s">
        <v>4681</v>
      </c>
      <c r="AV18" s="370" t="s">
        <v>4681</v>
      </c>
      <c r="AW18" s="370" t="s">
        <v>4681</v>
      </c>
      <c r="AX18" s="370" t="s">
        <v>4681</v>
      </c>
      <c r="AY18" s="370" t="s">
        <v>4681</v>
      </c>
      <c r="AZ18" s="370" t="s">
        <v>4681</v>
      </c>
      <c r="BA18" s="415" t="s">
        <v>3445</v>
      </c>
      <c r="BB18" s="370" t="s">
        <v>4681</v>
      </c>
      <c r="BC18" s="370" t="s">
        <v>4681</v>
      </c>
      <c r="BD18" s="370" t="s">
        <v>4681</v>
      </c>
      <c r="BE18" s="370" t="s">
        <v>4681</v>
      </c>
      <c r="BF18" s="370" t="s">
        <v>4681</v>
      </c>
      <c r="BG18" s="370" t="s">
        <v>4681</v>
      </c>
      <c r="BH18" s="415" t="s">
        <v>8177</v>
      </c>
      <c r="BI18" s="370" t="s">
        <v>4681</v>
      </c>
      <c r="BJ18" s="370" t="s">
        <v>4681</v>
      </c>
      <c r="BK18" s="415" t="s">
        <v>942</v>
      </c>
      <c r="BL18" s="370" t="s">
        <v>4681</v>
      </c>
      <c r="BM18" s="415" t="s">
        <v>2822</v>
      </c>
      <c r="BN18" s="415" t="s">
        <v>8724</v>
      </c>
    </row>
    <row r="19" spans="1:66" s="375" customFormat="1">
      <c r="A19" s="374"/>
      <c r="B19" s="374"/>
      <c r="C19" s="350" t="s">
        <v>4681</v>
      </c>
      <c r="D19" s="426" t="s">
        <v>4677</v>
      </c>
      <c r="E19" s="350" t="s">
        <v>4681</v>
      </c>
      <c r="F19" s="350" t="s">
        <v>4681</v>
      </c>
      <c r="G19" s="426" t="s">
        <v>1764</v>
      </c>
      <c r="H19" s="350" t="s">
        <v>4681</v>
      </c>
      <c r="I19" s="426" t="s">
        <v>2873</v>
      </c>
      <c r="J19" s="350" t="s">
        <v>4681</v>
      </c>
      <c r="K19" s="350" t="s">
        <v>4681</v>
      </c>
      <c r="L19" s="350" t="s">
        <v>4681</v>
      </c>
      <c r="M19" s="426" t="s">
        <v>7787</v>
      </c>
      <c r="N19" s="426" t="s">
        <v>3608</v>
      </c>
      <c r="O19" s="350" t="s">
        <v>4681</v>
      </c>
      <c r="P19" s="350" t="s">
        <v>4681</v>
      </c>
      <c r="Q19" s="350" t="s">
        <v>4681</v>
      </c>
      <c r="R19" s="350" t="s">
        <v>4681</v>
      </c>
      <c r="S19" s="350" t="s">
        <v>4681</v>
      </c>
      <c r="T19" s="350" t="s">
        <v>4681</v>
      </c>
      <c r="U19" s="350" t="s">
        <v>4681</v>
      </c>
      <c r="V19" s="350" t="s">
        <v>4681</v>
      </c>
      <c r="W19" s="350" t="s">
        <v>4681</v>
      </c>
      <c r="X19" s="350" t="s">
        <v>4681</v>
      </c>
      <c r="Y19" s="350" t="s">
        <v>4681</v>
      </c>
      <c r="Z19" s="350" t="s">
        <v>4681</v>
      </c>
      <c r="AA19" s="426" t="s">
        <v>5842</v>
      </c>
      <c r="AB19" s="350" t="s">
        <v>4681</v>
      </c>
      <c r="AC19" s="426" t="s">
        <v>4163</v>
      </c>
      <c r="AD19" s="350" t="s">
        <v>4681</v>
      </c>
      <c r="AE19" s="350" t="s">
        <v>4681</v>
      </c>
      <c r="AF19" s="350" t="s">
        <v>4681</v>
      </c>
      <c r="AG19" s="426" t="s">
        <v>499</v>
      </c>
      <c r="AH19" s="426" t="s">
        <v>7040</v>
      </c>
      <c r="AI19" s="350" t="s">
        <v>4681</v>
      </c>
      <c r="AJ19" s="683" t="s">
        <v>405</v>
      </c>
      <c r="AK19" s="350" t="s">
        <v>4681</v>
      </c>
      <c r="AL19" s="350" t="s">
        <v>4681</v>
      </c>
      <c r="AM19" s="350" t="s">
        <v>4681</v>
      </c>
      <c r="AN19" s="350" t="s">
        <v>4681</v>
      </c>
      <c r="AO19" s="350" t="s">
        <v>4681</v>
      </c>
      <c r="AP19" s="426" t="s">
        <v>7478</v>
      </c>
      <c r="AQ19" s="350" t="s">
        <v>4681</v>
      </c>
      <c r="AR19" s="350" t="s">
        <v>4681</v>
      </c>
      <c r="AS19" s="350" t="s">
        <v>4681</v>
      </c>
      <c r="AT19" s="350" t="s">
        <v>4681</v>
      </c>
      <c r="AU19" s="350" t="s">
        <v>4681</v>
      </c>
      <c r="AV19" s="350" t="s">
        <v>4681</v>
      </c>
      <c r="AW19" s="350" t="s">
        <v>4681</v>
      </c>
      <c r="AX19" s="350" t="s">
        <v>4681</v>
      </c>
      <c r="AY19" s="350" t="s">
        <v>4681</v>
      </c>
      <c r="AZ19" s="350" t="s">
        <v>4681</v>
      </c>
      <c r="BA19" s="426" t="s">
        <v>3637</v>
      </c>
      <c r="BB19" s="350" t="s">
        <v>4681</v>
      </c>
      <c r="BC19" s="350" t="s">
        <v>4681</v>
      </c>
      <c r="BD19" s="350" t="s">
        <v>4681</v>
      </c>
      <c r="BE19" s="350" t="s">
        <v>4681</v>
      </c>
      <c r="BF19" s="350" t="s">
        <v>4681</v>
      </c>
      <c r="BG19" s="350" t="s">
        <v>4681</v>
      </c>
      <c r="BH19" s="426" t="s">
        <v>8178</v>
      </c>
      <c r="BI19" s="350" t="s">
        <v>4681</v>
      </c>
      <c r="BJ19" s="350" t="s">
        <v>4681</v>
      </c>
      <c r="BK19" s="426" t="s">
        <v>5619</v>
      </c>
      <c r="BL19" s="350" t="s">
        <v>4681</v>
      </c>
      <c r="BM19" s="426" t="s">
        <v>7501</v>
      </c>
      <c r="BN19" s="426" t="s">
        <v>8725</v>
      </c>
    </row>
    <row r="20" spans="1:66" s="424" customFormat="1" ht="63.75">
      <c r="A20" s="421">
        <v>5</v>
      </c>
      <c r="B20" s="422" t="s">
        <v>3624</v>
      </c>
      <c r="C20" s="423" t="s">
        <v>5524</v>
      </c>
      <c r="D20" s="423" t="s">
        <v>4701</v>
      </c>
      <c r="E20" s="680" t="s">
        <v>1626</v>
      </c>
      <c r="F20" s="681" t="s">
        <v>1081</v>
      </c>
      <c r="G20" s="681" t="s">
        <v>6017</v>
      </c>
      <c r="H20" s="680" t="s">
        <v>3078</v>
      </c>
      <c r="I20" s="680" t="s">
        <v>2635</v>
      </c>
      <c r="J20" s="680" t="s">
        <v>5929</v>
      </c>
      <c r="K20" s="680" t="s">
        <v>7564</v>
      </c>
      <c r="L20" s="680" t="s">
        <v>7565</v>
      </c>
      <c r="M20" s="681" t="s">
        <v>9045</v>
      </c>
      <c r="N20" s="680" t="s">
        <v>3568</v>
      </c>
      <c r="O20" s="680" t="s">
        <v>7325</v>
      </c>
      <c r="P20" s="681" t="s">
        <v>7314</v>
      </c>
      <c r="Q20" s="680" t="s">
        <v>9358</v>
      </c>
      <c r="R20" s="680" t="s">
        <v>7512</v>
      </c>
      <c r="S20" s="681" t="s">
        <v>2691</v>
      </c>
      <c r="T20" s="681" t="s">
        <v>3795</v>
      </c>
      <c r="U20" s="681" t="s">
        <v>7444</v>
      </c>
      <c r="V20" s="681" t="s">
        <v>5533</v>
      </c>
      <c r="W20" s="680" t="s">
        <v>2097</v>
      </c>
      <c r="X20" s="680" t="s">
        <v>1557</v>
      </c>
      <c r="Y20" s="680" t="s">
        <v>2098</v>
      </c>
      <c r="Z20" s="681" t="s">
        <v>5540</v>
      </c>
      <c r="AA20" s="680" t="s">
        <v>3887</v>
      </c>
      <c r="AB20" s="680" t="s">
        <v>1622</v>
      </c>
      <c r="AC20" s="680" t="s">
        <v>2845</v>
      </c>
      <c r="AD20" s="680" t="s">
        <v>5140</v>
      </c>
      <c r="AE20" s="681" t="s">
        <v>4646</v>
      </c>
      <c r="AF20" s="681" t="s">
        <v>9214</v>
      </c>
      <c r="AG20" s="680" t="s">
        <v>2611</v>
      </c>
      <c r="AH20" s="680" t="s">
        <v>3189</v>
      </c>
      <c r="AI20" s="681" t="s">
        <v>7210</v>
      </c>
      <c r="AJ20" s="680" t="s">
        <v>8643</v>
      </c>
      <c r="AK20" s="680" t="s">
        <v>8860</v>
      </c>
      <c r="AL20" s="680" t="s">
        <v>4937</v>
      </c>
      <c r="AM20" s="680" t="s">
        <v>4939</v>
      </c>
      <c r="AN20" s="680" t="s">
        <v>5586</v>
      </c>
      <c r="AO20" s="681" t="s">
        <v>5595</v>
      </c>
      <c r="AP20" s="680" t="s">
        <v>2995</v>
      </c>
      <c r="AQ20" s="680" t="s">
        <v>8730</v>
      </c>
      <c r="AR20" s="680" t="s">
        <v>5599</v>
      </c>
      <c r="AS20" s="680" t="s">
        <v>2959</v>
      </c>
      <c r="AT20" s="680" t="s">
        <v>6475</v>
      </c>
      <c r="AU20" s="680" t="s">
        <v>6488</v>
      </c>
      <c r="AV20" s="680" t="s">
        <v>4418</v>
      </c>
      <c r="AW20" s="680" t="s">
        <v>2221</v>
      </c>
      <c r="AX20" s="681" t="s">
        <v>905</v>
      </c>
      <c r="AY20" s="680" t="s">
        <v>812</v>
      </c>
      <c r="AZ20" s="680" t="s">
        <v>2702</v>
      </c>
      <c r="BA20" s="680" t="s">
        <v>1225</v>
      </c>
      <c r="BB20" s="681" t="s">
        <v>7266</v>
      </c>
      <c r="BC20" s="680" t="s">
        <v>5913</v>
      </c>
      <c r="BD20" s="680" t="s">
        <v>7492</v>
      </c>
      <c r="BE20" s="680" t="s">
        <v>5537</v>
      </c>
      <c r="BF20" s="680" t="s">
        <v>4987</v>
      </c>
      <c r="BG20" s="680" t="s">
        <v>5596</v>
      </c>
      <c r="BH20" s="680" t="s">
        <v>5538</v>
      </c>
      <c r="BI20" s="680" t="s">
        <v>6491</v>
      </c>
      <c r="BJ20" s="680" t="s">
        <v>1883</v>
      </c>
      <c r="BK20" s="681" t="s">
        <v>7142</v>
      </c>
      <c r="BL20" s="680" t="s">
        <v>914</v>
      </c>
      <c r="BM20" s="680" t="s">
        <v>3889</v>
      </c>
      <c r="BN20" s="680" t="s">
        <v>7215</v>
      </c>
    </row>
    <row r="21" spans="1:66" s="272" customFormat="1" ht="25.5">
      <c r="A21" s="270"/>
      <c r="B21" s="271" t="s">
        <v>1392</v>
      </c>
      <c r="C21" s="413" t="s">
        <v>6089</v>
      </c>
      <c r="D21" s="413" t="s">
        <v>6090</v>
      </c>
      <c r="E21" s="413" t="s">
        <v>3983</v>
      </c>
      <c r="F21" s="413" t="s">
        <v>6266</v>
      </c>
      <c r="G21" s="413" t="s">
        <v>6267</v>
      </c>
      <c r="H21" s="413" t="s">
        <v>6268</v>
      </c>
      <c r="I21" s="413" t="s">
        <v>6269</v>
      </c>
      <c r="J21" s="413" t="s">
        <v>6270</v>
      </c>
      <c r="K21" s="413" t="s">
        <v>6271</v>
      </c>
      <c r="L21" s="413" t="s">
        <v>4119</v>
      </c>
      <c r="M21" s="413" t="s">
        <v>7440</v>
      </c>
      <c r="N21" s="413" t="s">
        <v>948</v>
      </c>
      <c r="O21" s="413" t="s">
        <v>949</v>
      </c>
      <c r="P21" s="413" t="s">
        <v>950</v>
      </c>
      <c r="Q21" s="413" t="s">
        <v>951</v>
      </c>
      <c r="R21" s="413" t="s">
        <v>2362</v>
      </c>
      <c r="S21" s="413" t="s">
        <v>2363</v>
      </c>
      <c r="T21" s="413" t="s">
        <v>2364</v>
      </c>
      <c r="U21" s="413" t="s">
        <v>2365</v>
      </c>
      <c r="V21" s="413" t="s">
        <v>2366</v>
      </c>
      <c r="W21" s="413" t="s">
        <v>2367</v>
      </c>
      <c r="X21" s="413" t="s">
        <v>2368</v>
      </c>
      <c r="Y21" s="413" t="s">
        <v>2369</v>
      </c>
      <c r="Z21" s="413" t="s">
        <v>626</v>
      </c>
      <c r="AA21" s="413" t="s">
        <v>627</v>
      </c>
      <c r="AB21" s="413" t="s">
        <v>628</v>
      </c>
      <c r="AC21" s="413" t="s">
        <v>629</v>
      </c>
      <c r="AD21" s="413" t="s">
        <v>630</v>
      </c>
      <c r="AE21" s="413" t="s">
        <v>631</v>
      </c>
      <c r="AF21" s="413" t="s">
        <v>632</v>
      </c>
      <c r="AG21" s="413" t="s">
        <v>633</v>
      </c>
      <c r="AH21" s="413" t="s">
        <v>3984</v>
      </c>
      <c r="AI21" s="413" t="s">
        <v>3985</v>
      </c>
      <c r="AJ21" s="413" t="s">
        <v>3986</v>
      </c>
      <c r="AK21" s="413" t="s">
        <v>3987</v>
      </c>
      <c r="AL21" s="413" t="s">
        <v>2487</v>
      </c>
      <c r="AM21" s="413" t="s">
        <v>4269</v>
      </c>
      <c r="AN21" s="413" t="s">
        <v>4270</v>
      </c>
      <c r="AO21" s="413" t="s">
        <v>4271</v>
      </c>
      <c r="AP21" s="413" t="s">
        <v>4272</v>
      </c>
      <c r="AQ21" s="413" t="s">
        <v>4273</v>
      </c>
      <c r="AR21" s="413" t="s">
        <v>4274</v>
      </c>
      <c r="AS21" s="413" t="s">
        <v>1152</v>
      </c>
      <c r="AT21" s="413" t="s">
        <v>1200</v>
      </c>
      <c r="AU21" s="413" t="s">
        <v>1201</v>
      </c>
      <c r="AV21" s="413" t="s">
        <v>1202</v>
      </c>
      <c r="AW21" s="413" t="s">
        <v>1203</v>
      </c>
      <c r="AX21" s="413" t="s">
        <v>1204</v>
      </c>
      <c r="AY21" s="413" t="s">
        <v>1205</v>
      </c>
      <c r="AZ21" s="413" t="s">
        <v>1206</v>
      </c>
      <c r="BA21" s="413" t="s">
        <v>1207</v>
      </c>
      <c r="BB21" s="413" t="s">
        <v>1208</v>
      </c>
      <c r="BC21" s="413" t="s">
        <v>1209</v>
      </c>
      <c r="BD21" s="413" t="s">
        <v>1210</v>
      </c>
      <c r="BE21" s="413" t="s">
        <v>1211</v>
      </c>
      <c r="BF21" s="413" t="s">
        <v>3216</v>
      </c>
      <c r="BG21" s="413" t="s">
        <v>3217</v>
      </c>
      <c r="BH21" s="413" t="s">
        <v>2138</v>
      </c>
      <c r="BI21" s="413" t="s">
        <v>2139</v>
      </c>
      <c r="BJ21" s="413" t="s">
        <v>2140</v>
      </c>
      <c r="BK21" s="413" t="s">
        <v>2141</v>
      </c>
      <c r="BL21" s="413" t="s">
        <v>2142</v>
      </c>
      <c r="BM21" s="413" t="s">
        <v>2143</v>
      </c>
      <c r="BN21" s="413" t="s">
        <v>2144</v>
      </c>
    </row>
    <row r="22" spans="1:66" s="272" customFormat="1" ht="51">
      <c r="A22" s="270"/>
      <c r="B22" s="271" t="s">
        <v>3621</v>
      </c>
      <c r="C22" s="413" t="s">
        <v>4842</v>
      </c>
      <c r="D22" s="413" t="s">
        <v>4702</v>
      </c>
      <c r="E22" s="413" t="s">
        <v>8106</v>
      </c>
      <c r="F22" s="413" t="s">
        <v>7346</v>
      </c>
      <c r="G22" s="413" t="s">
        <v>7347</v>
      </c>
      <c r="H22" s="413" t="s">
        <v>7348</v>
      </c>
      <c r="I22" s="413" t="s">
        <v>7365</v>
      </c>
      <c r="J22" s="413" t="s">
        <v>7366</v>
      </c>
      <c r="K22" s="413" t="s">
        <v>7367</v>
      </c>
      <c r="L22" s="413" t="s">
        <v>1572</v>
      </c>
      <c r="M22" s="413" t="s">
        <v>1573</v>
      </c>
      <c r="N22" s="413" t="s">
        <v>1574</v>
      </c>
      <c r="O22" s="413" t="s">
        <v>1575</v>
      </c>
      <c r="P22" s="413" t="s">
        <v>1576</v>
      </c>
      <c r="Q22" s="413" t="s">
        <v>7334</v>
      </c>
      <c r="R22" s="413" t="s">
        <v>7335</v>
      </c>
      <c r="S22" s="413" t="s">
        <v>7336</v>
      </c>
      <c r="T22" s="413" t="s">
        <v>7337</v>
      </c>
      <c r="U22" s="413" t="s">
        <v>7338</v>
      </c>
      <c r="V22" s="413" t="s">
        <v>4891</v>
      </c>
      <c r="W22" s="413" t="s">
        <v>4892</v>
      </c>
      <c r="X22" s="413" t="s">
        <v>4893</v>
      </c>
      <c r="Y22" s="413" t="s">
        <v>4894</v>
      </c>
      <c r="Z22" s="413" t="s">
        <v>4895</v>
      </c>
      <c r="AA22" s="413" t="s">
        <v>6205</v>
      </c>
      <c r="AB22" s="413" t="s">
        <v>8200</v>
      </c>
      <c r="AC22" s="413" t="s">
        <v>8201</v>
      </c>
      <c r="AD22" s="413" t="s">
        <v>8202</v>
      </c>
      <c r="AE22" s="413" t="s">
        <v>8203</v>
      </c>
      <c r="AF22" s="413" t="s">
        <v>4050</v>
      </c>
      <c r="AG22" s="413" t="s">
        <v>4917</v>
      </c>
      <c r="AH22" s="413" t="s">
        <v>4918</v>
      </c>
      <c r="AI22" s="413" t="s">
        <v>4919</v>
      </c>
      <c r="AJ22" s="413" t="s">
        <v>4920</v>
      </c>
      <c r="AK22" s="413" t="s">
        <v>4921</v>
      </c>
      <c r="AL22" s="413" t="s">
        <v>4922</v>
      </c>
      <c r="AM22" s="413" t="s">
        <v>4923</v>
      </c>
      <c r="AN22" s="413" t="s">
        <v>4055</v>
      </c>
      <c r="AO22" s="413" t="s">
        <v>4056</v>
      </c>
      <c r="AP22" s="413" t="s">
        <v>4057</v>
      </c>
      <c r="AQ22" s="413" t="s">
        <v>4058</v>
      </c>
      <c r="AR22" s="413" t="s">
        <v>8912</v>
      </c>
      <c r="AS22" s="413" t="s">
        <v>8913</v>
      </c>
      <c r="AT22" s="413" t="s">
        <v>8914</v>
      </c>
      <c r="AU22" s="413" t="s">
        <v>9031</v>
      </c>
      <c r="AV22" s="413" t="s">
        <v>9032</v>
      </c>
      <c r="AW22" s="413" t="s">
        <v>9033</v>
      </c>
      <c r="AX22" s="413" t="s">
        <v>6209</v>
      </c>
      <c r="AY22" s="413" t="s">
        <v>6216</v>
      </c>
      <c r="AZ22" s="413" t="s">
        <v>6217</v>
      </c>
      <c r="BA22" s="413" t="s">
        <v>6218</v>
      </c>
      <c r="BB22" s="413" t="s">
        <v>8220</v>
      </c>
      <c r="BC22" s="413" t="s">
        <v>8221</v>
      </c>
      <c r="BD22" s="413" t="s">
        <v>8222</v>
      </c>
      <c r="BE22" s="413" t="s">
        <v>8223</v>
      </c>
      <c r="BF22" s="413" t="s">
        <v>2672</v>
      </c>
      <c r="BG22" s="413" t="s">
        <v>2673</v>
      </c>
      <c r="BH22" s="413" t="s">
        <v>7022</v>
      </c>
      <c r="BI22" s="413" t="s">
        <v>8204</v>
      </c>
      <c r="BJ22" s="413" t="s">
        <v>8205</v>
      </c>
      <c r="BK22" s="413" t="s">
        <v>8206</v>
      </c>
      <c r="BL22" s="413" t="s">
        <v>8207</v>
      </c>
      <c r="BM22" s="413" t="s">
        <v>2674</v>
      </c>
      <c r="BN22" s="413" t="s">
        <v>2675</v>
      </c>
    </row>
    <row r="23" spans="1:66" s="272" customFormat="1" ht="51">
      <c r="A23" s="270"/>
      <c r="B23" s="271" t="s">
        <v>3622</v>
      </c>
      <c r="C23" s="413" t="s">
        <v>1873</v>
      </c>
      <c r="D23" s="413" t="s">
        <v>5010</v>
      </c>
      <c r="E23" s="413" t="s">
        <v>7330</v>
      </c>
      <c r="F23" s="413" t="s">
        <v>5671</v>
      </c>
      <c r="G23" s="413" t="s">
        <v>5672</v>
      </c>
      <c r="H23" s="413" t="s">
        <v>5673</v>
      </c>
      <c r="I23" s="413" t="s">
        <v>966</v>
      </c>
      <c r="J23" s="413" t="s">
        <v>967</v>
      </c>
      <c r="K23" s="413" t="s">
        <v>968</v>
      </c>
      <c r="L23" s="413" t="s">
        <v>3681</v>
      </c>
      <c r="M23" s="413" t="s">
        <v>1910</v>
      </c>
      <c r="N23" s="413" t="s">
        <v>1911</v>
      </c>
      <c r="O23" s="413" t="s">
        <v>1912</v>
      </c>
      <c r="P23" s="413" t="s">
        <v>1913</v>
      </c>
      <c r="Q23" s="413" t="s">
        <v>1914</v>
      </c>
      <c r="R23" s="413" t="s">
        <v>1915</v>
      </c>
      <c r="S23" s="413" t="s">
        <v>2370</v>
      </c>
      <c r="T23" s="413" t="s">
        <v>2371</v>
      </c>
      <c r="U23" s="413" t="s">
        <v>2372</v>
      </c>
      <c r="V23" s="413" t="s">
        <v>2373</v>
      </c>
      <c r="W23" s="413" t="s">
        <v>2374</v>
      </c>
      <c r="X23" s="413" t="s">
        <v>2375</v>
      </c>
      <c r="Y23" s="413" t="s">
        <v>2376</v>
      </c>
      <c r="Z23" s="413" t="s">
        <v>2377</v>
      </c>
      <c r="AA23" s="413" t="s">
        <v>2378</v>
      </c>
      <c r="AB23" s="413" t="s">
        <v>2379</v>
      </c>
      <c r="AC23" s="413" t="s">
        <v>2380</v>
      </c>
      <c r="AD23" s="413" t="s">
        <v>2381</v>
      </c>
      <c r="AE23" s="413" t="s">
        <v>2382</v>
      </c>
      <c r="AF23" s="413" t="s">
        <v>2351</v>
      </c>
      <c r="AG23" s="413" t="s">
        <v>2352</v>
      </c>
      <c r="AH23" s="413" t="s">
        <v>2522</v>
      </c>
      <c r="AI23" s="413" t="s">
        <v>2353</v>
      </c>
      <c r="AJ23" s="413" t="s">
        <v>2494</v>
      </c>
      <c r="AK23" s="413" t="s">
        <v>2495</v>
      </c>
      <c r="AL23" s="413" t="s">
        <v>2496</v>
      </c>
      <c r="AM23" s="413" t="s">
        <v>2497</v>
      </c>
      <c r="AN23" s="413" t="s">
        <v>2498</v>
      </c>
      <c r="AO23" s="413" t="s">
        <v>2499</v>
      </c>
      <c r="AP23" s="413" t="s">
        <v>2500</v>
      </c>
      <c r="AQ23" s="413" t="s">
        <v>2501</v>
      </c>
      <c r="AR23" s="413" t="s">
        <v>2502</v>
      </c>
      <c r="AS23" s="413" t="s">
        <v>2503</v>
      </c>
      <c r="AT23" s="413" t="s">
        <v>2504</v>
      </c>
      <c r="AU23" s="413" t="s">
        <v>2505</v>
      </c>
      <c r="AV23" s="413" t="s">
        <v>2514</v>
      </c>
      <c r="AW23" s="413" t="s">
        <v>2515</v>
      </c>
      <c r="AX23" s="413" t="s">
        <v>8213</v>
      </c>
      <c r="AY23" s="413" t="s">
        <v>8214</v>
      </c>
      <c r="AZ23" s="413" t="s">
        <v>8215</v>
      </c>
      <c r="BA23" s="413" t="s">
        <v>6258</v>
      </c>
      <c r="BB23" s="413" t="s">
        <v>6259</v>
      </c>
      <c r="BC23" s="413" t="s">
        <v>6260</v>
      </c>
      <c r="BD23" s="413" t="s">
        <v>6261</v>
      </c>
      <c r="BE23" s="413" t="s">
        <v>6262</v>
      </c>
      <c r="BF23" s="413" t="s">
        <v>8915</v>
      </c>
      <c r="BG23" s="413" t="s">
        <v>8916</v>
      </c>
      <c r="BH23" s="413" t="s">
        <v>8917</v>
      </c>
      <c r="BI23" s="413" t="s">
        <v>8918</v>
      </c>
      <c r="BJ23" s="413" t="s">
        <v>8919</v>
      </c>
      <c r="BK23" s="413" t="s">
        <v>8920</v>
      </c>
      <c r="BL23" s="413" t="s">
        <v>6315</v>
      </c>
      <c r="BM23" s="413" t="s">
        <v>6497</v>
      </c>
      <c r="BN23" s="413" t="s">
        <v>6498</v>
      </c>
    </row>
    <row r="24" spans="1:66" s="304" customFormat="1" ht="25.5">
      <c r="A24" s="270"/>
      <c r="B24" s="328" t="s">
        <v>3625</v>
      </c>
      <c r="C24" s="303" t="s">
        <v>2882</v>
      </c>
      <c r="D24" s="303" t="s">
        <v>2883</v>
      </c>
      <c r="E24" s="303" t="s">
        <v>3434</v>
      </c>
      <c r="F24" s="303" t="s">
        <v>808</v>
      </c>
      <c r="G24" s="413" t="s">
        <v>3211</v>
      </c>
      <c r="H24" s="413" t="s">
        <v>3212</v>
      </c>
      <c r="I24" s="413" t="s">
        <v>3213</v>
      </c>
      <c r="J24" s="413" t="s">
        <v>3214</v>
      </c>
      <c r="K24" s="413" t="s">
        <v>3215</v>
      </c>
      <c r="L24" s="413" t="s">
        <v>3938</v>
      </c>
      <c r="M24" s="413" t="s">
        <v>3939</v>
      </c>
      <c r="N24" s="303" t="s">
        <v>2884</v>
      </c>
      <c r="O24" s="413" t="s">
        <v>3940</v>
      </c>
      <c r="P24" s="413" t="s">
        <v>3941</v>
      </c>
      <c r="Q24" s="413" t="s">
        <v>3942</v>
      </c>
      <c r="R24" s="413" t="s">
        <v>3943</v>
      </c>
      <c r="S24" s="413" t="s">
        <v>8024</v>
      </c>
      <c r="T24" s="413" t="s">
        <v>8025</v>
      </c>
      <c r="U24" s="413" t="s">
        <v>8026</v>
      </c>
      <c r="V24" s="413" t="s">
        <v>8027</v>
      </c>
      <c r="W24" s="413" t="s">
        <v>8028</v>
      </c>
      <c r="X24" s="303" t="s">
        <v>2907</v>
      </c>
      <c r="Y24" s="413" t="s">
        <v>8029</v>
      </c>
      <c r="Z24" s="413" t="s">
        <v>351</v>
      </c>
      <c r="AA24" s="303" t="s">
        <v>1340</v>
      </c>
      <c r="AB24" s="303" t="s">
        <v>2781</v>
      </c>
      <c r="AC24" s="413" t="s">
        <v>8030</v>
      </c>
      <c r="AD24" s="413" t="s">
        <v>8031</v>
      </c>
      <c r="AE24" s="413" t="s">
        <v>8032</v>
      </c>
      <c r="AF24" s="413" t="s">
        <v>8033</v>
      </c>
      <c r="AG24" s="413" t="s">
        <v>8034</v>
      </c>
      <c r="AH24" s="413" t="s">
        <v>8035</v>
      </c>
      <c r="AI24" s="303" t="s">
        <v>351</v>
      </c>
      <c r="AJ24" s="413" t="s">
        <v>8036</v>
      </c>
      <c r="AK24" s="413" t="s">
        <v>8037</v>
      </c>
      <c r="AL24" s="413" t="s">
        <v>8038</v>
      </c>
      <c r="AM24" s="413" t="s">
        <v>8026</v>
      </c>
      <c r="AN24" s="413" t="s">
        <v>8039</v>
      </c>
      <c r="AO24" s="413" t="s">
        <v>8040</v>
      </c>
      <c r="AP24" s="413" t="s">
        <v>8041</v>
      </c>
      <c r="AQ24" s="413" t="s">
        <v>8042</v>
      </c>
      <c r="AR24" s="413" t="s">
        <v>8043</v>
      </c>
      <c r="AS24" s="413" t="s">
        <v>8044</v>
      </c>
      <c r="AT24" s="413" t="s">
        <v>8045</v>
      </c>
      <c r="AU24" s="413" t="s">
        <v>8046</v>
      </c>
      <c r="AV24" s="413" t="s">
        <v>8047</v>
      </c>
      <c r="AW24" s="413" t="s">
        <v>3921</v>
      </c>
      <c r="AX24" s="413" t="s">
        <v>3922</v>
      </c>
      <c r="AY24" s="413" t="s">
        <v>3214</v>
      </c>
      <c r="AZ24" s="413" t="s">
        <v>5170</v>
      </c>
      <c r="BA24" s="303" t="s">
        <v>4297</v>
      </c>
      <c r="BB24" s="413" t="s">
        <v>3944</v>
      </c>
      <c r="BC24" s="413" t="s">
        <v>3945</v>
      </c>
      <c r="BD24" s="303" t="s">
        <v>351</v>
      </c>
      <c r="BE24" s="413" t="s">
        <v>3946</v>
      </c>
      <c r="BF24" s="413" t="s">
        <v>3947</v>
      </c>
      <c r="BG24" s="413" t="s">
        <v>3948</v>
      </c>
      <c r="BH24" s="413" t="s">
        <v>3930</v>
      </c>
      <c r="BI24" s="303" t="s">
        <v>6492</v>
      </c>
      <c r="BJ24" s="303" t="s">
        <v>3759</v>
      </c>
      <c r="BK24" s="413" t="s">
        <v>3931</v>
      </c>
      <c r="BL24" s="413" t="s">
        <v>7246</v>
      </c>
      <c r="BM24" s="413" t="s">
        <v>3932</v>
      </c>
      <c r="BN24" s="413" t="s">
        <v>3933</v>
      </c>
    </row>
    <row r="25" spans="1:66" s="304" customFormat="1" ht="25.5">
      <c r="A25" s="270"/>
      <c r="B25" s="328" t="s">
        <v>3626</v>
      </c>
      <c r="C25" s="303" t="s">
        <v>7979</v>
      </c>
      <c r="D25" s="303" t="s">
        <v>7980</v>
      </c>
      <c r="E25" s="303" t="s">
        <v>3435</v>
      </c>
      <c r="F25" s="303" t="s">
        <v>809</v>
      </c>
      <c r="G25" s="413" t="s">
        <v>6202</v>
      </c>
      <c r="H25" s="413" t="s">
        <v>6203</v>
      </c>
      <c r="I25" s="413" t="s">
        <v>6204</v>
      </c>
      <c r="J25" s="413" t="s">
        <v>2397</v>
      </c>
      <c r="K25" s="413" t="s">
        <v>2398</v>
      </c>
      <c r="L25" s="413" t="s">
        <v>2399</v>
      </c>
      <c r="M25" s="413" t="s">
        <v>1616</v>
      </c>
      <c r="N25" s="303" t="s">
        <v>8713</v>
      </c>
      <c r="O25" s="413" t="s">
        <v>2400</v>
      </c>
      <c r="P25" s="413" t="s">
        <v>573</v>
      </c>
      <c r="Q25" s="413" t="s">
        <v>3497</v>
      </c>
      <c r="R25" s="413" t="s">
        <v>574</v>
      </c>
      <c r="S25" s="413" t="s">
        <v>2397</v>
      </c>
      <c r="T25" s="413" t="s">
        <v>575</v>
      </c>
      <c r="U25" s="413" t="s">
        <v>3257</v>
      </c>
      <c r="V25" s="413" t="s">
        <v>3258</v>
      </c>
      <c r="W25" s="413" t="s">
        <v>4047</v>
      </c>
      <c r="X25" s="303" t="s">
        <v>176</v>
      </c>
      <c r="Y25" s="413" t="s">
        <v>3259</v>
      </c>
      <c r="Z25" s="413" t="s">
        <v>2397</v>
      </c>
      <c r="AA25" s="303" t="s">
        <v>1341</v>
      </c>
      <c r="AB25" s="303" t="s">
        <v>3898</v>
      </c>
      <c r="AC25" s="413" t="s">
        <v>3260</v>
      </c>
      <c r="AD25" s="413" t="s">
        <v>7269</v>
      </c>
      <c r="AE25" s="413" t="s">
        <v>3261</v>
      </c>
      <c r="AF25" s="413" t="s">
        <v>3262</v>
      </c>
      <c r="AG25" s="413" t="s">
        <v>3263</v>
      </c>
      <c r="AH25" s="413" t="s">
        <v>3264</v>
      </c>
      <c r="AI25" s="303" t="s">
        <v>3081</v>
      </c>
      <c r="AJ25" s="413" t="s">
        <v>3265</v>
      </c>
      <c r="AK25" s="413" t="s">
        <v>7272</v>
      </c>
      <c r="AL25" s="413" t="s">
        <v>3266</v>
      </c>
      <c r="AM25" s="413" t="s">
        <v>4047</v>
      </c>
      <c r="AN25" s="413" t="s">
        <v>3267</v>
      </c>
      <c r="AO25" s="413" t="s">
        <v>3268</v>
      </c>
      <c r="AP25" s="413" t="s">
        <v>4047</v>
      </c>
      <c r="AQ25" s="413" t="s">
        <v>2780</v>
      </c>
      <c r="AR25" s="413" t="s">
        <v>7272</v>
      </c>
      <c r="AS25" s="413" t="s">
        <v>3261</v>
      </c>
      <c r="AT25" s="303" t="s">
        <v>1338</v>
      </c>
      <c r="AU25" s="413" t="s">
        <v>3269</v>
      </c>
      <c r="AV25" s="413" t="s">
        <v>679</v>
      </c>
      <c r="AW25" s="413" t="s">
        <v>3270</v>
      </c>
      <c r="AX25" s="413" t="s">
        <v>3271</v>
      </c>
      <c r="AY25" s="413" t="s">
        <v>3272</v>
      </c>
      <c r="AZ25" s="413" t="s">
        <v>3273</v>
      </c>
      <c r="BA25" s="303" t="s">
        <v>4298</v>
      </c>
      <c r="BB25" s="413" t="s">
        <v>3274</v>
      </c>
      <c r="BC25" s="413" t="s">
        <v>3275</v>
      </c>
      <c r="BD25" s="303" t="s">
        <v>3497</v>
      </c>
      <c r="BE25" s="413" t="s">
        <v>3276</v>
      </c>
      <c r="BF25" s="413" t="s">
        <v>4047</v>
      </c>
      <c r="BG25" s="413" t="s">
        <v>3277</v>
      </c>
      <c r="BH25" s="413" t="s">
        <v>3278</v>
      </c>
      <c r="BI25" s="303" t="s">
        <v>4414</v>
      </c>
      <c r="BJ25" s="303" t="s">
        <v>3760</v>
      </c>
      <c r="BK25" s="413" t="s">
        <v>7272</v>
      </c>
      <c r="BL25" s="413" t="s">
        <v>1522</v>
      </c>
      <c r="BM25" s="413" t="s">
        <v>1523</v>
      </c>
      <c r="BN25" s="413" t="s">
        <v>1524</v>
      </c>
    </row>
    <row r="26" spans="1:66" s="304" customFormat="1" ht="38.25">
      <c r="A26" s="270"/>
      <c r="B26" s="328" t="s">
        <v>3627</v>
      </c>
      <c r="C26" s="303" t="s">
        <v>1874</v>
      </c>
      <c r="D26" s="303" t="s">
        <v>5572</v>
      </c>
      <c r="E26" s="303" t="s">
        <v>3436</v>
      </c>
      <c r="F26" s="303" t="s">
        <v>810</v>
      </c>
      <c r="G26" s="413" t="s">
        <v>1607</v>
      </c>
      <c r="H26" s="413" t="s">
        <v>1608</v>
      </c>
      <c r="I26" s="303" t="s">
        <v>4294</v>
      </c>
      <c r="J26" s="413" t="s">
        <v>1609</v>
      </c>
      <c r="K26" s="413" t="s">
        <v>1610</v>
      </c>
      <c r="L26" s="413" t="s">
        <v>1611</v>
      </c>
      <c r="M26" s="413" t="s">
        <v>1709</v>
      </c>
      <c r="N26" s="303" t="s">
        <v>2617</v>
      </c>
      <c r="O26" s="413" t="s">
        <v>1710</v>
      </c>
      <c r="P26" s="413" t="s">
        <v>1711</v>
      </c>
      <c r="Q26" s="413" t="s">
        <v>1712</v>
      </c>
      <c r="R26" s="413" t="s">
        <v>1713</v>
      </c>
      <c r="S26" s="413" t="s">
        <v>1714</v>
      </c>
      <c r="T26" s="413" t="s">
        <v>1715</v>
      </c>
      <c r="U26" s="413" t="s">
        <v>1716</v>
      </c>
      <c r="V26" s="303" t="s">
        <v>5099</v>
      </c>
      <c r="W26" s="413" t="s">
        <v>3472</v>
      </c>
      <c r="X26" s="303" t="s">
        <v>4300</v>
      </c>
      <c r="Y26" s="273" t="s">
        <v>3757</v>
      </c>
      <c r="Z26" s="413" t="s">
        <v>1643</v>
      </c>
      <c r="AA26" s="303" t="s">
        <v>1401</v>
      </c>
      <c r="AB26" s="303" t="s">
        <v>3428</v>
      </c>
      <c r="AC26" s="413" t="s">
        <v>5492</v>
      </c>
      <c r="AD26" s="413" t="s">
        <v>5493</v>
      </c>
      <c r="AE26" s="413" t="s">
        <v>5494</v>
      </c>
      <c r="AF26" s="413" t="s">
        <v>5175</v>
      </c>
      <c r="AG26" s="413" t="s">
        <v>5176</v>
      </c>
      <c r="AH26" s="413" t="s">
        <v>5177</v>
      </c>
      <c r="AI26" s="303" t="s">
        <v>3082</v>
      </c>
      <c r="AJ26" s="413" t="s">
        <v>5178</v>
      </c>
      <c r="AK26" s="413" t="s">
        <v>5179</v>
      </c>
      <c r="AL26" s="413" t="s">
        <v>5180</v>
      </c>
      <c r="AM26" s="413" t="s">
        <v>5181</v>
      </c>
      <c r="AN26" s="303" t="s">
        <v>1131</v>
      </c>
      <c r="AO26" s="413" t="s">
        <v>5182</v>
      </c>
      <c r="AP26" s="413" t="s">
        <v>3790</v>
      </c>
      <c r="AQ26" s="413" t="s">
        <v>5183</v>
      </c>
      <c r="AR26" s="413" t="s">
        <v>5184</v>
      </c>
      <c r="AS26" s="413" t="s">
        <v>5185</v>
      </c>
      <c r="AT26" s="303" t="s">
        <v>1339</v>
      </c>
      <c r="AU26" s="413" t="s">
        <v>5186</v>
      </c>
      <c r="AV26" s="413" t="s">
        <v>5187</v>
      </c>
      <c r="AW26" s="303" t="s">
        <v>7179</v>
      </c>
      <c r="AX26" s="413" t="s">
        <v>3291</v>
      </c>
      <c r="AY26" s="413" t="s">
        <v>2231</v>
      </c>
      <c r="AZ26" s="273" t="s">
        <v>4299</v>
      </c>
      <c r="BA26" s="303" t="s">
        <v>3061</v>
      </c>
      <c r="BB26" s="303" t="s">
        <v>3961</v>
      </c>
      <c r="BC26" s="303" t="s">
        <v>3520</v>
      </c>
      <c r="BD26" s="303" t="s">
        <v>6003</v>
      </c>
      <c r="BE26" s="413" t="s">
        <v>2232</v>
      </c>
      <c r="BF26" s="303" t="s">
        <v>7957</v>
      </c>
      <c r="BG26" s="413" t="s">
        <v>2233</v>
      </c>
      <c r="BH26" s="413" t="s">
        <v>2234</v>
      </c>
      <c r="BI26" s="303" t="s">
        <v>4415</v>
      </c>
      <c r="BJ26" s="303" t="s">
        <v>8000</v>
      </c>
      <c r="BK26" s="413" t="s">
        <v>2235</v>
      </c>
      <c r="BL26" s="413" t="s">
        <v>2236</v>
      </c>
      <c r="BM26" s="413" t="s">
        <v>5193</v>
      </c>
      <c r="BN26" s="413" t="s">
        <v>5194</v>
      </c>
    </row>
    <row r="27" spans="1:66" s="363" customFormat="1">
      <c r="A27" s="331"/>
      <c r="B27" s="331" t="s">
        <v>3623</v>
      </c>
      <c r="C27" s="414" t="s">
        <v>8921</v>
      </c>
      <c r="D27" s="414" t="s">
        <v>4703</v>
      </c>
      <c r="E27" s="414" t="s">
        <v>5698</v>
      </c>
      <c r="F27" s="414" t="s">
        <v>3510</v>
      </c>
      <c r="G27" s="414" t="s">
        <v>3514</v>
      </c>
      <c r="H27" s="414" t="s">
        <v>1619</v>
      </c>
      <c r="I27" s="414" t="s">
        <v>1621</v>
      </c>
      <c r="J27" s="414" t="s">
        <v>7432</v>
      </c>
      <c r="K27" s="414" t="s">
        <v>3282</v>
      </c>
      <c r="L27" s="414" t="s">
        <v>5233</v>
      </c>
      <c r="M27" s="414" t="s">
        <v>3437</v>
      </c>
      <c r="N27" s="414" t="s">
        <v>3609</v>
      </c>
      <c r="O27" s="414" t="s">
        <v>7326</v>
      </c>
      <c r="P27" s="414" t="s">
        <v>2572</v>
      </c>
      <c r="Q27" s="414" t="s">
        <v>4572</v>
      </c>
      <c r="R27" s="414" t="s">
        <v>4265</v>
      </c>
      <c r="S27" s="414" t="s">
        <v>6453</v>
      </c>
      <c r="T27" s="414" t="s">
        <v>3767</v>
      </c>
      <c r="U27" s="414" t="s">
        <v>3953</v>
      </c>
      <c r="V27" s="414" t="s">
        <v>2624</v>
      </c>
      <c r="W27" s="414" t="s">
        <v>1978</v>
      </c>
      <c r="X27" s="414" t="s">
        <v>1558</v>
      </c>
      <c r="Y27" s="414" t="s">
        <v>4064</v>
      </c>
      <c r="Z27" s="414" t="s">
        <v>6241</v>
      </c>
      <c r="AA27" s="414" t="s">
        <v>6245</v>
      </c>
      <c r="AB27" s="414" t="s">
        <v>3638</v>
      </c>
      <c r="AC27" s="414" t="s">
        <v>3322</v>
      </c>
      <c r="AD27" s="414" t="s">
        <v>3325</v>
      </c>
      <c r="AE27" s="414" t="s">
        <v>5369</v>
      </c>
      <c r="AF27" s="414" t="s">
        <v>3371</v>
      </c>
      <c r="AG27" s="414" t="s">
        <v>7007</v>
      </c>
      <c r="AH27" s="414" t="s">
        <v>5991</v>
      </c>
      <c r="AI27" s="414" t="s">
        <v>5993</v>
      </c>
      <c r="AJ27" s="414" t="s">
        <v>5858</v>
      </c>
      <c r="AK27" s="414" t="s">
        <v>1735</v>
      </c>
      <c r="AL27" s="414" t="s">
        <v>5286</v>
      </c>
      <c r="AM27" s="414" t="s">
        <v>5290</v>
      </c>
      <c r="AN27" s="414" t="s">
        <v>5292</v>
      </c>
      <c r="AO27" s="414" t="s">
        <v>5332</v>
      </c>
      <c r="AP27" s="414" t="s">
        <v>5311</v>
      </c>
      <c r="AQ27" s="414" t="s">
        <v>4485</v>
      </c>
      <c r="AR27" s="414" t="s">
        <v>5471</v>
      </c>
      <c r="AS27" s="414" t="s">
        <v>4495</v>
      </c>
      <c r="AT27" s="414" t="s">
        <v>5721</v>
      </c>
      <c r="AU27" s="414" t="s">
        <v>3235</v>
      </c>
      <c r="AV27" s="414" t="s">
        <v>7494</v>
      </c>
      <c r="AW27" s="414" t="s">
        <v>9242</v>
      </c>
      <c r="AX27" s="414" t="s">
        <v>939</v>
      </c>
      <c r="AY27" s="414" t="s">
        <v>9252</v>
      </c>
      <c r="AZ27" s="414" t="s">
        <v>3440</v>
      </c>
      <c r="BA27" s="414" t="s">
        <v>3446</v>
      </c>
      <c r="BB27" s="414" t="s">
        <v>3526</v>
      </c>
      <c r="BC27" s="414" t="s">
        <v>3521</v>
      </c>
      <c r="BD27" s="414" t="s">
        <v>2384</v>
      </c>
      <c r="BE27" s="414" t="s">
        <v>2798</v>
      </c>
      <c r="BF27" s="414" t="s">
        <v>1644</v>
      </c>
      <c r="BG27" s="414" t="s">
        <v>578</v>
      </c>
      <c r="BH27" s="414" t="s">
        <v>553</v>
      </c>
      <c r="BI27" s="414" t="s">
        <v>2436</v>
      </c>
      <c r="BJ27" s="414" t="s">
        <v>5830</v>
      </c>
      <c r="BK27" s="414" t="s">
        <v>1707</v>
      </c>
      <c r="BL27" s="414" t="s">
        <v>664</v>
      </c>
      <c r="BM27" s="414" t="s">
        <v>3890</v>
      </c>
      <c r="BN27" s="414" t="s">
        <v>5213</v>
      </c>
    </row>
    <row r="28" spans="1:66" s="363" customFormat="1">
      <c r="A28" s="331"/>
      <c r="B28" s="331"/>
      <c r="C28" s="414" t="s">
        <v>1124</v>
      </c>
      <c r="D28" s="414" t="s">
        <v>5696</v>
      </c>
      <c r="E28" s="414" t="s">
        <v>1026</v>
      </c>
      <c r="F28" s="414" t="s">
        <v>1758</v>
      </c>
      <c r="G28" s="414" t="s">
        <v>1761</v>
      </c>
      <c r="H28" s="414" t="s">
        <v>1767</v>
      </c>
      <c r="I28" s="414" t="s">
        <v>4682</v>
      </c>
      <c r="J28" s="414" t="s">
        <v>7431</v>
      </c>
      <c r="K28" s="414" t="s">
        <v>2694</v>
      </c>
      <c r="L28" s="414" t="s">
        <v>2700</v>
      </c>
      <c r="M28" s="414" t="s">
        <v>7786</v>
      </c>
      <c r="N28" s="414" t="s">
        <v>3748</v>
      </c>
      <c r="O28" s="414" t="s">
        <v>3686</v>
      </c>
      <c r="P28" s="414" t="s">
        <v>2602</v>
      </c>
      <c r="Q28" s="414" t="s">
        <v>4573</v>
      </c>
      <c r="R28" s="414" t="s">
        <v>3576</v>
      </c>
      <c r="S28" s="414" t="s">
        <v>2928</v>
      </c>
      <c r="T28" s="414" t="s">
        <v>3135</v>
      </c>
      <c r="U28" s="414" t="s">
        <v>1213</v>
      </c>
      <c r="V28" s="414" t="s">
        <v>1307</v>
      </c>
      <c r="W28" s="414" t="s">
        <v>2318</v>
      </c>
      <c r="X28" s="414" t="s">
        <v>3043</v>
      </c>
      <c r="Y28" s="414" t="s">
        <v>2634</v>
      </c>
      <c r="Z28" s="414" t="s">
        <v>5835</v>
      </c>
      <c r="AA28" s="414" t="s">
        <v>5840</v>
      </c>
      <c r="AB28" s="414" t="s">
        <v>2255</v>
      </c>
      <c r="AC28" s="414" t="s">
        <v>4262</v>
      </c>
      <c r="AD28" s="414" t="s">
        <v>3324</v>
      </c>
      <c r="AE28" s="414" t="s">
        <v>4928</v>
      </c>
      <c r="AF28" s="414" t="s">
        <v>3370</v>
      </c>
      <c r="AG28" s="414" t="s">
        <v>5763</v>
      </c>
      <c r="AH28" s="414" t="s">
        <v>5990</v>
      </c>
      <c r="AI28" s="414" t="s">
        <v>7045</v>
      </c>
      <c r="AJ28" s="414" t="s">
        <v>5859</v>
      </c>
      <c r="AK28" s="414" t="s">
        <v>1736</v>
      </c>
      <c r="AL28" s="414" t="s">
        <v>7456</v>
      </c>
      <c r="AM28" s="414" t="s">
        <v>7461</v>
      </c>
      <c r="AN28" s="414" t="s">
        <v>7467</v>
      </c>
      <c r="AO28" s="414" t="s">
        <v>5331</v>
      </c>
      <c r="AP28" s="414" t="s">
        <v>7476</v>
      </c>
      <c r="AQ28" s="414" t="s">
        <v>1717</v>
      </c>
      <c r="AR28" s="414" t="s">
        <v>4487</v>
      </c>
      <c r="AS28" s="414" t="s">
        <v>2863</v>
      </c>
      <c r="AT28" s="414" t="s">
        <v>3231</v>
      </c>
      <c r="AU28" s="414" t="s">
        <v>3910</v>
      </c>
      <c r="AV28" s="414" t="s">
        <v>5956</v>
      </c>
      <c r="AW28" s="414" t="s">
        <v>8935</v>
      </c>
      <c r="AX28" s="414" t="s">
        <v>8940</v>
      </c>
      <c r="AY28" s="414" t="s">
        <v>941</v>
      </c>
      <c r="AZ28" s="414" t="s">
        <v>8954</v>
      </c>
      <c r="BA28" s="414" t="s">
        <v>6275</v>
      </c>
      <c r="BB28" s="414" t="s">
        <v>3527</v>
      </c>
      <c r="BC28" s="414" t="s">
        <v>9286</v>
      </c>
      <c r="BD28" s="414" t="s">
        <v>9289</v>
      </c>
      <c r="BE28" s="414" t="s">
        <v>9293</v>
      </c>
      <c r="BF28" s="414" t="s">
        <v>4387</v>
      </c>
      <c r="BG28" s="414" t="s">
        <v>4114</v>
      </c>
      <c r="BH28" s="414" t="s">
        <v>552</v>
      </c>
      <c r="BI28" s="414" t="s">
        <v>8183</v>
      </c>
      <c r="BJ28" s="414" t="s">
        <v>5612</v>
      </c>
      <c r="BK28" s="414" t="s">
        <v>5617</v>
      </c>
      <c r="BL28" s="414" t="s">
        <v>5624</v>
      </c>
      <c r="BM28" s="414" t="s">
        <v>7500</v>
      </c>
      <c r="BN28" s="414" t="s">
        <v>7510</v>
      </c>
    </row>
    <row r="29" spans="1:66" s="369" customFormat="1">
      <c r="A29" s="373"/>
      <c r="B29" s="373"/>
      <c r="C29" s="415" t="s">
        <v>1125</v>
      </c>
      <c r="D29" s="370" t="s">
        <v>4681</v>
      </c>
      <c r="E29" s="415" t="s">
        <v>1028</v>
      </c>
      <c r="F29" s="370" t="s">
        <v>4681</v>
      </c>
      <c r="G29" s="370" t="s">
        <v>4681</v>
      </c>
      <c r="H29" s="370" t="s">
        <v>4681</v>
      </c>
      <c r="I29" s="370" t="s">
        <v>4681</v>
      </c>
      <c r="J29" s="370" t="s">
        <v>4681</v>
      </c>
      <c r="K29" s="370" t="s">
        <v>4681</v>
      </c>
      <c r="L29" s="370" t="s">
        <v>4681</v>
      </c>
      <c r="M29" s="415" t="s">
        <v>7785</v>
      </c>
      <c r="N29" s="370" t="s">
        <v>4681</v>
      </c>
      <c r="O29" s="370" t="s">
        <v>4681</v>
      </c>
      <c r="P29" s="370" t="s">
        <v>4681</v>
      </c>
      <c r="Q29" s="370" t="s">
        <v>4681</v>
      </c>
      <c r="R29" s="370" t="s">
        <v>4681</v>
      </c>
      <c r="S29" s="370" t="s">
        <v>4681</v>
      </c>
      <c r="T29" s="370" t="s">
        <v>4681</v>
      </c>
      <c r="U29" s="370" t="s">
        <v>4681</v>
      </c>
      <c r="V29" s="370" t="s">
        <v>4681</v>
      </c>
      <c r="W29" s="370" t="s">
        <v>4681</v>
      </c>
      <c r="X29" s="370" t="s">
        <v>4681</v>
      </c>
      <c r="Y29" s="370" t="s">
        <v>4681</v>
      </c>
      <c r="Z29" s="370" t="s">
        <v>4681</v>
      </c>
      <c r="AA29" s="370" t="s">
        <v>4681</v>
      </c>
      <c r="AB29" s="370" t="s">
        <v>4681</v>
      </c>
      <c r="AC29" s="370" t="s">
        <v>4681</v>
      </c>
      <c r="AD29" s="415" t="s">
        <v>8931</v>
      </c>
      <c r="AE29" s="370" t="s">
        <v>4681</v>
      </c>
      <c r="AF29" s="415" t="s">
        <v>4880</v>
      </c>
      <c r="AG29" s="415" t="s">
        <v>2094</v>
      </c>
      <c r="AH29" s="415" t="s">
        <v>7538</v>
      </c>
      <c r="AI29" s="370" t="s">
        <v>4681</v>
      </c>
      <c r="AJ29" s="415" t="s">
        <v>5860</v>
      </c>
      <c r="AK29" s="370" t="s">
        <v>4681</v>
      </c>
      <c r="AL29" s="370" t="s">
        <v>4681</v>
      </c>
      <c r="AM29" s="370" t="s">
        <v>4681</v>
      </c>
      <c r="AN29" s="370" t="s">
        <v>4681</v>
      </c>
      <c r="AO29" s="370" t="s">
        <v>4681</v>
      </c>
      <c r="AP29" s="370" t="s">
        <v>4681</v>
      </c>
      <c r="AQ29" s="415" t="s">
        <v>3317</v>
      </c>
      <c r="AR29" s="370" t="s">
        <v>4681</v>
      </c>
      <c r="AS29" s="370" t="s">
        <v>4681</v>
      </c>
      <c r="AT29" s="415" t="s">
        <v>2856</v>
      </c>
      <c r="AU29" s="370" t="s">
        <v>4681</v>
      </c>
      <c r="AV29" s="370" t="s">
        <v>4681</v>
      </c>
      <c r="AW29" s="370" t="s">
        <v>4681</v>
      </c>
      <c r="AX29" s="370" t="s">
        <v>4681</v>
      </c>
      <c r="AY29" s="370" t="s">
        <v>4681</v>
      </c>
      <c r="AZ29" s="370" t="s">
        <v>4681</v>
      </c>
      <c r="BA29" s="370" t="s">
        <v>4681</v>
      </c>
      <c r="BB29" s="415" t="s">
        <v>3525</v>
      </c>
      <c r="BC29" s="370" t="s">
        <v>4681</v>
      </c>
      <c r="BD29" s="370" t="s">
        <v>4681</v>
      </c>
      <c r="BE29" s="370" t="s">
        <v>4681</v>
      </c>
      <c r="BF29" s="370" t="s">
        <v>4681</v>
      </c>
      <c r="BG29" s="370" t="s">
        <v>4681</v>
      </c>
      <c r="BH29" s="415" t="s">
        <v>8174</v>
      </c>
      <c r="BI29" s="370" t="s">
        <v>4681</v>
      </c>
      <c r="BJ29" s="370" t="s">
        <v>4681</v>
      </c>
      <c r="BK29" s="370" t="s">
        <v>4681</v>
      </c>
      <c r="BL29" s="370" t="s">
        <v>4681</v>
      </c>
      <c r="BM29" s="370" t="s">
        <v>4681</v>
      </c>
      <c r="BN29" s="370" t="s">
        <v>4681</v>
      </c>
    </row>
    <row r="30" spans="1:66" s="375" customFormat="1">
      <c r="A30" s="374"/>
      <c r="B30" s="374"/>
      <c r="C30" s="426" t="s">
        <v>8923</v>
      </c>
      <c r="D30" s="350" t="s">
        <v>4681</v>
      </c>
      <c r="E30" s="426" t="s">
        <v>1027</v>
      </c>
      <c r="F30" s="350" t="s">
        <v>4681</v>
      </c>
      <c r="G30" s="350" t="s">
        <v>4681</v>
      </c>
      <c r="H30" s="350" t="s">
        <v>4681</v>
      </c>
      <c r="I30" s="350" t="s">
        <v>4681</v>
      </c>
      <c r="J30" s="350" t="s">
        <v>4681</v>
      </c>
      <c r="K30" s="350" t="s">
        <v>4681</v>
      </c>
      <c r="L30" s="350" t="s">
        <v>4681</v>
      </c>
      <c r="M30" s="426" t="s">
        <v>3438</v>
      </c>
      <c r="N30" s="350" t="s">
        <v>4681</v>
      </c>
      <c r="O30" s="350" t="s">
        <v>4681</v>
      </c>
      <c r="P30" s="350" t="s">
        <v>4681</v>
      </c>
      <c r="Q30" s="350" t="s">
        <v>4681</v>
      </c>
      <c r="R30" s="350" t="s">
        <v>4681</v>
      </c>
      <c r="S30" s="350" t="s">
        <v>4681</v>
      </c>
      <c r="T30" s="350" t="s">
        <v>4681</v>
      </c>
      <c r="U30" s="350" t="s">
        <v>4681</v>
      </c>
      <c r="V30" s="350" t="s">
        <v>4681</v>
      </c>
      <c r="W30" s="350" t="s">
        <v>4681</v>
      </c>
      <c r="X30" s="350" t="s">
        <v>4681</v>
      </c>
      <c r="Y30" s="350" t="s">
        <v>4681</v>
      </c>
      <c r="Z30" s="350" t="s">
        <v>4681</v>
      </c>
      <c r="AA30" s="350" t="s">
        <v>4681</v>
      </c>
      <c r="AB30" s="350" t="s">
        <v>4681</v>
      </c>
      <c r="AC30" s="350" t="s">
        <v>4681</v>
      </c>
      <c r="AD30" s="426" t="s">
        <v>8932</v>
      </c>
      <c r="AE30" s="350" t="s">
        <v>4681</v>
      </c>
      <c r="AF30" s="426" t="s">
        <v>4881</v>
      </c>
      <c r="AG30" s="426" t="s">
        <v>2095</v>
      </c>
      <c r="AH30" s="426" t="s">
        <v>504</v>
      </c>
      <c r="AI30" s="350" t="s">
        <v>4681</v>
      </c>
      <c r="AJ30" s="426" t="s">
        <v>987</v>
      </c>
      <c r="AK30" s="350" t="s">
        <v>4681</v>
      </c>
      <c r="AL30" s="350" t="s">
        <v>4681</v>
      </c>
      <c r="AM30" s="350" t="s">
        <v>4681</v>
      </c>
      <c r="AN30" s="350" t="s">
        <v>4681</v>
      </c>
      <c r="AO30" s="350" t="s">
        <v>4681</v>
      </c>
      <c r="AP30" s="350" t="s">
        <v>4681</v>
      </c>
      <c r="AQ30" s="426" t="s">
        <v>7273</v>
      </c>
      <c r="AR30" s="350" t="s">
        <v>4681</v>
      </c>
      <c r="AS30" s="350" t="s">
        <v>4681</v>
      </c>
      <c r="AT30" s="426" t="s">
        <v>2857</v>
      </c>
      <c r="AU30" s="350" t="s">
        <v>4681</v>
      </c>
      <c r="AV30" s="350" t="s">
        <v>4681</v>
      </c>
      <c r="AW30" s="350" t="s">
        <v>4681</v>
      </c>
      <c r="AX30" s="350" t="s">
        <v>4681</v>
      </c>
      <c r="AY30" s="350" t="s">
        <v>4681</v>
      </c>
      <c r="AZ30" s="350" t="s">
        <v>4681</v>
      </c>
      <c r="BA30" s="350" t="s">
        <v>4681</v>
      </c>
      <c r="BB30" s="426" t="s">
        <v>2787</v>
      </c>
      <c r="BC30" s="350" t="s">
        <v>4681</v>
      </c>
      <c r="BD30" s="350" t="s">
        <v>4681</v>
      </c>
      <c r="BE30" s="350" t="s">
        <v>4681</v>
      </c>
      <c r="BF30" s="350" t="s">
        <v>4681</v>
      </c>
      <c r="BG30" s="350" t="s">
        <v>4681</v>
      </c>
      <c r="BH30" s="426" t="s">
        <v>8175</v>
      </c>
      <c r="BI30" s="350" t="s">
        <v>4681</v>
      </c>
      <c r="BJ30" s="350" t="s">
        <v>4681</v>
      </c>
      <c r="BK30" s="350" t="s">
        <v>4681</v>
      </c>
      <c r="BL30" s="350" t="s">
        <v>4681</v>
      </c>
      <c r="BM30" s="350" t="s">
        <v>4681</v>
      </c>
      <c r="BN30" s="350" t="s">
        <v>4681</v>
      </c>
    </row>
    <row r="31" spans="1:66" s="424" customFormat="1" ht="63.75">
      <c r="A31" s="421">
        <v>4</v>
      </c>
      <c r="B31" s="422" t="s">
        <v>3624</v>
      </c>
      <c r="C31" s="423" t="s">
        <v>2037</v>
      </c>
      <c r="D31" s="423" t="s">
        <v>7528</v>
      </c>
      <c r="E31" s="680" t="s">
        <v>1816</v>
      </c>
      <c r="F31" s="681" t="s">
        <v>1227</v>
      </c>
      <c r="G31" s="681" t="s">
        <v>3649</v>
      </c>
      <c r="H31" s="680" t="s">
        <v>3756</v>
      </c>
      <c r="I31" s="681" t="s">
        <v>1796</v>
      </c>
      <c r="J31" s="681" t="s">
        <v>1308</v>
      </c>
      <c r="K31" s="680" t="s">
        <v>6506</v>
      </c>
      <c r="L31" s="681" t="s">
        <v>8950</v>
      </c>
      <c r="M31" s="680" t="s">
        <v>9044</v>
      </c>
      <c r="N31" s="680" t="s">
        <v>579</v>
      </c>
      <c r="O31" s="681" t="s">
        <v>5151</v>
      </c>
      <c r="P31" s="681" t="s">
        <v>3131</v>
      </c>
      <c r="Q31" s="681" t="s">
        <v>1156</v>
      </c>
      <c r="R31" s="680" t="s">
        <v>5730</v>
      </c>
      <c r="S31" s="680" t="s">
        <v>1147</v>
      </c>
      <c r="T31" s="681" t="s">
        <v>3794</v>
      </c>
      <c r="U31" s="681" t="s">
        <v>7443</v>
      </c>
      <c r="V31" s="680" t="s">
        <v>5532</v>
      </c>
      <c r="W31" s="680" t="s">
        <v>1977</v>
      </c>
      <c r="X31" s="680" t="s">
        <v>475</v>
      </c>
      <c r="Y31" s="681" t="s">
        <v>7544</v>
      </c>
      <c r="Z31" s="680" t="s">
        <v>5539</v>
      </c>
      <c r="AA31" s="681" t="s">
        <v>7792</v>
      </c>
      <c r="AB31" s="680" t="s">
        <v>2898</v>
      </c>
      <c r="AC31" s="680" t="s">
        <v>7309</v>
      </c>
      <c r="AD31" s="680" t="s">
        <v>5139</v>
      </c>
      <c r="AE31" s="680" t="s">
        <v>4878</v>
      </c>
      <c r="AF31" s="680" t="s">
        <v>635</v>
      </c>
      <c r="AG31" s="680" t="s">
        <v>2610</v>
      </c>
      <c r="AH31" s="681" t="s">
        <v>7536</v>
      </c>
      <c r="AI31" s="680" t="s">
        <v>3754</v>
      </c>
      <c r="AJ31" s="680" t="s">
        <v>669</v>
      </c>
      <c r="AK31" s="681" t="s">
        <v>8859</v>
      </c>
      <c r="AL31" s="680" t="s">
        <v>1451</v>
      </c>
      <c r="AM31" s="681" t="s">
        <v>8714</v>
      </c>
      <c r="AN31" s="680" t="s">
        <v>5585</v>
      </c>
      <c r="AO31" s="681" t="s">
        <v>4198</v>
      </c>
      <c r="AP31" s="680" t="s">
        <v>2994</v>
      </c>
      <c r="AQ31" s="680" t="s">
        <v>3478</v>
      </c>
      <c r="AR31" s="680" t="s">
        <v>5598</v>
      </c>
      <c r="AS31" s="680" t="s">
        <v>149</v>
      </c>
      <c r="AT31" s="680" t="s">
        <v>6474</v>
      </c>
      <c r="AU31" s="681" t="s">
        <v>7441</v>
      </c>
      <c r="AV31" s="681" t="s">
        <v>4417</v>
      </c>
      <c r="AW31" s="680" t="s">
        <v>1818</v>
      </c>
      <c r="AX31" s="681" t="s">
        <v>3530</v>
      </c>
      <c r="AY31" s="680" t="s">
        <v>3620</v>
      </c>
      <c r="AZ31" s="680" t="s">
        <v>455</v>
      </c>
      <c r="BA31" s="680" t="s">
        <v>2705</v>
      </c>
      <c r="BB31" s="681" t="s">
        <v>6468</v>
      </c>
      <c r="BC31" s="680" t="s">
        <v>7214</v>
      </c>
      <c r="BD31" s="680" t="s">
        <v>6531</v>
      </c>
      <c r="BE31" s="680" t="s">
        <v>7963</v>
      </c>
      <c r="BF31" s="680" t="s">
        <v>2025</v>
      </c>
      <c r="BG31" s="681" t="s">
        <v>1812</v>
      </c>
      <c r="BH31" s="680" t="s">
        <v>551</v>
      </c>
      <c r="BI31" s="680" t="s">
        <v>6490</v>
      </c>
      <c r="BJ31" s="681" t="s">
        <v>344</v>
      </c>
      <c r="BK31" s="680" t="s">
        <v>7140</v>
      </c>
      <c r="BL31" s="680" t="s">
        <v>912</v>
      </c>
      <c r="BM31" s="680" t="s">
        <v>2555</v>
      </c>
      <c r="BN31" s="680" t="s">
        <v>8774</v>
      </c>
    </row>
    <row r="32" spans="1:66" s="272" customFormat="1" ht="25.5">
      <c r="A32" s="270"/>
      <c r="B32" s="271" t="s">
        <v>1392</v>
      </c>
      <c r="C32" s="413" t="s">
        <v>6091</v>
      </c>
      <c r="D32" s="413" t="s">
        <v>6092</v>
      </c>
      <c r="E32" s="413" t="s">
        <v>2145</v>
      </c>
      <c r="F32" s="413" t="s">
        <v>2146</v>
      </c>
      <c r="G32" s="413" t="s">
        <v>2147</v>
      </c>
      <c r="H32" s="413" t="s">
        <v>2175</v>
      </c>
      <c r="I32" s="413" t="s">
        <v>2176</v>
      </c>
      <c r="J32" s="413" t="s">
        <v>2177</v>
      </c>
      <c r="K32" s="413" t="s">
        <v>2332</v>
      </c>
      <c r="L32" s="413" t="s">
        <v>2333</v>
      </c>
      <c r="M32" s="413" t="s">
        <v>2334</v>
      </c>
      <c r="N32" s="413" t="s">
        <v>2335</v>
      </c>
      <c r="O32" s="413" t="s">
        <v>2336</v>
      </c>
      <c r="P32" s="413" t="s">
        <v>2337</v>
      </c>
      <c r="Q32" s="413" t="s">
        <v>2338</v>
      </c>
      <c r="R32" s="413" t="s">
        <v>2339</v>
      </c>
      <c r="S32" s="413" t="s">
        <v>2340</v>
      </c>
      <c r="T32" s="413" t="s">
        <v>2341</v>
      </c>
      <c r="U32" s="413" t="s">
        <v>2342</v>
      </c>
      <c r="V32" s="413" t="s">
        <v>2343</v>
      </c>
      <c r="W32" s="413" t="s">
        <v>2344</v>
      </c>
      <c r="X32" s="413" t="s">
        <v>2345</v>
      </c>
      <c r="Y32" s="413" t="s">
        <v>2346</v>
      </c>
      <c r="Z32" s="413" t="s">
        <v>2347</v>
      </c>
      <c r="AA32" s="413" t="s">
        <v>2348</v>
      </c>
      <c r="AB32" s="413" t="s">
        <v>530</v>
      </c>
      <c r="AC32" s="413" t="s">
        <v>1396</v>
      </c>
      <c r="AD32" s="413" t="s">
        <v>1397</v>
      </c>
      <c r="AE32" s="413" t="s">
        <v>1398</v>
      </c>
      <c r="AF32" s="413" t="s">
        <v>4068</v>
      </c>
      <c r="AG32" s="413" t="s">
        <v>4069</v>
      </c>
      <c r="AH32" s="413" t="s">
        <v>4070</v>
      </c>
      <c r="AI32" s="413" t="s">
        <v>4071</v>
      </c>
      <c r="AJ32" s="413" t="s">
        <v>4072</v>
      </c>
      <c r="AK32" s="413" t="s">
        <v>4073</v>
      </c>
      <c r="AL32" s="413" t="s">
        <v>4074</v>
      </c>
      <c r="AM32" s="413" t="s">
        <v>4075</v>
      </c>
      <c r="AN32" s="413" t="s">
        <v>4076</v>
      </c>
      <c r="AO32" s="413" t="s">
        <v>3949</v>
      </c>
      <c r="AP32" s="413" t="s">
        <v>6097</v>
      </c>
      <c r="AQ32" s="413" t="s">
        <v>6129</v>
      </c>
      <c r="AR32" s="413" t="s">
        <v>6130</v>
      </c>
      <c r="AS32" s="413" t="s">
        <v>6131</v>
      </c>
      <c r="AT32" s="413" t="s">
        <v>6132</v>
      </c>
      <c r="AU32" s="413" t="s">
        <v>6133</v>
      </c>
      <c r="AV32" s="413" t="s">
        <v>2156</v>
      </c>
      <c r="AW32" s="413" t="s">
        <v>2178</v>
      </c>
      <c r="AX32" s="413" t="s">
        <v>2179</v>
      </c>
      <c r="AY32" s="413" t="s">
        <v>2180</v>
      </c>
      <c r="AZ32" s="413" t="s">
        <v>2181</v>
      </c>
      <c r="BA32" s="413" t="s">
        <v>2182</v>
      </c>
      <c r="BB32" s="413" t="s">
        <v>2183</v>
      </c>
      <c r="BC32" s="413" t="s">
        <v>2184</v>
      </c>
      <c r="BD32" s="413" t="s">
        <v>2185</v>
      </c>
      <c r="BE32" s="413" t="s">
        <v>2186</v>
      </c>
      <c r="BF32" s="413" t="s">
        <v>2187</v>
      </c>
      <c r="BG32" s="413" t="s">
        <v>2188</v>
      </c>
      <c r="BH32" s="413" t="s">
        <v>2189</v>
      </c>
      <c r="BI32" s="413" t="s">
        <v>4059</v>
      </c>
      <c r="BJ32" s="413" t="s">
        <v>4060</v>
      </c>
      <c r="BK32" s="413" t="s">
        <v>4061</v>
      </c>
      <c r="BL32" s="413" t="s">
        <v>6206</v>
      </c>
      <c r="BM32" s="413" t="s">
        <v>6207</v>
      </c>
      <c r="BN32" s="413" t="s">
        <v>6208</v>
      </c>
    </row>
    <row r="33" spans="1:66" s="272" customFormat="1" ht="51">
      <c r="A33" s="270"/>
      <c r="B33" s="271" t="s">
        <v>3621</v>
      </c>
      <c r="C33" s="413" t="s">
        <v>3791</v>
      </c>
      <c r="D33" s="413" t="s">
        <v>3792</v>
      </c>
      <c r="E33" s="413" t="s">
        <v>559</v>
      </c>
      <c r="F33" s="413" t="s">
        <v>3904</v>
      </c>
      <c r="G33" s="413" t="s">
        <v>2154</v>
      </c>
      <c r="H33" s="413" t="s">
        <v>2155</v>
      </c>
      <c r="I33" s="413" t="s">
        <v>8216</v>
      </c>
      <c r="J33" s="413" t="s">
        <v>8217</v>
      </c>
      <c r="K33" s="413" t="s">
        <v>8218</v>
      </c>
      <c r="L33" s="413" t="s">
        <v>8219</v>
      </c>
      <c r="M33" s="413" t="s">
        <v>7091</v>
      </c>
      <c r="N33" s="413" t="s">
        <v>7092</v>
      </c>
      <c r="O33" s="413" t="s">
        <v>7093</v>
      </c>
      <c r="P33" s="413" t="s">
        <v>7094</v>
      </c>
      <c r="Q33" s="413" t="s">
        <v>7095</v>
      </c>
      <c r="R33" s="413" t="s">
        <v>7096</v>
      </c>
      <c r="S33" s="413" t="s">
        <v>34</v>
      </c>
      <c r="T33" s="413" t="s">
        <v>35</v>
      </c>
      <c r="U33" s="413" t="s">
        <v>36</v>
      </c>
      <c r="V33" s="413" t="s">
        <v>37</v>
      </c>
      <c r="W33" s="413" t="s">
        <v>38</v>
      </c>
      <c r="X33" s="413" t="s">
        <v>39</v>
      </c>
      <c r="Y33" s="413" t="s">
        <v>40</v>
      </c>
      <c r="Z33" s="413" t="s">
        <v>41</v>
      </c>
      <c r="AA33" s="413" t="s">
        <v>3004</v>
      </c>
      <c r="AB33" s="413" t="s">
        <v>3364</v>
      </c>
      <c r="AC33" s="413" t="s">
        <v>3365</v>
      </c>
      <c r="AD33" s="413" t="s">
        <v>3366</v>
      </c>
      <c r="AE33" s="413" t="s">
        <v>6098</v>
      </c>
      <c r="AF33" s="413" t="s">
        <v>4154</v>
      </c>
      <c r="AG33" s="413" t="s">
        <v>4155</v>
      </c>
      <c r="AH33" s="413" t="s">
        <v>4156</v>
      </c>
      <c r="AI33" s="413" t="s">
        <v>4157</v>
      </c>
      <c r="AJ33" s="413" t="s">
        <v>4158</v>
      </c>
      <c r="AK33" s="413" t="s">
        <v>4159</v>
      </c>
      <c r="AL33" s="413" t="s">
        <v>4160</v>
      </c>
      <c r="AM33" s="413" t="s">
        <v>2242</v>
      </c>
      <c r="AN33" s="413" t="s">
        <v>3603</v>
      </c>
      <c r="AO33" s="413" t="s">
        <v>6409</v>
      </c>
      <c r="AP33" s="413" t="s">
        <v>6410</v>
      </c>
      <c r="AQ33" s="413" t="s">
        <v>703</v>
      </c>
      <c r="AR33" s="413" t="s">
        <v>3285</v>
      </c>
      <c r="AS33" s="413" t="s">
        <v>221</v>
      </c>
      <c r="AT33" s="413" t="s">
        <v>222</v>
      </c>
      <c r="AU33" s="413" t="s">
        <v>223</v>
      </c>
      <c r="AV33" s="413" t="s">
        <v>3005</v>
      </c>
      <c r="AW33" s="413" t="s">
        <v>3006</v>
      </c>
      <c r="AX33" s="413" t="s">
        <v>3286</v>
      </c>
      <c r="AY33" s="413" t="s">
        <v>3287</v>
      </c>
      <c r="AZ33" s="413" t="s">
        <v>3288</v>
      </c>
      <c r="BA33" s="413" t="s">
        <v>3289</v>
      </c>
      <c r="BB33" s="413" t="s">
        <v>3290</v>
      </c>
      <c r="BC33" s="413" t="s">
        <v>281</v>
      </c>
      <c r="BD33" s="413" t="s">
        <v>2243</v>
      </c>
      <c r="BE33" s="413" t="s">
        <v>2244</v>
      </c>
      <c r="BF33" s="413" t="s">
        <v>2245</v>
      </c>
      <c r="BG33" s="413" t="s">
        <v>392</v>
      </c>
      <c r="BH33" s="413" t="s">
        <v>2257</v>
      </c>
      <c r="BI33" s="413" t="s">
        <v>2258</v>
      </c>
      <c r="BJ33" s="413" t="s">
        <v>2259</v>
      </c>
      <c r="BK33" s="413" t="s">
        <v>4199</v>
      </c>
      <c r="BL33" s="413" t="s">
        <v>6405</v>
      </c>
      <c r="BM33" s="413" t="s">
        <v>6406</v>
      </c>
      <c r="BN33" s="413" t="s">
        <v>6407</v>
      </c>
    </row>
    <row r="34" spans="1:66" s="272" customFormat="1" ht="38.25">
      <c r="A34" s="270"/>
      <c r="B34" s="271" t="s">
        <v>3622</v>
      </c>
      <c r="C34" s="413" t="s">
        <v>3454</v>
      </c>
      <c r="D34" s="413" t="s">
        <v>3569</v>
      </c>
      <c r="E34" s="413" t="s">
        <v>6499</v>
      </c>
      <c r="F34" s="413" t="s">
        <v>5306</v>
      </c>
      <c r="G34" s="413" t="s">
        <v>5307</v>
      </c>
      <c r="H34" s="413" t="s">
        <v>5308</v>
      </c>
      <c r="I34" s="413" t="s">
        <v>5309</v>
      </c>
      <c r="J34" s="413" t="s">
        <v>7374</v>
      </c>
      <c r="K34" s="413" t="s">
        <v>7375</v>
      </c>
      <c r="L34" s="413" t="s">
        <v>7376</v>
      </c>
      <c r="M34" s="413" t="s">
        <v>5216</v>
      </c>
      <c r="N34" s="413" t="s">
        <v>591</v>
      </c>
      <c r="O34" s="413" t="s">
        <v>592</v>
      </c>
      <c r="P34" s="413" t="s">
        <v>593</v>
      </c>
      <c r="Q34" s="413" t="s">
        <v>594</v>
      </c>
      <c r="R34" s="413" t="s">
        <v>595</v>
      </c>
      <c r="S34" s="413" t="s">
        <v>7331</v>
      </c>
      <c r="T34" s="413" t="s">
        <v>9343</v>
      </c>
      <c r="U34" s="413" t="s">
        <v>9344</v>
      </c>
      <c r="V34" s="413" t="s">
        <v>9345</v>
      </c>
      <c r="W34" s="413" t="s">
        <v>9346</v>
      </c>
      <c r="X34" s="413" t="s">
        <v>9347</v>
      </c>
      <c r="Y34" s="413" t="s">
        <v>9348</v>
      </c>
      <c r="Z34" s="413" t="s">
        <v>9349</v>
      </c>
      <c r="AA34" s="413" t="s">
        <v>9350</v>
      </c>
      <c r="AB34" s="413" t="s">
        <v>9351</v>
      </c>
      <c r="AC34" s="413" t="s">
        <v>9352</v>
      </c>
      <c r="AD34" s="413" t="s">
        <v>779</v>
      </c>
      <c r="AE34" s="413" t="s">
        <v>780</v>
      </c>
      <c r="AF34" s="413" t="s">
        <v>5171</v>
      </c>
      <c r="AG34" s="413" t="s">
        <v>5230</v>
      </c>
      <c r="AH34" s="413" t="s">
        <v>5231</v>
      </c>
      <c r="AI34" s="413" t="s">
        <v>2563</v>
      </c>
      <c r="AJ34" s="413" t="s">
        <v>2564</v>
      </c>
      <c r="AK34" s="413" t="s">
        <v>2565</v>
      </c>
      <c r="AL34" s="413" t="s">
        <v>2566</v>
      </c>
      <c r="AM34" s="413" t="s">
        <v>2567</v>
      </c>
      <c r="AN34" s="413" t="s">
        <v>2568</v>
      </c>
      <c r="AO34" s="413" t="s">
        <v>2569</v>
      </c>
      <c r="AP34" s="413" t="s">
        <v>2570</v>
      </c>
      <c r="AQ34" s="413" t="s">
        <v>62</v>
      </c>
      <c r="AR34" s="413" t="s">
        <v>3341</v>
      </c>
      <c r="AS34" s="413" t="s">
        <v>3342</v>
      </c>
      <c r="AT34" s="413" t="s">
        <v>3343</v>
      </c>
      <c r="AU34" s="413" t="s">
        <v>3344</v>
      </c>
      <c r="AV34" s="413" t="s">
        <v>3345</v>
      </c>
      <c r="AW34" s="413" t="s">
        <v>3346</v>
      </c>
      <c r="AX34" s="413" t="s">
        <v>3347</v>
      </c>
      <c r="AY34" s="413" t="s">
        <v>1638</v>
      </c>
      <c r="AZ34" s="413" t="s">
        <v>1639</v>
      </c>
      <c r="BA34" s="413" t="s">
        <v>1640</v>
      </c>
      <c r="BB34" s="413" t="s">
        <v>1641</v>
      </c>
      <c r="BC34" s="413" t="s">
        <v>1642</v>
      </c>
      <c r="BD34" s="413" t="s">
        <v>173</v>
      </c>
      <c r="BE34" s="413" t="s">
        <v>5164</v>
      </c>
      <c r="BF34" s="413" t="s">
        <v>5165</v>
      </c>
      <c r="BG34" s="413" t="s">
        <v>5166</v>
      </c>
      <c r="BH34" s="413" t="s">
        <v>5167</v>
      </c>
      <c r="BI34" s="413" t="s">
        <v>5168</v>
      </c>
      <c r="BJ34" s="413" t="s">
        <v>5169</v>
      </c>
      <c r="BK34" s="413" t="s">
        <v>5172</v>
      </c>
      <c r="BL34" s="413" t="s">
        <v>5173</v>
      </c>
      <c r="BM34" s="413" t="s">
        <v>5174</v>
      </c>
      <c r="BN34" s="413" t="s">
        <v>6210</v>
      </c>
    </row>
    <row r="35" spans="1:66" s="304" customFormat="1" ht="25.5">
      <c r="A35" s="270"/>
      <c r="B35" s="328" t="s">
        <v>3625</v>
      </c>
      <c r="C35" s="303" t="s">
        <v>4394</v>
      </c>
      <c r="D35" s="303" t="s">
        <v>4395</v>
      </c>
      <c r="E35" s="413" t="s">
        <v>3934</v>
      </c>
      <c r="F35" s="413" t="s">
        <v>3935</v>
      </c>
      <c r="G35" s="413" t="s">
        <v>3936</v>
      </c>
      <c r="H35" s="413" t="s">
        <v>5958</v>
      </c>
      <c r="I35" s="413" t="s">
        <v>3937</v>
      </c>
      <c r="J35" s="303" t="s">
        <v>4785</v>
      </c>
      <c r="K35" s="413" t="s">
        <v>6074</v>
      </c>
      <c r="L35" s="413" t="s">
        <v>6075</v>
      </c>
      <c r="M35" s="303" t="s">
        <v>295</v>
      </c>
      <c r="N35" s="413" t="s">
        <v>6076</v>
      </c>
      <c r="O35" s="413" t="s">
        <v>6077</v>
      </c>
      <c r="P35" s="413" t="s">
        <v>6078</v>
      </c>
      <c r="Q35" s="303" t="s">
        <v>9355</v>
      </c>
      <c r="R35" s="413" t="s">
        <v>6079</v>
      </c>
      <c r="S35" s="413" t="s">
        <v>6080</v>
      </c>
      <c r="T35" s="413" t="s">
        <v>6081</v>
      </c>
      <c r="U35" s="413" t="s">
        <v>6082</v>
      </c>
      <c r="V35" s="413" t="s">
        <v>6083</v>
      </c>
      <c r="W35" s="413" t="s">
        <v>3214</v>
      </c>
      <c r="X35" s="303" t="s">
        <v>3913</v>
      </c>
      <c r="Y35" s="413" t="s">
        <v>6084</v>
      </c>
      <c r="Z35" s="413" t="s">
        <v>5958</v>
      </c>
      <c r="AA35" s="303" t="s">
        <v>1342</v>
      </c>
      <c r="AB35" s="303" t="s">
        <v>351</v>
      </c>
      <c r="AC35" s="303" t="s">
        <v>1438</v>
      </c>
      <c r="AD35" s="413" t="s">
        <v>6085</v>
      </c>
      <c r="AE35" s="413" t="s">
        <v>6086</v>
      </c>
      <c r="AF35" s="413" t="s">
        <v>9057</v>
      </c>
      <c r="AG35" s="413" t="s">
        <v>762</v>
      </c>
      <c r="AH35" s="303" t="s">
        <v>3761</v>
      </c>
      <c r="AI35" s="413" t="s">
        <v>763</v>
      </c>
      <c r="AJ35" s="413" t="s">
        <v>764</v>
      </c>
      <c r="AK35" s="413" t="s">
        <v>765</v>
      </c>
      <c r="AL35" s="303" t="s">
        <v>5476</v>
      </c>
      <c r="AM35" s="413" t="s">
        <v>766</v>
      </c>
      <c r="AN35" s="413" t="s">
        <v>767</v>
      </c>
      <c r="AO35" s="303" t="s">
        <v>6430</v>
      </c>
      <c r="AP35" s="413" t="s">
        <v>768</v>
      </c>
      <c r="AQ35" s="413" t="s">
        <v>769</v>
      </c>
      <c r="AR35" s="413" t="s">
        <v>770</v>
      </c>
      <c r="AS35" s="413" t="s">
        <v>771</v>
      </c>
      <c r="AT35" s="413" t="s">
        <v>772</v>
      </c>
      <c r="AU35" s="413" t="s">
        <v>773</v>
      </c>
      <c r="AV35" s="413" t="s">
        <v>774</v>
      </c>
      <c r="AW35" s="413" t="s">
        <v>775</v>
      </c>
      <c r="AX35" s="413" t="s">
        <v>776</v>
      </c>
      <c r="AY35" s="413" t="s">
        <v>777</v>
      </c>
      <c r="AZ35" s="413" t="s">
        <v>778</v>
      </c>
      <c r="BA35" s="413" t="s">
        <v>778</v>
      </c>
      <c r="BB35" s="413" t="s">
        <v>584</v>
      </c>
      <c r="BC35" s="413" t="s">
        <v>585</v>
      </c>
      <c r="BD35" s="413" t="s">
        <v>586</v>
      </c>
      <c r="BE35" s="413" t="s">
        <v>587</v>
      </c>
      <c r="BF35" s="413" t="s">
        <v>588</v>
      </c>
      <c r="BG35" s="413" t="s">
        <v>589</v>
      </c>
      <c r="BH35" s="413" t="s">
        <v>590</v>
      </c>
      <c r="BI35" s="413" t="s">
        <v>1633</v>
      </c>
      <c r="BJ35" s="413" t="s">
        <v>1634</v>
      </c>
      <c r="BK35" s="413" t="s">
        <v>1635</v>
      </c>
      <c r="BL35" s="413" t="s">
        <v>1636</v>
      </c>
      <c r="BM35" s="413" t="s">
        <v>1637</v>
      </c>
      <c r="BN35" s="413" t="s">
        <v>4109</v>
      </c>
    </row>
    <row r="36" spans="1:66" s="304" customFormat="1" ht="25.5">
      <c r="A36" s="270"/>
      <c r="B36" s="328" t="s">
        <v>3626</v>
      </c>
      <c r="C36" s="303" t="s">
        <v>3835</v>
      </c>
      <c r="D36" s="303" t="s">
        <v>8157</v>
      </c>
      <c r="E36" s="413" t="s">
        <v>1525</v>
      </c>
      <c r="F36" s="413" t="s">
        <v>1526</v>
      </c>
      <c r="G36" s="413" t="s">
        <v>1527</v>
      </c>
      <c r="H36" s="413" t="s">
        <v>678</v>
      </c>
      <c r="I36" s="413" t="s">
        <v>1528</v>
      </c>
      <c r="J36" s="273" t="s">
        <v>4786</v>
      </c>
      <c r="K36" s="413" t="s">
        <v>1529</v>
      </c>
      <c r="L36" s="413" t="s">
        <v>1530</v>
      </c>
      <c r="M36" s="303" t="s">
        <v>296</v>
      </c>
      <c r="N36" s="413" t="s">
        <v>1531</v>
      </c>
      <c r="O36" s="413" t="s">
        <v>1532</v>
      </c>
      <c r="P36" s="413" t="s">
        <v>206</v>
      </c>
      <c r="Q36" s="303" t="s">
        <v>9356</v>
      </c>
      <c r="R36" s="413" t="s">
        <v>207</v>
      </c>
      <c r="S36" s="413" t="s">
        <v>2779</v>
      </c>
      <c r="T36" s="413" t="s">
        <v>208</v>
      </c>
      <c r="U36" s="413" t="s">
        <v>209</v>
      </c>
      <c r="V36" s="413" t="s">
        <v>210</v>
      </c>
      <c r="W36" s="413" t="s">
        <v>211</v>
      </c>
      <c r="X36" s="303" t="s">
        <v>1556</v>
      </c>
      <c r="Y36" s="413" t="s">
        <v>212</v>
      </c>
      <c r="Z36" s="413" t="s">
        <v>213</v>
      </c>
      <c r="AA36" s="303" t="s">
        <v>1343</v>
      </c>
      <c r="AB36" s="303" t="s">
        <v>3429</v>
      </c>
      <c r="AC36" s="303" t="s">
        <v>2779</v>
      </c>
      <c r="AD36" s="413" t="s">
        <v>7272</v>
      </c>
      <c r="AE36" s="413" t="s">
        <v>7269</v>
      </c>
      <c r="AF36" s="413" t="s">
        <v>214</v>
      </c>
      <c r="AG36" s="413" t="s">
        <v>215</v>
      </c>
      <c r="AH36" s="303" t="s">
        <v>4853</v>
      </c>
      <c r="AI36" s="413" t="s">
        <v>3</v>
      </c>
      <c r="AJ36" s="413" t="s">
        <v>2780</v>
      </c>
      <c r="AK36" s="413" t="s">
        <v>7269</v>
      </c>
      <c r="AL36" s="303" t="s">
        <v>6503</v>
      </c>
      <c r="AM36" s="413" t="s">
        <v>4</v>
      </c>
      <c r="AN36" s="413" t="s">
        <v>5</v>
      </c>
      <c r="AO36" s="303" t="s">
        <v>5594</v>
      </c>
      <c r="AP36" s="413" t="s">
        <v>6</v>
      </c>
      <c r="AQ36" s="413" t="s">
        <v>7</v>
      </c>
      <c r="AR36" s="413" t="s">
        <v>8</v>
      </c>
      <c r="AS36" s="413" t="s">
        <v>9</v>
      </c>
      <c r="AT36" s="413" t="s">
        <v>10</v>
      </c>
      <c r="AU36" s="413" t="s">
        <v>11</v>
      </c>
      <c r="AV36" s="413" t="s">
        <v>12</v>
      </c>
      <c r="AW36" s="413" t="s">
        <v>13</v>
      </c>
      <c r="AX36" s="413" t="s">
        <v>14</v>
      </c>
      <c r="AY36" s="413" t="s">
        <v>679</v>
      </c>
      <c r="AZ36" s="413" t="s">
        <v>7269</v>
      </c>
      <c r="BA36" s="413" t="s">
        <v>15</v>
      </c>
      <c r="BB36" s="413" t="s">
        <v>16</v>
      </c>
      <c r="BC36" s="413" t="s">
        <v>17</v>
      </c>
      <c r="BD36" s="413" t="s">
        <v>18</v>
      </c>
      <c r="BE36" s="413" t="s">
        <v>19</v>
      </c>
      <c r="BF36" s="413" t="s">
        <v>7269</v>
      </c>
      <c r="BG36" s="413" t="s">
        <v>3137</v>
      </c>
      <c r="BH36" s="413" t="s">
        <v>3138</v>
      </c>
      <c r="BI36" s="413" t="s">
        <v>3139</v>
      </c>
      <c r="BJ36" s="413" t="s">
        <v>3140</v>
      </c>
      <c r="BK36" s="413" t="s">
        <v>3141</v>
      </c>
      <c r="BL36" s="413" t="s">
        <v>3142</v>
      </c>
      <c r="BM36" s="413" t="s">
        <v>2802</v>
      </c>
      <c r="BN36" s="413" t="s">
        <v>20</v>
      </c>
    </row>
    <row r="37" spans="1:66" s="304" customFormat="1" ht="63.75">
      <c r="A37" s="270"/>
      <c r="B37" s="328" t="s">
        <v>3627</v>
      </c>
      <c r="C37" s="303" t="s">
        <v>1887</v>
      </c>
      <c r="D37" s="303" t="s">
        <v>4890</v>
      </c>
      <c r="E37" s="413" t="s">
        <v>5195</v>
      </c>
      <c r="F37" s="413" t="s">
        <v>5196</v>
      </c>
      <c r="G37" s="413" t="s">
        <v>682</v>
      </c>
      <c r="H37" s="413" t="s">
        <v>683</v>
      </c>
      <c r="I37" s="413" t="s">
        <v>2358</v>
      </c>
      <c r="J37" s="303" t="s">
        <v>103</v>
      </c>
      <c r="K37" s="273" t="s">
        <v>5549</v>
      </c>
      <c r="L37" s="303" t="s">
        <v>5928</v>
      </c>
      <c r="M37" s="303" t="s">
        <v>1153</v>
      </c>
      <c r="N37" s="413" t="s">
        <v>3331</v>
      </c>
      <c r="O37" s="413" t="s">
        <v>3332</v>
      </c>
      <c r="P37" s="413" t="s">
        <v>3333</v>
      </c>
      <c r="Q37" s="303" t="s">
        <v>9357</v>
      </c>
      <c r="R37" s="413" t="s">
        <v>3297</v>
      </c>
      <c r="S37" s="413" t="s">
        <v>3334</v>
      </c>
      <c r="T37" s="413" t="s">
        <v>3335</v>
      </c>
      <c r="U37" s="413" t="s">
        <v>3336</v>
      </c>
      <c r="V37" s="413" t="s">
        <v>3337</v>
      </c>
      <c r="W37" s="413" t="s">
        <v>3338</v>
      </c>
      <c r="X37" s="303" t="s">
        <v>4735</v>
      </c>
      <c r="Y37" s="413" t="s">
        <v>3339</v>
      </c>
      <c r="Z37" s="413" t="s">
        <v>6504</v>
      </c>
      <c r="AA37" s="303" t="s">
        <v>3885</v>
      </c>
      <c r="AB37" s="303" t="s">
        <v>3430</v>
      </c>
      <c r="AC37" s="303" t="s">
        <v>9304</v>
      </c>
      <c r="AD37" s="413" t="s">
        <v>3340</v>
      </c>
      <c r="AE37" s="413" t="s">
        <v>5258</v>
      </c>
      <c r="AF37" s="413" t="s">
        <v>5259</v>
      </c>
      <c r="AG37" s="413" t="s">
        <v>5260</v>
      </c>
      <c r="AH37" s="303" t="s">
        <v>3702</v>
      </c>
      <c r="AI37" s="413" t="s">
        <v>5261</v>
      </c>
      <c r="AJ37" s="413" t="s">
        <v>5262</v>
      </c>
      <c r="AK37" s="413" t="s">
        <v>5263</v>
      </c>
      <c r="AL37" s="303" t="s">
        <v>3896</v>
      </c>
      <c r="AM37" s="413" t="s">
        <v>2573</v>
      </c>
      <c r="AN37" s="413" t="s">
        <v>3002</v>
      </c>
      <c r="AO37" s="273" t="s">
        <v>4307</v>
      </c>
      <c r="AP37" s="413" t="s">
        <v>3003</v>
      </c>
      <c r="AQ37" s="413" t="s">
        <v>4990</v>
      </c>
      <c r="AR37" s="413" t="s">
        <v>2289</v>
      </c>
      <c r="AS37" s="413" t="s">
        <v>2290</v>
      </c>
      <c r="AT37" s="413" t="s">
        <v>2291</v>
      </c>
      <c r="AU37" s="413" t="s">
        <v>2292</v>
      </c>
      <c r="AV37" s="303" t="s">
        <v>2010</v>
      </c>
      <c r="AW37" s="413" t="s">
        <v>4084</v>
      </c>
      <c r="AX37" s="413" t="s">
        <v>4085</v>
      </c>
      <c r="AY37" s="413" t="s">
        <v>4086</v>
      </c>
      <c r="AZ37" s="413" t="s">
        <v>2361</v>
      </c>
      <c r="BA37" s="413" t="s">
        <v>1191</v>
      </c>
      <c r="BB37" s="413" t="s">
        <v>6316</v>
      </c>
      <c r="BC37" s="413" t="s">
        <v>6317</v>
      </c>
      <c r="BD37" s="413" t="s">
        <v>6318</v>
      </c>
      <c r="BE37" s="413" t="s">
        <v>6319</v>
      </c>
      <c r="BF37" s="413" t="s">
        <v>6320</v>
      </c>
      <c r="BG37" s="413" t="s">
        <v>6321</v>
      </c>
      <c r="BH37" s="413" t="s">
        <v>6322</v>
      </c>
      <c r="BI37" s="303" t="s">
        <v>9219</v>
      </c>
      <c r="BJ37" s="303" t="s">
        <v>5829</v>
      </c>
      <c r="BK37" s="413" t="s">
        <v>6323</v>
      </c>
      <c r="BL37" s="413" t="s">
        <v>6324</v>
      </c>
      <c r="BM37" s="413" t="s">
        <v>6325</v>
      </c>
      <c r="BN37" s="413" t="s">
        <v>6326</v>
      </c>
    </row>
    <row r="38" spans="1:66" s="363" customFormat="1">
      <c r="A38" s="376"/>
      <c r="B38" s="331" t="s">
        <v>3623</v>
      </c>
      <c r="C38" s="414" t="s">
        <v>5686</v>
      </c>
      <c r="D38" s="414" t="s">
        <v>6188</v>
      </c>
      <c r="E38" s="414" t="s">
        <v>1624</v>
      </c>
      <c r="F38" s="414" t="s">
        <v>5704</v>
      </c>
      <c r="G38" s="414" t="s">
        <v>3379</v>
      </c>
      <c r="H38" s="414" t="s">
        <v>1618</v>
      </c>
      <c r="I38" s="414" t="s">
        <v>5229</v>
      </c>
      <c r="J38" s="414" t="s">
        <v>6189</v>
      </c>
      <c r="K38" s="414" t="s">
        <v>1310</v>
      </c>
      <c r="L38" s="414" t="s">
        <v>5234</v>
      </c>
      <c r="M38" s="414" t="s">
        <v>7784</v>
      </c>
      <c r="N38" s="414" t="s">
        <v>3611</v>
      </c>
      <c r="O38" s="414" t="s">
        <v>6290</v>
      </c>
      <c r="P38" s="414" t="s">
        <v>6190</v>
      </c>
      <c r="Q38" s="414" t="s">
        <v>4571</v>
      </c>
      <c r="R38" s="414" t="s">
        <v>5731</v>
      </c>
      <c r="S38" s="414" t="s">
        <v>6452</v>
      </c>
      <c r="T38" s="414" t="s">
        <v>5846</v>
      </c>
      <c r="U38" s="414" t="s">
        <v>3771</v>
      </c>
      <c r="V38" s="414" t="s">
        <v>3777</v>
      </c>
      <c r="W38" s="414" t="s">
        <v>2626</v>
      </c>
      <c r="X38" s="414" t="s">
        <v>2629</v>
      </c>
      <c r="Y38" s="414" t="s">
        <v>3348</v>
      </c>
      <c r="Z38" s="414" t="s">
        <v>6242</v>
      </c>
      <c r="AA38" s="414" t="s">
        <v>3886</v>
      </c>
      <c r="AB38" s="414" t="s">
        <v>815</v>
      </c>
      <c r="AC38" s="414" t="s">
        <v>7310</v>
      </c>
      <c r="AD38" s="414" t="s">
        <v>497</v>
      </c>
      <c r="AE38" s="414" t="s">
        <v>3658</v>
      </c>
      <c r="AF38" s="414" t="s">
        <v>3367</v>
      </c>
      <c r="AG38" s="414" t="s">
        <v>2679</v>
      </c>
      <c r="AH38" s="414" t="s">
        <v>7537</v>
      </c>
      <c r="AI38" s="414" t="s">
        <v>5994</v>
      </c>
      <c r="AJ38" s="414" t="s">
        <v>5857</v>
      </c>
      <c r="AK38" s="414" t="s">
        <v>5323</v>
      </c>
      <c r="AL38" s="414" t="s">
        <v>5329</v>
      </c>
      <c r="AM38" s="414" t="s">
        <v>5289</v>
      </c>
      <c r="AN38" s="414" t="s">
        <v>5293</v>
      </c>
      <c r="AO38" s="414" t="s">
        <v>8927</v>
      </c>
      <c r="AP38" s="414" t="s">
        <v>5336</v>
      </c>
      <c r="AQ38" s="414" t="s">
        <v>3315</v>
      </c>
      <c r="AR38" s="414" t="s">
        <v>3377</v>
      </c>
      <c r="AS38" s="414" t="s">
        <v>4568</v>
      </c>
      <c r="AT38" s="414" t="s">
        <v>5722</v>
      </c>
      <c r="AU38" s="414" t="s">
        <v>5724</v>
      </c>
      <c r="AV38" s="414" t="s">
        <v>7495</v>
      </c>
      <c r="AW38" s="414" t="s">
        <v>3239</v>
      </c>
      <c r="AX38" s="414" t="s">
        <v>9246</v>
      </c>
      <c r="AY38" s="414" t="s">
        <v>9253</v>
      </c>
      <c r="AZ38" s="414" t="s">
        <v>1565</v>
      </c>
      <c r="BA38" s="414" t="s">
        <v>3447</v>
      </c>
      <c r="BB38" s="414" t="s">
        <v>6183</v>
      </c>
      <c r="BC38" s="414" t="s">
        <v>3484</v>
      </c>
      <c r="BD38" s="414" t="s">
        <v>5535</v>
      </c>
      <c r="BE38" s="414" t="s">
        <v>5536</v>
      </c>
      <c r="BF38" s="414" t="s">
        <v>1645</v>
      </c>
      <c r="BG38" s="414" t="s">
        <v>1650</v>
      </c>
      <c r="BH38" s="414" t="s">
        <v>1655</v>
      </c>
      <c r="BI38" s="414" t="s">
        <v>2437</v>
      </c>
      <c r="BJ38" s="414" t="s">
        <v>2441</v>
      </c>
      <c r="BK38" s="414" t="s">
        <v>7141</v>
      </c>
      <c r="BL38" s="414" t="s">
        <v>913</v>
      </c>
      <c r="BM38" s="414" t="s">
        <v>2823</v>
      </c>
      <c r="BN38" s="414" t="s">
        <v>1550</v>
      </c>
    </row>
    <row r="39" spans="1:66" s="363" customFormat="1">
      <c r="A39" s="376"/>
      <c r="B39" s="376"/>
      <c r="C39" s="414" t="s">
        <v>1872</v>
      </c>
      <c r="D39" s="414" t="s">
        <v>7529</v>
      </c>
      <c r="E39" s="414" t="s">
        <v>1625</v>
      </c>
      <c r="F39" s="414" t="s">
        <v>1757</v>
      </c>
      <c r="G39" s="414" t="s">
        <v>3515</v>
      </c>
      <c r="H39" s="414" t="s">
        <v>5219</v>
      </c>
      <c r="I39" s="414" t="s">
        <v>2401</v>
      </c>
      <c r="J39" s="414" t="s">
        <v>7433</v>
      </c>
      <c r="K39" s="414" t="s">
        <v>7439</v>
      </c>
      <c r="L39" s="414" t="s">
        <v>2699</v>
      </c>
      <c r="M39" s="414" t="s">
        <v>4941</v>
      </c>
      <c r="N39" s="414" t="s">
        <v>3610</v>
      </c>
      <c r="O39" s="414" t="s">
        <v>3685</v>
      </c>
      <c r="P39" s="414" t="s">
        <v>7806</v>
      </c>
      <c r="Q39" s="414" t="s">
        <v>3602</v>
      </c>
      <c r="R39" s="414" t="s">
        <v>4266</v>
      </c>
      <c r="S39" s="414" t="s">
        <v>2927</v>
      </c>
      <c r="T39" s="414" t="s">
        <v>3134</v>
      </c>
      <c r="U39" s="414" t="s">
        <v>1212</v>
      </c>
      <c r="V39" s="414" t="s">
        <v>3776</v>
      </c>
      <c r="W39" s="414" t="s">
        <v>150</v>
      </c>
      <c r="X39" s="414" t="s">
        <v>3042</v>
      </c>
      <c r="Y39" s="414" t="s">
        <v>2633</v>
      </c>
      <c r="Z39" s="414" t="s">
        <v>5833</v>
      </c>
      <c r="AA39" s="414" t="s">
        <v>5839</v>
      </c>
      <c r="AB39" s="414" t="s">
        <v>2587</v>
      </c>
      <c r="AC39" s="414" t="s">
        <v>3321</v>
      </c>
      <c r="AD39" s="414" t="s">
        <v>8930</v>
      </c>
      <c r="AE39" s="414" t="s">
        <v>4927</v>
      </c>
      <c r="AF39" s="414" t="s">
        <v>3369</v>
      </c>
      <c r="AG39" s="414" t="s">
        <v>3375</v>
      </c>
      <c r="AH39" s="414" t="s">
        <v>503</v>
      </c>
      <c r="AI39" s="414" t="s">
        <v>5381</v>
      </c>
      <c r="AJ39" s="414" t="s">
        <v>986</v>
      </c>
      <c r="AK39" s="414" t="s">
        <v>993</v>
      </c>
      <c r="AL39" s="414" t="s">
        <v>999</v>
      </c>
      <c r="AM39" s="414" t="s">
        <v>7460</v>
      </c>
      <c r="AN39" s="414" t="s">
        <v>7466</v>
      </c>
      <c r="AO39" s="414" t="s">
        <v>7471</v>
      </c>
      <c r="AP39" s="414" t="s">
        <v>7475</v>
      </c>
      <c r="AQ39" s="414" t="s">
        <v>3973</v>
      </c>
      <c r="AR39" s="414" t="s">
        <v>9209</v>
      </c>
      <c r="AS39" s="414" t="s">
        <v>1165</v>
      </c>
      <c r="AT39" s="414" t="s">
        <v>2855</v>
      </c>
      <c r="AU39" s="414" t="s">
        <v>3909</v>
      </c>
      <c r="AV39" s="414" t="s">
        <v>5955</v>
      </c>
      <c r="AW39" s="414" t="s">
        <v>6215</v>
      </c>
      <c r="AX39" s="414" t="s">
        <v>8939</v>
      </c>
      <c r="AY39" s="414" t="s">
        <v>3450</v>
      </c>
      <c r="AZ39" s="414" t="s">
        <v>8953</v>
      </c>
      <c r="BA39" s="414" t="s">
        <v>2659</v>
      </c>
      <c r="BB39" s="414" t="s">
        <v>2786</v>
      </c>
      <c r="BC39" s="414" t="s">
        <v>2053</v>
      </c>
      <c r="BD39" s="414" t="s">
        <v>7491</v>
      </c>
      <c r="BE39" s="414" t="s">
        <v>5143</v>
      </c>
      <c r="BF39" s="414" t="s">
        <v>2562</v>
      </c>
      <c r="BG39" s="414" t="s">
        <v>8168</v>
      </c>
      <c r="BH39" s="414" t="s">
        <v>8173</v>
      </c>
      <c r="BI39" s="414" t="s">
        <v>8182</v>
      </c>
      <c r="BJ39" s="414" t="s">
        <v>5610</v>
      </c>
      <c r="BK39" s="414" t="s">
        <v>5616</v>
      </c>
      <c r="BL39" s="414" t="s">
        <v>2817</v>
      </c>
      <c r="BM39" s="414" t="s">
        <v>7498</v>
      </c>
      <c r="BN39" s="414" t="s">
        <v>8775</v>
      </c>
    </row>
    <row r="40" spans="1:66" s="369" customFormat="1">
      <c r="A40" s="368"/>
      <c r="B40" s="368"/>
      <c r="C40" s="370" t="s">
        <v>4681</v>
      </c>
      <c r="D40" s="415" t="s">
        <v>6187</v>
      </c>
      <c r="E40" s="415" t="s">
        <v>4637</v>
      </c>
      <c r="F40" s="370" t="s">
        <v>4681</v>
      </c>
      <c r="G40" s="370" t="s">
        <v>4681</v>
      </c>
      <c r="H40" s="370" t="s">
        <v>4681</v>
      </c>
      <c r="I40" s="415" t="s">
        <v>1129</v>
      </c>
      <c r="J40" s="370" t="s">
        <v>4681</v>
      </c>
      <c r="K40" s="370" t="s">
        <v>4681</v>
      </c>
      <c r="L40" s="370" t="s">
        <v>4681</v>
      </c>
      <c r="M40" s="370" t="s">
        <v>4681</v>
      </c>
      <c r="N40" s="370" t="s">
        <v>4681</v>
      </c>
      <c r="O40" s="370" t="s">
        <v>4681</v>
      </c>
      <c r="P40" s="413" t="s">
        <v>3133</v>
      </c>
      <c r="Q40" s="370" t="s">
        <v>4681</v>
      </c>
      <c r="R40" s="370" t="s">
        <v>4681</v>
      </c>
      <c r="S40" s="370" t="s">
        <v>4681</v>
      </c>
      <c r="T40" s="370" t="s">
        <v>4681</v>
      </c>
      <c r="U40" s="370" t="s">
        <v>4681</v>
      </c>
      <c r="V40" s="370" t="s">
        <v>4681</v>
      </c>
      <c r="W40" s="370" t="s">
        <v>4681</v>
      </c>
      <c r="X40" s="370" t="s">
        <v>4681</v>
      </c>
      <c r="Y40" s="370" t="s">
        <v>4681</v>
      </c>
      <c r="Z40" s="415" t="s">
        <v>548</v>
      </c>
      <c r="AA40" s="370" t="s">
        <v>4681</v>
      </c>
      <c r="AB40" s="370" t="s">
        <v>4681</v>
      </c>
      <c r="AC40" s="370" t="s">
        <v>4681</v>
      </c>
      <c r="AD40" s="370" t="s">
        <v>4681</v>
      </c>
      <c r="AE40" s="370" t="s">
        <v>4681</v>
      </c>
      <c r="AF40" s="415" t="s">
        <v>3368</v>
      </c>
      <c r="AG40" s="415" t="s">
        <v>3376</v>
      </c>
      <c r="AH40" s="370" t="s">
        <v>4681</v>
      </c>
      <c r="AI40" s="415" t="s">
        <v>9336</v>
      </c>
      <c r="AJ40" s="370" t="s">
        <v>4681</v>
      </c>
      <c r="AK40" s="415" t="s">
        <v>1734</v>
      </c>
      <c r="AL40" s="370" t="s">
        <v>4681</v>
      </c>
      <c r="AM40" s="370" t="s">
        <v>4681</v>
      </c>
      <c r="AN40" s="370" t="s">
        <v>4681</v>
      </c>
      <c r="AO40" s="370" t="s">
        <v>4681</v>
      </c>
      <c r="AP40" s="370" t="s">
        <v>4681</v>
      </c>
      <c r="AQ40" s="370" t="s">
        <v>4681</v>
      </c>
      <c r="AR40" s="370" t="s">
        <v>4681</v>
      </c>
      <c r="AS40" s="370" t="s">
        <v>4681</v>
      </c>
      <c r="AT40" s="370" t="s">
        <v>4681</v>
      </c>
      <c r="AU40" s="370" t="s">
        <v>4681</v>
      </c>
      <c r="AV40" s="370" t="s">
        <v>4681</v>
      </c>
      <c r="AW40" s="370" t="s">
        <v>4681</v>
      </c>
      <c r="AX40" s="370" t="s">
        <v>4681</v>
      </c>
      <c r="AY40" s="370" t="s">
        <v>4681</v>
      </c>
      <c r="AZ40" s="370" t="s">
        <v>4681</v>
      </c>
      <c r="BA40" s="370" t="s">
        <v>4681</v>
      </c>
      <c r="BB40" s="370" t="s">
        <v>4681</v>
      </c>
      <c r="BC40" s="370" t="s">
        <v>4681</v>
      </c>
      <c r="BD40" s="370" t="s">
        <v>4681</v>
      </c>
      <c r="BE40" s="370" t="s">
        <v>4681</v>
      </c>
      <c r="BF40" s="370" t="s">
        <v>4681</v>
      </c>
      <c r="BG40" s="370" t="s">
        <v>4681</v>
      </c>
      <c r="BH40" s="370" t="s">
        <v>4681</v>
      </c>
      <c r="BI40" s="370" t="s">
        <v>4681</v>
      </c>
      <c r="BJ40" s="370" t="s">
        <v>4681</v>
      </c>
      <c r="BK40" s="370" t="s">
        <v>4681</v>
      </c>
      <c r="BL40" s="370" t="s">
        <v>4681</v>
      </c>
      <c r="BM40" s="415" t="s">
        <v>2824</v>
      </c>
      <c r="BN40" s="415" t="s">
        <v>7508</v>
      </c>
    </row>
    <row r="41" spans="1:66" s="375" customFormat="1">
      <c r="A41" s="377"/>
      <c r="B41" s="377"/>
      <c r="C41" s="350" t="s">
        <v>4681</v>
      </c>
      <c r="D41" s="426" t="s">
        <v>4676</v>
      </c>
      <c r="E41" s="426" t="s">
        <v>4638</v>
      </c>
      <c r="F41" s="350" t="s">
        <v>4681</v>
      </c>
      <c r="G41" s="350" t="s">
        <v>4681</v>
      </c>
      <c r="H41" s="350" t="s">
        <v>4681</v>
      </c>
      <c r="I41" s="426" t="s">
        <v>7427</v>
      </c>
      <c r="J41" s="350" t="s">
        <v>4681</v>
      </c>
      <c r="K41" s="350" t="s">
        <v>4681</v>
      </c>
      <c r="L41" s="350" t="s">
        <v>4681</v>
      </c>
      <c r="M41" s="350" t="s">
        <v>4681</v>
      </c>
      <c r="N41" s="350" t="s">
        <v>4681</v>
      </c>
      <c r="O41" s="350" t="s">
        <v>4681</v>
      </c>
      <c r="P41" s="684" t="s">
        <v>3132</v>
      </c>
      <c r="Q41" s="350" t="s">
        <v>4681</v>
      </c>
      <c r="R41" s="350" t="s">
        <v>4681</v>
      </c>
      <c r="S41" s="350" t="s">
        <v>4681</v>
      </c>
      <c r="T41" s="350" t="s">
        <v>4681</v>
      </c>
      <c r="U41" s="350" t="s">
        <v>4681</v>
      </c>
      <c r="V41" s="350" t="s">
        <v>4681</v>
      </c>
      <c r="W41" s="350" t="s">
        <v>4681</v>
      </c>
      <c r="X41" s="350" t="s">
        <v>4681</v>
      </c>
      <c r="Y41" s="350" t="s">
        <v>4681</v>
      </c>
      <c r="Z41" s="426" t="s">
        <v>5834</v>
      </c>
      <c r="AA41" s="350" t="s">
        <v>4681</v>
      </c>
      <c r="AB41" s="350" t="s">
        <v>4681</v>
      </c>
      <c r="AC41" s="350" t="s">
        <v>4681</v>
      </c>
      <c r="AD41" s="350" t="s">
        <v>4681</v>
      </c>
      <c r="AE41" s="350" t="s">
        <v>4681</v>
      </c>
      <c r="AF41" s="426" t="s">
        <v>4933</v>
      </c>
      <c r="AG41" s="426" t="s">
        <v>7006</v>
      </c>
      <c r="AH41" s="350" t="s">
        <v>4681</v>
      </c>
      <c r="AI41" s="426" t="s">
        <v>7044</v>
      </c>
      <c r="AJ41" s="350" t="s">
        <v>4681</v>
      </c>
      <c r="AK41" s="426" t="s">
        <v>994</v>
      </c>
      <c r="AL41" s="350" t="s">
        <v>4681</v>
      </c>
      <c r="AM41" s="350" t="s">
        <v>4681</v>
      </c>
      <c r="AN41" s="350" t="s">
        <v>4681</v>
      </c>
      <c r="AO41" s="350" t="s">
        <v>4681</v>
      </c>
      <c r="AP41" s="350" t="s">
        <v>4681</v>
      </c>
      <c r="AQ41" s="350" t="s">
        <v>4681</v>
      </c>
      <c r="AR41" s="350" t="s">
        <v>4681</v>
      </c>
      <c r="AS41" s="350" t="s">
        <v>4681</v>
      </c>
      <c r="AT41" s="350" t="s">
        <v>4681</v>
      </c>
      <c r="AU41" s="350" t="s">
        <v>4681</v>
      </c>
      <c r="AV41" s="350" t="s">
        <v>4681</v>
      </c>
      <c r="AW41" s="350" t="s">
        <v>4681</v>
      </c>
      <c r="AX41" s="350" t="s">
        <v>4681</v>
      </c>
      <c r="AY41" s="350" t="s">
        <v>4681</v>
      </c>
      <c r="AZ41" s="350" t="s">
        <v>4681</v>
      </c>
      <c r="BA41" s="350" t="s">
        <v>4681</v>
      </c>
      <c r="BB41" s="350" t="s">
        <v>4681</v>
      </c>
      <c r="BC41" s="350" t="s">
        <v>4681</v>
      </c>
      <c r="BD41" s="350" t="s">
        <v>4681</v>
      </c>
      <c r="BE41" s="350" t="s">
        <v>4681</v>
      </c>
      <c r="BF41" s="350" t="s">
        <v>4681</v>
      </c>
      <c r="BG41" s="350" t="s">
        <v>4681</v>
      </c>
      <c r="BH41" s="350" t="s">
        <v>4681</v>
      </c>
      <c r="BI41" s="350" t="s">
        <v>4681</v>
      </c>
      <c r="BJ41" s="350" t="s">
        <v>4681</v>
      </c>
      <c r="BK41" s="350" t="s">
        <v>4681</v>
      </c>
      <c r="BL41" s="350" t="s">
        <v>4681</v>
      </c>
      <c r="BM41" s="426" t="s">
        <v>7499</v>
      </c>
      <c r="BN41" s="426" t="s">
        <v>7509</v>
      </c>
    </row>
    <row r="42" spans="1:66" s="424" customFormat="1" ht="76.5">
      <c r="A42" s="421">
        <v>3</v>
      </c>
      <c r="B42" s="422" t="s">
        <v>3624</v>
      </c>
      <c r="C42" s="423" t="s">
        <v>7213</v>
      </c>
      <c r="D42" s="423" t="s">
        <v>3750</v>
      </c>
      <c r="E42" s="680" t="s">
        <v>1814</v>
      </c>
      <c r="F42" s="680" t="s">
        <v>5677</v>
      </c>
      <c r="G42" s="681" t="s">
        <v>5033</v>
      </c>
      <c r="H42" s="680" t="s">
        <v>847</v>
      </c>
      <c r="I42" s="681" t="s">
        <v>6516</v>
      </c>
      <c r="J42" s="681" t="s">
        <v>6459</v>
      </c>
      <c r="K42" s="680" t="s">
        <v>5678</v>
      </c>
      <c r="L42" s="680" t="s">
        <v>8949</v>
      </c>
      <c r="M42" s="680" t="s">
        <v>1615</v>
      </c>
      <c r="N42" s="681" t="s">
        <v>4461</v>
      </c>
      <c r="O42" s="680" t="s">
        <v>583</v>
      </c>
      <c r="P42" s="685" t="s">
        <v>4644</v>
      </c>
      <c r="Q42" s="681" t="s">
        <v>9354</v>
      </c>
      <c r="R42" s="681" t="s">
        <v>7378</v>
      </c>
      <c r="S42" s="680" t="s">
        <v>1146</v>
      </c>
      <c r="T42" s="680" t="s">
        <v>4796</v>
      </c>
      <c r="U42" s="681" t="s">
        <v>7442</v>
      </c>
      <c r="V42" s="681" t="s">
        <v>5360</v>
      </c>
      <c r="W42" s="680" t="s">
        <v>5972</v>
      </c>
      <c r="X42" s="680" t="s">
        <v>474</v>
      </c>
      <c r="Y42" s="681" t="s">
        <v>7414</v>
      </c>
      <c r="Z42" s="681" t="s">
        <v>5378</v>
      </c>
      <c r="AA42" s="680" t="s">
        <v>8786</v>
      </c>
      <c r="AB42" s="680" t="s">
        <v>813</v>
      </c>
      <c r="AC42" s="680" t="s">
        <v>7307</v>
      </c>
      <c r="AD42" s="423" t="s">
        <v>1375</v>
      </c>
      <c r="AE42" s="680" t="s">
        <v>4959</v>
      </c>
      <c r="AF42" s="680" t="s">
        <v>9213</v>
      </c>
      <c r="AG42" s="680" t="s">
        <v>2609</v>
      </c>
      <c r="AH42" s="680" t="s">
        <v>3188</v>
      </c>
      <c r="AI42" s="680" t="s">
        <v>8811</v>
      </c>
      <c r="AJ42" s="680" t="s">
        <v>7178</v>
      </c>
      <c r="AK42" s="681" t="s">
        <v>4468</v>
      </c>
      <c r="AL42" s="680" t="s">
        <v>6442</v>
      </c>
      <c r="AM42" s="680" t="s">
        <v>2560</v>
      </c>
      <c r="AN42" s="423" t="s">
        <v>2958</v>
      </c>
      <c r="AO42" s="681" t="s">
        <v>2952</v>
      </c>
      <c r="AP42" s="680" t="s">
        <v>557</v>
      </c>
      <c r="AQ42" s="680" t="s">
        <v>8729</v>
      </c>
      <c r="AR42" s="680" t="s">
        <v>8753</v>
      </c>
      <c r="AS42" s="680" t="s">
        <v>5712</v>
      </c>
      <c r="AT42" s="680" t="s">
        <v>6004</v>
      </c>
      <c r="AU42" s="680" t="s">
        <v>2861</v>
      </c>
      <c r="AV42" s="681" t="s">
        <v>882</v>
      </c>
      <c r="AW42" s="680" t="s">
        <v>4737</v>
      </c>
      <c r="AX42" s="680" t="s">
        <v>4738</v>
      </c>
      <c r="AY42" s="680" t="s">
        <v>4739</v>
      </c>
      <c r="AZ42" s="680" t="s">
        <v>2701</v>
      </c>
      <c r="BA42" s="681" t="s">
        <v>3386</v>
      </c>
      <c r="BB42" s="680" t="s">
        <v>4740</v>
      </c>
      <c r="BC42" s="680" t="s">
        <v>5912</v>
      </c>
      <c r="BD42" s="680" t="s">
        <v>7489</v>
      </c>
      <c r="BE42" s="680" t="s">
        <v>7962</v>
      </c>
      <c r="BF42" s="680" t="s">
        <v>5592</v>
      </c>
      <c r="BG42" s="681" t="s">
        <v>1811</v>
      </c>
      <c r="BH42" s="680" t="s">
        <v>2967</v>
      </c>
      <c r="BI42" s="680" t="s">
        <v>6489</v>
      </c>
      <c r="BJ42" s="680" t="s">
        <v>2082</v>
      </c>
      <c r="BK42" s="680" t="s">
        <v>3654</v>
      </c>
      <c r="BL42" s="680" t="s">
        <v>406</v>
      </c>
      <c r="BM42" s="680" t="s">
        <v>7403</v>
      </c>
      <c r="BN42" s="681" t="s">
        <v>8773</v>
      </c>
    </row>
    <row r="43" spans="1:66" s="272" customFormat="1" ht="38.25">
      <c r="A43" s="270"/>
      <c r="B43" s="271" t="s">
        <v>1392</v>
      </c>
      <c r="C43" s="413" t="s">
        <v>6093</v>
      </c>
      <c r="D43" s="413" t="s">
        <v>6094</v>
      </c>
      <c r="E43" s="413" t="s">
        <v>684</v>
      </c>
      <c r="F43" s="413" t="s">
        <v>685</v>
      </c>
      <c r="G43" s="413" t="s">
        <v>686</v>
      </c>
      <c r="H43" s="413" t="s">
        <v>687</v>
      </c>
      <c r="I43" s="413" t="s">
        <v>688</v>
      </c>
      <c r="J43" s="413" t="s">
        <v>689</v>
      </c>
      <c r="K43" s="413" t="s">
        <v>690</v>
      </c>
      <c r="L43" s="413" t="s">
        <v>691</v>
      </c>
      <c r="M43" s="413" t="s">
        <v>692</v>
      </c>
      <c r="N43" s="413" t="s">
        <v>693</v>
      </c>
      <c r="O43" s="413" t="s">
        <v>694</v>
      </c>
      <c r="P43" s="413" t="s">
        <v>695</v>
      </c>
      <c r="Q43" s="413" t="s">
        <v>696</v>
      </c>
      <c r="R43" s="413" t="s">
        <v>6099</v>
      </c>
      <c r="S43" s="413" t="s">
        <v>6100</v>
      </c>
      <c r="T43" s="413" t="s">
        <v>6101</v>
      </c>
      <c r="U43" s="413" t="s">
        <v>6102</v>
      </c>
      <c r="V43" s="413" t="s">
        <v>6103</v>
      </c>
      <c r="W43" s="413" t="s">
        <v>6104</v>
      </c>
      <c r="X43" s="413" t="s">
        <v>6105</v>
      </c>
      <c r="Y43" s="413" t="s">
        <v>4741</v>
      </c>
      <c r="Z43" s="413" t="s">
        <v>6106</v>
      </c>
      <c r="AA43" s="413" t="s">
        <v>6107</v>
      </c>
      <c r="AB43" s="413" t="s">
        <v>6108</v>
      </c>
      <c r="AC43" s="413" t="s">
        <v>6109</v>
      </c>
      <c r="AD43" s="413" t="s">
        <v>6110</v>
      </c>
      <c r="AE43" s="413" t="s">
        <v>6111</v>
      </c>
      <c r="AF43" s="413" t="s">
        <v>6112</v>
      </c>
      <c r="AG43" s="413" t="s">
        <v>6113</v>
      </c>
      <c r="AH43" s="413" t="s">
        <v>6114</v>
      </c>
      <c r="AI43" s="413" t="s">
        <v>6116</v>
      </c>
      <c r="AJ43" s="413" t="s">
        <v>6117</v>
      </c>
      <c r="AK43" s="413" t="s">
        <v>6118</v>
      </c>
      <c r="AL43" s="413" t="s">
        <v>6119</v>
      </c>
      <c r="AM43" s="413" t="s">
        <v>6120</v>
      </c>
      <c r="AN43" s="413" t="s">
        <v>6121</v>
      </c>
      <c r="AO43" s="413" t="s">
        <v>6122</v>
      </c>
      <c r="AP43" s="413" t="s">
        <v>6123</v>
      </c>
      <c r="AQ43" s="413" t="s">
        <v>6124</v>
      </c>
      <c r="AR43" s="413" t="s">
        <v>6125</v>
      </c>
      <c r="AS43" s="413" t="s">
        <v>6087</v>
      </c>
      <c r="AT43" s="413" t="s">
        <v>2988</v>
      </c>
      <c r="AU43" s="413" t="s">
        <v>24</v>
      </c>
      <c r="AV43" s="413" t="s">
        <v>25</v>
      </c>
      <c r="AW43" s="413" t="s">
        <v>26</v>
      </c>
      <c r="AX43" s="413" t="s">
        <v>27</v>
      </c>
      <c r="AY43" s="413" t="s">
        <v>28</v>
      </c>
      <c r="AZ43" s="413" t="s">
        <v>29</v>
      </c>
      <c r="BA43" s="413" t="s">
        <v>30</v>
      </c>
      <c r="BB43" s="413" t="s">
        <v>31</v>
      </c>
      <c r="BC43" s="413" t="s">
        <v>32</v>
      </c>
      <c r="BD43" s="413" t="s">
        <v>33</v>
      </c>
      <c r="BE43" s="413" t="s">
        <v>1877</v>
      </c>
      <c r="BF43" s="413" t="s">
        <v>1878</v>
      </c>
      <c r="BG43" s="413" t="s">
        <v>1879</v>
      </c>
      <c r="BH43" s="413" t="s">
        <v>758</v>
      </c>
      <c r="BI43" s="413" t="s">
        <v>1880</v>
      </c>
      <c r="BJ43" s="413" t="s">
        <v>1881</v>
      </c>
      <c r="BK43" s="413" t="s">
        <v>1882</v>
      </c>
      <c r="BL43" s="413" t="s">
        <v>3674</v>
      </c>
      <c r="BM43" s="413" t="s">
        <v>3675</v>
      </c>
      <c r="BN43" s="413" t="s">
        <v>3676</v>
      </c>
    </row>
    <row r="44" spans="1:66" s="272" customFormat="1" ht="63.75">
      <c r="A44" s="270"/>
      <c r="B44" s="271" t="s">
        <v>3621</v>
      </c>
      <c r="C44" s="413" t="s">
        <v>3732</v>
      </c>
      <c r="D44" s="413" t="s">
        <v>3802</v>
      </c>
      <c r="E44" s="413" t="s">
        <v>4161</v>
      </c>
      <c r="F44" s="413" t="s">
        <v>4162</v>
      </c>
      <c r="G44" s="413" t="s">
        <v>3349</v>
      </c>
      <c r="H44" s="413" t="s">
        <v>3350</v>
      </c>
      <c r="I44" s="413" t="s">
        <v>3351</v>
      </c>
      <c r="J44" s="413" t="s">
        <v>4295</v>
      </c>
      <c r="K44" s="413" t="s">
        <v>3218</v>
      </c>
      <c r="L44" s="413" t="s">
        <v>3219</v>
      </c>
      <c r="M44" s="413" t="s">
        <v>3220</v>
      </c>
      <c r="N44" s="413" t="s">
        <v>3221</v>
      </c>
      <c r="O44" s="413" t="s">
        <v>4304</v>
      </c>
      <c r="P44" s="413" t="s">
        <v>4305</v>
      </c>
      <c r="Q44" s="413" t="s">
        <v>4306</v>
      </c>
      <c r="R44" s="413" t="s">
        <v>2297</v>
      </c>
      <c r="S44" s="413" t="s">
        <v>2298</v>
      </c>
      <c r="T44" s="413" t="s">
        <v>2299</v>
      </c>
      <c r="U44" s="413" t="s">
        <v>2300</v>
      </c>
      <c r="V44" s="413" t="s">
        <v>2301</v>
      </c>
      <c r="W44" s="413" t="s">
        <v>2302</v>
      </c>
      <c r="X44" s="413" t="s">
        <v>2303</v>
      </c>
      <c r="Y44" s="413" t="s">
        <v>2304</v>
      </c>
      <c r="Z44" s="413" t="s">
        <v>2305</v>
      </c>
      <c r="AA44" s="413" t="s">
        <v>2306</v>
      </c>
      <c r="AB44" s="413" t="s">
        <v>2307</v>
      </c>
      <c r="AC44" s="413" t="s">
        <v>2308</v>
      </c>
      <c r="AD44" s="413" t="s">
        <v>2309</v>
      </c>
      <c r="AE44" s="413" t="s">
        <v>2310</v>
      </c>
      <c r="AF44" s="413" t="s">
        <v>1604</v>
      </c>
      <c r="AG44" s="413" t="s">
        <v>2321</v>
      </c>
      <c r="AH44" s="413" t="s">
        <v>2322</v>
      </c>
      <c r="AI44" s="413" t="s">
        <v>2323</v>
      </c>
      <c r="AJ44" s="413" t="s">
        <v>2324</v>
      </c>
      <c r="AK44" s="413" t="s">
        <v>2442</v>
      </c>
      <c r="AL44" s="413" t="s">
        <v>2443</v>
      </c>
      <c r="AM44" s="413" t="s">
        <v>2444</v>
      </c>
      <c r="AN44" s="413" t="s">
        <v>2445</v>
      </c>
      <c r="AO44" s="413" t="s">
        <v>2446</v>
      </c>
      <c r="AP44" s="413" t="s">
        <v>2447</v>
      </c>
      <c r="AQ44" s="413" t="s">
        <v>4406</v>
      </c>
      <c r="AR44" s="413" t="s">
        <v>4407</v>
      </c>
      <c r="AS44" s="413" t="s">
        <v>4408</v>
      </c>
      <c r="AT44" s="413" t="s">
        <v>4409</v>
      </c>
      <c r="AU44" s="413" t="s">
        <v>4410</v>
      </c>
      <c r="AV44" s="413" t="s">
        <v>4411</v>
      </c>
      <c r="AW44" s="413" t="s">
        <v>4412</v>
      </c>
      <c r="AX44" s="413" t="s">
        <v>4413</v>
      </c>
      <c r="AY44" s="413" t="s">
        <v>2582</v>
      </c>
      <c r="AZ44" s="413" t="s">
        <v>5197</v>
      </c>
      <c r="BA44" s="413" t="s">
        <v>5198</v>
      </c>
      <c r="BB44" s="413" t="s">
        <v>2150</v>
      </c>
      <c r="BC44" s="413" t="s">
        <v>2151</v>
      </c>
      <c r="BD44" s="413" t="s">
        <v>2152</v>
      </c>
      <c r="BE44" s="413" t="s">
        <v>2153</v>
      </c>
      <c r="BF44" s="413" t="s">
        <v>3143</v>
      </c>
      <c r="BG44" s="413" t="s">
        <v>3144</v>
      </c>
      <c r="BH44" s="413" t="s">
        <v>3145</v>
      </c>
      <c r="BI44" s="413" t="s">
        <v>3146</v>
      </c>
      <c r="BJ44" s="413" t="s">
        <v>3147</v>
      </c>
      <c r="BK44" s="413" t="s">
        <v>3148</v>
      </c>
      <c r="BL44" s="413" t="s">
        <v>3149</v>
      </c>
      <c r="BM44" s="413" t="s">
        <v>3150</v>
      </c>
      <c r="BN44" s="413" t="s">
        <v>3151</v>
      </c>
    </row>
    <row r="45" spans="1:66" s="272" customFormat="1" ht="38.25">
      <c r="A45" s="270"/>
      <c r="B45" s="271" t="s">
        <v>3622</v>
      </c>
      <c r="C45" s="413" t="s">
        <v>3036</v>
      </c>
      <c r="D45" s="413" t="s">
        <v>2552</v>
      </c>
      <c r="E45" s="413" t="s">
        <v>6211</v>
      </c>
      <c r="F45" s="413" t="s">
        <v>6212</v>
      </c>
      <c r="G45" s="413" t="s">
        <v>6213</v>
      </c>
      <c r="H45" s="413" t="s">
        <v>1738</v>
      </c>
      <c r="I45" s="413" t="s">
        <v>1739</v>
      </c>
      <c r="J45" s="413" t="s">
        <v>1740</v>
      </c>
      <c r="K45" s="413" t="s">
        <v>1741</v>
      </c>
      <c r="L45" s="413" t="s">
        <v>3988</v>
      </c>
      <c r="M45" s="413" t="s">
        <v>3989</v>
      </c>
      <c r="N45" s="413" t="s">
        <v>3990</v>
      </c>
      <c r="O45" s="413" t="s">
        <v>3991</v>
      </c>
      <c r="P45" s="413" t="s">
        <v>3992</v>
      </c>
      <c r="Q45" s="413" t="s">
        <v>3993</v>
      </c>
      <c r="R45" s="413" t="s">
        <v>3994</v>
      </c>
      <c r="S45" s="413" t="s">
        <v>3995</v>
      </c>
      <c r="T45" s="413" t="s">
        <v>3996</v>
      </c>
      <c r="U45" s="413" t="s">
        <v>3997</v>
      </c>
      <c r="V45" s="413" t="s">
        <v>3998</v>
      </c>
      <c r="W45" s="413" t="s">
        <v>3999</v>
      </c>
      <c r="X45" s="413" t="s">
        <v>4000</v>
      </c>
      <c r="Y45" s="413" t="s">
        <v>4001</v>
      </c>
      <c r="Z45" s="413" t="s">
        <v>4002</v>
      </c>
      <c r="AA45" s="413" t="s">
        <v>3318</v>
      </c>
      <c r="AB45" s="413" t="s">
        <v>3319</v>
      </c>
      <c r="AC45" s="413" t="s">
        <v>2578</v>
      </c>
      <c r="AD45" s="413" t="s">
        <v>2579</v>
      </c>
      <c r="AE45" s="413" t="s">
        <v>2580</v>
      </c>
      <c r="AF45" s="413" t="s">
        <v>2581</v>
      </c>
      <c r="AG45" s="413" t="s">
        <v>719</v>
      </c>
      <c r="AH45" s="413" t="s">
        <v>720</v>
      </c>
      <c r="AI45" s="413" t="s">
        <v>721</v>
      </c>
      <c r="AJ45" s="413" t="s">
        <v>722</v>
      </c>
      <c r="AK45" s="413" t="s">
        <v>723</v>
      </c>
      <c r="AL45" s="413" t="s">
        <v>724</v>
      </c>
      <c r="AM45" s="413" t="s">
        <v>5188</v>
      </c>
      <c r="AN45" s="413" t="s">
        <v>5189</v>
      </c>
      <c r="AO45" s="413" t="s">
        <v>5190</v>
      </c>
      <c r="AP45" s="413" t="s">
        <v>5191</v>
      </c>
      <c r="AQ45" s="413" t="s">
        <v>5192</v>
      </c>
      <c r="AR45" s="413" t="s">
        <v>152</v>
      </c>
      <c r="AS45" s="413" t="s">
        <v>153</v>
      </c>
      <c r="AT45" s="413" t="s">
        <v>154</v>
      </c>
      <c r="AU45" s="413" t="s">
        <v>155</v>
      </c>
      <c r="AV45" s="413" t="s">
        <v>156</v>
      </c>
      <c r="AW45" s="413" t="s">
        <v>157</v>
      </c>
      <c r="AX45" s="413" t="s">
        <v>158</v>
      </c>
      <c r="AY45" s="413" t="s">
        <v>159</v>
      </c>
      <c r="AZ45" s="413" t="s">
        <v>5135</v>
      </c>
      <c r="BA45" s="413" t="s">
        <v>5136</v>
      </c>
      <c r="BB45" s="413" t="s">
        <v>5137</v>
      </c>
      <c r="BC45" s="413" t="s">
        <v>3101</v>
      </c>
      <c r="BD45" s="413" t="s">
        <v>2393</v>
      </c>
      <c r="BE45" s="413" t="s">
        <v>2394</v>
      </c>
      <c r="BF45" s="413" t="s">
        <v>2395</v>
      </c>
      <c r="BG45" s="413" t="s">
        <v>2396</v>
      </c>
      <c r="BH45" s="413" t="s">
        <v>160</v>
      </c>
      <c r="BI45" s="413" t="s">
        <v>161</v>
      </c>
      <c r="BJ45" s="413" t="s">
        <v>162</v>
      </c>
      <c r="BK45" s="413" t="s">
        <v>163</v>
      </c>
      <c r="BL45" s="413" t="s">
        <v>164</v>
      </c>
      <c r="BM45" s="413" t="s">
        <v>165</v>
      </c>
      <c r="BN45" s="413" t="s">
        <v>166</v>
      </c>
    </row>
    <row r="46" spans="1:66" s="304" customFormat="1" ht="25.5">
      <c r="A46" s="270"/>
      <c r="B46" s="328" t="s">
        <v>3625</v>
      </c>
      <c r="C46" s="303" t="s">
        <v>8852</v>
      </c>
      <c r="D46" s="303" t="s">
        <v>8853</v>
      </c>
      <c r="E46" s="413" t="s">
        <v>4110</v>
      </c>
      <c r="F46" s="413" t="s">
        <v>4111</v>
      </c>
      <c r="G46" s="413" t="s">
        <v>4112</v>
      </c>
      <c r="H46" s="413" t="s">
        <v>4113</v>
      </c>
      <c r="I46" s="303" t="s">
        <v>1316</v>
      </c>
      <c r="J46" s="413" t="s">
        <v>2448</v>
      </c>
      <c r="K46" s="303" t="s">
        <v>7172</v>
      </c>
      <c r="L46" s="413" t="s">
        <v>778</v>
      </c>
      <c r="M46" s="413" t="s">
        <v>2449</v>
      </c>
      <c r="N46" s="413" t="s">
        <v>2450</v>
      </c>
      <c r="O46" s="413" t="s">
        <v>2451</v>
      </c>
      <c r="P46" s="413" t="s">
        <v>2452</v>
      </c>
      <c r="Q46" s="413" t="s">
        <v>774</v>
      </c>
      <c r="R46" s="303" t="s">
        <v>5152</v>
      </c>
      <c r="S46" s="413" t="s">
        <v>2453</v>
      </c>
      <c r="T46" s="413" t="s">
        <v>2454</v>
      </c>
      <c r="U46" s="413" t="s">
        <v>2455</v>
      </c>
      <c r="V46" s="413" t="s">
        <v>2456</v>
      </c>
      <c r="W46" s="413" t="s">
        <v>2457</v>
      </c>
      <c r="X46" s="413" t="s">
        <v>2458</v>
      </c>
      <c r="Y46" s="303" t="s">
        <v>410</v>
      </c>
      <c r="Z46" s="413" t="s">
        <v>2459</v>
      </c>
      <c r="AA46" s="413" t="s">
        <v>2460</v>
      </c>
      <c r="AB46" s="413" t="s">
        <v>2461</v>
      </c>
      <c r="AC46" s="303" t="s">
        <v>2414</v>
      </c>
      <c r="AD46" s="303" t="s">
        <v>2413</v>
      </c>
      <c r="AE46" s="413" t="s">
        <v>2462</v>
      </c>
      <c r="AF46" s="413" t="s">
        <v>7246</v>
      </c>
      <c r="AG46" s="413" t="s">
        <v>2463</v>
      </c>
      <c r="AH46" s="303" t="s">
        <v>7534</v>
      </c>
      <c r="AI46" s="413" t="s">
        <v>2464</v>
      </c>
      <c r="AJ46" s="413" t="s">
        <v>2465</v>
      </c>
      <c r="AK46" s="413" t="s">
        <v>2466</v>
      </c>
      <c r="AL46" s="303" t="s">
        <v>3153</v>
      </c>
      <c r="AM46" s="413" t="s">
        <v>2467</v>
      </c>
      <c r="AN46" s="413" t="s">
        <v>2468</v>
      </c>
      <c r="AO46" s="413" t="s">
        <v>2469</v>
      </c>
      <c r="AP46" s="413" t="s">
        <v>6115</v>
      </c>
      <c r="AQ46" s="413" t="s">
        <v>8077</v>
      </c>
      <c r="AR46" s="413" t="s">
        <v>8078</v>
      </c>
      <c r="AS46" s="413" t="s">
        <v>8079</v>
      </c>
      <c r="AT46" s="413" t="s">
        <v>8080</v>
      </c>
      <c r="AU46" s="413" t="s">
        <v>8081</v>
      </c>
      <c r="AV46" s="413" t="s">
        <v>8082</v>
      </c>
      <c r="AW46" s="413" t="s">
        <v>8083</v>
      </c>
      <c r="AX46" s="413" t="s">
        <v>8084</v>
      </c>
      <c r="AY46" s="413" t="s">
        <v>8085</v>
      </c>
      <c r="AZ46" s="413" t="s">
        <v>8086</v>
      </c>
      <c r="BA46" s="413" t="s">
        <v>8092</v>
      </c>
      <c r="BB46" s="413" t="s">
        <v>8093</v>
      </c>
      <c r="BC46" s="413" t="s">
        <v>778</v>
      </c>
      <c r="BD46" s="413" t="s">
        <v>8094</v>
      </c>
      <c r="BE46" s="413" t="s">
        <v>8095</v>
      </c>
      <c r="BF46" s="413" t="s">
        <v>8096</v>
      </c>
      <c r="BG46" s="413" t="s">
        <v>8097</v>
      </c>
      <c r="BH46" s="413" t="s">
        <v>8098</v>
      </c>
      <c r="BI46" s="413" t="s">
        <v>8099</v>
      </c>
      <c r="BJ46" s="413" t="s">
        <v>8100</v>
      </c>
      <c r="BK46" s="303" t="s">
        <v>3534</v>
      </c>
      <c r="BL46" s="413" t="s">
        <v>8101</v>
      </c>
      <c r="BM46" s="413" t="s">
        <v>8102</v>
      </c>
      <c r="BN46" s="413" t="s">
        <v>8103</v>
      </c>
    </row>
    <row r="47" spans="1:66" s="304" customFormat="1" ht="25.5">
      <c r="A47" s="270"/>
      <c r="B47" s="328" t="s">
        <v>3626</v>
      </c>
      <c r="C47" s="303" t="s">
        <v>4258</v>
      </c>
      <c r="D47" s="303" t="s">
        <v>2840</v>
      </c>
      <c r="E47" s="413" t="s">
        <v>21</v>
      </c>
      <c r="F47" s="413" t="s">
        <v>22</v>
      </c>
      <c r="G47" s="413" t="s">
        <v>4003</v>
      </c>
      <c r="H47" s="413" t="s">
        <v>4004</v>
      </c>
      <c r="I47" s="303" t="s">
        <v>9270</v>
      </c>
      <c r="J47" s="413" t="s">
        <v>4005</v>
      </c>
      <c r="K47" s="303" t="s">
        <v>5803</v>
      </c>
      <c r="L47" s="413" t="s">
        <v>4006</v>
      </c>
      <c r="M47" s="413" t="s">
        <v>4007</v>
      </c>
      <c r="N47" s="413" t="s">
        <v>4008</v>
      </c>
      <c r="O47" s="413" t="s">
        <v>4009</v>
      </c>
      <c r="P47" s="413" t="s">
        <v>20</v>
      </c>
      <c r="Q47" s="413" t="s">
        <v>4010</v>
      </c>
      <c r="R47" s="303" t="s">
        <v>5728</v>
      </c>
      <c r="S47" s="413" t="s">
        <v>4011</v>
      </c>
      <c r="T47" s="413" t="s">
        <v>4012</v>
      </c>
      <c r="U47" s="413" t="s">
        <v>4013</v>
      </c>
      <c r="V47" s="413" t="s">
        <v>4014</v>
      </c>
      <c r="W47" s="413" t="s">
        <v>4015</v>
      </c>
      <c r="X47" s="413" t="s">
        <v>4016</v>
      </c>
      <c r="Y47" s="303" t="s">
        <v>369</v>
      </c>
      <c r="Z47" s="413" t="s">
        <v>4017</v>
      </c>
      <c r="AA47" s="413" t="s">
        <v>4018</v>
      </c>
      <c r="AB47" s="413" t="s">
        <v>4019</v>
      </c>
      <c r="AC47" s="303" t="s">
        <v>7450</v>
      </c>
      <c r="AD47" s="303" t="s">
        <v>2412</v>
      </c>
      <c r="AE47" s="413" t="s">
        <v>674</v>
      </c>
      <c r="AF47" s="413" t="s">
        <v>4020</v>
      </c>
      <c r="AG47" s="413" t="s">
        <v>699</v>
      </c>
      <c r="AH47" s="303" t="s">
        <v>7535</v>
      </c>
      <c r="AI47" s="413" t="s">
        <v>700</v>
      </c>
      <c r="AJ47" s="413" t="s">
        <v>701</v>
      </c>
      <c r="AK47" s="413" t="s">
        <v>679</v>
      </c>
      <c r="AL47" s="303" t="s">
        <v>4302</v>
      </c>
      <c r="AM47" s="413" t="s">
        <v>544</v>
      </c>
      <c r="AN47" s="413" t="s">
        <v>3103</v>
      </c>
      <c r="AO47" s="413" t="s">
        <v>3104</v>
      </c>
      <c r="AP47" s="413" t="s">
        <v>3105</v>
      </c>
      <c r="AQ47" s="413" t="s">
        <v>3246</v>
      </c>
      <c r="AR47" s="413" t="s">
        <v>3247</v>
      </c>
      <c r="AS47" s="413" t="s">
        <v>3248</v>
      </c>
      <c r="AT47" s="413" t="s">
        <v>3249</v>
      </c>
      <c r="AU47" s="413" t="s">
        <v>3250</v>
      </c>
      <c r="AV47" s="413" t="s">
        <v>4047</v>
      </c>
      <c r="AW47" s="413" t="s">
        <v>3251</v>
      </c>
      <c r="AX47" s="413" t="s">
        <v>3252</v>
      </c>
      <c r="AY47" s="413" t="s">
        <v>3253</v>
      </c>
      <c r="AZ47" s="413" t="s">
        <v>3263</v>
      </c>
      <c r="BA47" s="413" t="s">
        <v>3254</v>
      </c>
      <c r="BB47" s="413" t="s">
        <v>4047</v>
      </c>
      <c r="BC47" s="413" t="s">
        <v>3255</v>
      </c>
      <c r="BD47" s="413" t="s">
        <v>3256</v>
      </c>
      <c r="BE47" s="413" t="s">
        <v>7269</v>
      </c>
      <c r="BF47" s="413" t="s">
        <v>3265</v>
      </c>
      <c r="BG47" s="413" t="s">
        <v>1892</v>
      </c>
      <c r="BH47" s="413" t="s">
        <v>1893</v>
      </c>
      <c r="BI47" s="413" t="s">
        <v>1894</v>
      </c>
      <c r="BJ47" s="413" t="s">
        <v>1895</v>
      </c>
      <c r="BK47" s="305" t="s">
        <v>509</v>
      </c>
      <c r="BL47" s="413" t="s">
        <v>1896</v>
      </c>
      <c r="BM47" s="413" t="s">
        <v>1897</v>
      </c>
      <c r="BN47" s="413" t="s">
        <v>1898</v>
      </c>
    </row>
    <row r="48" spans="1:66" s="304" customFormat="1" ht="51">
      <c r="A48" s="270"/>
      <c r="B48" s="328" t="s">
        <v>3627</v>
      </c>
      <c r="C48" s="303" t="s">
        <v>1871</v>
      </c>
      <c r="D48" s="303" t="s">
        <v>3749</v>
      </c>
      <c r="E48" s="413" t="s">
        <v>6327</v>
      </c>
      <c r="F48" s="303" t="s">
        <v>807</v>
      </c>
      <c r="G48" s="413" t="s">
        <v>2354</v>
      </c>
      <c r="H48" s="413" t="s">
        <v>2355</v>
      </c>
      <c r="I48" s="303" t="s">
        <v>368</v>
      </c>
      <c r="J48" s="303" t="s">
        <v>7935</v>
      </c>
      <c r="K48" s="303" t="s">
        <v>5804</v>
      </c>
      <c r="L48" s="413" t="s">
        <v>2356</v>
      </c>
      <c r="M48" s="413" t="s">
        <v>2357</v>
      </c>
      <c r="N48" s="413" t="s">
        <v>5732</v>
      </c>
      <c r="O48" s="413" t="s">
        <v>5153</v>
      </c>
      <c r="P48" s="413" t="s">
        <v>5154</v>
      </c>
      <c r="Q48" s="413" t="s">
        <v>5155</v>
      </c>
      <c r="R48" s="303" t="s">
        <v>5729</v>
      </c>
      <c r="S48" s="413" t="s">
        <v>6254</v>
      </c>
      <c r="T48" s="413" t="s">
        <v>6255</v>
      </c>
      <c r="U48" s="413" t="s">
        <v>5158</v>
      </c>
      <c r="V48" s="413" t="s">
        <v>5159</v>
      </c>
      <c r="W48" s="413" t="s">
        <v>5160</v>
      </c>
      <c r="X48" s="413" t="s">
        <v>5161</v>
      </c>
      <c r="Y48" s="303" t="s">
        <v>370</v>
      </c>
      <c r="Z48" s="413" t="s">
        <v>7332</v>
      </c>
      <c r="AA48" s="413" t="s">
        <v>7333</v>
      </c>
      <c r="AB48" s="413" t="s">
        <v>5734</v>
      </c>
      <c r="AC48" s="303" t="s">
        <v>8934</v>
      </c>
      <c r="AD48" s="303" t="s">
        <v>7067</v>
      </c>
      <c r="AE48" s="413" t="s">
        <v>5735</v>
      </c>
      <c r="AF48" s="413" t="s">
        <v>5736</v>
      </c>
      <c r="AG48" s="413" t="s">
        <v>5737</v>
      </c>
      <c r="AH48" s="303" t="s">
        <v>7102</v>
      </c>
      <c r="AI48" s="413" t="s">
        <v>7379</v>
      </c>
      <c r="AJ48" s="413" t="s">
        <v>7380</v>
      </c>
      <c r="AK48" s="413" t="s">
        <v>7381</v>
      </c>
      <c r="AL48" s="303" t="s">
        <v>2081</v>
      </c>
      <c r="AM48" s="413" t="s">
        <v>7382</v>
      </c>
      <c r="AN48" s="303" t="s">
        <v>7068</v>
      </c>
      <c r="AO48" s="303" t="s">
        <v>7069</v>
      </c>
      <c r="AP48" s="413" t="s">
        <v>7383</v>
      </c>
      <c r="AQ48" s="303" t="s">
        <v>7070</v>
      </c>
      <c r="AR48" s="273" t="s">
        <v>102</v>
      </c>
      <c r="AS48" s="413" t="s">
        <v>9062</v>
      </c>
      <c r="AT48" s="413" t="s">
        <v>9063</v>
      </c>
      <c r="AU48" s="413" t="s">
        <v>9064</v>
      </c>
      <c r="AV48" s="273" t="s">
        <v>5025</v>
      </c>
      <c r="AW48" s="303" t="s">
        <v>1817</v>
      </c>
      <c r="AX48" s="303" t="s">
        <v>4870</v>
      </c>
      <c r="AY48" s="413" t="s">
        <v>9065</v>
      </c>
      <c r="AZ48" s="413" t="s">
        <v>9066</v>
      </c>
      <c r="BA48" s="413" t="s">
        <v>9067</v>
      </c>
      <c r="BB48" s="303" t="s">
        <v>4592</v>
      </c>
      <c r="BC48" s="413" t="s">
        <v>9068</v>
      </c>
      <c r="BD48" s="413" t="s">
        <v>9069</v>
      </c>
      <c r="BE48" s="413" t="s">
        <v>9070</v>
      </c>
      <c r="BF48" s="413" t="s">
        <v>9071</v>
      </c>
      <c r="BG48" s="413" t="s">
        <v>9072</v>
      </c>
      <c r="BH48" s="413" t="s">
        <v>9073</v>
      </c>
      <c r="BI48" s="413" t="s">
        <v>6504</v>
      </c>
      <c r="BJ48" s="413" t="s">
        <v>9074</v>
      </c>
      <c r="BK48" s="303" t="s">
        <v>2099</v>
      </c>
      <c r="BL48" s="413" t="s">
        <v>9075</v>
      </c>
      <c r="BM48" s="413" t="s">
        <v>511</v>
      </c>
      <c r="BN48" s="413" t="s">
        <v>4082</v>
      </c>
    </row>
    <row r="49" spans="1:66" s="363" customFormat="1">
      <c r="A49" s="331"/>
      <c r="B49" s="331" t="s">
        <v>3623</v>
      </c>
      <c r="C49" s="414" t="s">
        <v>5688</v>
      </c>
      <c r="D49" s="414" t="s">
        <v>1022</v>
      </c>
      <c r="E49" s="414" t="s">
        <v>1815</v>
      </c>
      <c r="F49" s="414" t="s">
        <v>3509</v>
      </c>
      <c r="G49" s="414" t="s">
        <v>3516</v>
      </c>
      <c r="H49" s="414" t="s">
        <v>5221</v>
      </c>
      <c r="I49" s="414" t="s">
        <v>5228</v>
      </c>
      <c r="J49" s="414" t="s">
        <v>7434</v>
      </c>
      <c r="K49" s="414" t="s">
        <v>5301</v>
      </c>
      <c r="L49" s="414" t="s">
        <v>1623</v>
      </c>
      <c r="M49" s="414" t="s">
        <v>5911</v>
      </c>
      <c r="N49" s="414" t="s">
        <v>3612</v>
      </c>
      <c r="O49" s="414" t="s">
        <v>6289</v>
      </c>
      <c r="P49" s="414" t="s">
        <v>2327</v>
      </c>
      <c r="Q49" s="414" t="s">
        <v>3531</v>
      </c>
      <c r="R49" s="414" t="s">
        <v>4267</v>
      </c>
      <c r="S49" s="414" t="s">
        <v>5845</v>
      </c>
      <c r="T49" s="414" t="s">
        <v>3766</v>
      </c>
      <c r="U49" s="414" t="s">
        <v>3772</v>
      </c>
      <c r="V49" s="414" t="s">
        <v>2623</v>
      </c>
      <c r="W49" s="414" t="s">
        <v>1976</v>
      </c>
      <c r="X49" s="414" t="s">
        <v>2628</v>
      </c>
      <c r="Y49" s="414" t="s">
        <v>3330</v>
      </c>
      <c r="Z49" s="414" t="s">
        <v>2132</v>
      </c>
      <c r="AA49" s="414" t="s">
        <v>6244</v>
      </c>
      <c r="AB49" s="414" t="s">
        <v>814</v>
      </c>
      <c r="AC49" s="414" t="s">
        <v>7308</v>
      </c>
      <c r="AD49" s="414" t="s">
        <v>496</v>
      </c>
      <c r="AE49" s="414" t="s">
        <v>4926</v>
      </c>
      <c r="AF49" s="414" t="s">
        <v>2677</v>
      </c>
      <c r="AG49" s="414" t="s">
        <v>146</v>
      </c>
      <c r="AH49" s="414" t="s">
        <v>148</v>
      </c>
      <c r="AI49" s="414" t="s">
        <v>9337</v>
      </c>
      <c r="AJ49" s="414" t="s">
        <v>9342</v>
      </c>
      <c r="AK49" s="414" t="s">
        <v>1733</v>
      </c>
      <c r="AL49" s="414" t="s">
        <v>5287</v>
      </c>
      <c r="AM49" s="414" t="s">
        <v>5864</v>
      </c>
      <c r="AN49" s="414" t="s">
        <v>2428</v>
      </c>
      <c r="AO49" s="414" t="s">
        <v>5333</v>
      </c>
      <c r="AP49" s="414" t="s">
        <v>5312</v>
      </c>
      <c r="AQ49" s="414" t="s">
        <v>3316</v>
      </c>
      <c r="AR49" s="414" t="s">
        <v>4488</v>
      </c>
      <c r="AS49" s="414" t="s">
        <v>4494</v>
      </c>
      <c r="AT49" s="414" t="s">
        <v>3232</v>
      </c>
      <c r="AU49" s="414" t="s">
        <v>3236</v>
      </c>
      <c r="AV49" s="414" t="s">
        <v>4416</v>
      </c>
      <c r="AW49" s="414" t="s">
        <v>9241</v>
      </c>
      <c r="AX49" s="414" t="s">
        <v>9247</v>
      </c>
      <c r="AY49" s="414" t="s">
        <v>940</v>
      </c>
      <c r="AZ49" s="414" t="s">
        <v>1564</v>
      </c>
      <c r="BA49" s="414" t="s">
        <v>3570</v>
      </c>
      <c r="BB49" s="414" t="s">
        <v>6184</v>
      </c>
      <c r="BC49" s="414" t="s">
        <v>3485</v>
      </c>
      <c r="BD49" s="414" t="s">
        <v>5319</v>
      </c>
      <c r="BE49" s="414" t="s">
        <v>5144</v>
      </c>
      <c r="BF49" s="414" t="s">
        <v>1646</v>
      </c>
      <c r="BG49" s="414" t="s">
        <v>1649</v>
      </c>
      <c r="BH49" s="414" t="s">
        <v>4117</v>
      </c>
      <c r="BI49" s="414" t="s">
        <v>2438</v>
      </c>
      <c r="BJ49" s="414" t="s">
        <v>2440</v>
      </c>
      <c r="BK49" s="414" t="s">
        <v>1706</v>
      </c>
      <c r="BL49" s="414" t="s">
        <v>2815</v>
      </c>
      <c r="BM49" s="414" t="s">
        <v>2825</v>
      </c>
      <c r="BN49" s="414" t="s">
        <v>2829</v>
      </c>
    </row>
    <row r="50" spans="1:66" s="363" customFormat="1">
      <c r="A50" s="331"/>
      <c r="B50" s="331"/>
      <c r="C50" s="414" t="s">
        <v>5687</v>
      </c>
      <c r="D50" s="414" t="s">
        <v>5695</v>
      </c>
      <c r="E50" s="414" t="s">
        <v>4639</v>
      </c>
      <c r="F50" s="414" t="s">
        <v>8924</v>
      </c>
      <c r="G50" s="414" t="s">
        <v>5709</v>
      </c>
      <c r="H50" s="414" t="s">
        <v>5220</v>
      </c>
      <c r="I50" s="414" t="s">
        <v>5227</v>
      </c>
      <c r="J50" s="414" t="s">
        <v>2874</v>
      </c>
      <c r="K50" s="414" t="s">
        <v>2693</v>
      </c>
      <c r="L50" s="414" t="s">
        <v>5235</v>
      </c>
      <c r="M50" s="414" t="s">
        <v>1504</v>
      </c>
      <c r="N50" s="414" t="s">
        <v>3747</v>
      </c>
      <c r="O50" s="414" t="s">
        <v>3684</v>
      </c>
      <c r="P50" s="414" t="s">
        <v>7805</v>
      </c>
      <c r="Q50" s="414" t="s">
        <v>7811</v>
      </c>
      <c r="R50" s="414" t="s">
        <v>1128</v>
      </c>
      <c r="S50" s="414" t="s">
        <v>6451</v>
      </c>
      <c r="T50" s="414" t="s">
        <v>9046</v>
      </c>
      <c r="U50" s="414" t="s">
        <v>2621</v>
      </c>
      <c r="V50" s="414" t="s">
        <v>3775</v>
      </c>
      <c r="W50" s="414" t="s">
        <v>2317</v>
      </c>
      <c r="X50" s="414" t="s">
        <v>3328</v>
      </c>
      <c r="Y50" s="414" t="s">
        <v>2632</v>
      </c>
      <c r="Z50" s="414" t="s">
        <v>547</v>
      </c>
      <c r="AA50" s="414" t="s">
        <v>5838</v>
      </c>
      <c r="AB50" s="414" t="s">
        <v>491</v>
      </c>
      <c r="AC50" s="414" t="s">
        <v>4261</v>
      </c>
      <c r="AD50" s="414" t="s">
        <v>6276</v>
      </c>
      <c r="AE50" s="414" t="s">
        <v>3659</v>
      </c>
      <c r="AF50" s="414" t="s">
        <v>4932</v>
      </c>
      <c r="AG50" s="414" t="s">
        <v>5149</v>
      </c>
      <c r="AH50" s="414" t="s">
        <v>502</v>
      </c>
      <c r="AI50" s="414" t="s">
        <v>9338</v>
      </c>
      <c r="AJ50" s="414" t="s">
        <v>985</v>
      </c>
      <c r="AK50" s="414" t="s">
        <v>992</v>
      </c>
      <c r="AL50" s="414" t="s">
        <v>998</v>
      </c>
      <c r="AM50" s="414" t="s">
        <v>7459</v>
      </c>
      <c r="AN50" s="414" t="s">
        <v>7465</v>
      </c>
      <c r="AO50" s="414" t="s">
        <v>5710</v>
      </c>
      <c r="AP50" s="414" t="s">
        <v>7474</v>
      </c>
      <c r="AQ50" s="414" t="s">
        <v>3972</v>
      </c>
      <c r="AR50" s="414" t="s">
        <v>5879</v>
      </c>
      <c r="AS50" s="414" t="s">
        <v>3590</v>
      </c>
      <c r="AT50" s="414" t="s">
        <v>2854</v>
      </c>
      <c r="AU50" s="414" t="s">
        <v>3908</v>
      </c>
      <c r="AV50" s="414" t="s">
        <v>5954</v>
      </c>
      <c r="AW50" s="414" t="s">
        <v>7021</v>
      </c>
      <c r="AX50" s="414" t="s">
        <v>8938</v>
      </c>
      <c r="AY50" s="414" t="s">
        <v>3449</v>
      </c>
      <c r="AZ50" s="414" t="s">
        <v>3453</v>
      </c>
      <c r="BA50" s="414" t="s">
        <v>3571</v>
      </c>
      <c r="BB50" s="414" t="s">
        <v>2785</v>
      </c>
      <c r="BC50" s="414" t="s">
        <v>3486</v>
      </c>
      <c r="BD50" s="414" t="s">
        <v>7490</v>
      </c>
      <c r="BE50" s="414" t="s">
        <v>9292</v>
      </c>
      <c r="BF50" s="414" t="s">
        <v>2561</v>
      </c>
      <c r="BG50" s="414" t="s">
        <v>4391</v>
      </c>
      <c r="BH50" s="414" t="s">
        <v>1656</v>
      </c>
      <c r="BI50" s="414" t="s">
        <v>8181</v>
      </c>
      <c r="BJ50" s="414" t="s">
        <v>217</v>
      </c>
      <c r="BK50" s="414" t="s">
        <v>5615</v>
      </c>
      <c r="BL50" s="414" t="s">
        <v>2814</v>
      </c>
      <c r="BM50" s="414" t="s">
        <v>1455</v>
      </c>
      <c r="BN50" s="414" t="s">
        <v>2830</v>
      </c>
    </row>
    <row r="51" spans="1:66" s="369" customFormat="1">
      <c r="A51" s="373"/>
      <c r="B51" s="373"/>
      <c r="C51" s="415" t="s">
        <v>5693</v>
      </c>
      <c r="D51" s="370" t="s">
        <v>4681</v>
      </c>
      <c r="E51" s="370" t="s">
        <v>4681</v>
      </c>
      <c r="F51" s="370" t="s">
        <v>4681</v>
      </c>
      <c r="G51" s="415" t="s">
        <v>3517</v>
      </c>
      <c r="H51" s="370" t="s">
        <v>4681</v>
      </c>
      <c r="I51" s="370" t="s">
        <v>4681</v>
      </c>
      <c r="J51" s="370" t="s">
        <v>4681</v>
      </c>
      <c r="K51" s="370" t="s">
        <v>4681</v>
      </c>
      <c r="L51" s="370" t="s">
        <v>4681</v>
      </c>
      <c r="M51" s="370" t="s">
        <v>4681</v>
      </c>
      <c r="N51" s="370" t="s">
        <v>4681</v>
      </c>
      <c r="O51" s="370" t="s">
        <v>4681</v>
      </c>
      <c r="P51" s="370" t="s">
        <v>4681</v>
      </c>
      <c r="Q51" s="370" t="s">
        <v>4681</v>
      </c>
      <c r="R51" s="370" t="s">
        <v>4681</v>
      </c>
      <c r="S51" s="370" t="s">
        <v>4681</v>
      </c>
      <c r="T51" s="370" t="s">
        <v>4681</v>
      </c>
      <c r="U51" s="415" t="s">
        <v>5762</v>
      </c>
      <c r="V51" s="370" t="s">
        <v>4681</v>
      </c>
      <c r="W51" s="370" t="s">
        <v>4681</v>
      </c>
      <c r="X51" s="370" t="s">
        <v>4681</v>
      </c>
      <c r="Y51" s="370" t="s">
        <v>4681</v>
      </c>
      <c r="Z51" s="370" t="s">
        <v>4681</v>
      </c>
      <c r="AA51" s="370" t="s">
        <v>4681</v>
      </c>
      <c r="AB51" s="370" t="s">
        <v>4681</v>
      </c>
      <c r="AC51" s="370" t="s">
        <v>4681</v>
      </c>
      <c r="AD51" s="370" t="s">
        <v>4681</v>
      </c>
      <c r="AE51" s="370" t="s">
        <v>4681</v>
      </c>
      <c r="AF51" s="370" t="s">
        <v>4681</v>
      </c>
      <c r="AG51" s="415" t="s">
        <v>7005</v>
      </c>
      <c r="AH51" s="370" t="s">
        <v>4681</v>
      </c>
      <c r="AI51" s="370" t="s">
        <v>4681</v>
      </c>
      <c r="AJ51" s="370" t="s">
        <v>4681</v>
      </c>
      <c r="AK51" s="413" t="s">
        <v>8857</v>
      </c>
      <c r="AL51" s="370" t="s">
        <v>4681</v>
      </c>
      <c r="AM51" s="370" t="s">
        <v>4681</v>
      </c>
      <c r="AN51" s="370" t="s">
        <v>4681</v>
      </c>
      <c r="AO51" s="370" t="s">
        <v>4681</v>
      </c>
      <c r="AP51" s="370" t="s">
        <v>4681</v>
      </c>
      <c r="AQ51" s="370" t="s">
        <v>4681</v>
      </c>
      <c r="AR51" s="415" t="s">
        <v>4489</v>
      </c>
      <c r="AS51" s="370" t="s">
        <v>4681</v>
      </c>
      <c r="AT51" s="370" t="s">
        <v>4681</v>
      </c>
      <c r="AU51" s="370" t="s">
        <v>4681</v>
      </c>
      <c r="AV51" s="370" t="s">
        <v>4681</v>
      </c>
      <c r="AW51" s="370" t="s">
        <v>4681</v>
      </c>
      <c r="AX51" s="370" t="s">
        <v>4681</v>
      </c>
      <c r="AY51" s="370" t="s">
        <v>4681</v>
      </c>
      <c r="AZ51" s="370" t="s">
        <v>4681</v>
      </c>
      <c r="BA51" s="415" t="s">
        <v>9035</v>
      </c>
      <c r="BB51" s="370" t="s">
        <v>4681</v>
      </c>
      <c r="BC51" s="370" t="s">
        <v>4681</v>
      </c>
      <c r="BD51" s="370" t="s">
        <v>4681</v>
      </c>
      <c r="BE51" s="370" t="s">
        <v>4681</v>
      </c>
      <c r="BF51" s="370" t="s">
        <v>4681</v>
      </c>
      <c r="BG51" s="415" t="s">
        <v>4392</v>
      </c>
      <c r="BH51" s="415" t="s">
        <v>4118</v>
      </c>
      <c r="BI51" s="370" t="s">
        <v>4681</v>
      </c>
      <c r="BJ51" s="415" t="s">
        <v>5827</v>
      </c>
      <c r="BK51" s="370" t="s">
        <v>4681</v>
      </c>
      <c r="BL51" s="415" t="s">
        <v>2816</v>
      </c>
      <c r="BM51" s="370" t="s">
        <v>4681</v>
      </c>
      <c r="BN51" s="415" t="s">
        <v>7506</v>
      </c>
    </row>
    <row r="52" spans="1:66" s="375" customFormat="1">
      <c r="A52" s="374"/>
      <c r="B52" s="374"/>
      <c r="C52" s="426" t="s">
        <v>5694</v>
      </c>
      <c r="D52" s="350" t="s">
        <v>4681</v>
      </c>
      <c r="E52" s="350" t="s">
        <v>4681</v>
      </c>
      <c r="F52" s="350" t="s">
        <v>4681</v>
      </c>
      <c r="G52" s="426" t="s">
        <v>3518</v>
      </c>
      <c r="H52" s="350" t="s">
        <v>4681</v>
      </c>
      <c r="I52" s="350" t="s">
        <v>4681</v>
      </c>
      <c r="J52" s="350" t="s">
        <v>4681</v>
      </c>
      <c r="K52" s="350" t="s">
        <v>4681</v>
      </c>
      <c r="L52" s="350" t="s">
        <v>4681</v>
      </c>
      <c r="M52" s="350" t="s">
        <v>4681</v>
      </c>
      <c r="N52" s="350" t="s">
        <v>4681</v>
      </c>
      <c r="O52" s="350" t="s">
        <v>4681</v>
      </c>
      <c r="P52" s="350" t="s">
        <v>4681</v>
      </c>
      <c r="Q52" s="350" t="s">
        <v>4681</v>
      </c>
      <c r="R52" s="350" t="s">
        <v>4681</v>
      </c>
      <c r="S52" s="350" t="s">
        <v>4681</v>
      </c>
      <c r="T52" s="350" t="s">
        <v>4681</v>
      </c>
      <c r="U52" s="426" t="s">
        <v>781</v>
      </c>
      <c r="V52" s="350" t="s">
        <v>4681</v>
      </c>
      <c r="W52" s="350" t="s">
        <v>4681</v>
      </c>
      <c r="X52" s="350" t="s">
        <v>4681</v>
      </c>
      <c r="Y52" s="350" t="s">
        <v>4681</v>
      </c>
      <c r="Z52" s="350" t="s">
        <v>4681</v>
      </c>
      <c r="AA52" s="350" t="s">
        <v>4681</v>
      </c>
      <c r="AB52" s="350" t="s">
        <v>4681</v>
      </c>
      <c r="AC52" s="350" t="s">
        <v>4681</v>
      </c>
      <c r="AD52" s="350" t="s">
        <v>4681</v>
      </c>
      <c r="AE52" s="350" t="s">
        <v>4681</v>
      </c>
      <c r="AF52" s="350" t="s">
        <v>4681</v>
      </c>
      <c r="AG52" s="426" t="s">
        <v>7004</v>
      </c>
      <c r="AH52" s="350" t="s">
        <v>4681</v>
      </c>
      <c r="AI52" s="350" t="s">
        <v>4681</v>
      </c>
      <c r="AJ52" s="350" t="s">
        <v>4681</v>
      </c>
      <c r="AK52" s="684" t="s">
        <v>8858</v>
      </c>
      <c r="AL52" s="350" t="s">
        <v>4681</v>
      </c>
      <c r="AM52" s="350" t="s">
        <v>4681</v>
      </c>
      <c r="AN52" s="350" t="s">
        <v>4681</v>
      </c>
      <c r="AO52" s="350" t="s">
        <v>4681</v>
      </c>
      <c r="AP52" s="350" t="s">
        <v>4681</v>
      </c>
      <c r="AQ52" s="350" t="s">
        <v>4681</v>
      </c>
      <c r="AR52" s="426" t="s">
        <v>9208</v>
      </c>
      <c r="AS52" s="350" t="s">
        <v>4681</v>
      </c>
      <c r="AT52" s="350" t="s">
        <v>4681</v>
      </c>
      <c r="AU52" s="350" t="s">
        <v>4681</v>
      </c>
      <c r="AV52" s="350" t="s">
        <v>4681</v>
      </c>
      <c r="AW52" s="350" t="s">
        <v>4681</v>
      </c>
      <c r="AX52" s="350" t="s">
        <v>4681</v>
      </c>
      <c r="AY52" s="350" t="s">
        <v>4681</v>
      </c>
      <c r="AZ52" s="350" t="s">
        <v>4681</v>
      </c>
      <c r="BA52" s="426" t="s">
        <v>9036</v>
      </c>
      <c r="BB52" s="350" t="s">
        <v>4681</v>
      </c>
      <c r="BC52" s="350" t="s">
        <v>4681</v>
      </c>
      <c r="BD52" s="350" t="s">
        <v>4681</v>
      </c>
      <c r="BE52" s="350" t="s">
        <v>4681</v>
      </c>
      <c r="BF52" s="350" t="s">
        <v>4681</v>
      </c>
      <c r="BG52" s="426" t="s">
        <v>4393</v>
      </c>
      <c r="BH52" s="426" t="s">
        <v>8172</v>
      </c>
      <c r="BI52" s="350" t="s">
        <v>4681</v>
      </c>
      <c r="BJ52" s="426" t="s">
        <v>5828</v>
      </c>
      <c r="BK52" s="350" t="s">
        <v>4681</v>
      </c>
      <c r="BL52" s="426" t="s">
        <v>5623</v>
      </c>
      <c r="BM52" s="350" t="s">
        <v>4681</v>
      </c>
      <c r="BN52" s="426" t="s">
        <v>7507</v>
      </c>
    </row>
    <row r="53" spans="1:66" s="424" customFormat="1" ht="63.75">
      <c r="A53" s="421">
        <v>2</v>
      </c>
      <c r="B53" s="422" t="s">
        <v>3624</v>
      </c>
      <c r="C53" s="423" t="s">
        <v>5041</v>
      </c>
      <c r="D53" s="423" t="s">
        <v>5953</v>
      </c>
      <c r="E53" s="680" t="s">
        <v>1792</v>
      </c>
      <c r="F53" s="680" t="s">
        <v>441</v>
      </c>
      <c r="G53" s="680" t="s">
        <v>6016</v>
      </c>
      <c r="H53" s="680" t="s">
        <v>3037</v>
      </c>
      <c r="I53" s="680" t="s">
        <v>5550</v>
      </c>
      <c r="J53" s="681" t="s">
        <v>1164</v>
      </c>
      <c r="K53" s="681" t="s">
        <v>7964</v>
      </c>
      <c r="L53" s="680" t="s">
        <v>9211</v>
      </c>
      <c r="M53" s="680" t="s">
        <v>1614</v>
      </c>
      <c r="N53" s="680" t="s">
        <v>3471</v>
      </c>
      <c r="O53" s="680" t="s">
        <v>581</v>
      </c>
      <c r="P53" s="681" t="s">
        <v>4643</v>
      </c>
      <c r="Q53" s="681" t="s">
        <v>1155</v>
      </c>
      <c r="R53" s="680" t="s">
        <v>8789</v>
      </c>
      <c r="S53" s="680" t="s">
        <v>718</v>
      </c>
      <c r="T53" s="681" t="s">
        <v>3793</v>
      </c>
      <c r="U53" s="681" t="s">
        <v>2100</v>
      </c>
      <c r="V53" s="681" t="s">
        <v>3955</v>
      </c>
      <c r="W53" s="681" t="s">
        <v>1975</v>
      </c>
      <c r="X53" s="681" t="s">
        <v>1981</v>
      </c>
      <c r="Y53" s="681" t="s">
        <v>1562</v>
      </c>
      <c r="Z53" s="681" t="s">
        <v>5377</v>
      </c>
      <c r="AA53" s="680" t="s">
        <v>5542</v>
      </c>
      <c r="AB53" s="423" t="s">
        <v>8788</v>
      </c>
      <c r="AC53" s="680" t="s">
        <v>8645</v>
      </c>
      <c r="AD53" s="680" t="s">
        <v>7313</v>
      </c>
      <c r="AE53" s="681" t="s">
        <v>2899</v>
      </c>
      <c r="AF53" s="681" t="s">
        <v>2901</v>
      </c>
      <c r="AG53" s="680" t="s">
        <v>9216</v>
      </c>
      <c r="AH53" s="680" t="s">
        <v>5474</v>
      </c>
      <c r="AI53" s="680" t="s">
        <v>7541</v>
      </c>
      <c r="AJ53" s="681" t="s">
        <v>3628</v>
      </c>
      <c r="AK53" s="680" t="s">
        <v>8856</v>
      </c>
      <c r="AL53" s="680" t="s">
        <v>4936</v>
      </c>
      <c r="AM53" s="680" t="s">
        <v>1400</v>
      </c>
      <c r="AN53" s="680" t="s">
        <v>5584</v>
      </c>
      <c r="AO53" s="680" t="s">
        <v>5593</v>
      </c>
      <c r="AP53" s="680" t="s">
        <v>556</v>
      </c>
      <c r="AQ53" s="680" t="s">
        <v>8728</v>
      </c>
      <c r="AR53" s="680" t="s">
        <v>4576</v>
      </c>
      <c r="AS53" s="680" t="s">
        <v>5711</v>
      </c>
      <c r="AT53" s="680" t="s">
        <v>1300</v>
      </c>
      <c r="AU53" s="680" t="s">
        <v>2859</v>
      </c>
      <c r="AV53" s="680" t="s">
        <v>1793</v>
      </c>
      <c r="AW53" s="680" t="s">
        <v>5825</v>
      </c>
      <c r="AX53" s="681" t="s">
        <v>4383</v>
      </c>
      <c r="AY53" s="680" t="s">
        <v>4483</v>
      </c>
      <c r="AZ53" s="680" t="s">
        <v>2720</v>
      </c>
      <c r="BA53" s="680" t="s">
        <v>2704</v>
      </c>
      <c r="BB53" s="680" t="s">
        <v>3844</v>
      </c>
      <c r="BC53" s="680" t="s">
        <v>372</v>
      </c>
      <c r="BD53" s="680" t="s">
        <v>7486</v>
      </c>
      <c r="BE53" s="680" t="s">
        <v>4386</v>
      </c>
      <c r="BF53" s="680" t="s">
        <v>6443</v>
      </c>
      <c r="BG53" s="680" t="s">
        <v>1810</v>
      </c>
      <c r="BH53" s="680" t="s">
        <v>8814</v>
      </c>
      <c r="BI53" s="681" t="s">
        <v>6469</v>
      </c>
      <c r="BJ53" s="680" t="s">
        <v>3852</v>
      </c>
      <c r="BK53" s="680" t="s">
        <v>2782</v>
      </c>
      <c r="BL53" s="680" t="s">
        <v>2608</v>
      </c>
      <c r="BM53" s="680" t="s">
        <v>7402</v>
      </c>
      <c r="BN53" s="681" t="s">
        <v>9319</v>
      </c>
    </row>
    <row r="54" spans="1:66" s="272" customFormat="1" ht="25.5">
      <c r="A54" s="270"/>
      <c r="B54" s="271" t="s">
        <v>1392</v>
      </c>
      <c r="C54" s="413" t="s">
        <v>6126</v>
      </c>
      <c r="D54" s="413" t="s">
        <v>6127</v>
      </c>
      <c r="E54" s="413" t="s">
        <v>3677</v>
      </c>
      <c r="F54" s="413" t="s">
        <v>3678</v>
      </c>
      <c r="G54" s="413" t="s">
        <v>2832</v>
      </c>
      <c r="H54" s="413" t="s">
        <v>2833</v>
      </c>
      <c r="I54" s="413" t="s">
        <v>2834</v>
      </c>
      <c r="J54" s="413" t="s">
        <v>2984</v>
      </c>
      <c r="K54" s="413" t="s">
        <v>2985</v>
      </c>
      <c r="L54" s="413" t="s">
        <v>2986</v>
      </c>
      <c r="M54" s="413" t="s">
        <v>2987</v>
      </c>
      <c r="N54" s="413" t="s">
        <v>2996</v>
      </c>
      <c r="O54" s="413" t="s">
        <v>2997</v>
      </c>
      <c r="P54" s="413" t="s">
        <v>2998</v>
      </c>
      <c r="Q54" s="413" t="s">
        <v>2999</v>
      </c>
      <c r="R54" s="413" t="s">
        <v>3000</v>
      </c>
      <c r="S54" s="413" t="s">
        <v>3001</v>
      </c>
      <c r="T54" s="413" t="s">
        <v>3304</v>
      </c>
      <c r="U54" s="413" t="s">
        <v>3305</v>
      </c>
      <c r="V54" s="413" t="s">
        <v>3306</v>
      </c>
      <c r="W54" s="413" t="s">
        <v>6470</v>
      </c>
      <c r="X54" s="413" t="s">
        <v>3307</v>
      </c>
      <c r="Y54" s="413" t="s">
        <v>3308</v>
      </c>
      <c r="Z54" s="413" t="s">
        <v>3309</v>
      </c>
      <c r="AA54" s="413" t="s">
        <v>3310</v>
      </c>
      <c r="AB54" s="413" t="s">
        <v>1193</v>
      </c>
      <c r="AC54" s="413" t="s">
        <v>1194</v>
      </c>
      <c r="AD54" s="413" t="s">
        <v>1195</v>
      </c>
      <c r="AE54" s="413" t="s">
        <v>1196</v>
      </c>
      <c r="AF54" s="413" t="s">
        <v>1197</v>
      </c>
      <c r="AG54" s="413" t="s">
        <v>1198</v>
      </c>
      <c r="AH54" s="413" t="s">
        <v>1199</v>
      </c>
      <c r="AI54" s="413" t="s">
        <v>6219</v>
      </c>
      <c r="AJ54" s="413" t="s">
        <v>6220</v>
      </c>
      <c r="AK54" s="413" t="s">
        <v>6221</v>
      </c>
      <c r="AL54" s="413" t="s">
        <v>6222</v>
      </c>
      <c r="AM54" s="413" t="s">
        <v>6223</v>
      </c>
      <c r="AN54" s="413" t="s">
        <v>6224</v>
      </c>
      <c r="AO54" s="413" t="s">
        <v>6225</v>
      </c>
      <c r="AP54" s="413" t="s">
        <v>6226</v>
      </c>
      <c r="AQ54" s="413" t="s">
        <v>6227</v>
      </c>
      <c r="AR54" s="413" t="s">
        <v>6228</v>
      </c>
      <c r="AS54" s="413" t="s">
        <v>6229</v>
      </c>
      <c r="AT54" s="413" t="s">
        <v>1588</v>
      </c>
      <c r="AU54" s="413" t="s">
        <v>1589</v>
      </c>
      <c r="AV54" s="413" t="s">
        <v>1590</v>
      </c>
      <c r="AW54" s="413" t="s">
        <v>1591</v>
      </c>
      <c r="AX54" s="413" t="s">
        <v>1906</v>
      </c>
      <c r="AY54" s="413" t="s">
        <v>1907</v>
      </c>
      <c r="AZ54" s="413" t="s">
        <v>1908</v>
      </c>
      <c r="BA54" s="413" t="s">
        <v>1909</v>
      </c>
      <c r="BB54" s="413" t="s">
        <v>2260</v>
      </c>
      <c r="BC54" s="413" t="s">
        <v>2261</v>
      </c>
      <c r="BD54" s="413" t="s">
        <v>2262</v>
      </c>
      <c r="BE54" s="413" t="s">
        <v>2263</v>
      </c>
      <c r="BF54" s="413" t="s">
        <v>2264</v>
      </c>
      <c r="BG54" s="413" t="s">
        <v>2265</v>
      </c>
      <c r="BH54" s="413" t="s">
        <v>2266</v>
      </c>
      <c r="BI54" s="413" t="s">
        <v>2267</v>
      </c>
      <c r="BJ54" s="413" t="s">
        <v>2268</v>
      </c>
      <c r="BK54" s="413" t="s">
        <v>2269</v>
      </c>
      <c r="BL54" s="413" t="s">
        <v>2270</v>
      </c>
      <c r="BM54" s="413" t="s">
        <v>2271</v>
      </c>
      <c r="BN54" s="413" t="s">
        <v>2272</v>
      </c>
    </row>
    <row r="55" spans="1:66" s="272" customFormat="1" ht="51">
      <c r="A55" s="270"/>
      <c r="B55" s="271" t="s">
        <v>3621</v>
      </c>
      <c r="C55" s="413" t="s">
        <v>5764</v>
      </c>
      <c r="D55" s="413" t="s">
        <v>7216</v>
      </c>
      <c r="E55" s="413" t="s">
        <v>2359</v>
      </c>
      <c r="F55" s="413" t="s">
        <v>2360</v>
      </c>
      <c r="G55" s="413" t="s">
        <v>1215</v>
      </c>
      <c r="H55" s="413" t="s">
        <v>1216</v>
      </c>
      <c r="I55" s="413" t="s">
        <v>1217</v>
      </c>
      <c r="J55" s="413" t="s">
        <v>3080</v>
      </c>
      <c r="K55" s="413" t="s">
        <v>1192</v>
      </c>
      <c r="L55" s="413" t="s">
        <v>282</v>
      </c>
      <c r="M55" s="413" t="s">
        <v>283</v>
      </c>
      <c r="N55" s="413" t="s">
        <v>284</v>
      </c>
      <c r="O55" s="413" t="s">
        <v>6256</v>
      </c>
      <c r="P55" s="413" t="s">
        <v>6257</v>
      </c>
      <c r="Q55" s="413" t="s">
        <v>3084</v>
      </c>
      <c r="R55" s="413" t="s">
        <v>3085</v>
      </c>
      <c r="S55" s="413" t="s">
        <v>3086</v>
      </c>
      <c r="T55" s="413" t="s">
        <v>3087</v>
      </c>
      <c r="U55" s="413" t="s">
        <v>3088</v>
      </c>
      <c r="V55" s="413" t="s">
        <v>3089</v>
      </c>
      <c r="W55" s="413" t="s">
        <v>3090</v>
      </c>
      <c r="X55" s="413" t="s">
        <v>3091</v>
      </c>
      <c r="Y55" s="413" t="s">
        <v>3092</v>
      </c>
      <c r="Z55" s="413" t="s">
        <v>3093</v>
      </c>
      <c r="AA55" s="413" t="s">
        <v>3094</v>
      </c>
      <c r="AB55" s="413" t="s">
        <v>3095</v>
      </c>
      <c r="AC55" s="413" t="s">
        <v>287</v>
      </c>
      <c r="AD55" s="413" t="s">
        <v>288</v>
      </c>
      <c r="AE55" s="413" t="s">
        <v>289</v>
      </c>
      <c r="AF55" s="413" t="s">
        <v>1380</v>
      </c>
      <c r="AG55" s="413" t="s">
        <v>1381</v>
      </c>
      <c r="AH55" s="413" t="s">
        <v>1382</v>
      </c>
      <c r="AI55" s="413" t="s">
        <v>1383</v>
      </c>
      <c r="AJ55" s="413" t="s">
        <v>1384</v>
      </c>
      <c r="AK55" s="413" t="s">
        <v>4200</v>
      </c>
      <c r="AL55" s="413" t="s">
        <v>2475</v>
      </c>
      <c r="AM55" s="413" t="s">
        <v>2476</v>
      </c>
      <c r="AN55" s="413" t="s">
        <v>2477</v>
      </c>
      <c r="AO55" s="413" t="s">
        <v>2478</v>
      </c>
      <c r="AP55" s="413" t="s">
        <v>2479</v>
      </c>
      <c r="AQ55" s="413" t="s">
        <v>4067</v>
      </c>
      <c r="AR55" s="413" t="s">
        <v>510</v>
      </c>
      <c r="AS55" s="413" t="s">
        <v>1552</v>
      </c>
      <c r="AT55" s="413" t="s">
        <v>1553</v>
      </c>
      <c r="AU55" s="413" t="s">
        <v>1554</v>
      </c>
      <c r="AV55" s="413" t="s">
        <v>1555</v>
      </c>
      <c r="AW55" s="413" t="s">
        <v>561</v>
      </c>
      <c r="AX55" s="413" t="s">
        <v>562</v>
      </c>
      <c r="AY55" s="413" t="s">
        <v>563</v>
      </c>
      <c r="AZ55" s="413" t="s">
        <v>564</v>
      </c>
      <c r="BA55" s="413" t="s">
        <v>1166</v>
      </c>
      <c r="BB55" s="413" t="s">
        <v>2488</v>
      </c>
      <c r="BC55" s="413" t="s">
        <v>2230</v>
      </c>
      <c r="BD55" s="413" t="s">
        <v>1167</v>
      </c>
      <c r="BE55" s="413" t="s">
        <v>2190</v>
      </c>
      <c r="BF55" s="413" t="s">
        <v>2191</v>
      </c>
      <c r="BG55" s="413" t="s">
        <v>2192</v>
      </c>
      <c r="BH55" s="413" t="s">
        <v>2193</v>
      </c>
      <c r="BI55" s="413" t="s">
        <v>2194</v>
      </c>
      <c r="BJ55" s="413" t="s">
        <v>1494</v>
      </c>
      <c r="BK55" s="413" t="s">
        <v>1495</v>
      </c>
      <c r="BL55" s="413" t="s">
        <v>1496</v>
      </c>
      <c r="BM55" s="413" t="s">
        <v>1497</v>
      </c>
      <c r="BN55" s="413" t="s">
        <v>1498</v>
      </c>
    </row>
    <row r="56" spans="1:66" s="272" customFormat="1" ht="51">
      <c r="A56" s="270"/>
      <c r="B56" s="271" t="s">
        <v>3622</v>
      </c>
      <c r="C56" s="413" t="s">
        <v>1868</v>
      </c>
      <c r="D56" s="413" t="s">
        <v>5365</v>
      </c>
      <c r="E56" s="413" t="s">
        <v>167</v>
      </c>
      <c r="F56" s="413" t="s">
        <v>168</v>
      </c>
      <c r="G56" s="413" t="s">
        <v>169</v>
      </c>
      <c r="H56" s="413" t="s">
        <v>170</v>
      </c>
      <c r="I56" s="413" t="s">
        <v>171</v>
      </c>
      <c r="J56" s="413" t="s">
        <v>172</v>
      </c>
      <c r="K56" s="413" t="s">
        <v>531</v>
      </c>
      <c r="L56" s="413" t="s">
        <v>532</v>
      </c>
      <c r="M56" s="413" t="s">
        <v>533</v>
      </c>
      <c r="N56" s="413" t="s">
        <v>534</v>
      </c>
      <c r="O56" s="413" t="s">
        <v>535</v>
      </c>
      <c r="P56" s="413" t="s">
        <v>536</v>
      </c>
      <c r="Q56" s="413" t="s">
        <v>537</v>
      </c>
      <c r="R56" s="413" t="s">
        <v>538</v>
      </c>
      <c r="S56" s="413" t="s">
        <v>539</v>
      </c>
      <c r="T56" s="413" t="s">
        <v>540</v>
      </c>
      <c r="U56" s="413" t="s">
        <v>541</v>
      </c>
      <c r="V56" s="413" t="s">
        <v>542</v>
      </c>
      <c r="W56" s="413" t="s">
        <v>543</v>
      </c>
      <c r="X56" s="413" t="s">
        <v>943</v>
      </c>
      <c r="Y56" s="413" t="s">
        <v>944</v>
      </c>
      <c r="Z56" s="413" t="s">
        <v>945</v>
      </c>
      <c r="AA56" s="413" t="s">
        <v>946</v>
      </c>
      <c r="AB56" s="413" t="s">
        <v>947</v>
      </c>
      <c r="AC56" s="413" t="s">
        <v>5126</v>
      </c>
      <c r="AD56" s="413" t="s">
        <v>5127</v>
      </c>
      <c r="AE56" s="413" t="s">
        <v>5128</v>
      </c>
      <c r="AF56" s="413" t="s">
        <v>5129</v>
      </c>
      <c r="AG56" s="413" t="s">
        <v>5130</v>
      </c>
      <c r="AH56" s="413" t="s">
        <v>3222</v>
      </c>
      <c r="AI56" s="413" t="s">
        <v>3223</v>
      </c>
      <c r="AJ56" s="413" t="s">
        <v>3224</v>
      </c>
      <c r="AK56" s="413" t="s">
        <v>3225</v>
      </c>
      <c r="AL56" s="413" t="s">
        <v>3226</v>
      </c>
      <c r="AM56" s="413" t="s">
        <v>3227</v>
      </c>
      <c r="AN56" s="413" t="s">
        <v>3228</v>
      </c>
      <c r="AO56" s="413" t="s">
        <v>3229</v>
      </c>
      <c r="AP56" s="413" t="s">
        <v>9061</v>
      </c>
      <c r="AQ56" s="413" t="s">
        <v>7368</v>
      </c>
      <c r="AR56" s="413" t="s">
        <v>7369</v>
      </c>
      <c r="AS56" s="413" t="s">
        <v>7370</v>
      </c>
      <c r="AT56" s="413" t="s">
        <v>7371</v>
      </c>
      <c r="AU56" s="413" t="s">
        <v>7372</v>
      </c>
      <c r="AV56" s="413" t="s">
        <v>7373</v>
      </c>
      <c r="AW56" s="413" t="s">
        <v>3240</v>
      </c>
      <c r="AX56" s="413" t="s">
        <v>3241</v>
      </c>
      <c r="AY56" s="413" t="s">
        <v>3242</v>
      </c>
      <c r="AZ56" s="413" t="s">
        <v>3243</v>
      </c>
      <c r="BA56" s="413" t="s">
        <v>5215</v>
      </c>
      <c r="BB56" s="413" t="s">
        <v>3279</v>
      </c>
      <c r="BC56" s="413" t="s">
        <v>3280</v>
      </c>
      <c r="BD56" s="413" t="s">
        <v>3281</v>
      </c>
      <c r="BE56" s="413" t="s">
        <v>3096</v>
      </c>
      <c r="BF56" s="413" t="s">
        <v>3097</v>
      </c>
      <c r="BG56" s="413" t="s">
        <v>3098</v>
      </c>
      <c r="BH56" s="413" t="s">
        <v>3099</v>
      </c>
      <c r="BI56" s="413" t="s">
        <v>3100</v>
      </c>
      <c r="BJ56" s="413" t="s">
        <v>2325</v>
      </c>
      <c r="BK56" s="413" t="s">
        <v>2326</v>
      </c>
      <c r="BL56" s="413" t="s">
        <v>2148</v>
      </c>
      <c r="BM56" s="413" t="s">
        <v>2149</v>
      </c>
      <c r="BN56" s="413" t="s">
        <v>1982</v>
      </c>
    </row>
    <row r="57" spans="1:66" s="304" customFormat="1" ht="38.25">
      <c r="A57" s="270"/>
      <c r="B57" s="328" t="s">
        <v>3625</v>
      </c>
      <c r="C57" s="303" t="s">
        <v>1869</v>
      </c>
      <c r="D57" s="303" t="s">
        <v>3893</v>
      </c>
      <c r="E57" s="413" t="s">
        <v>4087</v>
      </c>
      <c r="F57" s="413" t="s">
        <v>4088</v>
      </c>
      <c r="G57" s="413" t="s">
        <v>4089</v>
      </c>
      <c r="H57" s="413" t="s">
        <v>4090</v>
      </c>
      <c r="I57" s="413" t="s">
        <v>4091</v>
      </c>
      <c r="J57" s="413" t="s">
        <v>4092</v>
      </c>
      <c r="K57" s="413" t="s">
        <v>4093</v>
      </c>
      <c r="L57" s="413" t="s">
        <v>4094</v>
      </c>
      <c r="M57" s="413" t="s">
        <v>4095</v>
      </c>
      <c r="N57" s="413" t="s">
        <v>4096</v>
      </c>
      <c r="O57" s="413" t="s">
        <v>4097</v>
      </c>
      <c r="P57" s="413" t="s">
        <v>4098</v>
      </c>
      <c r="Q57" s="413" t="s">
        <v>4099</v>
      </c>
      <c r="R57" s="413" t="s">
        <v>4100</v>
      </c>
      <c r="S57" s="303" t="s">
        <v>2229</v>
      </c>
      <c r="T57" s="303" t="s">
        <v>3894</v>
      </c>
      <c r="U57" s="413" t="s">
        <v>4101</v>
      </c>
      <c r="V57" s="413" t="s">
        <v>4102</v>
      </c>
      <c r="W57" s="413" t="s">
        <v>4103</v>
      </c>
      <c r="X57" s="413" t="s">
        <v>4137</v>
      </c>
      <c r="Y57" s="413" t="s">
        <v>4138</v>
      </c>
      <c r="Z57" s="303" t="s">
        <v>5958</v>
      </c>
      <c r="AA57" s="303" t="s">
        <v>4476</v>
      </c>
      <c r="AB57" s="303" t="s">
        <v>3432</v>
      </c>
      <c r="AC57" s="303" t="s">
        <v>8646</v>
      </c>
      <c r="AD57" s="413" t="s">
        <v>4139</v>
      </c>
      <c r="AE57" s="413" t="s">
        <v>4140</v>
      </c>
      <c r="AF57" s="413" t="s">
        <v>4141</v>
      </c>
      <c r="AG57" s="413" t="s">
        <v>4142</v>
      </c>
      <c r="AH57" s="413" t="s">
        <v>4143</v>
      </c>
      <c r="AI57" s="303" t="s">
        <v>3083</v>
      </c>
      <c r="AJ57" s="413" t="s">
        <v>4144</v>
      </c>
      <c r="AK57" s="413" t="s">
        <v>4145</v>
      </c>
      <c r="AL57" s="413" t="s">
        <v>3153</v>
      </c>
      <c r="AM57" s="413" t="s">
        <v>4146</v>
      </c>
      <c r="AN57" s="413" t="s">
        <v>6263</v>
      </c>
      <c r="AO57" s="413" t="s">
        <v>6264</v>
      </c>
      <c r="AP57" s="413" t="s">
        <v>6265</v>
      </c>
      <c r="AQ57" s="413" t="s">
        <v>1218</v>
      </c>
      <c r="AR57" s="413" t="s">
        <v>351</v>
      </c>
      <c r="AS57" s="413" t="s">
        <v>1219</v>
      </c>
      <c r="AT57" s="413" t="s">
        <v>1220</v>
      </c>
      <c r="AU57" s="303" t="s">
        <v>6477</v>
      </c>
      <c r="AV57" s="413" t="s">
        <v>1221</v>
      </c>
      <c r="AW57" s="413" t="s">
        <v>1222</v>
      </c>
      <c r="AX57" s="413" t="s">
        <v>1223</v>
      </c>
      <c r="AY57" s="303" t="s">
        <v>919</v>
      </c>
      <c r="AZ57" s="413" t="s">
        <v>174</v>
      </c>
      <c r="BA57" s="413" t="s">
        <v>175</v>
      </c>
      <c r="BB57" s="413" t="s">
        <v>2506</v>
      </c>
      <c r="BC57" s="413" t="s">
        <v>2507</v>
      </c>
      <c r="BD57" s="413" t="s">
        <v>2508</v>
      </c>
      <c r="BE57" s="413" t="s">
        <v>2509</v>
      </c>
      <c r="BF57" s="303" t="s">
        <v>5590</v>
      </c>
      <c r="BG57" s="413" t="s">
        <v>2510</v>
      </c>
      <c r="BH57" s="303" t="s">
        <v>8815</v>
      </c>
      <c r="BI57" s="413" t="s">
        <v>2511</v>
      </c>
      <c r="BJ57" s="303" t="s">
        <v>4854</v>
      </c>
      <c r="BK57" s="413" t="s">
        <v>2781</v>
      </c>
      <c r="BL57" s="413" t="s">
        <v>2512</v>
      </c>
      <c r="BM57" s="413" t="s">
        <v>2513</v>
      </c>
      <c r="BN57" s="413" t="s">
        <v>3062</v>
      </c>
    </row>
    <row r="58" spans="1:66" s="304" customFormat="1" ht="38.25">
      <c r="A58" s="270"/>
      <c r="B58" s="328" t="s">
        <v>3626</v>
      </c>
      <c r="C58" s="303" t="s">
        <v>2780</v>
      </c>
      <c r="D58" s="303" t="s">
        <v>7146</v>
      </c>
      <c r="E58" s="413" t="s">
        <v>2831</v>
      </c>
      <c r="F58" s="413" t="s">
        <v>5214</v>
      </c>
      <c r="G58" s="413" t="s">
        <v>7353</v>
      </c>
      <c r="H58" s="413" t="s">
        <v>7354</v>
      </c>
      <c r="I58" s="413" t="s">
        <v>7355</v>
      </c>
      <c r="J58" s="303" t="s">
        <v>7147</v>
      </c>
      <c r="K58" s="413" t="s">
        <v>7356</v>
      </c>
      <c r="L58" s="413" t="s">
        <v>7357</v>
      </c>
      <c r="M58" s="303" t="s">
        <v>7148</v>
      </c>
      <c r="N58" s="413" t="s">
        <v>7358</v>
      </c>
      <c r="O58" s="413" t="s">
        <v>7359</v>
      </c>
      <c r="P58" s="413" t="s">
        <v>7360</v>
      </c>
      <c r="Q58" s="413" t="s">
        <v>7361</v>
      </c>
      <c r="R58" s="413" t="s">
        <v>7272</v>
      </c>
      <c r="S58" s="303" t="s">
        <v>2862</v>
      </c>
      <c r="T58" s="303" t="s">
        <v>5805</v>
      </c>
      <c r="U58" s="413" t="s">
        <v>7362</v>
      </c>
      <c r="V58" s="413" t="s">
        <v>7363</v>
      </c>
      <c r="W58" s="413" t="s">
        <v>7364</v>
      </c>
      <c r="X58" s="413" t="s">
        <v>5123</v>
      </c>
      <c r="Y58" s="413" t="s">
        <v>3263</v>
      </c>
      <c r="Z58" s="303" t="s">
        <v>4736</v>
      </c>
      <c r="AA58" s="303" t="s">
        <v>3882</v>
      </c>
      <c r="AB58" s="303" t="s">
        <v>3433</v>
      </c>
      <c r="AC58" s="303" t="s">
        <v>8647</v>
      </c>
      <c r="AD58" s="413" t="s">
        <v>5124</v>
      </c>
      <c r="AE58" s="413" t="s">
        <v>5125</v>
      </c>
      <c r="AF58" s="413" t="s">
        <v>4025</v>
      </c>
      <c r="AG58" s="413" t="s">
        <v>4026</v>
      </c>
      <c r="AH58" s="413" t="s">
        <v>4027</v>
      </c>
      <c r="AI58" s="303" t="s">
        <v>1311</v>
      </c>
      <c r="AJ58" s="413" t="s">
        <v>7272</v>
      </c>
      <c r="AK58" s="413" t="s">
        <v>4028</v>
      </c>
      <c r="AL58" s="413" t="s">
        <v>4302</v>
      </c>
      <c r="AM58" s="413" t="s">
        <v>4029</v>
      </c>
      <c r="AN58" s="413" t="s">
        <v>4030</v>
      </c>
      <c r="AO58" s="413" t="s">
        <v>4031</v>
      </c>
      <c r="AP58" s="413" t="s">
        <v>4032</v>
      </c>
      <c r="AQ58" s="413" t="s">
        <v>4033</v>
      </c>
      <c r="AR58" s="413" t="s">
        <v>4047</v>
      </c>
      <c r="AS58" s="413" t="s">
        <v>4034</v>
      </c>
      <c r="AT58" s="413" t="s">
        <v>4035</v>
      </c>
      <c r="AU58" s="303" t="s">
        <v>2521</v>
      </c>
      <c r="AV58" s="413" t="s">
        <v>3277</v>
      </c>
      <c r="AW58" s="413" t="s">
        <v>4036</v>
      </c>
      <c r="AX58" s="413" t="s">
        <v>674</v>
      </c>
      <c r="AY58" s="303" t="s">
        <v>920</v>
      </c>
      <c r="AZ58" s="413" t="s">
        <v>728</v>
      </c>
      <c r="BA58" s="413" t="s">
        <v>729</v>
      </c>
      <c r="BB58" s="413" t="s">
        <v>730</v>
      </c>
      <c r="BC58" s="413" t="s">
        <v>731</v>
      </c>
      <c r="BD58" s="413" t="s">
        <v>4026</v>
      </c>
      <c r="BE58" s="413" t="s">
        <v>732</v>
      </c>
      <c r="BF58" s="303" t="s">
        <v>5591</v>
      </c>
      <c r="BG58" s="413" t="s">
        <v>4047</v>
      </c>
      <c r="BH58" s="303" t="s">
        <v>8816</v>
      </c>
      <c r="BI58" s="413" t="s">
        <v>3277</v>
      </c>
      <c r="BJ58" s="303" t="s">
        <v>4784</v>
      </c>
      <c r="BK58" s="413" t="s">
        <v>733</v>
      </c>
      <c r="BL58" s="413" t="s">
        <v>734</v>
      </c>
      <c r="BM58" s="413" t="s">
        <v>735</v>
      </c>
      <c r="BN58" s="413" t="s">
        <v>736</v>
      </c>
    </row>
    <row r="59" spans="1:66" s="304" customFormat="1" ht="51">
      <c r="A59" s="270"/>
      <c r="B59" s="328" t="s">
        <v>3627</v>
      </c>
      <c r="C59" s="273" t="s">
        <v>1870</v>
      </c>
      <c r="D59" s="303" t="s">
        <v>4301</v>
      </c>
      <c r="E59" s="303" t="s">
        <v>1985</v>
      </c>
      <c r="F59" s="413" t="s">
        <v>4083</v>
      </c>
      <c r="G59" s="413" t="s">
        <v>560</v>
      </c>
      <c r="H59" s="413" t="s">
        <v>747</v>
      </c>
      <c r="I59" s="303" t="s">
        <v>9335</v>
      </c>
      <c r="J59" s="273" t="s">
        <v>5570</v>
      </c>
      <c r="K59" s="273" t="s">
        <v>6314</v>
      </c>
      <c r="L59" s="303" t="s">
        <v>3803</v>
      </c>
      <c r="M59" s="303" t="s">
        <v>3804</v>
      </c>
      <c r="N59" s="413" t="s">
        <v>952</v>
      </c>
      <c r="O59" s="413" t="s">
        <v>953</v>
      </c>
      <c r="P59" s="413" t="s">
        <v>954</v>
      </c>
      <c r="Q59" s="413" t="s">
        <v>955</v>
      </c>
      <c r="R59" s="413" t="s">
        <v>956</v>
      </c>
      <c r="S59" s="303" t="s">
        <v>354</v>
      </c>
      <c r="T59" s="303" t="s">
        <v>508</v>
      </c>
      <c r="U59" s="413" t="s">
        <v>2480</v>
      </c>
      <c r="V59" s="303" t="s">
        <v>2953</v>
      </c>
      <c r="W59" s="413" t="s">
        <v>2481</v>
      </c>
      <c r="X59" s="413" t="s">
        <v>2482</v>
      </c>
      <c r="Y59" s="413" t="s">
        <v>2483</v>
      </c>
      <c r="Z59" s="303" t="s">
        <v>2131</v>
      </c>
      <c r="AA59" s="273" t="s">
        <v>3883</v>
      </c>
      <c r="AB59" s="303" t="s">
        <v>3431</v>
      </c>
      <c r="AC59" s="303" t="s">
        <v>7306</v>
      </c>
      <c r="AD59" s="413" t="s">
        <v>2484</v>
      </c>
      <c r="AE59" s="273" t="s">
        <v>7446</v>
      </c>
      <c r="AF59" s="413" t="s">
        <v>2485</v>
      </c>
      <c r="AG59" s="413" t="s">
        <v>2486</v>
      </c>
      <c r="AH59" s="413" t="s">
        <v>565</v>
      </c>
      <c r="AI59" s="303" t="s">
        <v>1789</v>
      </c>
      <c r="AJ59" s="413" t="s">
        <v>566</v>
      </c>
      <c r="AK59" s="413" t="s">
        <v>567</v>
      </c>
      <c r="AL59" s="413" t="s">
        <v>2081</v>
      </c>
      <c r="AM59" s="413" t="s">
        <v>568</v>
      </c>
      <c r="AN59" s="413" t="s">
        <v>2136</v>
      </c>
      <c r="AO59" s="303" t="s">
        <v>3650</v>
      </c>
      <c r="AP59" s="413" t="s">
        <v>2137</v>
      </c>
      <c r="AQ59" s="413" t="s">
        <v>521</v>
      </c>
      <c r="AR59" s="413" t="s">
        <v>522</v>
      </c>
      <c r="AS59" s="413" t="s">
        <v>523</v>
      </c>
      <c r="AT59" s="413" t="s">
        <v>524</v>
      </c>
      <c r="AU59" s="273" t="s">
        <v>1664</v>
      </c>
      <c r="AV59" s="303" t="s">
        <v>1491</v>
      </c>
      <c r="AW59" s="273" t="s">
        <v>7954</v>
      </c>
      <c r="AX59" s="413" t="s">
        <v>525</v>
      </c>
      <c r="AY59" s="303" t="s">
        <v>1665</v>
      </c>
      <c r="AZ59" s="413" t="s">
        <v>526</v>
      </c>
      <c r="BA59" s="413" t="s">
        <v>527</v>
      </c>
      <c r="BB59" s="413" t="s">
        <v>528</v>
      </c>
      <c r="BC59" s="413" t="s">
        <v>529</v>
      </c>
      <c r="BD59" s="303" t="s">
        <v>850</v>
      </c>
      <c r="BE59" s="303" t="s">
        <v>5384</v>
      </c>
      <c r="BF59" s="303" t="s">
        <v>5385</v>
      </c>
      <c r="BG59" s="413" t="s">
        <v>2489</v>
      </c>
      <c r="BH59" s="303" t="s">
        <v>3187</v>
      </c>
      <c r="BI59" s="303" t="s">
        <v>5386</v>
      </c>
      <c r="BJ59" s="413" t="s">
        <v>2490</v>
      </c>
      <c r="BK59" s="413" t="s">
        <v>2491</v>
      </c>
      <c r="BL59" s="303" t="s">
        <v>4481</v>
      </c>
      <c r="BM59" s="413" t="s">
        <v>2492</v>
      </c>
      <c r="BN59" s="413" t="s">
        <v>2493</v>
      </c>
    </row>
    <row r="60" spans="1:66" s="363" customFormat="1">
      <c r="A60" s="331"/>
      <c r="B60" s="331" t="s">
        <v>3623</v>
      </c>
      <c r="C60" s="414" t="s">
        <v>1018</v>
      </c>
      <c r="D60" s="414" t="s">
        <v>5692</v>
      </c>
      <c r="E60" s="414" t="s">
        <v>5699</v>
      </c>
      <c r="F60" s="414" t="s">
        <v>5705</v>
      </c>
      <c r="G60" s="414" t="s">
        <v>5708</v>
      </c>
      <c r="H60" s="414" t="s">
        <v>1617</v>
      </c>
      <c r="I60" s="414" t="s">
        <v>5226</v>
      </c>
      <c r="J60" s="414" t="s">
        <v>726</v>
      </c>
      <c r="K60" s="414" t="s">
        <v>7438</v>
      </c>
      <c r="L60" s="414" t="s">
        <v>5907</v>
      </c>
      <c r="M60" s="414" t="s">
        <v>4445</v>
      </c>
      <c r="N60" s="414" t="s">
        <v>4447</v>
      </c>
      <c r="O60" s="414" t="s">
        <v>2600</v>
      </c>
      <c r="P60" s="414" t="s">
        <v>2601</v>
      </c>
      <c r="Q60" s="414" t="s">
        <v>2330</v>
      </c>
      <c r="R60" s="414" t="s">
        <v>4268</v>
      </c>
      <c r="S60" s="414" t="s">
        <v>6450</v>
      </c>
      <c r="T60" s="414" t="s">
        <v>6458</v>
      </c>
      <c r="U60" s="414" t="s">
        <v>3773</v>
      </c>
      <c r="V60" s="414" t="s">
        <v>3956</v>
      </c>
      <c r="W60" s="414" t="s">
        <v>151</v>
      </c>
      <c r="X60" s="414" t="s">
        <v>3329</v>
      </c>
      <c r="Y60" s="414" t="s">
        <v>2631</v>
      </c>
      <c r="Z60" s="414" t="s">
        <v>486</v>
      </c>
      <c r="AA60" s="414" t="s">
        <v>3884</v>
      </c>
      <c r="AB60" s="414" t="s">
        <v>5685</v>
      </c>
      <c r="AC60" s="414" t="s">
        <v>3320</v>
      </c>
      <c r="AD60" s="414" t="s">
        <v>5138</v>
      </c>
      <c r="AE60" s="414" t="s">
        <v>5370</v>
      </c>
      <c r="AF60" s="414" t="s">
        <v>5372</v>
      </c>
      <c r="AG60" s="414" t="s">
        <v>5150</v>
      </c>
      <c r="AH60" s="414" t="s">
        <v>5475</v>
      </c>
      <c r="AI60" s="414" t="s">
        <v>5382</v>
      </c>
      <c r="AJ60" s="414" t="s">
        <v>9340</v>
      </c>
      <c r="AK60" s="414" t="s">
        <v>5324</v>
      </c>
      <c r="AL60" s="414" t="s">
        <v>5327</v>
      </c>
      <c r="AM60" s="414" t="s">
        <v>5865</v>
      </c>
      <c r="AN60" s="414" t="s">
        <v>2427</v>
      </c>
      <c r="AO60" s="414" t="s">
        <v>5334</v>
      </c>
      <c r="AP60" s="414" t="s">
        <v>5337</v>
      </c>
      <c r="AQ60" s="414" t="s">
        <v>3314</v>
      </c>
      <c r="AR60" s="414" t="s">
        <v>4577</v>
      </c>
      <c r="AS60" s="414" t="s">
        <v>4493</v>
      </c>
      <c r="AT60" s="414" t="s">
        <v>3233</v>
      </c>
      <c r="AU60" s="414" t="s">
        <v>2860</v>
      </c>
      <c r="AV60" s="414" t="s">
        <v>9240</v>
      </c>
      <c r="AW60" s="414" t="s">
        <v>1354</v>
      </c>
      <c r="AX60" s="414" t="s">
        <v>9248</v>
      </c>
      <c r="AY60" s="414" t="s">
        <v>9251</v>
      </c>
      <c r="AZ60" s="414" t="s">
        <v>6471</v>
      </c>
      <c r="BA60" s="414" t="s">
        <v>5117</v>
      </c>
      <c r="BB60" s="414" t="s">
        <v>3524</v>
      </c>
      <c r="BC60" s="414" t="s">
        <v>69</v>
      </c>
      <c r="BD60" s="414" t="s">
        <v>7487</v>
      </c>
      <c r="BE60" s="414" t="s">
        <v>5145</v>
      </c>
      <c r="BF60" s="414" t="s">
        <v>1648</v>
      </c>
      <c r="BG60" s="414" t="s">
        <v>4115</v>
      </c>
      <c r="BH60" s="414" t="s">
        <v>1657</v>
      </c>
      <c r="BI60" s="414" t="s">
        <v>1659</v>
      </c>
      <c r="BJ60" s="414" t="s">
        <v>218</v>
      </c>
      <c r="BK60" s="414" t="s">
        <v>220</v>
      </c>
      <c r="BL60" s="414" t="s">
        <v>665</v>
      </c>
      <c r="BM60" s="414" t="s">
        <v>2386</v>
      </c>
      <c r="BN60" s="414" t="s">
        <v>2827</v>
      </c>
    </row>
    <row r="61" spans="1:66" s="363" customFormat="1">
      <c r="A61" s="331"/>
      <c r="B61" s="331"/>
      <c r="C61" s="414" t="s">
        <v>1126</v>
      </c>
      <c r="D61" s="414" t="s">
        <v>4675</v>
      </c>
      <c r="E61" s="414" t="s">
        <v>4640</v>
      </c>
      <c r="F61" s="414" t="s">
        <v>5706</v>
      </c>
      <c r="G61" s="414" t="s">
        <v>1760</v>
      </c>
      <c r="H61" s="414" t="s">
        <v>1766</v>
      </c>
      <c r="I61" s="414" t="s">
        <v>725</v>
      </c>
      <c r="J61" s="414" t="s">
        <v>1309</v>
      </c>
      <c r="K61" s="414" t="s">
        <v>2875</v>
      </c>
      <c r="L61" s="414" t="s">
        <v>2696</v>
      </c>
      <c r="M61" s="414" t="s">
        <v>1503</v>
      </c>
      <c r="N61" s="414" t="s">
        <v>3613</v>
      </c>
      <c r="O61" s="414" t="s">
        <v>582</v>
      </c>
      <c r="P61" s="414" t="s">
        <v>7804</v>
      </c>
      <c r="Q61" s="414" t="s">
        <v>7810</v>
      </c>
      <c r="R61" s="414" t="s">
        <v>1127</v>
      </c>
      <c r="S61" s="414" t="s">
        <v>6449</v>
      </c>
      <c r="T61" s="414" t="s">
        <v>2313</v>
      </c>
      <c r="U61" s="414" t="s">
        <v>2599</v>
      </c>
      <c r="V61" s="414" t="s">
        <v>2622</v>
      </c>
      <c r="W61" s="414" t="s">
        <v>2625</v>
      </c>
      <c r="X61" s="414" t="s">
        <v>2597</v>
      </c>
      <c r="Y61" s="414" t="s">
        <v>5379</v>
      </c>
      <c r="Z61" s="414" t="s">
        <v>5832</v>
      </c>
      <c r="AA61" s="414" t="s">
        <v>5837</v>
      </c>
      <c r="AB61" s="414" t="s">
        <v>5684</v>
      </c>
      <c r="AC61" s="414" t="s">
        <v>4260</v>
      </c>
      <c r="AD61" s="414" t="s">
        <v>4165</v>
      </c>
      <c r="AE61" s="414" t="s">
        <v>4925</v>
      </c>
      <c r="AF61" s="414" t="s">
        <v>4931</v>
      </c>
      <c r="AG61" s="414" t="s">
        <v>7003</v>
      </c>
      <c r="AH61" s="414" t="s">
        <v>501</v>
      </c>
      <c r="AI61" s="414" t="s">
        <v>7043</v>
      </c>
      <c r="AJ61" s="414" t="s">
        <v>9341</v>
      </c>
      <c r="AK61" s="414" t="s">
        <v>989</v>
      </c>
      <c r="AL61" s="414" t="s">
        <v>5328</v>
      </c>
      <c r="AM61" s="686" t="s">
        <v>4938</v>
      </c>
      <c r="AN61" s="414" t="s">
        <v>7464</v>
      </c>
      <c r="AO61" s="414" t="s">
        <v>7470</v>
      </c>
      <c r="AP61" s="414" t="s">
        <v>7473</v>
      </c>
      <c r="AQ61" s="414" t="s">
        <v>3971</v>
      </c>
      <c r="AR61" s="414" t="s">
        <v>4490</v>
      </c>
      <c r="AS61" s="414" t="s">
        <v>3589</v>
      </c>
      <c r="AT61" s="414" t="s">
        <v>2853</v>
      </c>
      <c r="AU61" s="414" t="s">
        <v>3237</v>
      </c>
      <c r="AV61" s="414" t="s">
        <v>9277</v>
      </c>
      <c r="AW61" s="414" t="s">
        <v>5141</v>
      </c>
      <c r="AX61" s="414" t="s">
        <v>915</v>
      </c>
      <c r="AY61" s="414" t="s">
        <v>3448</v>
      </c>
      <c r="AZ61" s="414" t="s">
        <v>2721</v>
      </c>
      <c r="BA61" s="414" t="s">
        <v>9034</v>
      </c>
      <c r="BB61" s="414" t="s">
        <v>2784</v>
      </c>
      <c r="BC61" s="414" t="s">
        <v>5297</v>
      </c>
      <c r="BD61" s="414" t="s">
        <v>7488</v>
      </c>
      <c r="BE61" s="414" t="s">
        <v>4120</v>
      </c>
      <c r="BF61" s="414" t="s">
        <v>1647</v>
      </c>
      <c r="BG61" s="414" t="s">
        <v>4390</v>
      </c>
      <c r="BH61" s="414" t="s">
        <v>8171</v>
      </c>
      <c r="BI61" s="414" t="s">
        <v>8180</v>
      </c>
      <c r="BJ61" s="414" t="s">
        <v>5609</v>
      </c>
      <c r="BK61" s="414" t="s">
        <v>5614</v>
      </c>
      <c r="BL61" s="414" t="s">
        <v>5622</v>
      </c>
      <c r="BM61" s="414" t="s">
        <v>1452</v>
      </c>
      <c r="BN61" s="414" t="s">
        <v>7504</v>
      </c>
    </row>
    <row r="62" spans="1:66" s="369" customFormat="1">
      <c r="A62" s="373"/>
      <c r="B62" s="373"/>
      <c r="C62" s="370" t="s">
        <v>4681</v>
      </c>
      <c r="D62" s="370" t="s">
        <v>4681</v>
      </c>
      <c r="E62" s="415" t="s">
        <v>4641</v>
      </c>
      <c r="F62" s="415" t="s">
        <v>3508</v>
      </c>
      <c r="G62" s="415" t="s">
        <v>3519</v>
      </c>
      <c r="H62" s="370" t="s">
        <v>4681</v>
      </c>
      <c r="I62" s="370" t="s">
        <v>4681</v>
      </c>
      <c r="J62" s="370" t="s">
        <v>4681</v>
      </c>
      <c r="K62" s="370" t="s">
        <v>4681</v>
      </c>
      <c r="L62" s="370" t="s">
        <v>4681</v>
      </c>
      <c r="M62" s="370" t="s">
        <v>4681</v>
      </c>
      <c r="N62" s="415" t="s">
        <v>7530</v>
      </c>
      <c r="O62" s="370" t="s">
        <v>4681</v>
      </c>
      <c r="P62" s="370" t="s">
        <v>4681</v>
      </c>
      <c r="Q62" s="370" t="s">
        <v>4681</v>
      </c>
      <c r="R62" s="370" t="s">
        <v>4681</v>
      </c>
      <c r="S62" s="370" t="s">
        <v>4681</v>
      </c>
      <c r="T62" s="370" t="s">
        <v>4681</v>
      </c>
      <c r="U62" s="370" t="s">
        <v>4681</v>
      </c>
      <c r="V62" s="370" t="s">
        <v>4681</v>
      </c>
      <c r="W62" s="415" t="s">
        <v>3326</v>
      </c>
      <c r="X62" s="370" t="s">
        <v>4681</v>
      </c>
      <c r="Y62" s="370" t="s">
        <v>4681</v>
      </c>
      <c r="Z62" s="370" t="s">
        <v>4681</v>
      </c>
      <c r="AA62" s="370" t="s">
        <v>4681</v>
      </c>
      <c r="AB62" s="370" t="s">
        <v>4681</v>
      </c>
      <c r="AC62" s="370" t="s">
        <v>4681</v>
      </c>
      <c r="AD62" s="370" t="s">
        <v>4681</v>
      </c>
      <c r="AE62" s="370" t="s">
        <v>4681</v>
      </c>
      <c r="AF62" s="370" t="s">
        <v>4681</v>
      </c>
      <c r="AG62" s="370" t="s">
        <v>4681</v>
      </c>
      <c r="AH62" s="370" t="s">
        <v>4681</v>
      </c>
      <c r="AI62" s="370" t="s">
        <v>4681</v>
      </c>
      <c r="AJ62" s="415" t="s">
        <v>983</v>
      </c>
      <c r="AK62" s="415" t="s">
        <v>991</v>
      </c>
      <c r="AL62" s="370" t="s">
        <v>4681</v>
      </c>
      <c r="AM62" s="370" t="s">
        <v>4681</v>
      </c>
      <c r="AN62" s="370" t="s">
        <v>4681</v>
      </c>
      <c r="AO62" s="370" t="s">
        <v>4681</v>
      </c>
      <c r="AP62" s="370" t="s">
        <v>4681</v>
      </c>
      <c r="AQ62" s="370" t="s">
        <v>4681</v>
      </c>
      <c r="AR62" s="415" t="s">
        <v>4491</v>
      </c>
      <c r="AS62" s="370" t="s">
        <v>4681</v>
      </c>
      <c r="AT62" s="370" t="s">
        <v>4681</v>
      </c>
      <c r="AU62" s="370" t="s">
        <v>4681</v>
      </c>
      <c r="AV62" s="370" t="s">
        <v>4681</v>
      </c>
      <c r="AW62" s="370" t="s">
        <v>4681</v>
      </c>
      <c r="AX62" s="370" t="s">
        <v>4681</v>
      </c>
      <c r="AY62" s="370" t="s">
        <v>4681</v>
      </c>
      <c r="AZ62" s="370" t="s">
        <v>4681</v>
      </c>
      <c r="BA62" s="370" t="s">
        <v>4681</v>
      </c>
      <c r="BB62" s="370" t="s">
        <v>4681</v>
      </c>
      <c r="BC62" s="415" t="s">
        <v>5296</v>
      </c>
      <c r="BD62" s="370" t="s">
        <v>4681</v>
      </c>
      <c r="BE62" s="370" t="s">
        <v>4681</v>
      </c>
      <c r="BF62" s="370" t="s">
        <v>4681</v>
      </c>
      <c r="BG62" s="370" t="s">
        <v>4681</v>
      </c>
      <c r="BH62" s="370" t="s">
        <v>4681</v>
      </c>
      <c r="BI62" s="370" t="s">
        <v>4681</v>
      </c>
      <c r="BJ62" s="370" t="s">
        <v>4681</v>
      </c>
      <c r="BK62" s="370" t="s">
        <v>4681</v>
      </c>
      <c r="BL62" s="370" t="s">
        <v>4681</v>
      </c>
      <c r="BM62" s="415" t="s">
        <v>1453</v>
      </c>
      <c r="BN62" s="415" t="s">
        <v>7505</v>
      </c>
    </row>
    <row r="63" spans="1:66" s="369" customFormat="1">
      <c r="A63" s="373"/>
      <c r="B63" s="374"/>
      <c r="C63" s="349" t="s">
        <v>4681</v>
      </c>
      <c r="D63" s="349" t="s">
        <v>4681</v>
      </c>
      <c r="E63" s="415" t="s">
        <v>1813</v>
      </c>
      <c r="F63" s="415" t="s">
        <v>2842</v>
      </c>
      <c r="G63" s="415" t="s">
        <v>5032</v>
      </c>
      <c r="H63" s="349" t="s">
        <v>4681</v>
      </c>
      <c r="I63" s="349" t="s">
        <v>4681</v>
      </c>
      <c r="J63" s="349" t="s">
        <v>4681</v>
      </c>
      <c r="K63" s="349" t="s">
        <v>4681</v>
      </c>
      <c r="L63" s="349" t="s">
        <v>4681</v>
      </c>
      <c r="M63" s="349" t="s">
        <v>4681</v>
      </c>
      <c r="N63" s="415" t="s">
        <v>7531</v>
      </c>
      <c r="O63" s="349" t="s">
        <v>4681</v>
      </c>
      <c r="P63" s="349" t="s">
        <v>4681</v>
      </c>
      <c r="Q63" s="349" t="s">
        <v>4681</v>
      </c>
      <c r="R63" s="349" t="s">
        <v>4681</v>
      </c>
      <c r="S63" s="349" t="s">
        <v>4681</v>
      </c>
      <c r="T63" s="349" t="s">
        <v>4681</v>
      </c>
      <c r="U63" s="349" t="s">
        <v>4681</v>
      </c>
      <c r="V63" s="349" t="s">
        <v>4681</v>
      </c>
      <c r="W63" s="415" t="s">
        <v>2316</v>
      </c>
      <c r="X63" s="415" t="s">
        <v>202</v>
      </c>
      <c r="Y63" s="349" t="s">
        <v>4681</v>
      </c>
      <c r="Z63" s="349" t="s">
        <v>4681</v>
      </c>
      <c r="AA63" s="349" t="s">
        <v>4681</v>
      </c>
      <c r="AB63" s="349" t="s">
        <v>4681</v>
      </c>
      <c r="AC63" s="349" t="s">
        <v>4681</v>
      </c>
      <c r="AD63" s="349" t="s">
        <v>4681</v>
      </c>
      <c r="AE63" s="349" t="s">
        <v>4681</v>
      </c>
      <c r="AF63" s="349" t="s">
        <v>4681</v>
      </c>
      <c r="AG63" s="349" t="s">
        <v>4681</v>
      </c>
      <c r="AH63" s="349" t="s">
        <v>4681</v>
      </c>
      <c r="AI63" s="349" t="s">
        <v>4681</v>
      </c>
      <c r="AJ63" s="415" t="s">
        <v>984</v>
      </c>
      <c r="AK63" s="415" t="s">
        <v>990</v>
      </c>
      <c r="AL63" s="349" t="s">
        <v>4681</v>
      </c>
      <c r="AM63" s="349" t="s">
        <v>4681</v>
      </c>
      <c r="AN63" s="349" t="s">
        <v>4681</v>
      </c>
      <c r="AO63" s="349" t="s">
        <v>4681</v>
      </c>
      <c r="AP63" s="349" t="s">
        <v>4681</v>
      </c>
      <c r="AQ63" s="349" t="s">
        <v>4681</v>
      </c>
      <c r="AR63" s="415" t="s">
        <v>4121</v>
      </c>
      <c r="AS63" s="349" t="s">
        <v>4681</v>
      </c>
      <c r="AT63" s="349" t="s">
        <v>4681</v>
      </c>
      <c r="AU63" s="349" t="s">
        <v>4681</v>
      </c>
      <c r="AV63" s="349" t="s">
        <v>4681</v>
      </c>
      <c r="AW63" s="349" t="s">
        <v>4681</v>
      </c>
      <c r="AX63" s="349" t="s">
        <v>4681</v>
      </c>
      <c r="AY63" s="349" t="s">
        <v>4681</v>
      </c>
      <c r="AZ63" s="349" t="s">
        <v>4681</v>
      </c>
      <c r="BA63" s="349" t="s">
        <v>4681</v>
      </c>
      <c r="BB63" s="349" t="s">
        <v>4681</v>
      </c>
      <c r="BC63" s="415" t="s">
        <v>2790</v>
      </c>
      <c r="BD63" s="349" t="s">
        <v>4681</v>
      </c>
      <c r="BE63" s="349" t="s">
        <v>4681</v>
      </c>
      <c r="BF63" s="349" t="s">
        <v>4681</v>
      </c>
      <c r="BG63" s="349" t="s">
        <v>4681</v>
      </c>
      <c r="BH63" s="349" t="s">
        <v>4681</v>
      </c>
      <c r="BI63" s="349" t="s">
        <v>4681</v>
      </c>
      <c r="BJ63" s="349" t="s">
        <v>4681</v>
      </c>
      <c r="BK63" s="349" t="s">
        <v>4681</v>
      </c>
      <c r="BL63" s="349" t="s">
        <v>4681</v>
      </c>
      <c r="BM63" s="415" t="s">
        <v>1454</v>
      </c>
      <c r="BN63" s="415" t="s">
        <v>2828</v>
      </c>
    </row>
    <row r="64" spans="1:66" s="424" customFormat="1" ht="63.75">
      <c r="A64" s="421">
        <v>1</v>
      </c>
      <c r="B64" s="422" t="s">
        <v>3624</v>
      </c>
      <c r="C64" s="425" t="s">
        <v>2415</v>
      </c>
      <c r="D64" s="425" t="s">
        <v>8167</v>
      </c>
      <c r="E64" s="425" t="s">
        <v>4329</v>
      </c>
      <c r="F64" s="680" t="s">
        <v>440</v>
      </c>
      <c r="G64" s="680" t="s">
        <v>3202</v>
      </c>
      <c r="H64" s="680" t="s">
        <v>6018</v>
      </c>
      <c r="I64" s="681" t="s">
        <v>848</v>
      </c>
      <c r="J64" s="680" t="s">
        <v>1163</v>
      </c>
      <c r="K64" s="681" t="s">
        <v>391</v>
      </c>
      <c r="L64" s="681" t="s">
        <v>2954</v>
      </c>
      <c r="M64" s="680" t="s">
        <v>6472</v>
      </c>
      <c r="N64" s="680" t="s">
        <v>5753</v>
      </c>
      <c r="O64" s="681" t="s">
        <v>4869</v>
      </c>
      <c r="P64" s="425" t="s">
        <v>8020</v>
      </c>
      <c r="Q64" s="681" t="s">
        <v>9353</v>
      </c>
      <c r="R64" s="681" t="s">
        <v>1963</v>
      </c>
      <c r="S64" s="680" t="s">
        <v>2950</v>
      </c>
      <c r="T64" s="680" t="s">
        <v>907</v>
      </c>
      <c r="U64" s="681" t="s">
        <v>4320</v>
      </c>
      <c r="V64" s="681" t="s">
        <v>3954</v>
      </c>
      <c r="W64" s="681" t="s">
        <v>5971</v>
      </c>
      <c r="X64" s="681" t="s">
        <v>3653</v>
      </c>
      <c r="Y64" s="680" t="s">
        <v>1560</v>
      </c>
      <c r="Z64" s="681" t="s">
        <v>8946</v>
      </c>
      <c r="AA64" s="425" t="s">
        <v>5541</v>
      </c>
      <c r="AB64" s="681" t="s">
        <v>7793</v>
      </c>
      <c r="AC64" s="680" t="s">
        <v>3641</v>
      </c>
      <c r="AD64" s="681" t="s">
        <v>2846</v>
      </c>
      <c r="AE64" s="681" t="s">
        <v>7099</v>
      </c>
      <c r="AF64" s="681" t="s">
        <v>2900</v>
      </c>
      <c r="AG64" s="681" t="s">
        <v>5087</v>
      </c>
      <c r="AH64" s="680" t="s">
        <v>5573</v>
      </c>
      <c r="AI64" s="680" t="s">
        <v>4636</v>
      </c>
      <c r="AJ64" s="681" t="s">
        <v>1130</v>
      </c>
      <c r="AK64" s="680" t="s">
        <v>9221</v>
      </c>
      <c r="AL64" s="680" t="s">
        <v>4935</v>
      </c>
      <c r="AM64" s="680" t="s">
        <v>1819</v>
      </c>
      <c r="AN64" s="680" t="s">
        <v>4940</v>
      </c>
      <c r="AO64" s="681" t="s">
        <v>2951</v>
      </c>
      <c r="AP64" s="681" t="s">
        <v>555</v>
      </c>
      <c r="AQ64" s="680" t="s">
        <v>8727</v>
      </c>
      <c r="AR64" s="681" t="s">
        <v>3479</v>
      </c>
      <c r="AS64" s="680" t="s">
        <v>5601</v>
      </c>
      <c r="AT64" s="680" t="s">
        <v>2961</v>
      </c>
      <c r="AU64" s="680" t="s">
        <v>2858</v>
      </c>
      <c r="AV64" s="681" t="s">
        <v>3496</v>
      </c>
      <c r="AW64" s="680" t="s">
        <v>4452</v>
      </c>
      <c r="AX64" s="680" t="s">
        <v>4382</v>
      </c>
      <c r="AY64" s="681" t="s">
        <v>4583</v>
      </c>
      <c r="AZ64" s="680" t="s">
        <v>2719</v>
      </c>
      <c r="BA64" s="681" t="s">
        <v>2897</v>
      </c>
      <c r="BB64" s="680" t="s">
        <v>6473</v>
      </c>
      <c r="BC64" s="680" t="s">
        <v>3845</v>
      </c>
      <c r="BD64" s="680" t="s">
        <v>3523</v>
      </c>
      <c r="BE64" s="680" t="s">
        <v>7960</v>
      </c>
      <c r="BF64" s="681" t="s">
        <v>5589</v>
      </c>
      <c r="BG64" s="680" t="s">
        <v>3599</v>
      </c>
      <c r="BH64" s="681" t="s">
        <v>2254</v>
      </c>
      <c r="BI64" s="681" t="s">
        <v>9030</v>
      </c>
      <c r="BJ64" s="681" t="s">
        <v>7392</v>
      </c>
      <c r="BK64" s="680" t="s">
        <v>849</v>
      </c>
      <c r="BL64" s="681" t="s">
        <v>4943</v>
      </c>
      <c r="BM64" s="680" t="s">
        <v>408</v>
      </c>
      <c r="BN64" s="680" t="s">
        <v>3892</v>
      </c>
    </row>
    <row r="65" spans="1:66" s="272" customFormat="1" ht="25.5">
      <c r="A65" s="270"/>
      <c r="B65" s="271" t="s">
        <v>1392</v>
      </c>
      <c r="C65" s="413" t="s">
        <v>6128</v>
      </c>
      <c r="D65" s="413" t="s">
        <v>6134</v>
      </c>
      <c r="E65" s="413" t="s">
        <v>8751</v>
      </c>
      <c r="F65" s="413" t="s">
        <v>8752</v>
      </c>
      <c r="G65" s="413" t="s">
        <v>7275</v>
      </c>
      <c r="H65" s="413" t="s">
        <v>7276</v>
      </c>
      <c r="I65" s="413" t="s">
        <v>7277</v>
      </c>
      <c r="J65" s="413" t="s">
        <v>7278</v>
      </c>
      <c r="K65" s="413" t="s">
        <v>6135</v>
      </c>
      <c r="L65" s="413" t="s">
        <v>7279</v>
      </c>
      <c r="M65" s="413" t="s">
        <v>7280</v>
      </c>
      <c r="N65" s="413" t="s">
        <v>7281</v>
      </c>
      <c r="O65" s="413" t="s">
        <v>6247</v>
      </c>
      <c r="P65" s="413" t="s">
        <v>6248</v>
      </c>
      <c r="Q65" s="413" t="s">
        <v>6249</v>
      </c>
      <c r="R65" s="413" t="s">
        <v>6250</v>
      </c>
      <c r="S65" s="413" t="s">
        <v>6042</v>
      </c>
      <c r="T65" s="413" t="s">
        <v>6043</v>
      </c>
      <c r="U65" s="413" t="s">
        <v>6044</v>
      </c>
      <c r="V65" s="413" t="s">
        <v>6045</v>
      </c>
      <c r="W65" s="413" t="s">
        <v>6046</v>
      </c>
      <c r="X65" s="413" t="s">
        <v>6047</v>
      </c>
      <c r="Y65" s="413" t="s">
        <v>6048</v>
      </c>
      <c r="Z65" s="413" t="s">
        <v>6049</v>
      </c>
      <c r="AA65" s="413" t="s">
        <v>1580</v>
      </c>
      <c r="AB65" s="413" t="s">
        <v>1581</v>
      </c>
      <c r="AC65" s="413" t="s">
        <v>1582</v>
      </c>
      <c r="AD65" s="413" t="s">
        <v>1583</v>
      </c>
      <c r="AE65" s="413" t="s">
        <v>1584</v>
      </c>
      <c r="AF65" s="413" t="s">
        <v>1585</v>
      </c>
      <c r="AG65" s="413" t="s">
        <v>1586</v>
      </c>
      <c r="AH65" s="413" t="s">
        <v>1587</v>
      </c>
      <c r="AI65" s="413" t="s">
        <v>3352</v>
      </c>
      <c r="AJ65" s="413" t="s">
        <v>3353</v>
      </c>
      <c r="AK65" s="413" t="s">
        <v>3354</v>
      </c>
      <c r="AL65" s="413" t="s">
        <v>3355</v>
      </c>
      <c r="AM65" s="413" t="s">
        <v>3356</v>
      </c>
      <c r="AN65" s="413" t="s">
        <v>3357</v>
      </c>
      <c r="AO65" s="413" t="s">
        <v>3358</v>
      </c>
      <c r="AP65" s="413" t="s">
        <v>3359</v>
      </c>
      <c r="AQ65" s="413" t="s">
        <v>3360</v>
      </c>
      <c r="AR65" s="413" t="s">
        <v>3361</v>
      </c>
      <c r="AS65" s="413" t="s">
        <v>3362</v>
      </c>
      <c r="AT65" s="413" t="s">
        <v>3363</v>
      </c>
      <c r="AU65" s="413" t="s">
        <v>3970</v>
      </c>
      <c r="AV65" s="413" t="s">
        <v>1592</v>
      </c>
      <c r="AW65" s="413" t="s">
        <v>1593</v>
      </c>
      <c r="AX65" s="413" t="s">
        <v>1594</v>
      </c>
      <c r="AY65" s="413" t="s">
        <v>1595</v>
      </c>
      <c r="AZ65" s="413" t="s">
        <v>1596</v>
      </c>
      <c r="BA65" s="413" t="s">
        <v>1597</v>
      </c>
      <c r="BB65" s="413" t="s">
        <v>1598</v>
      </c>
      <c r="BC65" s="413" t="s">
        <v>1599</v>
      </c>
      <c r="BD65" s="413" t="s">
        <v>1600</v>
      </c>
      <c r="BE65" s="413" t="s">
        <v>1601</v>
      </c>
      <c r="BF65" s="413" t="s">
        <v>1602</v>
      </c>
      <c r="BG65" s="413" t="s">
        <v>1603</v>
      </c>
      <c r="BH65" s="413" t="s">
        <v>748</v>
      </c>
      <c r="BI65" s="413" t="s">
        <v>749</v>
      </c>
      <c r="BJ65" s="413" t="s">
        <v>750</v>
      </c>
      <c r="BK65" s="413" t="s">
        <v>751</v>
      </c>
      <c r="BL65" s="413" t="s">
        <v>752</v>
      </c>
      <c r="BM65" s="413" t="s">
        <v>753</v>
      </c>
      <c r="BN65" s="413" t="s">
        <v>754</v>
      </c>
    </row>
    <row r="66" spans="1:66" s="272" customFormat="1" ht="63.75">
      <c r="A66" s="270"/>
      <c r="B66" s="271" t="s">
        <v>3621</v>
      </c>
      <c r="C66" s="413" t="s">
        <v>3591</v>
      </c>
      <c r="D66" s="413" t="s">
        <v>3592</v>
      </c>
      <c r="E66" s="413" t="s">
        <v>1499</v>
      </c>
      <c r="F66" s="413" t="s">
        <v>1500</v>
      </c>
      <c r="G66" s="413" t="s">
        <v>1501</v>
      </c>
      <c r="H66" s="413" t="s">
        <v>1515</v>
      </c>
      <c r="I66" s="413" t="s">
        <v>1505</v>
      </c>
      <c r="J66" s="413" t="s">
        <v>1506</v>
      </c>
      <c r="K66" s="413" t="s">
        <v>3651</v>
      </c>
      <c r="L66" s="413" t="s">
        <v>3652</v>
      </c>
      <c r="M66" s="413" t="s">
        <v>1507</v>
      </c>
      <c r="N66" s="413" t="s">
        <v>2968</v>
      </c>
      <c r="O66" s="413" t="s">
        <v>2969</v>
      </c>
      <c r="P66" s="413" t="s">
        <v>2970</v>
      </c>
      <c r="Q66" s="413" t="s">
        <v>2971</v>
      </c>
      <c r="R66" s="413" t="s">
        <v>2972</v>
      </c>
      <c r="S66" s="413" t="s">
        <v>2973</v>
      </c>
      <c r="T66" s="413" t="s">
        <v>2974</v>
      </c>
      <c r="U66" s="413" t="s">
        <v>2975</v>
      </c>
      <c r="V66" s="413" t="s">
        <v>2976</v>
      </c>
      <c r="W66" s="413" t="s">
        <v>4960</v>
      </c>
      <c r="X66" s="413" t="s">
        <v>4961</v>
      </c>
      <c r="Y66" s="413" t="s">
        <v>4962</v>
      </c>
      <c r="Z66" s="413" t="s">
        <v>4963</v>
      </c>
      <c r="AA66" s="413" t="s">
        <v>4964</v>
      </c>
      <c r="AB66" s="413" t="s">
        <v>4965</v>
      </c>
      <c r="AC66" s="413" t="s">
        <v>4966</v>
      </c>
      <c r="AD66" s="413" t="s">
        <v>4967</v>
      </c>
      <c r="AE66" s="413" t="s">
        <v>4968</v>
      </c>
      <c r="AF66" s="413" t="s">
        <v>4969</v>
      </c>
      <c r="AG66" s="413" t="s">
        <v>6088</v>
      </c>
      <c r="AH66" s="413" t="s">
        <v>2992</v>
      </c>
      <c r="AI66" s="413" t="s">
        <v>2993</v>
      </c>
      <c r="AJ66" s="413" t="s">
        <v>4970</v>
      </c>
      <c r="AK66" s="413" t="s">
        <v>4971</v>
      </c>
      <c r="AL66" s="413" t="s">
        <v>4972</v>
      </c>
      <c r="AM66" s="413" t="s">
        <v>2989</v>
      </c>
      <c r="AN66" s="413" t="s">
        <v>2990</v>
      </c>
      <c r="AO66" s="413" t="s">
        <v>2991</v>
      </c>
      <c r="AP66" s="413" t="s">
        <v>3311</v>
      </c>
      <c r="AQ66" s="413" t="s">
        <v>3312</v>
      </c>
      <c r="AR66" s="413" t="s">
        <v>3313</v>
      </c>
      <c r="AS66" s="413" t="s">
        <v>1568</v>
      </c>
      <c r="AT66" s="413" t="s">
        <v>1569</v>
      </c>
      <c r="AU66" s="413" t="s">
        <v>1570</v>
      </c>
      <c r="AV66" s="413" t="s">
        <v>1571</v>
      </c>
      <c r="AW66" s="413" t="s">
        <v>5060</v>
      </c>
      <c r="AX66" s="413" t="s">
        <v>5061</v>
      </c>
      <c r="AY66" s="413" t="s">
        <v>5062</v>
      </c>
      <c r="AZ66" s="413" t="s">
        <v>6041</v>
      </c>
      <c r="BA66" s="413" t="s">
        <v>9037</v>
      </c>
      <c r="BB66" s="413" t="s">
        <v>9038</v>
      </c>
      <c r="BC66" s="413" t="s">
        <v>9039</v>
      </c>
      <c r="BD66" s="413" t="s">
        <v>9040</v>
      </c>
      <c r="BE66" s="413" t="s">
        <v>9041</v>
      </c>
      <c r="BF66" s="413" t="s">
        <v>9042</v>
      </c>
      <c r="BG66" s="413" t="s">
        <v>9043</v>
      </c>
      <c r="BH66" s="413" t="s">
        <v>8733</v>
      </c>
      <c r="BI66" s="413" t="s">
        <v>8734</v>
      </c>
      <c r="BJ66" s="413" t="s">
        <v>8735</v>
      </c>
      <c r="BK66" s="413" t="s">
        <v>8736</v>
      </c>
      <c r="BL66" s="413" t="s">
        <v>8771</v>
      </c>
      <c r="BM66" s="413" t="s">
        <v>8772</v>
      </c>
      <c r="BN66" s="413" t="s">
        <v>962</v>
      </c>
    </row>
    <row r="67" spans="1:66" s="272" customFormat="1" ht="51">
      <c r="A67" s="270"/>
      <c r="B67" s="271" t="s">
        <v>3622</v>
      </c>
      <c r="C67" s="413" t="s">
        <v>7008</v>
      </c>
      <c r="D67" s="413" t="s">
        <v>7009</v>
      </c>
      <c r="E67" s="413" t="s">
        <v>1983</v>
      </c>
      <c r="F67" s="413" t="s">
        <v>697</v>
      </c>
      <c r="G67" s="413" t="s">
        <v>698</v>
      </c>
      <c r="H67" s="413" t="s">
        <v>1355</v>
      </c>
      <c r="I67" s="413" t="s">
        <v>1356</v>
      </c>
      <c r="J67" s="413" t="s">
        <v>1357</v>
      </c>
      <c r="K67" s="413" t="s">
        <v>1516</v>
      </c>
      <c r="L67" s="413" t="s">
        <v>1517</v>
      </c>
      <c r="M67" s="413" t="s">
        <v>1518</v>
      </c>
      <c r="N67" s="413" t="s">
        <v>1519</v>
      </c>
      <c r="O67" s="413" t="s">
        <v>1520</v>
      </c>
      <c r="P67" s="413" t="s">
        <v>1521</v>
      </c>
      <c r="Q67" s="413" t="s">
        <v>0</v>
      </c>
      <c r="R67" s="413" t="s">
        <v>1</v>
      </c>
      <c r="S67" s="413" t="s">
        <v>2</v>
      </c>
      <c r="T67" s="413" t="s">
        <v>2977</v>
      </c>
      <c r="U67" s="413" t="s">
        <v>2978</v>
      </c>
      <c r="V67" s="413" t="s">
        <v>2979</v>
      </c>
      <c r="W67" s="413" t="s">
        <v>2980</v>
      </c>
      <c r="X67" s="413" t="s">
        <v>2981</v>
      </c>
      <c r="Y67" s="413" t="s">
        <v>2982</v>
      </c>
      <c r="Z67" s="413" t="s">
        <v>2983</v>
      </c>
      <c r="AA67" s="413" t="s">
        <v>1567</v>
      </c>
      <c r="AB67" s="413" t="s">
        <v>1358</v>
      </c>
      <c r="AC67" s="413" t="s">
        <v>1359</v>
      </c>
      <c r="AD67" s="413" t="s">
        <v>1360</v>
      </c>
      <c r="AE67" s="413" t="s">
        <v>1361</v>
      </c>
      <c r="AF67" s="413" t="s">
        <v>1362</v>
      </c>
      <c r="AG67" s="413" t="s">
        <v>1363</v>
      </c>
      <c r="AH67" s="413" t="s">
        <v>1364</v>
      </c>
      <c r="AI67" s="413" t="s">
        <v>1365</v>
      </c>
      <c r="AJ67" s="413" t="s">
        <v>1366</v>
      </c>
      <c r="AK67" s="413" t="s">
        <v>5026</v>
      </c>
      <c r="AL67" s="413" t="s">
        <v>5027</v>
      </c>
      <c r="AM67" s="413" t="s">
        <v>5028</v>
      </c>
      <c r="AN67" s="413" t="s">
        <v>5029</v>
      </c>
      <c r="AO67" s="413" t="s">
        <v>3301</v>
      </c>
      <c r="AP67" s="413" t="s">
        <v>3302</v>
      </c>
      <c r="AQ67" s="413" t="s">
        <v>3303</v>
      </c>
      <c r="AR67" s="413" t="s">
        <v>5119</v>
      </c>
      <c r="AS67" s="413" t="s">
        <v>5120</v>
      </c>
      <c r="AT67" s="413" t="s">
        <v>5121</v>
      </c>
      <c r="AU67" s="413" t="s">
        <v>5122</v>
      </c>
      <c r="AV67" s="413" t="s">
        <v>4065</v>
      </c>
      <c r="AW67" s="413" t="s">
        <v>4066</v>
      </c>
      <c r="AX67" s="413" t="s">
        <v>512</v>
      </c>
      <c r="AY67" s="413" t="s">
        <v>513</v>
      </c>
      <c r="AZ67" s="413" t="s">
        <v>514</v>
      </c>
      <c r="BA67" s="413" t="s">
        <v>515</v>
      </c>
      <c r="BB67" s="413" t="s">
        <v>516</v>
      </c>
      <c r="BC67" s="413" t="s">
        <v>517</v>
      </c>
      <c r="BD67" s="413" t="s">
        <v>518</v>
      </c>
      <c r="BE67" s="413" t="s">
        <v>519</v>
      </c>
      <c r="BF67" s="413" t="s">
        <v>520</v>
      </c>
      <c r="BG67" s="413" t="s">
        <v>558</v>
      </c>
      <c r="BH67" s="413" t="s">
        <v>6230</v>
      </c>
      <c r="BI67" s="413" t="s">
        <v>6231</v>
      </c>
      <c r="BJ67" s="413" t="s">
        <v>6232</v>
      </c>
      <c r="BK67" s="413" t="s">
        <v>6233</v>
      </c>
      <c r="BL67" s="413" t="s">
        <v>6234</v>
      </c>
      <c r="BM67" s="413" t="s">
        <v>6235</v>
      </c>
      <c r="BN67" s="413" t="s">
        <v>5057</v>
      </c>
    </row>
    <row r="68" spans="1:66" s="304" customFormat="1" ht="25.5">
      <c r="A68" s="270"/>
      <c r="B68" s="328" t="s">
        <v>3625</v>
      </c>
      <c r="C68" s="303" t="s">
        <v>378</v>
      </c>
      <c r="D68" s="303" t="s">
        <v>9217</v>
      </c>
      <c r="E68" s="413" t="s">
        <v>3063</v>
      </c>
      <c r="F68" s="413" t="s">
        <v>3064</v>
      </c>
      <c r="G68" s="413" t="s">
        <v>1636</v>
      </c>
      <c r="H68" s="413" t="s">
        <v>3065</v>
      </c>
      <c r="I68" s="413" t="s">
        <v>3066</v>
      </c>
      <c r="J68" s="413" t="s">
        <v>3067</v>
      </c>
      <c r="K68" s="413" t="s">
        <v>3068</v>
      </c>
      <c r="L68" s="413" t="s">
        <v>3069</v>
      </c>
      <c r="M68" s="413" t="s">
        <v>3070</v>
      </c>
      <c r="N68" s="413" t="s">
        <v>3071</v>
      </c>
      <c r="O68" s="413" t="s">
        <v>3072</v>
      </c>
      <c r="P68" s="413" t="s">
        <v>3073</v>
      </c>
      <c r="Q68" s="413" t="s">
        <v>3074</v>
      </c>
      <c r="R68" s="413" t="s">
        <v>3075</v>
      </c>
      <c r="S68" s="413" t="s">
        <v>3076</v>
      </c>
      <c r="T68" s="413" t="s">
        <v>285</v>
      </c>
      <c r="U68" s="413" t="s">
        <v>286</v>
      </c>
      <c r="V68" s="413" t="s">
        <v>2470</v>
      </c>
      <c r="W68" s="413" t="s">
        <v>7256</v>
      </c>
      <c r="X68" s="413" t="s">
        <v>2471</v>
      </c>
      <c r="Y68" s="303" t="s">
        <v>9331</v>
      </c>
      <c r="Z68" s="413" t="s">
        <v>2472</v>
      </c>
      <c r="AA68" s="413" t="s">
        <v>2473</v>
      </c>
      <c r="AB68" s="413" t="s">
        <v>2474</v>
      </c>
      <c r="AC68" s="413" t="s">
        <v>42</v>
      </c>
      <c r="AD68" s="413" t="s">
        <v>43</v>
      </c>
      <c r="AE68" s="303" t="s">
        <v>2410</v>
      </c>
      <c r="AF68" s="413" t="s">
        <v>44</v>
      </c>
      <c r="AG68" s="303" t="s">
        <v>7453</v>
      </c>
      <c r="AH68" s="413" t="s">
        <v>45</v>
      </c>
      <c r="AI68" s="413" t="s">
        <v>46</v>
      </c>
      <c r="AJ68" s="413" t="s">
        <v>47</v>
      </c>
      <c r="AK68" s="303" t="s">
        <v>9212</v>
      </c>
      <c r="AL68" s="413" t="s">
        <v>48</v>
      </c>
      <c r="AM68" s="413" t="s">
        <v>49</v>
      </c>
      <c r="AN68" s="413" t="s">
        <v>50</v>
      </c>
      <c r="AO68" s="413" t="s">
        <v>51</v>
      </c>
      <c r="AP68" s="413" t="s">
        <v>52</v>
      </c>
      <c r="AQ68" s="413" t="s">
        <v>53</v>
      </c>
      <c r="AR68" s="413" t="s">
        <v>774</v>
      </c>
      <c r="AS68" s="413" t="s">
        <v>54</v>
      </c>
      <c r="AT68" s="303" t="s">
        <v>2963</v>
      </c>
      <c r="AU68" s="413" t="s">
        <v>778</v>
      </c>
      <c r="AV68" s="413" t="s">
        <v>55</v>
      </c>
      <c r="AW68" s="413" t="s">
        <v>56</v>
      </c>
      <c r="AX68" s="303" t="s">
        <v>2424</v>
      </c>
      <c r="AY68" s="413" t="s">
        <v>57</v>
      </c>
      <c r="AZ68" s="303" t="s">
        <v>3959</v>
      </c>
      <c r="BA68" s="413" t="s">
        <v>58</v>
      </c>
      <c r="BB68" s="413" t="s">
        <v>59</v>
      </c>
      <c r="BC68" s="413" t="s">
        <v>60</v>
      </c>
      <c r="BD68" s="413" t="s">
        <v>61</v>
      </c>
      <c r="BE68" s="413" t="s">
        <v>6251</v>
      </c>
      <c r="BF68" s="413" t="s">
        <v>4122</v>
      </c>
      <c r="BG68" s="413" t="s">
        <v>4123</v>
      </c>
      <c r="BH68" s="413" t="s">
        <v>4124</v>
      </c>
      <c r="BI68" s="413" t="s">
        <v>777</v>
      </c>
      <c r="BJ68" s="413" t="s">
        <v>4125</v>
      </c>
      <c r="BK68" s="413" t="s">
        <v>4126</v>
      </c>
      <c r="BL68" s="413" t="s">
        <v>4127</v>
      </c>
      <c r="BM68" s="303" t="s">
        <v>7175</v>
      </c>
      <c r="BN68" s="413" t="s">
        <v>4128</v>
      </c>
    </row>
    <row r="69" spans="1:66" s="304" customFormat="1" ht="25.5">
      <c r="A69" s="270"/>
      <c r="B69" s="328" t="s">
        <v>3626</v>
      </c>
      <c r="C69" s="303" t="s">
        <v>379</v>
      </c>
      <c r="D69" s="303" t="s">
        <v>373</v>
      </c>
      <c r="E69" s="413" t="s">
        <v>737</v>
      </c>
      <c r="F69" s="413" t="s">
        <v>738</v>
      </c>
      <c r="G69" s="413" t="s">
        <v>8817</v>
      </c>
      <c r="H69" s="413" t="s">
        <v>8818</v>
      </c>
      <c r="I69" s="413" t="s">
        <v>8819</v>
      </c>
      <c r="J69" s="413" t="s">
        <v>2397</v>
      </c>
      <c r="K69" s="413" t="s">
        <v>8820</v>
      </c>
      <c r="L69" s="413" t="s">
        <v>8821</v>
      </c>
      <c r="M69" s="413" t="s">
        <v>7282</v>
      </c>
      <c r="N69" s="413" t="s">
        <v>212</v>
      </c>
      <c r="O69" s="413" t="s">
        <v>7283</v>
      </c>
      <c r="P69" s="413" t="s">
        <v>7284</v>
      </c>
      <c r="Q69" s="413" t="s">
        <v>7285</v>
      </c>
      <c r="R69" s="413" t="s">
        <v>7286</v>
      </c>
      <c r="S69" s="413" t="s">
        <v>7287</v>
      </c>
      <c r="T69" s="413" t="s">
        <v>7288</v>
      </c>
      <c r="U69" s="413" t="s">
        <v>7289</v>
      </c>
      <c r="V69" s="413" t="s">
        <v>7290</v>
      </c>
      <c r="W69" s="413" t="s">
        <v>7364</v>
      </c>
      <c r="X69" s="413" t="s">
        <v>7291</v>
      </c>
      <c r="Y69" s="303" t="s">
        <v>3758</v>
      </c>
      <c r="Z69" s="413" t="s">
        <v>2780</v>
      </c>
      <c r="AA69" s="413" t="s">
        <v>7272</v>
      </c>
      <c r="AB69" s="413" t="s">
        <v>674</v>
      </c>
      <c r="AC69" s="413" t="s">
        <v>7292</v>
      </c>
      <c r="AD69" s="413" t="s">
        <v>7293</v>
      </c>
      <c r="AE69" s="303" t="s">
        <v>2411</v>
      </c>
      <c r="AF69" s="413" t="s">
        <v>7294</v>
      </c>
      <c r="AG69" s="303" t="s">
        <v>8195</v>
      </c>
      <c r="AH69" s="413" t="s">
        <v>3266</v>
      </c>
      <c r="AI69" s="413" t="s">
        <v>739</v>
      </c>
      <c r="AJ69" s="413" t="s">
        <v>740</v>
      </c>
      <c r="AK69" s="303" t="s">
        <v>8196</v>
      </c>
      <c r="AL69" s="413" t="s">
        <v>741</v>
      </c>
      <c r="AM69" s="413" t="s">
        <v>742</v>
      </c>
      <c r="AN69" s="413" t="s">
        <v>743</v>
      </c>
      <c r="AO69" s="413" t="s">
        <v>744</v>
      </c>
      <c r="AP69" s="413" t="s">
        <v>745</v>
      </c>
      <c r="AQ69" s="413" t="s">
        <v>746</v>
      </c>
      <c r="AR69" s="413" t="s">
        <v>1168</v>
      </c>
      <c r="AS69" s="413" t="s">
        <v>1169</v>
      </c>
      <c r="AT69" s="303" t="s">
        <v>2964</v>
      </c>
      <c r="AU69" s="413" t="s">
        <v>1170</v>
      </c>
      <c r="AV69" s="413" t="s">
        <v>679</v>
      </c>
      <c r="AW69" s="413" t="s">
        <v>674</v>
      </c>
      <c r="AX69" s="303" t="s">
        <v>380</v>
      </c>
      <c r="AY69" s="413" t="s">
        <v>1171</v>
      </c>
      <c r="AZ69" s="303" t="s">
        <v>3960</v>
      </c>
      <c r="BA69" s="413" t="s">
        <v>1172</v>
      </c>
      <c r="BB69" s="413" t="s">
        <v>1173</v>
      </c>
      <c r="BC69" s="413" t="s">
        <v>1174</v>
      </c>
      <c r="BD69" s="413" t="s">
        <v>1175</v>
      </c>
      <c r="BE69" s="413" t="s">
        <v>1176</v>
      </c>
      <c r="BF69" s="413" t="s">
        <v>1177</v>
      </c>
      <c r="BG69" s="413" t="s">
        <v>1178</v>
      </c>
      <c r="BH69" s="413" t="s">
        <v>1179</v>
      </c>
      <c r="BI69" s="413" t="s">
        <v>1180</v>
      </c>
      <c r="BJ69" s="413" t="s">
        <v>1181</v>
      </c>
      <c r="BK69" s="413" t="s">
        <v>1182</v>
      </c>
      <c r="BL69" s="413" t="s">
        <v>1183</v>
      </c>
      <c r="BM69" s="303" t="s">
        <v>7400</v>
      </c>
      <c r="BN69" s="413" t="s">
        <v>1184</v>
      </c>
    </row>
    <row r="70" spans="1:66" s="304" customFormat="1" ht="51">
      <c r="A70" s="270"/>
      <c r="B70" s="328" t="s">
        <v>3627</v>
      </c>
      <c r="C70" s="303" t="s">
        <v>1866</v>
      </c>
      <c r="D70" s="303" t="s">
        <v>7447</v>
      </c>
      <c r="E70" s="303" t="s">
        <v>3730</v>
      </c>
      <c r="F70" s="303" t="s">
        <v>855</v>
      </c>
      <c r="G70" s="413" t="s">
        <v>2237</v>
      </c>
      <c r="H70" s="413" t="s">
        <v>755</v>
      </c>
      <c r="I70" s="413" t="s">
        <v>756</v>
      </c>
      <c r="J70" s="413" t="s">
        <v>2238</v>
      </c>
      <c r="K70" s="303" t="s">
        <v>1344</v>
      </c>
      <c r="L70" s="273" t="s">
        <v>2737</v>
      </c>
      <c r="M70" s="413" t="s">
        <v>2239</v>
      </c>
      <c r="N70" s="413" t="s">
        <v>2240</v>
      </c>
      <c r="O70" s="413" t="s">
        <v>1508</v>
      </c>
      <c r="P70" s="413" t="s">
        <v>1509</v>
      </c>
      <c r="Q70" s="273" t="s">
        <v>411</v>
      </c>
      <c r="R70" s="413" t="s">
        <v>1510</v>
      </c>
      <c r="S70" s="413" t="s">
        <v>6504</v>
      </c>
      <c r="T70" s="273" t="s">
        <v>4482</v>
      </c>
      <c r="U70" s="413" t="s">
        <v>1511</v>
      </c>
      <c r="V70" s="413" t="s">
        <v>1512</v>
      </c>
      <c r="W70" s="413" t="s">
        <v>1513</v>
      </c>
      <c r="X70" s="413" t="s">
        <v>1514</v>
      </c>
      <c r="Y70" s="303" t="s">
        <v>371</v>
      </c>
      <c r="Z70" s="413" t="s">
        <v>3297</v>
      </c>
      <c r="AA70" s="413" t="s">
        <v>6504</v>
      </c>
      <c r="AB70" s="413" t="s">
        <v>3918</v>
      </c>
      <c r="AC70" s="413" t="s">
        <v>3919</v>
      </c>
      <c r="AD70" s="413" t="s">
        <v>3920</v>
      </c>
      <c r="AE70" s="303" t="s">
        <v>2409</v>
      </c>
      <c r="AF70" s="413" t="s">
        <v>3152</v>
      </c>
      <c r="AG70" s="303" t="s">
        <v>856</v>
      </c>
      <c r="AH70" s="413" t="s">
        <v>2273</v>
      </c>
      <c r="AI70" s="413" t="s">
        <v>2274</v>
      </c>
      <c r="AJ70" s="413" t="s">
        <v>2275</v>
      </c>
      <c r="AK70" s="303" t="s">
        <v>8855</v>
      </c>
      <c r="AL70" s="413" t="s">
        <v>2276</v>
      </c>
      <c r="AM70" s="413" t="s">
        <v>2277</v>
      </c>
      <c r="AN70" s="303" t="s">
        <v>2553</v>
      </c>
      <c r="AO70" s="413" t="s">
        <v>2278</v>
      </c>
      <c r="AP70" s="413" t="s">
        <v>2279</v>
      </c>
      <c r="AQ70" s="273" t="s">
        <v>7100</v>
      </c>
      <c r="AR70" s="413" t="s">
        <v>2280</v>
      </c>
      <c r="AS70" s="413" t="s">
        <v>2281</v>
      </c>
      <c r="AT70" s="303" t="s">
        <v>4680</v>
      </c>
      <c r="AU70" s="413" t="s">
        <v>2282</v>
      </c>
      <c r="AV70" s="413" t="s">
        <v>2283</v>
      </c>
      <c r="AW70" s="413" t="s">
        <v>2284</v>
      </c>
      <c r="AX70" s="303" t="s">
        <v>2554</v>
      </c>
      <c r="AY70" s="413" t="s">
        <v>2285</v>
      </c>
      <c r="AZ70" s="303" t="s">
        <v>5914</v>
      </c>
      <c r="BA70" s="413" t="s">
        <v>2286</v>
      </c>
      <c r="BB70" s="413" t="s">
        <v>1627</v>
      </c>
      <c r="BC70" s="413" t="s">
        <v>1628</v>
      </c>
      <c r="BD70" s="413" t="s">
        <v>1629</v>
      </c>
      <c r="BE70" s="303" t="s">
        <v>3958</v>
      </c>
      <c r="BF70" s="413" t="s">
        <v>1630</v>
      </c>
      <c r="BG70" s="303" t="s">
        <v>6478</v>
      </c>
      <c r="BH70" s="303" t="s">
        <v>4787</v>
      </c>
      <c r="BI70" s="413" t="s">
        <v>1631</v>
      </c>
      <c r="BJ70" s="303" t="s">
        <v>6514</v>
      </c>
      <c r="BK70" s="413" t="s">
        <v>1389</v>
      </c>
      <c r="BL70" s="413" t="s">
        <v>1390</v>
      </c>
      <c r="BM70" s="303" t="s">
        <v>7174</v>
      </c>
      <c r="BN70" s="413" t="s">
        <v>1391</v>
      </c>
    </row>
    <row r="71" spans="1:66" s="363" customFormat="1">
      <c r="A71" s="331"/>
      <c r="B71" s="331" t="s">
        <v>3623</v>
      </c>
      <c r="C71" s="414" t="s">
        <v>1122</v>
      </c>
      <c r="D71" s="414" t="s">
        <v>1023</v>
      </c>
      <c r="E71" s="414" t="s">
        <v>4642</v>
      </c>
      <c r="F71" s="414" t="s">
        <v>3380</v>
      </c>
      <c r="G71" s="414" t="s">
        <v>5707</v>
      </c>
      <c r="H71" s="414" t="s">
        <v>5222</v>
      </c>
      <c r="I71" s="414" t="s">
        <v>5225</v>
      </c>
      <c r="J71" s="414" t="s">
        <v>7436</v>
      </c>
      <c r="K71" s="414" t="s">
        <v>5302</v>
      </c>
      <c r="L71" s="414" t="s">
        <v>5303</v>
      </c>
      <c r="M71" s="414" t="s">
        <v>4446</v>
      </c>
      <c r="N71" s="414" t="s">
        <v>6288</v>
      </c>
      <c r="O71" s="414" t="s">
        <v>580</v>
      </c>
      <c r="P71" s="414" t="s">
        <v>2328</v>
      </c>
      <c r="Q71" s="414" t="s">
        <v>5844</v>
      </c>
      <c r="R71" s="414" t="s">
        <v>7377</v>
      </c>
      <c r="S71" s="414" t="s">
        <v>6448</v>
      </c>
      <c r="T71" s="414" t="s">
        <v>4794</v>
      </c>
      <c r="U71" s="414" t="s">
        <v>4795</v>
      </c>
      <c r="V71" s="414" t="s">
        <v>5757</v>
      </c>
      <c r="W71" s="414" t="s">
        <v>3327</v>
      </c>
      <c r="X71" s="414" t="s">
        <v>2596</v>
      </c>
      <c r="Y71" s="414" t="s">
        <v>1561</v>
      </c>
      <c r="Z71" s="414" t="s">
        <v>487</v>
      </c>
      <c r="AA71" s="414" t="s">
        <v>3881</v>
      </c>
      <c r="AB71" s="414" t="s">
        <v>5338</v>
      </c>
      <c r="AC71" s="414" t="s">
        <v>5339</v>
      </c>
      <c r="AD71" s="414" t="s">
        <v>494</v>
      </c>
      <c r="AE71" s="414" t="s">
        <v>2676</v>
      </c>
      <c r="AF71" s="414" t="s">
        <v>5371</v>
      </c>
      <c r="AG71" s="414" t="s">
        <v>147</v>
      </c>
      <c r="AH71" s="414" t="s">
        <v>5989</v>
      </c>
      <c r="AI71" s="414" t="s">
        <v>9339</v>
      </c>
      <c r="AJ71" s="414" t="s">
        <v>1731</v>
      </c>
      <c r="AK71" s="414" t="s">
        <v>1732</v>
      </c>
      <c r="AL71" s="414" t="s">
        <v>995</v>
      </c>
      <c r="AM71" s="414" t="s">
        <v>2425</v>
      </c>
      <c r="AN71" s="414" t="s">
        <v>2426</v>
      </c>
      <c r="AO71" s="414" t="s">
        <v>5294</v>
      </c>
      <c r="AP71" s="414" t="s">
        <v>5313</v>
      </c>
      <c r="AQ71" s="414" t="s">
        <v>4484</v>
      </c>
      <c r="AR71" s="414" t="s">
        <v>4567</v>
      </c>
      <c r="AS71" s="414" t="s">
        <v>4492</v>
      </c>
      <c r="AT71" s="414" t="s">
        <v>3234</v>
      </c>
      <c r="AU71" s="414" t="s">
        <v>5723</v>
      </c>
      <c r="AV71" s="414" t="s">
        <v>7497</v>
      </c>
      <c r="AW71" s="414" t="s">
        <v>7496</v>
      </c>
      <c r="AX71" s="414" t="s">
        <v>9249</v>
      </c>
      <c r="AY71" s="414" t="s">
        <v>9250</v>
      </c>
      <c r="AZ71" s="414" t="s">
        <v>1566</v>
      </c>
      <c r="BA71" s="414" t="s">
        <v>5116</v>
      </c>
      <c r="BB71" s="414" t="s">
        <v>68</v>
      </c>
      <c r="BC71" s="414" t="s">
        <v>5315</v>
      </c>
      <c r="BD71" s="414" t="s">
        <v>5316</v>
      </c>
      <c r="BE71" s="414" t="s">
        <v>7961</v>
      </c>
      <c r="BF71" s="414" t="s">
        <v>576</v>
      </c>
      <c r="BG71" s="414" t="s">
        <v>4116</v>
      </c>
      <c r="BH71" s="414" t="s">
        <v>1658</v>
      </c>
      <c r="BI71" s="414" t="s">
        <v>2439</v>
      </c>
      <c r="BJ71" s="414" t="s">
        <v>219</v>
      </c>
      <c r="BK71" s="414" t="s">
        <v>4775</v>
      </c>
      <c r="BL71" s="414" t="s">
        <v>2813</v>
      </c>
      <c r="BM71" s="414" t="s">
        <v>7401</v>
      </c>
      <c r="BN71" s="414" t="s">
        <v>7502</v>
      </c>
    </row>
    <row r="72" spans="1:66" s="363" customFormat="1">
      <c r="A72" s="331"/>
      <c r="B72" s="331"/>
      <c r="C72" s="414" t="s">
        <v>1019</v>
      </c>
      <c r="D72" s="414" t="s">
        <v>4674</v>
      </c>
      <c r="E72" s="414" t="s">
        <v>5700</v>
      </c>
      <c r="F72" s="414" t="s">
        <v>7554</v>
      </c>
      <c r="G72" s="414" t="s">
        <v>6286</v>
      </c>
      <c r="H72" s="414" t="s">
        <v>5223</v>
      </c>
      <c r="I72" s="414" t="s">
        <v>5224</v>
      </c>
      <c r="J72" s="414" t="s">
        <v>7435</v>
      </c>
      <c r="K72" s="414" t="s">
        <v>7437</v>
      </c>
      <c r="L72" s="414" t="s">
        <v>5908</v>
      </c>
      <c r="M72" s="414" t="s">
        <v>1502</v>
      </c>
      <c r="N72" s="414" t="s">
        <v>4942</v>
      </c>
      <c r="O72" s="414" t="s">
        <v>3683</v>
      </c>
      <c r="P72" s="414" t="s">
        <v>5676</v>
      </c>
      <c r="Q72" s="414" t="s">
        <v>2329</v>
      </c>
      <c r="R72" s="414" t="s">
        <v>5679</v>
      </c>
      <c r="S72" s="414" t="s">
        <v>2926</v>
      </c>
      <c r="T72" s="414" t="s">
        <v>6457</v>
      </c>
      <c r="U72" s="414" t="s">
        <v>2598</v>
      </c>
      <c r="V72" s="414" t="s">
        <v>3774</v>
      </c>
      <c r="W72" s="414" t="s">
        <v>2315</v>
      </c>
      <c r="X72" s="414" t="s">
        <v>2627</v>
      </c>
      <c r="Y72" s="414" t="s">
        <v>2630</v>
      </c>
      <c r="Z72" s="414" t="s">
        <v>488</v>
      </c>
      <c r="AA72" s="414" t="s">
        <v>5836</v>
      </c>
      <c r="AB72" s="414" t="s">
        <v>5843</v>
      </c>
      <c r="AC72" s="414" t="s">
        <v>4259</v>
      </c>
      <c r="AD72" s="414" t="s">
        <v>3323</v>
      </c>
      <c r="AE72" s="414" t="s">
        <v>4924</v>
      </c>
      <c r="AF72" s="414" t="s">
        <v>4930</v>
      </c>
      <c r="AG72" s="414" t="s">
        <v>7002</v>
      </c>
      <c r="AH72" s="414" t="s">
        <v>500</v>
      </c>
      <c r="AI72" s="414" t="s">
        <v>5383</v>
      </c>
      <c r="AJ72" s="414" t="s">
        <v>7177</v>
      </c>
      <c r="AK72" s="414" t="s">
        <v>5325</v>
      </c>
      <c r="AL72" s="414" t="s">
        <v>5288</v>
      </c>
      <c r="AM72" s="414" t="s">
        <v>7458</v>
      </c>
      <c r="AN72" s="414" t="s">
        <v>7463</v>
      </c>
      <c r="AO72" s="414" t="s">
        <v>7469</v>
      </c>
      <c r="AP72" s="414" t="s">
        <v>5314</v>
      </c>
      <c r="AQ72" s="414" t="s">
        <v>7479</v>
      </c>
      <c r="AR72" s="414" t="s">
        <v>9207</v>
      </c>
      <c r="AS72" s="414" t="s">
        <v>3588</v>
      </c>
      <c r="AT72" s="414" t="s">
        <v>5881</v>
      </c>
      <c r="AU72" s="414" t="s">
        <v>3907</v>
      </c>
      <c r="AV72" s="414" t="s">
        <v>3912</v>
      </c>
      <c r="AW72" s="414" t="s">
        <v>4419</v>
      </c>
      <c r="AX72" s="414" t="s">
        <v>8937</v>
      </c>
      <c r="AY72" s="414" t="s">
        <v>8942</v>
      </c>
      <c r="AZ72" s="414" t="s">
        <v>3452</v>
      </c>
      <c r="BA72" s="414" t="s">
        <v>8956</v>
      </c>
      <c r="BB72" s="414" t="s">
        <v>2783</v>
      </c>
      <c r="BC72" s="414" t="s">
        <v>2789</v>
      </c>
      <c r="BD72" s="414" t="s">
        <v>5317</v>
      </c>
      <c r="BE72" s="414" t="s">
        <v>9291</v>
      </c>
      <c r="BF72" s="414" t="s">
        <v>9295</v>
      </c>
      <c r="BG72" s="414" t="s">
        <v>4389</v>
      </c>
      <c r="BH72" s="414" t="s">
        <v>8170</v>
      </c>
      <c r="BI72" s="414" t="s">
        <v>8179</v>
      </c>
      <c r="BJ72" s="414" t="s">
        <v>5608</v>
      </c>
      <c r="BK72" s="414" t="s">
        <v>2811</v>
      </c>
      <c r="BL72" s="414" t="s">
        <v>2385</v>
      </c>
      <c r="BM72" s="414" t="s">
        <v>5626</v>
      </c>
      <c r="BN72" s="414" t="s">
        <v>1551</v>
      </c>
    </row>
    <row r="73" spans="1:66" s="369" customFormat="1">
      <c r="A73" s="373"/>
      <c r="B73" s="373"/>
      <c r="C73" s="415" t="s">
        <v>5690</v>
      </c>
      <c r="D73" s="415" t="s">
        <v>5691</v>
      </c>
      <c r="E73" s="415" t="s">
        <v>5689</v>
      </c>
      <c r="F73" s="370" t="s">
        <v>4681</v>
      </c>
      <c r="G73" s="370" t="s">
        <v>4681</v>
      </c>
      <c r="H73" s="415" t="s">
        <v>1765</v>
      </c>
      <c r="I73" s="370" t="s">
        <v>4681</v>
      </c>
      <c r="J73" s="370" t="s">
        <v>4681</v>
      </c>
      <c r="K73" s="370" t="s">
        <v>4681</v>
      </c>
      <c r="L73" s="415" t="s">
        <v>5909</v>
      </c>
      <c r="M73" s="370" t="s">
        <v>4681</v>
      </c>
      <c r="N73" s="370" t="s">
        <v>4681</v>
      </c>
      <c r="O73" s="370" t="s">
        <v>4681</v>
      </c>
      <c r="P73" s="370" t="s">
        <v>4681</v>
      </c>
      <c r="Q73" s="415" t="s">
        <v>7808</v>
      </c>
      <c r="R73" s="370" t="s">
        <v>4681</v>
      </c>
      <c r="S73" s="370" t="s">
        <v>4681</v>
      </c>
      <c r="T73" s="370" t="s">
        <v>4681</v>
      </c>
      <c r="U73" s="370" t="s">
        <v>4681</v>
      </c>
      <c r="V73" s="370" t="s">
        <v>4681</v>
      </c>
      <c r="W73" s="370" t="s">
        <v>4681</v>
      </c>
      <c r="X73" s="370" t="s">
        <v>4681</v>
      </c>
      <c r="Y73" s="370" t="s">
        <v>4681</v>
      </c>
      <c r="Z73" s="415" t="s">
        <v>5831</v>
      </c>
      <c r="AA73" s="370" t="s">
        <v>4681</v>
      </c>
      <c r="AB73" s="370" t="s">
        <v>4681</v>
      </c>
      <c r="AC73" s="370" t="s">
        <v>4681</v>
      </c>
      <c r="AD73" s="415" t="s">
        <v>495</v>
      </c>
      <c r="AE73" s="370" t="s">
        <v>4681</v>
      </c>
      <c r="AF73" s="370" t="s">
        <v>4681</v>
      </c>
      <c r="AG73" s="370" t="s">
        <v>4681</v>
      </c>
      <c r="AH73" s="370" t="s">
        <v>4681</v>
      </c>
      <c r="AI73" s="415" t="s">
        <v>7041</v>
      </c>
      <c r="AJ73" s="370" t="s">
        <v>4681</v>
      </c>
      <c r="AK73" s="370" t="s">
        <v>4681</v>
      </c>
      <c r="AL73" s="415" t="s">
        <v>996</v>
      </c>
      <c r="AM73" s="370" t="s">
        <v>4681</v>
      </c>
      <c r="AN73" s="370" t="s">
        <v>4681</v>
      </c>
      <c r="AO73" s="370" t="s">
        <v>4681</v>
      </c>
      <c r="AP73" s="370" t="s">
        <v>4681</v>
      </c>
      <c r="AQ73" s="370" t="s">
        <v>4681</v>
      </c>
      <c r="AR73" s="370" t="s">
        <v>4681</v>
      </c>
      <c r="AS73" s="370" t="s">
        <v>4681</v>
      </c>
      <c r="AT73" s="370" t="s">
        <v>4681</v>
      </c>
      <c r="AU73" s="370" t="s">
        <v>4681</v>
      </c>
      <c r="AV73" s="370" t="s">
        <v>4681</v>
      </c>
      <c r="AW73" s="370" t="s">
        <v>4681</v>
      </c>
      <c r="AX73" s="370" t="s">
        <v>4681</v>
      </c>
      <c r="AY73" s="370" t="s">
        <v>4681</v>
      </c>
      <c r="AZ73" s="370" t="s">
        <v>4681</v>
      </c>
      <c r="BA73" s="415" t="s">
        <v>3572</v>
      </c>
      <c r="BB73" s="370" t="s">
        <v>4681</v>
      </c>
      <c r="BC73" s="370" t="s">
        <v>4681</v>
      </c>
      <c r="BD73" s="415" t="s">
        <v>5318</v>
      </c>
      <c r="BE73" s="370" t="s">
        <v>4681</v>
      </c>
      <c r="BF73" s="370" t="s">
        <v>4681</v>
      </c>
      <c r="BG73" s="370" t="s">
        <v>4681</v>
      </c>
      <c r="BH73" s="370" t="s">
        <v>4681</v>
      </c>
      <c r="BI73" s="370" t="s">
        <v>4681</v>
      </c>
      <c r="BJ73" s="370" t="s">
        <v>4681</v>
      </c>
      <c r="BK73" s="415" t="s">
        <v>2812</v>
      </c>
      <c r="BL73" s="415" t="s">
        <v>5620</v>
      </c>
      <c r="BM73" s="370" t="s">
        <v>4681</v>
      </c>
      <c r="BN73" s="415" t="s">
        <v>2826</v>
      </c>
    </row>
    <row r="74" spans="1:66" s="375" customFormat="1">
      <c r="A74" s="374"/>
      <c r="B74" s="374"/>
      <c r="C74" s="426" t="s">
        <v>1867</v>
      </c>
      <c r="D74" s="426" t="s">
        <v>7527</v>
      </c>
      <c r="E74" s="426" t="s">
        <v>7553</v>
      </c>
      <c r="F74" s="350" t="s">
        <v>4681</v>
      </c>
      <c r="G74" s="350" t="s">
        <v>4681</v>
      </c>
      <c r="H74" s="426" t="s">
        <v>5665</v>
      </c>
      <c r="I74" s="350" t="s">
        <v>4681</v>
      </c>
      <c r="J74" s="350" t="s">
        <v>4681</v>
      </c>
      <c r="K74" s="350" t="s">
        <v>4681</v>
      </c>
      <c r="L74" s="426" t="s">
        <v>5910</v>
      </c>
      <c r="M74" s="350" t="s">
        <v>4681</v>
      </c>
      <c r="N74" s="350" t="s">
        <v>4681</v>
      </c>
      <c r="O74" s="350" t="s">
        <v>4681</v>
      </c>
      <c r="P74" s="350" t="s">
        <v>4681</v>
      </c>
      <c r="Q74" s="426" t="s">
        <v>7809</v>
      </c>
      <c r="R74" s="350" t="s">
        <v>4681</v>
      </c>
      <c r="S74" s="350" t="s">
        <v>4681</v>
      </c>
      <c r="T74" s="350" t="s">
        <v>4681</v>
      </c>
      <c r="U74" s="350" t="s">
        <v>4681</v>
      </c>
      <c r="V74" s="350" t="s">
        <v>4681</v>
      </c>
      <c r="W74" s="350" t="s">
        <v>4681</v>
      </c>
      <c r="X74" s="350" t="s">
        <v>4681</v>
      </c>
      <c r="Y74" s="350" t="s">
        <v>4681</v>
      </c>
      <c r="Z74" s="426" t="s">
        <v>6243</v>
      </c>
      <c r="AA74" s="350" t="s">
        <v>4681</v>
      </c>
      <c r="AB74" s="350" t="s">
        <v>4681</v>
      </c>
      <c r="AC74" s="350" t="s">
        <v>4681</v>
      </c>
      <c r="AD74" s="426" t="s">
        <v>4164</v>
      </c>
      <c r="AE74" s="350" t="s">
        <v>4681</v>
      </c>
      <c r="AF74" s="350" t="s">
        <v>4681</v>
      </c>
      <c r="AG74" s="350" t="s">
        <v>4681</v>
      </c>
      <c r="AH74" s="350" t="s">
        <v>4681</v>
      </c>
      <c r="AI74" s="426" t="s">
        <v>7042</v>
      </c>
      <c r="AJ74" s="350" t="s">
        <v>4681</v>
      </c>
      <c r="AK74" s="350" t="s">
        <v>4681</v>
      </c>
      <c r="AL74" s="426" t="s">
        <v>997</v>
      </c>
      <c r="AM74" s="350" t="s">
        <v>4681</v>
      </c>
      <c r="AN74" s="350" t="s">
        <v>4681</v>
      </c>
      <c r="AO74" s="350" t="s">
        <v>4681</v>
      </c>
      <c r="AP74" s="350" t="s">
        <v>4681</v>
      </c>
      <c r="AQ74" s="350" t="s">
        <v>4681</v>
      </c>
      <c r="AR74" s="350" t="s">
        <v>4681</v>
      </c>
      <c r="AS74" s="350" t="s">
        <v>4681</v>
      </c>
      <c r="AT74" s="350" t="s">
        <v>4681</v>
      </c>
      <c r="AU74" s="350" t="s">
        <v>4681</v>
      </c>
      <c r="AV74" s="350" t="s">
        <v>4681</v>
      </c>
      <c r="AW74" s="350" t="s">
        <v>4681</v>
      </c>
      <c r="AX74" s="350" t="s">
        <v>4681</v>
      </c>
      <c r="AY74" s="350" t="s">
        <v>4681</v>
      </c>
      <c r="AZ74" s="350" t="s">
        <v>4681</v>
      </c>
      <c r="BA74" s="426" t="s">
        <v>8957</v>
      </c>
      <c r="BB74" s="350" t="s">
        <v>4681</v>
      </c>
      <c r="BC74" s="350" t="s">
        <v>4681</v>
      </c>
      <c r="BD74" s="426" t="s">
        <v>9288</v>
      </c>
      <c r="BE74" s="350" t="s">
        <v>4681</v>
      </c>
      <c r="BF74" s="350" t="s">
        <v>4681</v>
      </c>
      <c r="BG74" s="350" t="s">
        <v>4681</v>
      </c>
      <c r="BH74" s="350" t="s">
        <v>4681</v>
      </c>
      <c r="BI74" s="350" t="s">
        <v>4681</v>
      </c>
      <c r="BJ74" s="350" t="s">
        <v>4681</v>
      </c>
      <c r="BK74" s="426" t="s">
        <v>5613</v>
      </c>
      <c r="BL74" s="426" t="s">
        <v>5621</v>
      </c>
      <c r="BM74" s="350" t="s">
        <v>4681</v>
      </c>
      <c r="BN74" s="426" t="s">
        <v>7503</v>
      </c>
    </row>
    <row r="75" spans="1:66">
      <c r="BB75" s="351"/>
    </row>
  </sheetData>
  <phoneticPr fontId="3"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4B25-62D6-4466-BC4E-BD7B9F96BC43}">
  <sheetPr codeName="Sheet9"/>
  <dimension ref="A2:EK26"/>
  <sheetViews>
    <sheetView showGridLines="0" showRowColHeaders="0" workbookViewId="0">
      <selection activeCell="G36" sqref="G36"/>
    </sheetView>
  </sheetViews>
  <sheetFormatPr defaultColWidth="5.7109375" defaultRowHeight="12.75"/>
  <cols>
    <col min="1" max="1" width="7" style="257" bestFit="1" customWidth="1"/>
    <col min="2" max="129" width="5.7109375" style="1" customWidth="1"/>
    <col min="130" max="130" width="7.42578125" style="621" bestFit="1" customWidth="1"/>
    <col min="131" max="131" width="8.28515625" style="1" bestFit="1" customWidth="1"/>
    <col min="132" max="132" width="10.140625" style="1" bestFit="1" customWidth="1"/>
    <col min="133" max="133" width="8" style="1" bestFit="1" customWidth="1"/>
    <col min="134" max="134" width="12.42578125" style="1" bestFit="1" customWidth="1"/>
    <col min="135" max="135" width="13.5703125" style="1" bestFit="1" customWidth="1"/>
    <col min="136" max="136" width="14.28515625" style="1" bestFit="1" customWidth="1"/>
    <col min="137" max="138" width="15.28515625" style="1" bestFit="1" customWidth="1"/>
    <col min="139" max="139" width="17.7109375" style="1" bestFit="1" customWidth="1"/>
    <col min="140" max="140" width="14.85546875" style="1" bestFit="1" customWidth="1"/>
    <col min="141" max="141" width="15.85546875" style="1" bestFit="1" customWidth="1"/>
    <col min="142" max="16384" width="5.7109375" style="1"/>
  </cols>
  <sheetData>
    <row r="2" spans="1:141">
      <c r="B2" s="15" t="s">
        <v>7796</v>
      </c>
    </row>
    <row r="4" spans="1:141" s="13" customFormat="1" ht="11.25" hidden="1">
      <c r="A4" s="280"/>
      <c r="B4" s="12" t="s">
        <v>1678</v>
      </c>
      <c r="C4" s="12"/>
      <c r="D4" s="13" t="s">
        <v>1679</v>
      </c>
      <c r="F4" s="13" t="s">
        <v>1680</v>
      </c>
      <c r="H4" s="13" t="s">
        <v>1681</v>
      </c>
      <c r="J4" s="13" t="s">
        <v>8158</v>
      </c>
      <c r="L4" s="13" t="s">
        <v>8159</v>
      </c>
      <c r="N4" s="13" t="s">
        <v>8160</v>
      </c>
      <c r="P4" s="13" t="s">
        <v>8161</v>
      </c>
      <c r="R4" s="13" t="s">
        <v>8162</v>
      </c>
      <c r="T4" s="13" t="s">
        <v>3711</v>
      </c>
      <c r="V4" s="13" t="s">
        <v>3712</v>
      </c>
      <c r="X4" s="13" t="s">
        <v>3713</v>
      </c>
      <c r="Z4" s="13" t="s">
        <v>3714</v>
      </c>
      <c r="AB4" s="13" t="s">
        <v>3715</v>
      </c>
      <c r="AD4" s="13" t="s">
        <v>3716</v>
      </c>
      <c r="AF4" s="13" t="s">
        <v>3717</v>
      </c>
      <c r="AH4" s="13" t="s">
        <v>3718</v>
      </c>
      <c r="AJ4" s="13" t="s">
        <v>3719</v>
      </c>
      <c r="AL4" s="13" t="s">
        <v>3720</v>
      </c>
      <c r="AN4" s="13" t="s">
        <v>3923</v>
      </c>
      <c r="AP4" s="13" t="s">
        <v>3924</v>
      </c>
      <c r="AR4" s="13" t="s">
        <v>3925</v>
      </c>
      <c r="AT4" s="13" t="s">
        <v>3926</v>
      </c>
      <c r="AV4" s="13" t="s">
        <v>3927</v>
      </c>
      <c r="AX4" s="13" t="s">
        <v>3928</v>
      </c>
      <c r="AZ4" s="13" t="s">
        <v>7545</v>
      </c>
      <c r="BB4" s="13" t="s">
        <v>7546</v>
      </c>
      <c r="BD4" s="13" t="s">
        <v>7547</v>
      </c>
      <c r="BF4" s="13" t="s">
        <v>7548</v>
      </c>
      <c r="BH4" s="13" t="s">
        <v>7549</v>
      </c>
      <c r="BJ4" s="13" t="s">
        <v>7550</v>
      </c>
      <c r="BL4" s="13" t="s">
        <v>7551</v>
      </c>
      <c r="BN4" s="13" t="s">
        <v>7552</v>
      </c>
      <c r="BP4" s="13" t="s">
        <v>3381</v>
      </c>
      <c r="BR4" s="13" t="s">
        <v>3382</v>
      </c>
      <c r="BT4" s="13" t="s">
        <v>3383</v>
      </c>
      <c r="BV4" s="13" t="s">
        <v>3384</v>
      </c>
      <c r="BX4" s="13" t="s">
        <v>1088</v>
      </c>
      <c r="BZ4" s="13" t="s">
        <v>1089</v>
      </c>
      <c r="CB4" s="13" t="s">
        <v>1090</v>
      </c>
      <c r="CD4" s="13" t="s">
        <v>4861</v>
      </c>
      <c r="CF4" s="13" t="s">
        <v>4862</v>
      </c>
      <c r="CH4" s="13" t="s">
        <v>4863</v>
      </c>
      <c r="CJ4" s="13" t="s">
        <v>4864</v>
      </c>
      <c r="CL4" s="13" t="s">
        <v>4865</v>
      </c>
      <c r="CN4" s="13" t="s">
        <v>4866</v>
      </c>
      <c r="CP4" s="13" t="s">
        <v>4867</v>
      </c>
      <c r="CR4" s="13" t="s">
        <v>4868</v>
      </c>
      <c r="CT4" s="13" t="s">
        <v>2791</v>
      </c>
      <c r="CV4" s="13" t="s">
        <v>2792</v>
      </c>
      <c r="CX4" s="13" t="s">
        <v>8665</v>
      </c>
      <c r="CZ4" s="13" t="s">
        <v>4973</v>
      </c>
      <c r="DB4" s="13" t="s">
        <v>4974</v>
      </c>
      <c r="DD4" s="13" t="s">
        <v>4975</v>
      </c>
      <c r="DF4" s="13" t="s">
        <v>4976</v>
      </c>
      <c r="DH4" s="13" t="s">
        <v>4977</v>
      </c>
      <c r="DJ4" s="13" t="s">
        <v>4978</v>
      </c>
      <c r="DL4" s="13" t="s">
        <v>4979</v>
      </c>
      <c r="DN4" s="13" t="s">
        <v>4980</v>
      </c>
      <c r="DP4" s="13" t="s">
        <v>4981</v>
      </c>
      <c r="DR4" s="13" t="s">
        <v>4982</v>
      </c>
      <c r="DT4" s="13" t="s">
        <v>4983</v>
      </c>
      <c r="DV4" s="13" t="s">
        <v>4984</v>
      </c>
      <c r="DX4" s="13" t="s">
        <v>4985</v>
      </c>
      <c r="DZ4" s="622"/>
    </row>
    <row r="5" spans="1:141" s="6" customFormat="1" hidden="1">
      <c r="A5" s="257"/>
      <c r="B5" s="4" t="s">
        <v>5934</v>
      </c>
      <c r="C5" s="313" t="s">
        <v>2697</v>
      </c>
      <c r="D5" s="4" t="s">
        <v>833</v>
      </c>
      <c r="E5" s="317" t="s">
        <v>3699</v>
      </c>
      <c r="F5" s="3" t="s">
        <v>3700</v>
      </c>
      <c r="G5" s="317" t="s">
        <v>3701</v>
      </c>
      <c r="H5" s="3" t="s">
        <v>3191</v>
      </c>
      <c r="I5" s="317" t="s">
        <v>3192</v>
      </c>
      <c r="J5" s="3" t="s">
        <v>3193</v>
      </c>
      <c r="K5" s="317" t="s">
        <v>3194</v>
      </c>
      <c r="L5" s="3" t="s">
        <v>1484</v>
      </c>
      <c r="M5" s="317" t="s">
        <v>1485</v>
      </c>
      <c r="N5" s="4" t="s">
        <v>1486</v>
      </c>
      <c r="O5" s="317" t="s">
        <v>1345</v>
      </c>
      <c r="P5" s="4" t="s">
        <v>9315</v>
      </c>
      <c r="Q5" s="317" t="s">
        <v>9316</v>
      </c>
      <c r="R5" s="5" t="s">
        <v>457</v>
      </c>
      <c r="S5" s="313" t="s">
        <v>5935</v>
      </c>
      <c r="T5" s="4" t="s">
        <v>456</v>
      </c>
      <c r="U5" s="317" t="s">
        <v>3698</v>
      </c>
      <c r="V5" s="4" t="s">
        <v>6351</v>
      </c>
      <c r="W5" s="317" t="s">
        <v>6352</v>
      </c>
      <c r="X5" s="4" t="s">
        <v>4292</v>
      </c>
      <c r="Y5" s="317" t="s">
        <v>4293</v>
      </c>
      <c r="Z5" s="4" t="s">
        <v>3195</v>
      </c>
      <c r="AA5" s="317" t="s">
        <v>3196</v>
      </c>
      <c r="AB5" s="4" t="s">
        <v>1482</v>
      </c>
      <c r="AC5" s="317" t="s">
        <v>1483</v>
      </c>
      <c r="AD5" s="4" t="s">
        <v>1346</v>
      </c>
      <c r="AE5" s="317" t="s">
        <v>1347</v>
      </c>
      <c r="AF5" s="4" t="s">
        <v>5988</v>
      </c>
      <c r="AG5" s="317" t="s">
        <v>9314</v>
      </c>
      <c r="AH5" s="5" t="s">
        <v>5936</v>
      </c>
      <c r="AI5" s="313" t="s">
        <v>5937</v>
      </c>
      <c r="AJ5" s="4" t="s">
        <v>832</v>
      </c>
      <c r="AK5" s="317" t="s">
        <v>3697</v>
      </c>
      <c r="AL5" s="4" t="s">
        <v>6353</v>
      </c>
      <c r="AM5" s="317" t="s">
        <v>6354</v>
      </c>
      <c r="AN5" s="4" t="s">
        <v>4290</v>
      </c>
      <c r="AO5" s="317" t="s">
        <v>4291</v>
      </c>
      <c r="AP5" s="4" t="s">
        <v>3197</v>
      </c>
      <c r="AQ5" s="317" t="s">
        <v>3198</v>
      </c>
      <c r="AR5" s="4" t="s">
        <v>1480</v>
      </c>
      <c r="AS5" s="317" t="s">
        <v>1481</v>
      </c>
      <c r="AT5" s="4" t="s">
        <v>8984</v>
      </c>
      <c r="AU5" s="317" t="s">
        <v>8985</v>
      </c>
      <c r="AV5" s="4" t="s">
        <v>5986</v>
      </c>
      <c r="AW5" s="317" t="s">
        <v>5987</v>
      </c>
      <c r="AX5" s="5" t="s">
        <v>5932</v>
      </c>
      <c r="AY5" s="321" t="s">
        <v>5933</v>
      </c>
      <c r="AZ5" s="4" t="s">
        <v>3695</v>
      </c>
      <c r="BA5" s="317" t="s">
        <v>3696</v>
      </c>
      <c r="BB5" s="4" t="s">
        <v>5931</v>
      </c>
      <c r="BC5" s="317" t="s">
        <v>6355</v>
      </c>
      <c r="BD5" s="4" t="s">
        <v>4288</v>
      </c>
      <c r="BE5" s="317" t="s">
        <v>4289</v>
      </c>
      <c r="BF5" s="4" t="s">
        <v>3199</v>
      </c>
      <c r="BG5" s="317" t="s">
        <v>834</v>
      </c>
      <c r="BH5" s="4" t="s">
        <v>1478</v>
      </c>
      <c r="BI5" s="317" t="s">
        <v>1479</v>
      </c>
      <c r="BJ5" s="4" t="s">
        <v>5973</v>
      </c>
      <c r="BK5" s="317" t="s">
        <v>5974</v>
      </c>
      <c r="BL5" s="4" t="s">
        <v>5984</v>
      </c>
      <c r="BM5" s="317" t="s">
        <v>5985</v>
      </c>
      <c r="BN5" s="5" t="s">
        <v>5938</v>
      </c>
      <c r="BO5" s="313" t="s">
        <v>5939</v>
      </c>
      <c r="BP5" s="4" t="s">
        <v>5951</v>
      </c>
      <c r="BQ5" s="317" t="s">
        <v>3694</v>
      </c>
      <c r="BR5" s="4" t="s">
        <v>4519</v>
      </c>
      <c r="BS5" s="317" t="s">
        <v>72</v>
      </c>
      <c r="BT5" s="4" t="s">
        <v>3034</v>
      </c>
      <c r="BU5" s="317" t="s">
        <v>3035</v>
      </c>
      <c r="BV5" s="4" t="s">
        <v>835</v>
      </c>
      <c r="BW5" s="317" t="s">
        <v>836</v>
      </c>
      <c r="BX5" s="4" t="s">
        <v>1162</v>
      </c>
      <c r="BY5" s="317" t="s">
        <v>1487</v>
      </c>
      <c r="BZ5" s="4" t="s">
        <v>5975</v>
      </c>
      <c r="CA5" s="317" t="s">
        <v>5976</v>
      </c>
      <c r="CB5" s="4" t="s">
        <v>9333</v>
      </c>
      <c r="CC5" s="317" t="s">
        <v>5983</v>
      </c>
      <c r="CD5" s="5" t="s">
        <v>5940</v>
      </c>
      <c r="CE5" s="313" t="s">
        <v>5941</v>
      </c>
      <c r="CF5" s="4" t="s">
        <v>5949</v>
      </c>
      <c r="CG5" s="317" t="s">
        <v>5950</v>
      </c>
      <c r="CH5" s="4" t="s">
        <v>73</v>
      </c>
      <c r="CI5" s="317" t="s">
        <v>74</v>
      </c>
      <c r="CJ5" s="4" t="s">
        <v>3032</v>
      </c>
      <c r="CK5" s="317" t="s">
        <v>3033</v>
      </c>
      <c r="CL5" s="4" t="s">
        <v>837</v>
      </c>
      <c r="CM5" s="317" t="s">
        <v>838</v>
      </c>
      <c r="CN5" s="4" t="s">
        <v>7208</v>
      </c>
      <c r="CO5" s="317" t="s">
        <v>7209</v>
      </c>
      <c r="CP5" s="4" t="s">
        <v>5977</v>
      </c>
      <c r="CQ5" s="317" t="s">
        <v>5978</v>
      </c>
      <c r="CR5" s="4" t="s">
        <v>5930</v>
      </c>
      <c r="CS5" s="317" t="s">
        <v>5982</v>
      </c>
      <c r="CT5" s="5" t="s">
        <v>5942</v>
      </c>
      <c r="CU5" s="313" t="s">
        <v>5943</v>
      </c>
      <c r="CV5" s="4" t="s">
        <v>458</v>
      </c>
      <c r="CW5" s="317" t="s">
        <v>5948</v>
      </c>
      <c r="CX5" s="4" t="s">
        <v>831</v>
      </c>
      <c r="CY5" s="317" t="s">
        <v>75</v>
      </c>
      <c r="CZ5" s="4" t="s">
        <v>3030</v>
      </c>
      <c r="DA5" s="317" t="s">
        <v>3031</v>
      </c>
      <c r="DB5" s="4" t="s">
        <v>839</v>
      </c>
      <c r="DC5" s="317" t="s">
        <v>840</v>
      </c>
      <c r="DD5" s="4" t="s">
        <v>845</v>
      </c>
      <c r="DE5" s="317" t="s">
        <v>846</v>
      </c>
      <c r="DF5" s="4" t="s">
        <v>9014</v>
      </c>
      <c r="DG5" s="317" t="s">
        <v>5979</v>
      </c>
      <c r="DH5" s="4" t="s">
        <v>9302</v>
      </c>
      <c r="DI5" s="317" t="s">
        <v>5981</v>
      </c>
      <c r="DJ5" s="5" t="s">
        <v>5944</v>
      </c>
      <c r="DK5" s="313" t="s">
        <v>5945</v>
      </c>
      <c r="DL5" s="4" t="s">
        <v>5946</v>
      </c>
      <c r="DM5" s="317" t="s">
        <v>5947</v>
      </c>
      <c r="DN5" s="4" t="s">
        <v>76</v>
      </c>
      <c r="DO5" s="317" t="s">
        <v>77</v>
      </c>
      <c r="DP5" s="4" t="s">
        <v>3028</v>
      </c>
      <c r="DQ5" s="317" t="s">
        <v>3029</v>
      </c>
      <c r="DR5" s="4" t="s">
        <v>841</v>
      </c>
      <c r="DS5" s="317" t="s">
        <v>842</v>
      </c>
      <c r="DT5" s="4" t="s">
        <v>843</v>
      </c>
      <c r="DU5" s="317" t="s">
        <v>844</v>
      </c>
      <c r="DV5" s="4" t="s">
        <v>830</v>
      </c>
      <c r="DW5" s="317" t="s">
        <v>5980</v>
      </c>
      <c r="DX5" s="4" t="s">
        <v>9015</v>
      </c>
      <c r="DY5" s="317" t="s">
        <v>2698</v>
      </c>
      <c r="DZ5" s="623" t="s">
        <v>7797</v>
      </c>
      <c r="EA5" s="4" t="s">
        <v>7798</v>
      </c>
      <c r="EB5" s="4" t="s">
        <v>7799</v>
      </c>
      <c r="EC5" s="4" t="s">
        <v>7800</v>
      </c>
      <c r="ED5" s="6" t="s">
        <v>7801</v>
      </c>
      <c r="EE5" s="6" t="s">
        <v>7802</v>
      </c>
      <c r="EF5" s="6" t="s">
        <v>3853</v>
      </c>
      <c r="EG5" s="6" t="s">
        <v>3854</v>
      </c>
      <c r="EH5" s="6" t="s">
        <v>3855</v>
      </c>
      <c r="EI5" s="6" t="s">
        <v>3856</v>
      </c>
      <c r="EJ5" s="6" t="s">
        <v>3857</v>
      </c>
      <c r="EK5" s="6" t="s">
        <v>3858</v>
      </c>
    </row>
    <row r="6" spans="1:141" s="11" customFormat="1" hidden="1">
      <c r="A6" s="7">
        <v>6</v>
      </c>
      <c r="B6" s="12" t="s">
        <v>9332</v>
      </c>
      <c r="C6" s="314" t="s">
        <v>1999</v>
      </c>
      <c r="D6" s="12" t="s">
        <v>9332</v>
      </c>
      <c r="E6" s="318" t="s">
        <v>1999</v>
      </c>
      <c r="F6" s="12" t="s">
        <v>9332</v>
      </c>
      <c r="G6" s="314" t="s">
        <v>1999</v>
      </c>
      <c r="H6" s="12" t="s">
        <v>9332</v>
      </c>
      <c r="I6" s="318" t="s">
        <v>1999</v>
      </c>
      <c r="J6" s="12" t="s">
        <v>9332</v>
      </c>
      <c r="K6" s="314" t="s">
        <v>1999</v>
      </c>
      <c r="L6" s="12" t="s">
        <v>9332</v>
      </c>
      <c r="M6" s="318" t="s">
        <v>1999</v>
      </c>
      <c r="N6" s="12" t="s">
        <v>9332</v>
      </c>
      <c r="O6" s="314" t="s">
        <v>1999</v>
      </c>
      <c r="P6" s="12" t="s">
        <v>9332</v>
      </c>
      <c r="Q6" s="318" t="s">
        <v>1999</v>
      </c>
      <c r="R6" s="2" t="s">
        <v>9334</v>
      </c>
      <c r="S6" s="314" t="s">
        <v>4179</v>
      </c>
      <c r="T6" s="2" t="s">
        <v>9334</v>
      </c>
      <c r="U6" s="318" t="s">
        <v>4179</v>
      </c>
      <c r="V6" s="2" t="s">
        <v>9334</v>
      </c>
      <c r="W6" s="314" t="s">
        <v>4179</v>
      </c>
      <c r="X6" s="2" t="s">
        <v>9334</v>
      </c>
      <c r="Y6" s="318" t="s">
        <v>4179</v>
      </c>
      <c r="Z6" s="2" t="s">
        <v>9334</v>
      </c>
      <c r="AA6" s="314" t="s">
        <v>4179</v>
      </c>
      <c r="AB6" s="2" t="s">
        <v>9334</v>
      </c>
      <c r="AC6" s="318" t="s">
        <v>4179</v>
      </c>
      <c r="AD6" s="2" t="s">
        <v>9334</v>
      </c>
      <c r="AE6" s="314" t="s">
        <v>4179</v>
      </c>
      <c r="AF6" s="2" t="s">
        <v>9334</v>
      </c>
      <c r="AG6" s="318" t="s">
        <v>4179</v>
      </c>
      <c r="AH6" s="12" t="s">
        <v>9332</v>
      </c>
      <c r="AI6" s="314" t="s">
        <v>1718</v>
      </c>
      <c r="AJ6" s="12" t="s">
        <v>9332</v>
      </c>
      <c r="AK6" s="318" t="s">
        <v>1718</v>
      </c>
      <c r="AL6" s="12" t="s">
        <v>9332</v>
      </c>
      <c r="AM6" s="314" t="s">
        <v>1718</v>
      </c>
      <c r="AN6" s="12" t="s">
        <v>9332</v>
      </c>
      <c r="AO6" s="318" t="s">
        <v>1718</v>
      </c>
      <c r="AP6" s="12" t="s">
        <v>9332</v>
      </c>
      <c r="AQ6" s="314" t="s">
        <v>1718</v>
      </c>
      <c r="AR6" s="12" t="s">
        <v>9332</v>
      </c>
      <c r="AS6" s="318" t="s">
        <v>1718</v>
      </c>
      <c r="AT6" s="12" t="s">
        <v>9332</v>
      </c>
      <c r="AU6" s="314" t="s">
        <v>1718</v>
      </c>
      <c r="AV6" s="12" t="s">
        <v>9332</v>
      </c>
      <c r="AW6" s="318" t="s">
        <v>1718</v>
      </c>
      <c r="AX6" s="2" t="s">
        <v>9334</v>
      </c>
      <c r="AY6" s="314" t="s">
        <v>4184</v>
      </c>
      <c r="AZ6" s="2" t="s">
        <v>9334</v>
      </c>
      <c r="BA6" s="318" t="s">
        <v>4184</v>
      </c>
      <c r="BB6" s="2" t="s">
        <v>9334</v>
      </c>
      <c r="BC6" s="314" t="s">
        <v>4184</v>
      </c>
      <c r="BD6" s="2" t="s">
        <v>9334</v>
      </c>
      <c r="BE6" s="318" t="s">
        <v>4184</v>
      </c>
      <c r="BF6" s="2" t="s">
        <v>9334</v>
      </c>
      <c r="BG6" s="314" t="s">
        <v>4184</v>
      </c>
      <c r="BH6" s="2" t="s">
        <v>9334</v>
      </c>
      <c r="BI6" s="318" t="s">
        <v>4184</v>
      </c>
      <c r="BJ6" s="2" t="s">
        <v>9334</v>
      </c>
      <c r="BK6" s="314" t="s">
        <v>4184</v>
      </c>
      <c r="BL6" s="2" t="s">
        <v>9334</v>
      </c>
      <c r="BM6" s="318" t="s">
        <v>4184</v>
      </c>
      <c r="BN6" s="12" t="s">
        <v>9332</v>
      </c>
      <c r="BO6" s="314" t="s">
        <v>4187</v>
      </c>
      <c r="BP6" s="12" t="s">
        <v>9332</v>
      </c>
      <c r="BQ6" s="318" t="s">
        <v>4187</v>
      </c>
      <c r="BR6" s="12" t="s">
        <v>9332</v>
      </c>
      <c r="BS6" s="314" t="s">
        <v>4187</v>
      </c>
      <c r="BT6" s="12" t="s">
        <v>9332</v>
      </c>
      <c r="BU6" s="318" t="s">
        <v>4187</v>
      </c>
      <c r="BV6" s="12" t="s">
        <v>9332</v>
      </c>
      <c r="BW6" s="314" t="s">
        <v>4187</v>
      </c>
      <c r="BX6" s="12" t="s">
        <v>9332</v>
      </c>
      <c r="BY6" s="318" t="s">
        <v>4187</v>
      </c>
      <c r="BZ6" s="12" t="s">
        <v>9332</v>
      </c>
      <c r="CA6" s="314" t="s">
        <v>4187</v>
      </c>
      <c r="CB6" s="12" t="s">
        <v>9332</v>
      </c>
      <c r="CC6" s="318" t="s">
        <v>4187</v>
      </c>
      <c r="CD6" s="2" t="s">
        <v>9334</v>
      </c>
      <c r="CE6" s="314" t="s">
        <v>4189</v>
      </c>
      <c r="CF6" s="2" t="s">
        <v>9334</v>
      </c>
      <c r="CG6" s="318" t="s">
        <v>4189</v>
      </c>
      <c r="CH6" s="2" t="s">
        <v>9334</v>
      </c>
      <c r="CI6" s="314" t="s">
        <v>4189</v>
      </c>
      <c r="CJ6" s="2" t="s">
        <v>9334</v>
      </c>
      <c r="CK6" s="318" t="s">
        <v>4189</v>
      </c>
      <c r="CL6" s="2" t="s">
        <v>9334</v>
      </c>
      <c r="CM6" s="314" t="s">
        <v>4189</v>
      </c>
      <c r="CN6" s="2" t="s">
        <v>9334</v>
      </c>
      <c r="CO6" s="318" t="s">
        <v>4189</v>
      </c>
      <c r="CP6" s="2" t="s">
        <v>9334</v>
      </c>
      <c r="CQ6" s="314" t="s">
        <v>4189</v>
      </c>
      <c r="CR6" s="2" t="s">
        <v>9334</v>
      </c>
      <c r="CS6" s="318" t="s">
        <v>4189</v>
      </c>
      <c r="CT6" s="12" t="s">
        <v>9332</v>
      </c>
      <c r="CU6" s="314" t="s">
        <v>4192</v>
      </c>
      <c r="CV6" s="12" t="s">
        <v>9332</v>
      </c>
      <c r="CW6" s="318" t="s">
        <v>4192</v>
      </c>
      <c r="CX6" s="12" t="s">
        <v>9332</v>
      </c>
      <c r="CY6" s="314" t="s">
        <v>4192</v>
      </c>
      <c r="CZ6" s="12" t="s">
        <v>9332</v>
      </c>
      <c r="DA6" s="318" t="s">
        <v>4192</v>
      </c>
      <c r="DB6" s="12" t="s">
        <v>9332</v>
      </c>
      <c r="DC6" s="314" t="s">
        <v>4192</v>
      </c>
      <c r="DD6" s="12" t="s">
        <v>9332</v>
      </c>
      <c r="DE6" s="318" t="s">
        <v>4192</v>
      </c>
      <c r="DF6" s="12" t="s">
        <v>9332</v>
      </c>
      <c r="DG6" s="314" t="s">
        <v>4192</v>
      </c>
      <c r="DH6" s="12" t="s">
        <v>9332</v>
      </c>
      <c r="DI6" s="318" t="s">
        <v>4192</v>
      </c>
      <c r="DJ6" s="2" t="s">
        <v>9334</v>
      </c>
      <c r="DK6" s="314" t="s">
        <v>4195</v>
      </c>
      <c r="DL6" s="2" t="s">
        <v>9334</v>
      </c>
      <c r="DM6" s="318" t="s">
        <v>4195</v>
      </c>
      <c r="DN6" s="2" t="s">
        <v>9334</v>
      </c>
      <c r="DO6" s="314" t="s">
        <v>4195</v>
      </c>
      <c r="DP6" s="2" t="s">
        <v>9334</v>
      </c>
      <c r="DQ6" s="318" t="s">
        <v>4195</v>
      </c>
      <c r="DR6" s="2" t="s">
        <v>9334</v>
      </c>
      <c r="DS6" s="314" t="s">
        <v>4195</v>
      </c>
      <c r="DT6" s="2" t="s">
        <v>9334</v>
      </c>
      <c r="DU6" s="318" t="s">
        <v>4195</v>
      </c>
      <c r="DV6" s="2" t="s">
        <v>9334</v>
      </c>
      <c r="DW6" s="314" t="s">
        <v>4195</v>
      </c>
      <c r="DX6" s="2" t="s">
        <v>9334</v>
      </c>
      <c r="DY6" s="318" t="s">
        <v>4195</v>
      </c>
      <c r="DZ6" s="622" t="s">
        <v>9332</v>
      </c>
      <c r="EB6" s="2" t="s">
        <v>9334</v>
      </c>
      <c r="ED6" s="12" t="s">
        <v>9332</v>
      </c>
      <c r="EE6" s="12"/>
      <c r="EF6" s="12" t="s">
        <v>9332</v>
      </c>
      <c r="EG6" s="12"/>
      <c r="EH6" s="2" t="s">
        <v>9334</v>
      </c>
      <c r="EI6" s="2"/>
      <c r="EJ6" s="2" t="s">
        <v>9334</v>
      </c>
      <c r="EK6" s="2"/>
    </row>
    <row r="7" spans="1:141" s="11" customFormat="1" hidden="1">
      <c r="A7" s="7">
        <v>5</v>
      </c>
      <c r="B7" s="12" t="s">
        <v>9332</v>
      </c>
      <c r="C7" s="315" t="s">
        <v>2000</v>
      </c>
      <c r="D7" s="12" t="s">
        <v>9332</v>
      </c>
      <c r="E7" s="319" t="s">
        <v>2000</v>
      </c>
      <c r="F7" s="12" t="s">
        <v>9332</v>
      </c>
      <c r="G7" s="315" t="s">
        <v>2000</v>
      </c>
      <c r="H7" s="12" t="s">
        <v>9332</v>
      </c>
      <c r="I7" s="319" t="s">
        <v>2000</v>
      </c>
      <c r="J7" s="12" t="s">
        <v>9332</v>
      </c>
      <c r="K7" s="315" t="s">
        <v>2000</v>
      </c>
      <c r="L7" s="12" t="s">
        <v>9332</v>
      </c>
      <c r="M7" s="319" t="s">
        <v>2000</v>
      </c>
      <c r="N7" s="12" t="s">
        <v>9332</v>
      </c>
      <c r="O7" s="315" t="s">
        <v>2000</v>
      </c>
      <c r="P7" s="12" t="s">
        <v>9332</v>
      </c>
      <c r="Q7" s="319" t="s">
        <v>2000</v>
      </c>
      <c r="R7" s="12" t="s">
        <v>9332</v>
      </c>
      <c r="S7" s="315" t="s">
        <v>4180</v>
      </c>
      <c r="T7" s="12" t="s">
        <v>9332</v>
      </c>
      <c r="U7" s="319" t="s">
        <v>4180</v>
      </c>
      <c r="V7" s="12" t="s">
        <v>9332</v>
      </c>
      <c r="W7" s="315" t="s">
        <v>4180</v>
      </c>
      <c r="X7" s="12" t="s">
        <v>9332</v>
      </c>
      <c r="Y7" s="319" t="s">
        <v>4180</v>
      </c>
      <c r="Z7" s="12" t="s">
        <v>9332</v>
      </c>
      <c r="AA7" s="315" t="s">
        <v>4180</v>
      </c>
      <c r="AB7" s="12" t="s">
        <v>9332</v>
      </c>
      <c r="AC7" s="319" t="s">
        <v>4180</v>
      </c>
      <c r="AD7" s="12" t="s">
        <v>9332</v>
      </c>
      <c r="AE7" s="315" t="s">
        <v>4180</v>
      </c>
      <c r="AF7" s="12" t="s">
        <v>9332</v>
      </c>
      <c r="AG7" s="319" t="s">
        <v>4180</v>
      </c>
      <c r="AH7" s="2" t="s">
        <v>9334</v>
      </c>
      <c r="AI7" s="315" t="s">
        <v>4182</v>
      </c>
      <c r="AJ7" s="2" t="s">
        <v>9334</v>
      </c>
      <c r="AK7" s="319" t="s">
        <v>4182</v>
      </c>
      <c r="AL7" s="2" t="s">
        <v>9334</v>
      </c>
      <c r="AM7" s="315" t="s">
        <v>4182</v>
      </c>
      <c r="AN7" s="2" t="s">
        <v>9334</v>
      </c>
      <c r="AO7" s="319" t="s">
        <v>4182</v>
      </c>
      <c r="AP7" s="2" t="s">
        <v>9334</v>
      </c>
      <c r="AQ7" s="315" t="s">
        <v>4182</v>
      </c>
      <c r="AR7" s="2" t="s">
        <v>9334</v>
      </c>
      <c r="AS7" s="319" t="s">
        <v>4182</v>
      </c>
      <c r="AT7" s="2" t="s">
        <v>9334</v>
      </c>
      <c r="AU7" s="315" t="s">
        <v>4182</v>
      </c>
      <c r="AV7" s="2" t="s">
        <v>9334</v>
      </c>
      <c r="AW7" s="319" t="s">
        <v>4182</v>
      </c>
      <c r="AX7" s="2" t="s">
        <v>9334</v>
      </c>
      <c r="AY7" s="315" t="s">
        <v>4185</v>
      </c>
      <c r="AZ7" s="2" t="s">
        <v>9334</v>
      </c>
      <c r="BA7" s="319" t="s">
        <v>4185</v>
      </c>
      <c r="BB7" s="2" t="s">
        <v>9334</v>
      </c>
      <c r="BC7" s="315" t="s">
        <v>4185</v>
      </c>
      <c r="BD7" s="2" t="s">
        <v>9334</v>
      </c>
      <c r="BE7" s="319" t="s">
        <v>4185</v>
      </c>
      <c r="BF7" s="2" t="s">
        <v>9334</v>
      </c>
      <c r="BG7" s="315" t="s">
        <v>4185</v>
      </c>
      <c r="BH7" s="2" t="s">
        <v>9334</v>
      </c>
      <c r="BI7" s="319" t="s">
        <v>4185</v>
      </c>
      <c r="BJ7" s="2" t="s">
        <v>9334</v>
      </c>
      <c r="BK7" s="315" t="s">
        <v>4185</v>
      </c>
      <c r="BL7" s="2" t="s">
        <v>9334</v>
      </c>
      <c r="BM7" s="319" t="s">
        <v>4185</v>
      </c>
      <c r="BN7" s="12" t="s">
        <v>9332</v>
      </c>
      <c r="BO7" s="315" t="s">
        <v>1719</v>
      </c>
      <c r="BP7" s="12" t="s">
        <v>9332</v>
      </c>
      <c r="BQ7" s="319" t="s">
        <v>1719</v>
      </c>
      <c r="BR7" s="12" t="s">
        <v>9332</v>
      </c>
      <c r="BS7" s="315" t="s">
        <v>1719</v>
      </c>
      <c r="BT7" s="12" t="s">
        <v>9332</v>
      </c>
      <c r="BU7" s="319" t="s">
        <v>1719</v>
      </c>
      <c r="BV7" s="12" t="s">
        <v>9332</v>
      </c>
      <c r="BW7" s="315" t="s">
        <v>1719</v>
      </c>
      <c r="BX7" s="12" t="s">
        <v>9332</v>
      </c>
      <c r="BY7" s="319" t="s">
        <v>1719</v>
      </c>
      <c r="BZ7" s="12" t="s">
        <v>9332</v>
      </c>
      <c r="CA7" s="315" t="s">
        <v>1719</v>
      </c>
      <c r="CB7" s="12" t="s">
        <v>9332</v>
      </c>
      <c r="CC7" s="319" t="s">
        <v>1719</v>
      </c>
      <c r="CD7" s="12" t="s">
        <v>9332</v>
      </c>
      <c r="CE7" s="315" t="s">
        <v>4190</v>
      </c>
      <c r="CF7" s="12" t="s">
        <v>9332</v>
      </c>
      <c r="CG7" s="319" t="s">
        <v>4190</v>
      </c>
      <c r="CH7" s="12" t="s">
        <v>9332</v>
      </c>
      <c r="CI7" s="315" t="s">
        <v>4190</v>
      </c>
      <c r="CJ7" s="12" t="s">
        <v>9332</v>
      </c>
      <c r="CK7" s="319" t="s">
        <v>4190</v>
      </c>
      <c r="CL7" s="12" t="s">
        <v>9332</v>
      </c>
      <c r="CM7" s="315" t="s">
        <v>4190</v>
      </c>
      <c r="CN7" s="12" t="s">
        <v>9332</v>
      </c>
      <c r="CO7" s="319" t="s">
        <v>4190</v>
      </c>
      <c r="CP7" s="12" t="s">
        <v>9332</v>
      </c>
      <c r="CQ7" s="315" t="s">
        <v>4190</v>
      </c>
      <c r="CR7" s="12" t="s">
        <v>9332</v>
      </c>
      <c r="CS7" s="319" t="s">
        <v>4190</v>
      </c>
      <c r="CT7" s="2" t="s">
        <v>9334</v>
      </c>
      <c r="CU7" s="315" t="s">
        <v>4193</v>
      </c>
      <c r="CV7" s="2" t="s">
        <v>9334</v>
      </c>
      <c r="CW7" s="319" t="s">
        <v>4193</v>
      </c>
      <c r="CX7" s="2" t="s">
        <v>9334</v>
      </c>
      <c r="CY7" s="315" t="s">
        <v>4193</v>
      </c>
      <c r="CZ7" s="2" t="s">
        <v>9334</v>
      </c>
      <c r="DA7" s="319" t="s">
        <v>4193</v>
      </c>
      <c r="DB7" s="2" t="s">
        <v>9334</v>
      </c>
      <c r="DC7" s="315" t="s">
        <v>4193</v>
      </c>
      <c r="DD7" s="2" t="s">
        <v>9334</v>
      </c>
      <c r="DE7" s="319" t="s">
        <v>4193</v>
      </c>
      <c r="DF7" s="2" t="s">
        <v>9334</v>
      </c>
      <c r="DG7" s="315" t="s">
        <v>4193</v>
      </c>
      <c r="DH7" s="2" t="s">
        <v>9334</v>
      </c>
      <c r="DI7" s="319" t="s">
        <v>4193</v>
      </c>
      <c r="DJ7" s="2" t="s">
        <v>9334</v>
      </c>
      <c r="DK7" s="315" t="s">
        <v>4196</v>
      </c>
      <c r="DL7" s="2" t="s">
        <v>9334</v>
      </c>
      <c r="DM7" s="319" t="s">
        <v>4196</v>
      </c>
      <c r="DN7" s="2" t="s">
        <v>9334</v>
      </c>
      <c r="DO7" s="315" t="s">
        <v>4196</v>
      </c>
      <c r="DP7" s="2" t="s">
        <v>9334</v>
      </c>
      <c r="DQ7" s="319" t="s">
        <v>4196</v>
      </c>
      <c r="DR7" s="2" t="s">
        <v>9334</v>
      </c>
      <c r="DS7" s="315" t="s">
        <v>4196</v>
      </c>
      <c r="DT7" s="2" t="s">
        <v>9334</v>
      </c>
      <c r="DU7" s="319" t="s">
        <v>4196</v>
      </c>
      <c r="DV7" s="2" t="s">
        <v>9334</v>
      </c>
      <c r="DW7" s="315" t="s">
        <v>4196</v>
      </c>
      <c r="DX7" s="2" t="s">
        <v>9334</v>
      </c>
      <c r="DY7" s="319" t="s">
        <v>4196</v>
      </c>
      <c r="DZ7" s="622" t="s">
        <v>9332</v>
      </c>
      <c r="EB7" s="2" t="s">
        <v>9334</v>
      </c>
      <c r="ED7" s="12" t="s">
        <v>9332</v>
      </c>
      <c r="EE7" s="12"/>
      <c r="EF7" s="12" t="s">
        <v>9332</v>
      </c>
      <c r="EG7" s="12"/>
      <c r="EH7" s="2" t="s">
        <v>9334</v>
      </c>
      <c r="EI7" s="2"/>
      <c r="EJ7" s="2" t="s">
        <v>9334</v>
      </c>
      <c r="EK7" s="2"/>
    </row>
    <row r="8" spans="1:141" s="11" customFormat="1" hidden="1">
      <c r="A8" s="7">
        <v>4</v>
      </c>
      <c r="B8" s="12" t="s">
        <v>9332</v>
      </c>
      <c r="C8" s="315" t="s">
        <v>2001</v>
      </c>
      <c r="D8" s="12" t="s">
        <v>9332</v>
      </c>
      <c r="E8" s="319" t="s">
        <v>2001</v>
      </c>
      <c r="F8" s="12" t="s">
        <v>9332</v>
      </c>
      <c r="G8" s="315" t="s">
        <v>2001</v>
      </c>
      <c r="H8" s="12" t="s">
        <v>9332</v>
      </c>
      <c r="I8" s="319" t="s">
        <v>2001</v>
      </c>
      <c r="J8" s="12" t="s">
        <v>9332</v>
      </c>
      <c r="K8" s="315" t="s">
        <v>2001</v>
      </c>
      <c r="L8" s="12" t="s">
        <v>9332</v>
      </c>
      <c r="M8" s="319" t="s">
        <v>2001</v>
      </c>
      <c r="N8" s="12" t="s">
        <v>9332</v>
      </c>
      <c r="O8" s="315" t="s">
        <v>2001</v>
      </c>
      <c r="P8" s="12" t="s">
        <v>9332</v>
      </c>
      <c r="Q8" s="319" t="s">
        <v>2001</v>
      </c>
      <c r="R8" s="12" t="s">
        <v>9332</v>
      </c>
      <c r="S8" s="315" t="s">
        <v>4181</v>
      </c>
      <c r="T8" s="12" t="s">
        <v>9332</v>
      </c>
      <c r="U8" s="319" t="s">
        <v>4181</v>
      </c>
      <c r="V8" s="12" t="s">
        <v>9332</v>
      </c>
      <c r="W8" s="315" t="s">
        <v>4181</v>
      </c>
      <c r="X8" s="12" t="s">
        <v>9332</v>
      </c>
      <c r="Y8" s="319" t="s">
        <v>4181</v>
      </c>
      <c r="Z8" s="12" t="s">
        <v>9332</v>
      </c>
      <c r="AA8" s="315" t="s">
        <v>4181</v>
      </c>
      <c r="AB8" s="12" t="s">
        <v>9332</v>
      </c>
      <c r="AC8" s="319" t="s">
        <v>4181</v>
      </c>
      <c r="AD8" s="12" t="s">
        <v>9332</v>
      </c>
      <c r="AE8" s="315" t="s">
        <v>4181</v>
      </c>
      <c r="AF8" s="12" t="s">
        <v>9332</v>
      </c>
      <c r="AG8" s="319" t="s">
        <v>4181</v>
      </c>
      <c r="AH8" s="12" t="s">
        <v>9332</v>
      </c>
      <c r="AI8" s="315" t="s">
        <v>4183</v>
      </c>
      <c r="AJ8" s="12" t="s">
        <v>9332</v>
      </c>
      <c r="AK8" s="319" t="s">
        <v>4183</v>
      </c>
      <c r="AL8" s="12" t="s">
        <v>9332</v>
      </c>
      <c r="AM8" s="315" t="s">
        <v>4183</v>
      </c>
      <c r="AN8" s="12" t="s">
        <v>9332</v>
      </c>
      <c r="AO8" s="319" t="s">
        <v>4183</v>
      </c>
      <c r="AP8" s="12" t="s">
        <v>9332</v>
      </c>
      <c r="AQ8" s="315" t="s">
        <v>4183</v>
      </c>
      <c r="AR8" s="12" t="s">
        <v>9332</v>
      </c>
      <c r="AS8" s="319" t="s">
        <v>4183</v>
      </c>
      <c r="AT8" s="12" t="s">
        <v>9332</v>
      </c>
      <c r="AU8" s="315" t="s">
        <v>4183</v>
      </c>
      <c r="AV8" s="12" t="s">
        <v>9332</v>
      </c>
      <c r="AW8" s="319" t="s">
        <v>4183</v>
      </c>
      <c r="AX8" s="12" t="s">
        <v>9332</v>
      </c>
      <c r="AY8" s="315" t="s">
        <v>4186</v>
      </c>
      <c r="AZ8" s="12" t="s">
        <v>9332</v>
      </c>
      <c r="BA8" s="319" t="s">
        <v>4186</v>
      </c>
      <c r="BB8" s="12" t="s">
        <v>9332</v>
      </c>
      <c r="BC8" s="315" t="s">
        <v>4186</v>
      </c>
      <c r="BD8" s="12" t="s">
        <v>9332</v>
      </c>
      <c r="BE8" s="319" t="s">
        <v>4186</v>
      </c>
      <c r="BF8" s="12" t="s">
        <v>9332</v>
      </c>
      <c r="BG8" s="315" t="s">
        <v>4186</v>
      </c>
      <c r="BH8" s="12" t="s">
        <v>9332</v>
      </c>
      <c r="BI8" s="319" t="s">
        <v>4186</v>
      </c>
      <c r="BJ8" s="12" t="s">
        <v>9332</v>
      </c>
      <c r="BK8" s="315" t="s">
        <v>4186</v>
      </c>
      <c r="BL8" s="12" t="s">
        <v>9332</v>
      </c>
      <c r="BM8" s="319" t="s">
        <v>4186</v>
      </c>
      <c r="BN8" s="2" t="s">
        <v>9334</v>
      </c>
      <c r="BO8" s="315" t="s">
        <v>4188</v>
      </c>
      <c r="BP8" s="2" t="s">
        <v>9334</v>
      </c>
      <c r="BQ8" s="319" t="s">
        <v>4188</v>
      </c>
      <c r="BR8" s="2" t="s">
        <v>9334</v>
      </c>
      <c r="BS8" s="315" t="s">
        <v>4188</v>
      </c>
      <c r="BT8" s="2" t="s">
        <v>9334</v>
      </c>
      <c r="BU8" s="319" t="s">
        <v>4188</v>
      </c>
      <c r="BV8" s="2" t="s">
        <v>9334</v>
      </c>
      <c r="BW8" s="315" t="s">
        <v>4188</v>
      </c>
      <c r="BX8" s="2" t="s">
        <v>9334</v>
      </c>
      <c r="BY8" s="319" t="s">
        <v>4188</v>
      </c>
      <c r="BZ8" s="2" t="s">
        <v>9334</v>
      </c>
      <c r="CA8" s="315" t="s">
        <v>4188</v>
      </c>
      <c r="CB8" s="2" t="s">
        <v>9334</v>
      </c>
      <c r="CC8" s="319" t="s">
        <v>4188</v>
      </c>
      <c r="CD8" s="2" t="s">
        <v>9334</v>
      </c>
      <c r="CE8" s="315" t="s">
        <v>4191</v>
      </c>
      <c r="CF8" s="2" t="s">
        <v>9334</v>
      </c>
      <c r="CG8" s="319" t="s">
        <v>4191</v>
      </c>
      <c r="CH8" s="2" t="s">
        <v>9334</v>
      </c>
      <c r="CI8" s="315" t="s">
        <v>4191</v>
      </c>
      <c r="CJ8" s="2" t="s">
        <v>9334</v>
      </c>
      <c r="CK8" s="319" t="s">
        <v>4191</v>
      </c>
      <c r="CL8" s="2" t="s">
        <v>9334</v>
      </c>
      <c r="CM8" s="315" t="s">
        <v>4191</v>
      </c>
      <c r="CN8" s="2" t="s">
        <v>9334</v>
      </c>
      <c r="CO8" s="319" t="s">
        <v>4191</v>
      </c>
      <c r="CP8" s="2" t="s">
        <v>9334</v>
      </c>
      <c r="CQ8" s="315" t="s">
        <v>4191</v>
      </c>
      <c r="CR8" s="2" t="s">
        <v>9334</v>
      </c>
      <c r="CS8" s="319" t="s">
        <v>4191</v>
      </c>
      <c r="CT8" s="2" t="s">
        <v>9334</v>
      </c>
      <c r="CU8" s="315" t="s">
        <v>4194</v>
      </c>
      <c r="CV8" s="2" t="s">
        <v>9334</v>
      </c>
      <c r="CW8" s="319" t="s">
        <v>4194</v>
      </c>
      <c r="CX8" s="2" t="s">
        <v>9334</v>
      </c>
      <c r="CY8" s="315" t="s">
        <v>4194</v>
      </c>
      <c r="CZ8" s="2" t="s">
        <v>9334</v>
      </c>
      <c r="DA8" s="319" t="s">
        <v>4194</v>
      </c>
      <c r="DB8" s="2" t="s">
        <v>9334</v>
      </c>
      <c r="DC8" s="315" t="s">
        <v>4194</v>
      </c>
      <c r="DD8" s="2" t="s">
        <v>9334</v>
      </c>
      <c r="DE8" s="319" t="s">
        <v>4194</v>
      </c>
      <c r="DF8" s="2" t="s">
        <v>9334</v>
      </c>
      <c r="DG8" s="315" t="s">
        <v>4194</v>
      </c>
      <c r="DH8" s="2" t="s">
        <v>9334</v>
      </c>
      <c r="DI8" s="319" t="s">
        <v>4194</v>
      </c>
      <c r="DJ8" s="2" t="s">
        <v>9334</v>
      </c>
      <c r="DK8" s="315" t="s">
        <v>4197</v>
      </c>
      <c r="DL8" s="2" t="s">
        <v>9334</v>
      </c>
      <c r="DM8" s="319" t="s">
        <v>4197</v>
      </c>
      <c r="DN8" s="2" t="s">
        <v>9334</v>
      </c>
      <c r="DO8" s="315" t="s">
        <v>4197</v>
      </c>
      <c r="DP8" s="2" t="s">
        <v>9334</v>
      </c>
      <c r="DQ8" s="319" t="s">
        <v>4197</v>
      </c>
      <c r="DR8" s="2" t="s">
        <v>9334</v>
      </c>
      <c r="DS8" s="315" t="s">
        <v>4197</v>
      </c>
      <c r="DT8" s="2" t="s">
        <v>9334</v>
      </c>
      <c r="DU8" s="319" t="s">
        <v>4197</v>
      </c>
      <c r="DV8" s="2" t="s">
        <v>9334</v>
      </c>
      <c r="DW8" s="315" t="s">
        <v>4197</v>
      </c>
      <c r="DX8" s="2" t="s">
        <v>9334</v>
      </c>
      <c r="DY8" s="319" t="s">
        <v>4197</v>
      </c>
      <c r="DZ8" s="622" t="s">
        <v>9332</v>
      </c>
      <c r="EB8" s="2" t="s">
        <v>9334</v>
      </c>
      <c r="ED8" s="12" t="s">
        <v>9332</v>
      </c>
      <c r="EE8" s="12"/>
      <c r="EF8" s="12" t="s">
        <v>9332</v>
      </c>
      <c r="EG8" s="12"/>
      <c r="EH8" s="2" t="s">
        <v>9334</v>
      </c>
      <c r="EI8" s="2"/>
      <c r="EJ8" s="2" t="s">
        <v>9334</v>
      </c>
      <c r="EK8" s="2"/>
    </row>
    <row r="9" spans="1:141" s="11" customFormat="1" hidden="1">
      <c r="A9" s="7">
        <v>3</v>
      </c>
      <c r="B9" s="12" t="s">
        <v>9332</v>
      </c>
      <c r="C9" s="315" t="s">
        <v>2002</v>
      </c>
      <c r="D9" s="2" t="s">
        <v>9334</v>
      </c>
      <c r="E9" s="319" t="s">
        <v>2005</v>
      </c>
      <c r="F9" s="12" t="s">
        <v>9332</v>
      </c>
      <c r="G9" s="315" t="s">
        <v>2007</v>
      </c>
      <c r="H9" s="2" t="s">
        <v>9334</v>
      </c>
      <c r="I9" s="319" t="s">
        <v>1318</v>
      </c>
      <c r="J9" s="12" t="s">
        <v>9332</v>
      </c>
      <c r="K9" s="315" t="s">
        <v>4168</v>
      </c>
      <c r="L9" s="2" t="s">
        <v>9334</v>
      </c>
      <c r="M9" s="319" t="s">
        <v>4171</v>
      </c>
      <c r="N9" s="12" t="s">
        <v>9332</v>
      </c>
      <c r="O9" s="315" t="s">
        <v>4174</v>
      </c>
      <c r="P9" s="2" t="s">
        <v>9334</v>
      </c>
      <c r="Q9" s="319" t="s">
        <v>4177</v>
      </c>
      <c r="R9" s="12" t="s">
        <v>9332</v>
      </c>
      <c r="S9" s="315" t="s">
        <v>2002</v>
      </c>
      <c r="T9" s="2" t="s">
        <v>9334</v>
      </c>
      <c r="U9" s="319" t="s">
        <v>2005</v>
      </c>
      <c r="V9" s="12" t="s">
        <v>9332</v>
      </c>
      <c r="W9" s="315" t="s">
        <v>2007</v>
      </c>
      <c r="X9" s="2" t="s">
        <v>9334</v>
      </c>
      <c r="Y9" s="319" t="s">
        <v>1318</v>
      </c>
      <c r="Z9" s="12" t="s">
        <v>9332</v>
      </c>
      <c r="AA9" s="315" t="s">
        <v>4168</v>
      </c>
      <c r="AB9" s="2" t="s">
        <v>9334</v>
      </c>
      <c r="AC9" s="319" t="s">
        <v>4171</v>
      </c>
      <c r="AD9" s="12" t="s">
        <v>9332</v>
      </c>
      <c r="AE9" s="315" t="s">
        <v>4174</v>
      </c>
      <c r="AF9" s="2" t="s">
        <v>9334</v>
      </c>
      <c r="AG9" s="319" t="s">
        <v>4177</v>
      </c>
      <c r="AH9" s="12" t="s">
        <v>9332</v>
      </c>
      <c r="AI9" s="315" t="s">
        <v>2002</v>
      </c>
      <c r="AJ9" s="2" t="s">
        <v>9334</v>
      </c>
      <c r="AK9" s="319" t="s">
        <v>2005</v>
      </c>
      <c r="AL9" s="12" t="s">
        <v>9332</v>
      </c>
      <c r="AM9" s="315" t="s">
        <v>2007</v>
      </c>
      <c r="AN9" s="2" t="s">
        <v>9334</v>
      </c>
      <c r="AO9" s="319" t="s">
        <v>1318</v>
      </c>
      <c r="AP9" s="12" t="s">
        <v>9332</v>
      </c>
      <c r="AQ9" s="315" t="s">
        <v>4168</v>
      </c>
      <c r="AR9" s="2" t="s">
        <v>9334</v>
      </c>
      <c r="AS9" s="319" t="s">
        <v>4171</v>
      </c>
      <c r="AT9" s="12" t="s">
        <v>9332</v>
      </c>
      <c r="AU9" s="315" t="s">
        <v>4174</v>
      </c>
      <c r="AV9" s="2" t="s">
        <v>9334</v>
      </c>
      <c r="AW9" s="319" t="s">
        <v>4177</v>
      </c>
      <c r="AX9" s="12" t="s">
        <v>9332</v>
      </c>
      <c r="AY9" s="315" t="s">
        <v>2002</v>
      </c>
      <c r="AZ9" s="2" t="s">
        <v>9334</v>
      </c>
      <c r="BA9" s="319" t="s">
        <v>2005</v>
      </c>
      <c r="BB9" s="12" t="s">
        <v>9332</v>
      </c>
      <c r="BC9" s="315" t="s">
        <v>2007</v>
      </c>
      <c r="BD9" s="2" t="s">
        <v>9334</v>
      </c>
      <c r="BE9" s="319" t="s">
        <v>1318</v>
      </c>
      <c r="BF9" s="12" t="s">
        <v>9332</v>
      </c>
      <c r="BG9" s="315" t="s">
        <v>4168</v>
      </c>
      <c r="BH9" s="2" t="s">
        <v>9334</v>
      </c>
      <c r="BI9" s="319" t="s">
        <v>4171</v>
      </c>
      <c r="BJ9" s="12" t="s">
        <v>9332</v>
      </c>
      <c r="BK9" s="315" t="s">
        <v>4174</v>
      </c>
      <c r="BL9" s="2" t="s">
        <v>9334</v>
      </c>
      <c r="BM9" s="319" t="s">
        <v>4177</v>
      </c>
      <c r="BN9" s="12" t="s">
        <v>9332</v>
      </c>
      <c r="BO9" s="315" t="s">
        <v>2002</v>
      </c>
      <c r="BP9" s="2" t="s">
        <v>9334</v>
      </c>
      <c r="BQ9" s="319" t="s">
        <v>2005</v>
      </c>
      <c r="BR9" s="12" t="s">
        <v>9332</v>
      </c>
      <c r="BS9" s="315" t="s">
        <v>2007</v>
      </c>
      <c r="BT9" s="2" t="s">
        <v>9334</v>
      </c>
      <c r="BU9" s="319" t="s">
        <v>1318</v>
      </c>
      <c r="BV9" s="12" t="s">
        <v>9332</v>
      </c>
      <c r="BW9" s="315" t="s">
        <v>4168</v>
      </c>
      <c r="BX9" s="2" t="s">
        <v>9334</v>
      </c>
      <c r="BY9" s="319" t="s">
        <v>4171</v>
      </c>
      <c r="BZ9" s="12" t="s">
        <v>9332</v>
      </c>
      <c r="CA9" s="315" t="s">
        <v>4174</v>
      </c>
      <c r="CB9" s="2" t="s">
        <v>9334</v>
      </c>
      <c r="CC9" s="319" t="s">
        <v>4177</v>
      </c>
      <c r="CD9" s="12" t="s">
        <v>9332</v>
      </c>
      <c r="CE9" s="315" t="s">
        <v>2002</v>
      </c>
      <c r="CF9" s="2" t="s">
        <v>9334</v>
      </c>
      <c r="CG9" s="319" t="s">
        <v>2005</v>
      </c>
      <c r="CH9" s="12" t="s">
        <v>9332</v>
      </c>
      <c r="CI9" s="315" t="s">
        <v>2007</v>
      </c>
      <c r="CJ9" s="2" t="s">
        <v>9334</v>
      </c>
      <c r="CK9" s="319" t="s">
        <v>1318</v>
      </c>
      <c r="CL9" s="12" t="s">
        <v>9332</v>
      </c>
      <c r="CM9" s="315" t="s">
        <v>4168</v>
      </c>
      <c r="CN9" s="2" t="s">
        <v>9334</v>
      </c>
      <c r="CO9" s="319" t="s">
        <v>4171</v>
      </c>
      <c r="CP9" s="12" t="s">
        <v>9332</v>
      </c>
      <c r="CQ9" s="315" t="s">
        <v>4174</v>
      </c>
      <c r="CR9" s="2" t="s">
        <v>9334</v>
      </c>
      <c r="CS9" s="319" t="s">
        <v>4177</v>
      </c>
      <c r="CT9" s="12" t="s">
        <v>9332</v>
      </c>
      <c r="CU9" s="315" t="s">
        <v>2002</v>
      </c>
      <c r="CV9" s="2" t="s">
        <v>9334</v>
      </c>
      <c r="CW9" s="319" t="s">
        <v>2005</v>
      </c>
      <c r="CX9" s="12" t="s">
        <v>9332</v>
      </c>
      <c r="CY9" s="315" t="s">
        <v>2007</v>
      </c>
      <c r="CZ9" s="2" t="s">
        <v>9334</v>
      </c>
      <c r="DA9" s="319" t="s">
        <v>1318</v>
      </c>
      <c r="DB9" s="12" t="s">
        <v>9332</v>
      </c>
      <c r="DC9" s="315" t="s">
        <v>4168</v>
      </c>
      <c r="DD9" s="2" t="s">
        <v>9334</v>
      </c>
      <c r="DE9" s="319" t="s">
        <v>4171</v>
      </c>
      <c r="DF9" s="12" t="s">
        <v>9332</v>
      </c>
      <c r="DG9" s="315" t="s">
        <v>4174</v>
      </c>
      <c r="DH9" s="2" t="s">
        <v>9334</v>
      </c>
      <c r="DI9" s="319" t="s">
        <v>4177</v>
      </c>
      <c r="DJ9" s="12" t="s">
        <v>9332</v>
      </c>
      <c r="DK9" s="315" t="s">
        <v>2002</v>
      </c>
      <c r="DL9" s="2" t="s">
        <v>9334</v>
      </c>
      <c r="DM9" s="319" t="s">
        <v>2005</v>
      </c>
      <c r="DN9" s="12" t="s">
        <v>9332</v>
      </c>
      <c r="DO9" s="315" t="s">
        <v>2007</v>
      </c>
      <c r="DP9" s="2" t="s">
        <v>9334</v>
      </c>
      <c r="DQ9" s="319" t="s">
        <v>1318</v>
      </c>
      <c r="DR9" s="12" t="s">
        <v>9332</v>
      </c>
      <c r="DS9" s="315" t="s">
        <v>4168</v>
      </c>
      <c r="DT9" s="2" t="s">
        <v>9334</v>
      </c>
      <c r="DU9" s="319" t="s">
        <v>4171</v>
      </c>
      <c r="DV9" s="12" t="s">
        <v>9332</v>
      </c>
      <c r="DW9" s="315" t="s">
        <v>4174</v>
      </c>
      <c r="DX9" s="2" t="s">
        <v>9334</v>
      </c>
      <c r="DY9" s="319" t="s">
        <v>4177</v>
      </c>
      <c r="DZ9" s="622" t="s">
        <v>9332</v>
      </c>
      <c r="EB9" s="2" t="s">
        <v>9334</v>
      </c>
      <c r="ED9" s="12" t="s">
        <v>9332</v>
      </c>
      <c r="EE9" s="12"/>
      <c r="EF9" s="12" t="s">
        <v>9332</v>
      </c>
      <c r="EG9" s="12"/>
      <c r="EH9" s="2" t="s">
        <v>9334</v>
      </c>
      <c r="EI9" s="2"/>
      <c r="EJ9" s="2" t="s">
        <v>9334</v>
      </c>
      <c r="EK9" s="2"/>
    </row>
    <row r="10" spans="1:141" s="11" customFormat="1" hidden="1">
      <c r="A10" s="7">
        <v>2</v>
      </c>
      <c r="B10" s="12" t="s">
        <v>9332</v>
      </c>
      <c r="C10" s="315" t="s">
        <v>2003</v>
      </c>
      <c r="D10" s="12" t="s">
        <v>9332</v>
      </c>
      <c r="E10" s="319" t="s">
        <v>2006</v>
      </c>
      <c r="F10" s="2" t="s">
        <v>9334</v>
      </c>
      <c r="G10" s="315" t="s">
        <v>2008</v>
      </c>
      <c r="H10" s="2" t="s">
        <v>9334</v>
      </c>
      <c r="I10" s="319" t="s">
        <v>4166</v>
      </c>
      <c r="J10" s="12" t="s">
        <v>9332</v>
      </c>
      <c r="K10" s="315" t="s">
        <v>4169</v>
      </c>
      <c r="L10" s="12" t="s">
        <v>9332</v>
      </c>
      <c r="M10" s="319" t="s">
        <v>4172</v>
      </c>
      <c r="N10" s="2" t="s">
        <v>9334</v>
      </c>
      <c r="O10" s="315" t="s">
        <v>4175</v>
      </c>
      <c r="P10" s="2" t="s">
        <v>9334</v>
      </c>
      <c r="Q10" s="319" t="s">
        <v>1720</v>
      </c>
      <c r="R10" s="12" t="s">
        <v>9332</v>
      </c>
      <c r="S10" s="315" t="s">
        <v>2003</v>
      </c>
      <c r="T10" s="12" t="s">
        <v>9332</v>
      </c>
      <c r="U10" s="319" t="s">
        <v>2006</v>
      </c>
      <c r="V10" s="2" t="s">
        <v>9334</v>
      </c>
      <c r="W10" s="315" t="s">
        <v>2008</v>
      </c>
      <c r="X10" s="2" t="s">
        <v>9334</v>
      </c>
      <c r="Y10" s="319" t="s">
        <v>4166</v>
      </c>
      <c r="Z10" s="12" t="s">
        <v>9332</v>
      </c>
      <c r="AA10" s="315" t="s">
        <v>4169</v>
      </c>
      <c r="AB10" s="12" t="s">
        <v>9332</v>
      </c>
      <c r="AC10" s="319" t="s">
        <v>4172</v>
      </c>
      <c r="AD10" s="2" t="s">
        <v>9334</v>
      </c>
      <c r="AE10" s="315" t="s">
        <v>4175</v>
      </c>
      <c r="AF10" s="2" t="s">
        <v>9334</v>
      </c>
      <c r="AG10" s="319" t="s">
        <v>1720</v>
      </c>
      <c r="AH10" s="12" t="s">
        <v>9332</v>
      </c>
      <c r="AI10" s="315" t="s">
        <v>2003</v>
      </c>
      <c r="AJ10" s="12" t="s">
        <v>9332</v>
      </c>
      <c r="AK10" s="319" t="s">
        <v>2006</v>
      </c>
      <c r="AL10" s="2" t="s">
        <v>9334</v>
      </c>
      <c r="AM10" s="315" t="s">
        <v>2008</v>
      </c>
      <c r="AN10" s="2" t="s">
        <v>9334</v>
      </c>
      <c r="AO10" s="319" t="s">
        <v>4166</v>
      </c>
      <c r="AP10" s="12" t="s">
        <v>9332</v>
      </c>
      <c r="AQ10" s="315" t="s">
        <v>4169</v>
      </c>
      <c r="AR10" s="12" t="s">
        <v>9332</v>
      </c>
      <c r="AS10" s="319" t="s">
        <v>4172</v>
      </c>
      <c r="AT10" s="2" t="s">
        <v>9334</v>
      </c>
      <c r="AU10" s="315" t="s">
        <v>4175</v>
      </c>
      <c r="AV10" s="2" t="s">
        <v>9334</v>
      </c>
      <c r="AW10" s="319" t="s">
        <v>1720</v>
      </c>
      <c r="AX10" s="12" t="s">
        <v>9332</v>
      </c>
      <c r="AY10" s="315" t="s">
        <v>2003</v>
      </c>
      <c r="AZ10" s="12" t="s">
        <v>9332</v>
      </c>
      <c r="BA10" s="319" t="s">
        <v>2006</v>
      </c>
      <c r="BB10" s="2" t="s">
        <v>9334</v>
      </c>
      <c r="BC10" s="315" t="s">
        <v>2008</v>
      </c>
      <c r="BD10" s="2" t="s">
        <v>9334</v>
      </c>
      <c r="BE10" s="319" t="s">
        <v>4166</v>
      </c>
      <c r="BF10" s="12" t="s">
        <v>9332</v>
      </c>
      <c r="BG10" s="315" t="s">
        <v>4169</v>
      </c>
      <c r="BH10" s="12" t="s">
        <v>9332</v>
      </c>
      <c r="BI10" s="319" t="s">
        <v>4172</v>
      </c>
      <c r="BJ10" s="2" t="s">
        <v>9334</v>
      </c>
      <c r="BK10" s="315" t="s">
        <v>4175</v>
      </c>
      <c r="BL10" s="2" t="s">
        <v>9334</v>
      </c>
      <c r="BM10" s="319" t="s">
        <v>1720</v>
      </c>
      <c r="BN10" s="12" t="s">
        <v>9332</v>
      </c>
      <c r="BO10" s="315" t="s">
        <v>2003</v>
      </c>
      <c r="BP10" s="12" t="s">
        <v>9332</v>
      </c>
      <c r="BQ10" s="319" t="s">
        <v>2006</v>
      </c>
      <c r="BR10" s="2" t="s">
        <v>9334</v>
      </c>
      <c r="BS10" s="315" t="s">
        <v>2008</v>
      </c>
      <c r="BT10" s="2" t="s">
        <v>9334</v>
      </c>
      <c r="BU10" s="319" t="s">
        <v>4166</v>
      </c>
      <c r="BV10" s="12" t="s">
        <v>9332</v>
      </c>
      <c r="BW10" s="315" t="s">
        <v>4169</v>
      </c>
      <c r="BX10" s="12" t="s">
        <v>9332</v>
      </c>
      <c r="BY10" s="319" t="s">
        <v>4172</v>
      </c>
      <c r="BZ10" s="2" t="s">
        <v>9334</v>
      </c>
      <c r="CA10" s="315" t="s">
        <v>4175</v>
      </c>
      <c r="CB10" s="2" t="s">
        <v>9334</v>
      </c>
      <c r="CC10" s="319" t="s">
        <v>1720</v>
      </c>
      <c r="CD10" s="12" t="s">
        <v>9332</v>
      </c>
      <c r="CE10" s="315" t="s">
        <v>2003</v>
      </c>
      <c r="CF10" s="12" t="s">
        <v>9332</v>
      </c>
      <c r="CG10" s="319" t="s">
        <v>2006</v>
      </c>
      <c r="CH10" s="2" t="s">
        <v>9334</v>
      </c>
      <c r="CI10" s="315" t="s">
        <v>2008</v>
      </c>
      <c r="CJ10" s="2" t="s">
        <v>9334</v>
      </c>
      <c r="CK10" s="319" t="s">
        <v>4166</v>
      </c>
      <c r="CL10" s="12" t="s">
        <v>9332</v>
      </c>
      <c r="CM10" s="315" t="s">
        <v>4169</v>
      </c>
      <c r="CN10" s="12" t="s">
        <v>9332</v>
      </c>
      <c r="CO10" s="319" t="s">
        <v>4172</v>
      </c>
      <c r="CP10" s="2" t="s">
        <v>9334</v>
      </c>
      <c r="CQ10" s="315" t="s">
        <v>4175</v>
      </c>
      <c r="CR10" s="2" t="s">
        <v>9334</v>
      </c>
      <c r="CS10" s="319" t="s">
        <v>1720</v>
      </c>
      <c r="CT10" s="12" t="s">
        <v>9332</v>
      </c>
      <c r="CU10" s="315" t="s">
        <v>2003</v>
      </c>
      <c r="CV10" s="12" t="s">
        <v>9332</v>
      </c>
      <c r="CW10" s="319" t="s">
        <v>2006</v>
      </c>
      <c r="CX10" s="2" t="s">
        <v>9334</v>
      </c>
      <c r="CY10" s="315" t="s">
        <v>2008</v>
      </c>
      <c r="CZ10" s="2" t="s">
        <v>9334</v>
      </c>
      <c r="DA10" s="319" t="s">
        <v>4166</v>
      </c>
      <c r="DB10" s="12" t="s">
        <v>9332</v>
      </c>
      <c r="DC10" s="315" t="s">
        <v>4169</v>
      </c>
      <c r="DD10" s="12" t="s">
        <v>9332</v>
      </c>
      <c r="DE10" s="319" t="s">
        <v>4172</v>
      </c>
      <c r="DF10" s="2" t="s">
        <v>9334</v>
      </c>
      <c r="DG10" s="315" t="s">
        <v>4175</v>
      </c>
      <c r="DH10" s="2" t="s">
        <v>9334</v>
      </c>
      <c r="DI10" s="319" t="s">
        <v>1720</v>
      </c>
      <c r="DJ10" s="12" t="s">
        <v>9332</v>
      </c>
      <c r="DK10" s="315" t="s">
        <v>2003</v>
      </c>
      <c r="DL10" s="12" t="s">
        <v>9332</v>
      </c>
      <c r="DM10" s="319" t="s">
        <v>2006</v>
      </c>
      <c r="DN10" s="2" t="s">
        <v>9334</v>
      </c>
      <c r="DO10" s="315" t="s">
        <v>2008</v>
      </c>
      <c r="DP10" s="2" t="s">
        <v>9334</v>
      </c>
      <c r="DQ10" s="319" t="s">
        <v>4166</v>
      </c>
      <c r="DR10" s="12" t="s">
        <v>9332</v>
      </c>
      <c r="DS10" s="315" t="s">
        <v>4169</v>
      </c>
      <c r="DT10" s="12" t="s">
        <v>9332</v>
      </c>
      <c r="DU10" s="319" t="s">
        <v>4172</v>
      </c>
      <c r="DV10" s="2" t="s">
        <v>9334</v>
      </c>
      <c r="DW10" s="315" t="s">
        <v>4175</v>
      </c>
      <c r="DX10" s="2" t="s">
        <v>9334</v>
      </c>
      <c r="DY10" s="319" t="s">
        <v>1720</v>
      </c>
      <c r="DZ10" s="622" t="s">
        <v>9332</v>
      </c>
      <c r="EB10" s="2" t="s">
        <v>9334</v>
      </c>
      <c r="ED10" s="12" t="s">
        <v>9332</v>
      </c>
      <c r="EE10" s="12"/>
      <c r="EF10" s="12" t="s">
        <v>9332</v>
      </c>
      <c r="EG10" s="12"/>
      <c r="EH10" s="2" t="s">
        <v>9334</v>
      </c>
      <c r="EI10" s="2"/>
      <c r="EJ10" s="2" t="s">
        <v>9334</v>
      </c>
      <c r="EK10" s="2"/>
    </row>
    <row r="11" spans="1:141" s="11" customFormat="1" hidden="1">
      <c r="A11" s="7">
        <v>1</v>
      </c>
      <c r="B11" s="29" t="s">
        <v>9332</v>
      </c>
      <c r="C11" s="316" t="s">
        <v>2004</v>
      </c>
      <c r="D11" s="29" t="s">
        <v>9332</v>
      </c>
      <c r="E11" s="320" t="s">
        <v>1721</v>
      </c>
      <c r="F11" s="29" t="s">
        <v>9332</v>
      </c>
      <c r="G11" s="316" t="s">
        <v>2009</v>
      </c>
      <c r="H11" s="29" t="s">
        <v>9332</v>
      </c>
      <c r="I11" s="320" t="s">
        <v>4167</v>
      </c>
      <c r="J11" s="25" t="s">
        <v>9334</v>
      </c>
      <c r="K11" s="316" t="s">
        <v>4170</v>
      </c>
      <c r="L11" s="25" t="s">
        <v>9334</v>
      </c>
      <c r="M11" s="320" t="s">
        <v>4173</v>
      </c>
      <c r="N11" s="25" t="s">
        <v>9334</v>
      </c>
      <c r="O11" s="316" t="s">
        <v>4176</v>
      </c>
      <c r="P11" s="25" t="s">
        <v>9334</v>
      </c>
      <c r="Q11" s="320" t="s">
        <v>4178</v>
      </c>
      <c r="R11" s="29" t="s">
        <v>9332</v>
      </c>
      <c r="S11" s="316" t="s">
        <v>2004</v>
      </c>
      <c r="T11" s="29" t="s">
        <v>9332</v>
      </c>
      <c r="U11" s="320" t="s">
        <v>1721</v>
      </c>
      <c r="V11" s="29" t="s">
        <v>9332</v>
      </c>
      <c r="W11" s="316" t="s">
        <v>2009</v>
      </c>
      <c r="X11" s="29" t="s">
        <v>9332</v>
      </c>
      <c r="Y11" s="320" t="s">
        <v>4167</v>
      </c>
      <c r="Z11" s="25" t="s">
        <v>9334</v>
      </c>
      <c r="AA11" s="316" t="s">
        <v>4170</v>
      </c>
      <c r="AB11" s="25" t="s">
        <v>9334</v>
      </c>
      <c r="AC11" s="320" t="s">
        <v>4173</v>
      </c>
      <c r="AD11" s="25" t="s">
        <v>9334</v>
      </c>
      <c r="AE11" s="316" t="s">
        <v>4176</v>
      </c>
      <c r="AF11" s="25" t="s">
        <v>9334</v>
      </c>
      <c r="AG11" s="320" t="s">
        <v>4178</v>
      </c>
      <c r="AH11" s="29" t="s">
        <v>9332</v>
      </c>
      <c r="AI11" s="316" t="s">
        <v>2004</v>
      </c>
      <c r="AJ11" s="29" t="s">
        <v>9332</v>
      </c>
      <c r="AK11" s="320" t="s">
        <v>1721</v>
      </c>
      <c r="AL11" s="29" t="s">
        <v>9332</v>
      </c>
      <c r="AM11" s="316" t="s">
        <v>2009</v>
      </c>
      <c r="AN11" s="29" t="s">
        <v>9332</v>
      </c>
      <c r="AO11" s="320" t="s">
        <v>4167</v>
      </c>
      <c r="AP11" s="25" t="s">
        <v>9334</v>
      </c>
      <c r="AQ11" s="316" t="s">
        <v>4170</v>
      </c>
      <c r="AR11" s="25" t="s">
        <v>9334</v>
      </c>
      <c r="AS11" s="320" t="s">
        <v>4173</v>
      </c>
      <c r="AT11" s="25" t="s">
        <v>9334</v>
      </c>
      <c r="AU11" s="316" t="s">
        <v>4176</v>
      </c>
      <c r="AV11" s="25" t="s">
        <v>9334</v>
      </c>
      <c r="AW11" s="320" t="s">
        <v>4178</v>
      </c>
      <c r="AX11" s="29" t="s">
        <v>9332</v>
      </c>
      <c r="AY11" s="316" t="s">
        <v>2004</v>
      </c>
      <c r="AZ11" s="29" t="s">
        <v>9332</v>
      </c>
      <c r="BA11" s="320" t="s">
        <v>1721</v>
      </c>
      <c r="BB11" s="29" t="s">
        <v>9332</v>
      </c>
      <c r="BC11" s="316" t="s">
        <v>2009</v>
      </c>
      <c r="BD11" s="29" t="s">
        <v>9332</v>
      </c>
      <c r="BE11" s="320" t="s">
        <v>4167</v>
      </c>
      <c r="BF11" s="25" t="s">
        <v>9334</v>
      </c>
      <c r="BG11" s="316" t="s">
        <v>4170</v>
      </c>
      <c r="BH11" s="25" t="s">
        <v>9334</v>
      </c>
      <c r="BI11" s="320" t="s">
        <v>4173</v>
      </c>
      <c r="BJ11" s="25" t="s">
        <v>9334</v>
      </c>
      <c r="BK11" s="316" t="s">
        <v>4176</v>
      </c>
      <c r="BL11" s="25" t="s">
        <v>9334</v>
      </c>
      <c r="BM11" s="320" t="s">
        <v>4178</v>
      </c>
      <c r="BN11" s="29" t="s">
        <v>9332</v>
      </c>
      <c r="BO11" s="316" t="s">
        <v>2004</v>
      </c>
      <c r="BP11" s="29" t="s">
        <v>9332</v>
      </c>
      <c r="BQ11" s="320" t="s">
        <v>1721</v>
      </c>
      <c r="BR11" s="29" t="s">
        <v>9332</v>
      </c>
      <c r="BS11" s="316" t="s">
        <v>2009</v>
      </c>
      <c r="BT11" s="29" t="s">
        <v>9332</v>
      </c>
      <c r="BU11" s="320" t="s">
        <v>4167</v>
      </c>
      <c r="BV11" s="25" t="s">
        <v>9334</v>
      </c>
      <c r="BW11" s="316" t="s">
        <v>4170</v>
      </c>
      <c r="BX11" s="25" t="s">
        <v>9334</v>
      </c>
      <c r="BY11" s="320" t="s">
        <v>4173</v>
      </c>
      <c r="BZ11" s="25" t="s">
        <v>9334</v>
      </c>
      <c r="CA11" s="316" t="s">
        <v>4176</v>
      </c>
      <c r="CB11" s="25" t="s">
        <v>9334</v>
      </c>
      <c r="CC11" s="320" t="s">
        <v>4178</v>
      </c>
      <c r="CD11" s="29" t="s">
        <v>9332</v>
      </c>
      <c r="CE11" s="316" t="s">
        <v>2004</v>
      </c>
      <c r="CF11" s="29" t="s">
        <v>9332</v>
      </c>
      <c r="CG11" s="320" t="s">
        <v>1721</v>
      </c>
      <c r="CH11" s="29" t="s">
        <v>9332</v>
      </c>
      <c r="CI11" s="316" t="s">
        <v>2009</v>
      </c>
      <c r="CJ11" s="29" t="s">
        <v>9332</v>
      </c>
      <c r="CK11" s="320" t="s">
        <v>4167</v>
      </c>
      <c r="CL11" s="25" t="s">
        <v>9334</v>
      </c>
      <c r="CM11" s="316" t="s">
        <v>4170</v>
      </c>
      <c r="CN11" s="25" t="s">
        <v>9334</v>
      </c>
      <c r="CO11" s="320" t="s">
        <v>4173</v>
      </c>
      <c r="CP11" s="25" t="s">
        <v>9334</v>
      </c>
      <c r="CQ11" s="316" t="s">
        <v>4176</v>
      </c>
      <c r="CR11" s="25" t="s">
        <v>9334</v>
      </c>
      <c r="CS11" s="320" t="s">
        <v>4178</v>
      </c>
      <c r="CT11" s="29" t="s">
        <v>9332</v>
      </c>
      <c r="CU11" s="316" t="s">
        <v>2004</v>
      </c>
      <c r="CV11" s="29" t="s">
        <v>9332</v>
      </c>
      <c r="CW11" s="320" t="s">
        <v>1721</v>
      </c>
      <c r="CX11" s="29" t="s">
        <v>9332</v>
      </c>
      <c r="CY11" s="316" t="s">
        <v>2009</v>
      </c>
      <c r="CZ11" s="29" t="s">
        <v>9332</v>
      </c>
      <c r="DA11" s="320" t="s">
        <v>4167</v>
      </c>
      <c r="DB11" s="25" t="s">
        <v>9334</v>
      </c>
      <c r="DC11" s="316" t="s">
        <v>4170</v>
      </c>
      <c r="DD11" s="25" t="s">
        <v>9334</v>
      </c>
      <c r="DE11" s="320" t="s">
        <v>4173</v>
      </c>
      <c r="DF11" s="25" t="s">
        <v>9334</v>
      </c>
      <c r="DG11" s="316" t="s">
        <v>4176</v>
      </c>
      <c r="DH11" s="25" t="s">
        <v>9334</v>
      </c>
      <c r="DI11" s="320" t="s">
        <v>4178</v>
      </c>
      <c r="DJ11" s="29" t="s">
        <v>9332</v>
      </c>
      <c r="DK11" s="316" t="s">
        <v>2004</v>
      </c>
      <c r="DL11" s="29" t="s">
        <v>9332</v>
      </c>
      <c r="DM11" s="320" t="s">
        <v>1721</v>
      </c>
      <c r="DN11" s="29" t="s">
        <v>9332</v>
      </c>
      <c r="DO11" s="316" t="s">
        <v>2009</v>
      </c>
      <c r="DP11" s="29" t="s">
        <v>9332</v>
      </c>
      <c r="DQ11" s="320" t="s">
        <v>4167</v>
      </c>
      <c r="DR11" s="25" t="s">
        <v>9334</v>
      </c>
      <c r="DS11" s="316" t="s">
        <v>4170</v>
      </c>
      <c r="DT11" s="25" t="s">
        <v>9334</v>
      </c>
      <c r="DU11" s="320" t="s">
        <v>4173</v>
      </c>
      <c r="DV11" s="25" t="s">
        <v>9334</v>
      </c>
      <c r="DW11" s="316" t="s">
        <v>4176</v>
      </c>
      <c r="DX11" s="25" t="s">
        <v>9334</v>
      </c>
      <c r="DY11" s="320" t="s">
        <v>4178</v>
      </c>
      <c r="DZ11" s="624" t="s">
        <v>9332</v>
      </c>
      <c r="EB11" s="25" t="s">
        <v>9334</v>
      </c>
      <c r="ED11" s="29" t="s">
        <v>9332</v>
      </c>
      <c r="EE11" s="29"/>
      <c r="EF11" s="29" t="s">
        <v>9332</v>
      </c>
      <c r="EG11" s="29"/>
      <c r="EH11" s="25" t="s">
        <v>9334</v>
      </c>
      <c r="EI11" s="25"/>
      <c r="EJ11" s="25" t="s">
        <v>9334</v>
      </c>
      <c r="EK11" s="25"/>
    </row>
    <row r="12" spans="1:141" s="11" customFormat="1" hidden="1">
      <c r="A12" s="31" t="s">
        <v>3859</v>
      </c>
      <c r="B12" s="12"/>
      <c r="C12" s="12"/>
      <c r="D12" s="12" t="s">
        <v>505</v>
      </c>
      <c r="E12" s="12"/>
      <c r="F12" s="12" t="s">
        <v>505</v>
      </c>
      <c r="G12" s="12"/>
      <c r="H12" s="12" t="s">
        <v>1399</v>
      </c>
      <c r="I12" s="12"/>
      <c r="J12" s="12" t="s">
        <v>505</v>
      </c>
      <c r="K12" s="12"/>
      <c r="L12" s="12" t="s">
        <v>1399</v>
      </c>
      <c r="M12" s="12"/>
      <c r="N12" s="12" t="s">
        <v>1399</v>
      </c>
      <c r="O12" s="12"/>
      <c r="P12" s="12" t="s">
        <v>353</v>
      </c>
      <c r="Q12" s="12" t="s">
        <v>9011</v>
      </c>
      <c r="R12" s="2" t="s">
        <v>9011</v>
      </c>
      <c r="S12" s="12"/>
      <c r="T12" s="2" t="s">
        <v>9011</v>
      </c>
      <c r="U12" s="12"/>
      <c r="V12" s="2" t="s">
        <v>9011</v>
      </c>
      <c r="W12" s="12"/>
      <c r="X12" s="2" t="s">
        <v>9334</v>
      </c>
      <c r="Y12" s="12"/>
      <c r="Z12" s="2" t="s">
        <v>9011</v>
      </c>
      <c r="AA12" s="12"/>
      <c r="AB12" s="2" t="s">
        <v>9334</v>
      </c>
      <c r="AC12" s="12"/>
      <c r="AD12" s="2" t="s">
        <v>9334</v>
      </c>
      <c r="AE12" s="12"/>
      <c r="AF12" s="2" t="s">
        <v>9334</v>
      </c>
      <c r="AG12" s="12"/>
      <c r="AH12" s="12" t="s">
        <v>505</v>
      </c>
      <c r="AI12" s="12"/>
      <c r="AJ12" s="12" t="s">
        <v>1399</v>
      </c>
      <c r="AK12" s="12"/>
      <c r="AL12" s="12" t="s">
        <v>1399</v>
      </c>
      <c r="AM12" s="12"/>
      <c r="AN12" s="12" t="s">
        <v>353</v>
      </c>
      <c r="AO12" s="12" t="s">
        <v>9011</v>
      </c>
      <c r="AP12" s="12" t="s">
        <v>1399</v>
      </c>
      <c r="AQ12" s="12"/>
      <c r="AR12" s="12" t="s">
        <v>353</v>
      </c>
      <c r="AS12" s="12" t="s">
        <v>9011</v>
      </c>
      <c r="AT12" s="12" t="s">
        <v>353</v>
      </c>
      <c r="AU12" s="12" t="s">
        <v>9011</v>
      </c>
      <c r="AV12" s="12" t="s">
        <v>9301</v>
      </c>
      <c r="AW12" s="12" t="s">
        <v>1399</v>
      </c>
      <c r="AX12" s="2" t="s">
        <v>9011</v>
      </c>
      <c r="AY12" s="12"/>
      <c r="AZ12" s="2" t="s">
        <v>9334</v>
      </c>
      <c r="BA12" s="12"/>
      <c r="BB12" s="2" t="s">
        <v>9334</v>
      </c>
      <c r="BC12" s="12"/>
      <c r="BD12" s="2" t="s">
        <v>9334</v>
      </c>
      <c r="BE12" s="12"/>
      <c r="BF12" s="2" t="s">
        <v>9334</v>
      </c>
      <c r="BG12" s="12"/>
      <c r="BH12" s="2" t="s">
        <v>9334</v>
      </c>
      <c r="BI12" s="12"/>
      <c r="BJ12" s="2" t="s">
        <v>9334</v>
      </c>
      <c r="BK12" s="12"/>
      <c r="BL12" s="2" t="s">
        <v>9334</v>
      </c>
      <c r="BM12" s="12"/>
      <c r="BN12" s="12" t="s">
        <v>505</v>
      </c>
      <c r="BO12" s="12"/>
      <c r="BP12" s="12" t="s">
        <v>1399</v>
      </c>
      <c r="BQ12" s="12"/>
      <c r="BR12" s="12" t="s">
        <v>1399</v>
      </c>
      <c r="BS12" s="12"/>
      <c r="BT12" s="12" t="s">
        <v>353</v>
      </c>
      <c r="BU12" s="12" t="s">
        <v>9011</v>
      </c>
      <c r="BV12" s="12" t="s">
        <v>1399</v>
      </c>
      <c r="BW12" s="12"/>
      <c r="BX12" s="12" t="s">
        <v>353</v>
      </c>
      <c r="BY12" s="12" t="s">
        <v>9011</v>
      </c>
      <c r="BZ12" s="12" t="s">
        <v>353</v>
      </c>
      <c r="CA12" s="12" t="s">
        <v>9011</v>
      </c>
      <c r="CB12" s="12" t="s">
        <v>9301</v>
      </c>
      <c r="CC12" s="12" t="s">
        <v>1399</v>
      </c>
      <c r="CD12" s="2" t="s">
        <v>9011</v>
      </c>
      <c r="CE12" s="12"/>
      <c r="CF12" s="2" t="s">
        <v>9334</v>
      </c>
      <c r="CG12" s="12"/>
      <c r="CH12" s="2" t="s">
        <v>9334</v>
      </c>
      <c r="CI12" s="12"/>
      <c r="CJ12" s="2" t="s">
        <v>9334</v>
      </c>
      <c r="CK12" s="12"/>
      <c r="CL12" s="2" t="s">
        <v>9334</v>
      </c>
      <c r="CM12" s="12"/>
      <c r="CN12" s="2" t="s">
        <v>9334</v>
      </c>
      <c r="CO12" s="12"/>
      <c r="CP12" s="2" t="s">
        <v>9334</v>
      </c>
      <c r="CQ12" s="12"/>
      <c r="CR12" s="2" t="s">
        <v>9334</v>
      </c>
      <c r="CS12" s="12"/>
      <c r="CT12" s="12" t="s">
        <v>1399</v>
      </c>
      <c r="CU12" s="12"/>
      <c r="CV12" s="12" t="s">
        <v>353</v>
      </c>
      <c r="CW12" s="12" t="s">
        <v>9011</v>
      </c>
      <c r="CX12" s="12" t="s">
        <v>353</v>
      </c>
      <c r="CY12" s="12" t="s">
        <v>9011</v>
      </c>
      <c r="CZ12" s="12" t="s">
        <v>9301</v>
      </c>
      <c r="DA12" s="12" t="s">
        <v>1399</v>
      </c>
      <c r="DB12" s="12" t="s">
        <v>353</v>
      </c>
      <c r="DC12" s="12" t="s">
        <v>9011</v>
      </c>
      <c r="DD12" s="12" t="s">
        <v>9301</v>
      </c>
      <c r="DE12" s="12" t="s">
        <v>1399</v>
      </c>
      <c r="DF12" s="12" t="s">
        <v>9301</v>
      </c>
      <c r="DG12" s="12" t="s">
        <v>1399</v>
      </c>
      <c r="DH12" s="12" t="s">
        <v>1402</v>
      </c>
      <c r="DI12" s="12" t="s">
        <v>9301</v>
      </c>
      <c r="DJ12" s="2" t="s">
        <v>9334</v>
      </c>
      <c r="DK12" s="12"/>
      <c r="DL12" s="2" t="s">
        <v>9334</v>
      </c>
      <c r="DM12" s="12"/>
      <c r="DN12" s="2" t="s">
        <v>9334</v>
      </c>
      <c r="DO12" s="12"/>
      <c r="DP12" s="2" t="s">
        <v>9334</v>
      </c>
      <c r="DQ12" s="12"/>
      <c r="DR12" s="2" t="s">
        <v>9334</v>
      </c>
      <c r="DS12" s="12"/>
      <c r="DT12" s="2" t="s">
        <v>9334</v>
      </c>
      <c r="DU12" s="12"/>
      <c r="DV12" s="2" t="s">
        <v>9334</v>
      </c>
      <c r="DW12" s="12"/>
      <c r="DX12" s="2" t="s">
        <v>9334</v>
      </c>
      <c r="DZ12" s="622" t="s">
        <v>9332</v>
      </c>
      <c r="EB12" s="2" t="s">
        <v>9334</v>
      </c>
      <c r="ED12" s="12" t="s">
        <v>1402</v>
      </c>
      <c r="EE12" s="12" t="s">
        <v>1399</v>
      </c>
      <c r="EF12" s="12" t="s">
        <v>9332</v>
      </c>
      <c r="EG12" s="12"/>
      <c r="EH12" s="2" t="s">
        <v>1402</v>
      </c>
      <c r="EI12" s="2" t="s">
        <v>1399</v>
      </c>
      <c r="EJ12" s="2" t="s">
        <v>9334</v>
      </c>
      <c r="EK12" s="2"/>
    </row>
    <row r="13" spans="1:141" s="11" customFormat="1" hidden="1">
      <c r="A13" s="31">
        <v>5</v>
      </c>
      <c r="B13" s="12"/>
      <c r="C13" s="12"/>
      <c r="D13" s="12" t="s">
        <v>1399</v>
      </c>
      <c r="E13" s="12"/>
      <c r="F13" s="12" t="s">
        <v>1399</v>
      </c>
      <c r="G13" s="12"/>
      <c r="H13" s="12" t="s">
        <v>353</v>
      </c>
      <c r="I13" s="12"/>
      <c r="J13" s="12" t="s">
        <v>1399</v>
      </c>
      <c r="K13" s="12"/>
      <c r="L13" s="12" t="s">
        <v>353</v>
      </c>
      <c r="M13" s="12"/>
      <c r="N13" s="12" t="s">
        <v>353</v>
      </c>
      <c r="O13" s="12"/>
      <c r="P13" s="12" t="s">
        <v>9301</v>
      </c>
      <c r="Q13" s="12" t="s">
        <v>505</v>
      </c>
      <c r="R13" s="12" t="s">
        <v>505</v>
      </c>
      <c r="S13" s="12"/>
      <c r="T13" s="12" t="s">
        <v>1399</v>
      </c>
      <c r="U13" s="12"/>
      <c r="V13" s="12" t="s">
        <v>1399</v>
      </c>
      <c r="W13" s="12"/>
      <c r="X13" s="12" t="s">
        <v>353</v>
      </c>
      <c r="Y13" s="12" t="s">
        <v>9011</v>
      </c>
      <c r="Z13" s="12" t="s">
        <v>1399</v>
      </c>
      <c r="AA13" s="12"/>
      <c r="AB13" s="12" t="s">
        <v>353</v>
      </c>
      <c r="AC13" s="12" t="s">
        <v>9011</v>
      </c>
      <c r="AD13" s="12" t="s">
        <v>353</v>
      </c>
      <c r="AE13" s="12" t="s">
        <v>9011</v>
      </c>
      <c r="AF13" s="12" t="s">
        <v>9301</v>
      </c>
      <c r="AG13" s="12" t="s">
        <v>1399</v>
      </c>
      <c r="AH13" s="2" t="s">
        <v>9011</v>
      </c>
      <c r="AI13" s="12"/>
      <c r="AJ13" s="2" t="s">
        <v>9011</v>
      </c>
      <c r="AK13" s="12"/>
      <c r="AL13" s="2" t="s">
        <v>9011</v>
      </c>
      <c r="AM13" s="12"/>
      <c r="AN13" s="2" t="s">
        <v>9334</v>
      </c>
      <c r="AO13" s="12"/>
      <c r="AP13" s="2" t="s">
        <v>9011</v>
      </c>
      <c r="AQ13" s="12"/>
      <c r="AR13" s="2" t="s">
        <v>9334</v>
      </c>
      <c r="AS13" s="12"/>
      <c r="AT13" s="2" t="s">
        <v>9334</v>
      </c>
      <c r="AU13" s="12"/>
      <c r="AV13" s="2" t="s">
        <v>9334</v>
      </c>
      <c r="AW13" s="12"/>
      <c r="AX13" s="2" t="s">
        <v>505</v>
      </c>
      <c r="AY13" s="12"/>
      <c r="AZ13" s="2" t="s">
        <v>9334</v>
      </c>
      <c r="BA13" s="12"/>
      <c r="BB13" s="2" t="s">
        <v>9334</v>
      </c>
      <c r="BC13" s="12"/>
      <c r="BD13" s="2" t="s">
        <v>9334</v>
      </c>
      <c r="BE13" s="12"/>
      <c r="BF13" s="2" t="s">
        <v>9334</v>
      </c>
      <c r="BG13" s="12"/>
      <c r="BH13" s="2" t="s">
        <v>9334</v>
      </c>
      <c r="BI13" s="12"/>
      <c r="BJ13" s="2" t="s">
        <v>9334</v>
      </c>
      <c r="BK13" s="12"/>
      <c r="BL13" s="2" t="s">
        <v>9011</v>
      </c>
      <c r="BM13" s="12"/>
      <c r="BN13" s="12" t="s">
        <v>1399</v>
      </c>
      <c r="BO13" s="12"/>
      <c r="BP13" s="12" t="s">
        <v>353</v>
      </c>
      <c r="BQ13" s="12"/>
      <c r="BR13" s="12" t="s">
        <v>353</v>
      </c>
      <c r="BS13" s="12"/>
      <c r="BT13" s="12" t="s">
        <v>9301</v>
      </c>
      <c r="BU13" s="12" t="s">
        <v>505</v>
      </c>
      <c r="BV13" s="12" t="s">
        <v>353</v>
      </c>
      <c r="BW13" s="12"/>
      <c r="BX13" s="12" t="s">
        <v>9301</v>
      </c>
      <c r="BY13" s="12" t="s">
        <v>505</v>
      </c>
      <c r="BZ13" s="12" t="s">
        <v>9301</v>
      </c>
      <c r="CA13" s="12" t="s">
        <v>505</v>
      </c>
      <c r="CB13" s="12" t="s">
        <v>1402</v>
      </c>
      <c r="CC13" s="12" t="s">
        <v>353</v>
      </c>
      <c r="CD13" s="12" t="s">
        <v>1399</v>
      </c>
      <c r="CE13" s="12"/>
      <c r="CF13" s="12" t="s">
        <v>353</v>
      </c>
      <c r="CG13" s="12" t="s">
        <v>9011</v>
      </c>
      <c r="CH13" s="12" t="s">
        <v>353</v>
      </c>
      <c r="CI13" s="12" t="s">
        <v>9011</v>
      </c>
      <c r="CJ13" s="12" t="s">
        <v>9301</v>
      </c>
      <c r="CK13" s="12" t="s">
        <v>1399</v>
      </c>
      <c r="CL13" s="12" t="s">
        <v>353</v>
      </c>
      <c r="CM13" s="12" t="s">
        <v>9011</v>
      </c>
      <c r="CN13" s="12" t="s">
        <v>9301</v>
      </c>
      <c r="CO13" s="12" t="s">
        <v>1399</v>
      </c>
      <c r="CP13" s="12" t="s">
        <v>9301</v>
      </c>
      <c r="CQ13" s="12" t="s">
        <v>1399</v>
      </c>
      <c r="CR13" s="12" t="s">
        <v>1402</v>
      </c>
      <c r="CS13" s="12" t="s">
        <v>9301</v>
      </c>
      <c r="CT13" s="2" t="s">
        <v>9011</v>
      </c>
      <c r="CU13" s="12"/>
      <c r="CV13" s="2" t="s">
        <v>9334</v>
      </c>
      <c r="CW13" s="12"/>
      <c r="CX13" s="2" t="s">
        <v>9334</v>
      </c>
      <c r="CY13" s="12"/>
      <c r="CZ13" s="2" t="s">
        <v>9334</v>
      </c>
      <c r="DA13" s="12"/>
      <c r="DB13" s="2" t="s">
        <v>9334</v>
      </c>
      <c r="DC13" s="12"/>
      <c r="DD13" s="2" t="s">
        <v>9334</v>
      </c>
      <c r="DE13" s="12"/>
      <c r="DF13" s="2" t="s">
        <v>9334</v>
      </c>
      <c r="DG13" s="12"/>
      <c r="DH13" s="2" t="s">
        <v>9334</v>
      </c>
      <c r="DI13" s="12"/>
      <c r="DJ13" s="2" t="s">
        <v>9334</v>
      </c>
      <c r="DK13" s="12"/>
      <c r="DL13" s="2" t="s">
        <v>9334</v>
      </c>
      <c r="DM13" s="12"/>
      <c r="DN13" s="2" t="s">
        <v>9334</v>
      </c>
      <c r="DO13" s="12"/>
      <c r="DP13" s="2" t="s">
        <v>9011</v>
      </c>
      <c r="DQ13" s="12"/>
      <c r="DR13" s="2" t="s">
        <v>9334</v>
      </c>
      <c r="DS13" s="12"/>
      <c r="DT13" s="2" t="s">
        <v>9011</v>
      </c>
      <c r="DU13" s="12"/>
      <c r="DV13" s="2" t="s">
        <v>9011</v>
      </c>
      <c r="DW13" s="12"/>
      <c r="DX13" s="2" t="s">
        <v>9334</v>
      </c>
      <c r="DZ13" s="622" t="s">
        <v>9332</v>
      </c>
      <c r="EB13" s="2" t="s">
        <v>9334</v>
      </c>
      <c r="ED13" s="12" t="s">
        <v>9301</v>
      </c>
      <c r="EE13" s="12" t="s">
        <v>505</v>
      </c>
      <c r="EF13" s="12" t="s">
        <v>9332</v>
      </c>
      <c r="EG13" s="12"/>
      <c r="EH13" s="2" t="s">
        <v>9301</v>
      </c>
      <c r="EI13" s="2" t="s">
        <v>505</v>
      </c>
      <c r="EJ13" s="2" t="s">
        <v>9334</v>
      </c>
      <c r="EK13" s="2"/>
    </row>
    <row r="14" spans="1:141" s="11" customFormat="1" hidden="1">
      <c r="A14" s="31">
        <v>4</v>
      </c>
      <c r="B14" s="12"/>
      <c r="C14" s="12"/>
      <c r="D14" s="12" t="s">
        <v>353</v>
      </c>
      <c r="E14" s="12"/>
      <c r="F14" s="12" t="s">
        <v>353</v>
      </c>
      <c r="G14" s="12"/>
      <c r="H14" s="12" t="s">
        <v>9301</v>
      </c>
      <c r="I14" s="12"/>
      <c r="J14" s="12" t="s">
        <v>353</v>
      </c>
      <c r="K14" s="12"/>
      <c r="L14" s="12" t="s">
        <v>9301</v>
      </c>
      <c r="M14" s="12"/>
      <c r="N14" s="12" t="s">
        <v>9301</v>
      </c>
      <c r="O14" s="12"/>
      <c r="P14" s="12" t="s">
        <v>1402</v>
      </c>
      <c r="Q14" s="12" t="s">
        <v>1399</v>
      </c>
      <c r="R14" s="12" t="s">
        <v>1399</v>
      </c>
      <c r="S14" s="12"/>
      <c r="T14" s="12" t="s">
        <v>353</v>
      </c>
      <c r="U14" s="12"/>
      <c r="V14" s="12" t="s">
        <v>353</v>
      </c>
      <c r="W14" s="12"/>
      <c r="X14" s="12" t="s">
        <v>9301</v>
      </c>
      <c r="Y14" s="12" t="s">
        <v>505</v>
      </c>
      <c r="Z14" s="12" t="s">
        <v>353</v>
      </c>
      <c r="AA14" s="12"/>
      <c r="AB14" s="12" t="s">
        <v>9301</v>
      </c>
      <c r="AC14" s="12" t="s">
        <v>505</v>
      </c>
      <c r="AD14" s="12" t="s">
        <v>9301</v>
      </c>
      <c r="AE14" s="12" t="s">
        <v>505</v>
      </c>
      <c r="AF14" s="12" t="s">
        <v>1402</v>
      </c>
      <c r="AG14" s="12" t="s">
        <v>353</v>
      </c>
      <c r="AH14" s="12" t="s">
        <v>1399</v>
      </c>
      <c r="AI14" s="12"/>
      <c r="AJ14" s="12" t="s">
        <v>353</v>
      </c>
      <c r="AK14" s="12"/>
      <c r="AL14" s="12" t="s">
        <v>353</v>
      </c>
      <c r="AM14" s="12"/>
      <c r="AN14" s="12" t="s">
        <v>9301</v>
      </c>
      <c r="AO14" s="12" t="s">
        <v>505</v>
      </c>
      <c r="AP14" s="12" t="s">
        <v>353</v>
      </c>
      <c r="AQ14" s="12"/>
      <c r="AR14" s="12" t="s">
        <v>9301</v>
      </c>
      <c r="AS14" s="12" t="s">
        <v>505</v>
      </c>
      <c r="AT14" s="12" t="s">
        <v>9301</v>
      </c>
      <c r="AU14" s="12" t="s">
        <v>505</v>
      </c>
      <c r="AV14" s="12" t="s">
        <v>1402</v>
      </c>
      <c r="AW14" s="12" t="s">
        <v>353</v>
      </c>
      <c r="AX14" s="12" t="s">
        <v>1399</v>
      </c>
      <c r="AY14" s="12"/>
      <c r="AZ14" s="12" t="s">
        <v>353</v>
      </c>
      <c r="BA14" s="12" t="s">
        <v>9011</v>
      </c>
      <c r="BB14" s="12" t="s">
        <v>353</v>
      </c>
      <c r="BC14" s="12" t="s">
        <v>9011</v>
      </c>
      <c r="BD14" s="12" t="s">
        <v>9301</v>
      </c>
      <c r="BE14" s="12" t="s">
        <v>1399</v>
      </c>
      <c r="BF14" s="12" t="s">
        <v>353</v>
      </c>
      <c r="BG14" s="12" t="s">
        <v>9011</v>
      </c>
      <c r="BH14" s="12" t="s">
        <v>9301</v>
      </c>
      <c r="BI14" s="12" t="s">
        <v>1399</v>
      </c>
      <c r="BJ14" s="12" t="s">
        <v>9301</v>
      </c>
      <c r="BK14" s="12" t="s">
        <v>1399</v>
      </c>
      <c r="BL14" s="12" t="s">
        <v>1402</v>
      </c>
      <c r="BM14" s="12" t="s">
        <v>9301</v>
      </c>
      <c r="BN14" s="2" t="s">
        <v>9011</v>
      </c>
      <c r="BO14" s="12"/>
      <c r="BP14" s="2" t="s">
        <v>9011</v>
      </c>
      <c r="BQ14" s="12"/>
      <c r="BR14" s="2" t="s">
        <v>9011</v>
      </c>
      <c r="BS14" s="12"/>
      <c r="BT14" s="2" t="s">
        <v>9334</v>
      </c>
      <c r="BU14" s="12"/>
      <c r="BV14" s="2" t="s">
        <v>9011</v>
      </c>
      <c r="BW14" s="12"/>
      <c r="BX14" s="2" t="s">
        <v>9334</v>
      </c>
      <c r="BY14" s="12"/>
      <c r="BZ14" s="2" t="s">
        <v>9334</v>
      </c>
      <c r="CA14" s="12"/>
      <c r="CB14" s="2" t="s">
        <v>9334</v>
      </c>
      <c r="CC14" s="12"/>
      <c r="CD14" s="2" t="s">
        <v>505</v>
      </c>
      <c r="CE14" s="12"/>
      <c r="CF14" s="2" t="s">
        <v>9334</v>
      </c>
      <c r="CG14" s="12"/>
      <c r="CH14" s="2" t="s">
        <v>9334</v>
      </c>
      <c r="CI14" s="12"/>
      <c r="CJ14" s="2" t="s">
        <v>9334</v>
      </c>
      <c r="CK14" s="12"/>
      <c r="CL14" s="2" t="s">
        <v>9334</v>
      </c>
      <c r="CM14" s="12"/>
      <c r="CN14" s="2" t="s">
        <v>9334</v>
      </c>
      <c r="CO14" s="12"/>
      <c r="CP14" s="2" t="s">
        <v>9334</v>
      </c>
      <c r="CQ14" s="12"/>
      <c r="CR14" s="2" t="s">
        <v>9011</v>
      </c>
      <c r="CS14" s="12"/>
      <c r="CT14" s="2" t="s">
        <v>505</v>
      </c>
      <c r="CU14" s="12"/>
      <c r="CV14" s="2" t="s">
        <v>9334</v>
      </c>
      <c r="CW14" s="12"/>
      <c r="CX14" s="2" t="s">
        <v>9334</v>
      </c>
      <c r="CY14" s="12"/>
      <c r="CZ14" s="2" t="s">
        <v>9334</v>
      </c>
      <c r="DA14" s="12"/>
      <c r="DB14" s="2" t="s">
        <v>9334</v>
      </c>
      <c r="DC14" s="12"/>
      <c r="DD14" s="2" t="s">
        <v>9334</v>
      </c>
      <c r="DE14" s="12"/>
      <c r="DF14" s="2" t="s">
        <v>9334</v>
      </c>
      <c r="DG14" s="12"/>
      <c r="DH14" s="2" t="s">
        <v>9011</v>
      </c>
      <c r="DI14" s="12"/>
      <c r="DJ14" s="2" t="s">
        <v>9334</v>
      </c>
      <c r="DK14" s="12"/>
      <c r="DL14" s="2" t="s">
        <v>9011</v>
      </c>
      <c r="DM14" s="12"/>
      <c r="DN14" s="2" t="s">
        <v>9011</v>
      </c>
      <c r="DO14" s="12"/>
      <c r="DP14" s="2" t="s">
        <v>505</v>
      </c>
      <c r="DQ14" s="12"/>
      <c r="DR14" s="2" t="s">
        <v>9011</v>
      </c>
      <c r="DS14" s="12"/>
      <c r="DT14" s="2" t="s">
        <v>505</v>
      </c>
      <c r="DU14" s="12"/>
      <c r="DV14" s="2" t="s">
        <v>505</v>
      </c>
      <c r="DW14" s="12"/>
      <c r="DX14" s="2" t="s">
        <v>9334</v>
      </c>
      <c r="DZ14" s="622" t="s">
        <v>9332</v>
      </c>
      <c r="EB14" s="2" t="s">
        <v>9334</v>
      </c>
      <c r="ED14" s="12" t="s">
        <v>353</v>
      </c>
      <c r="EE14" s="12" t="s">
        <v>9011</v>
      </c>
      <c r="EF14" s="12" t="s">
        <v>9332</v>
      </c>
      <c r="EG14" s="12"/>
      <c r="EH14" s="2" t="s">
        <v>353</v>
      </c>
      <c r="EI14" s="2" t="s">
        <v>9011</v>
      </c>
      <c r="EJ14" s="2" t="s">
        <v>9334</v>
      </c>
      <c r="EK14" s="2"/>
    </row>
    <row r="15" spans="1:141" s="11" customFormat="1" hidden="1">
      <c r="A15" s="31">
        <v>3</v>
      </c>
      <c r="B15" s="12"/>
      <c r="C15" s="12"/>
      <c r="D15" s="2" t="s">
        <v>9011</v>
      </c>
      <c r="E15" s="12"/>
      <c r="F15" s="12" t="s">
        <v>9301</v>
      </c>
      <c r="G15" s="12"/>
      <c r="H15" s="2" t="s">
        <v>9011</v>
      </c>
      <c r="I15" s="12"/>
      <c r="J15" s="12" t="s">
        <v>9301</v>
      </c>
      <c r="K15" s="12"/>
      <c r="L15" s="2" t="s">
        <v>9011</v>
      </c>
      <c r="M15" s="12"/>
      <c r="N15" s="12" t="s">
        <v>1402</v>
      </c>
      <c r="O15" s="12"/>
      <c r="P15" s="2" t="s">
        <v>9334</v>
      </c>
      <c r="Q15" s="12"/>
      <c r="R15" s="12" t="s">
        <v>353</v>
      </c>
      <c r="S15" s="12"/>
      <c r="T15" s="2" t="s">
        <v>505</v>
      </c>
      <c r="U15" s="12"/>
      <c r="V15" s="12" t="s">
        <v>9301</v>
      </c>
      <c r="W15" s="12"/>
      <c r="X15" s="2" t="s">
        <v>9334</v>
      </c>
      <c r="Y15" s="12"/>
      <c r="Z15" s="12" t="s">
        <v>9301</v>
      </c>
      <c r="AA15" s="12"/>
      <c r="AB15" s="2" t="s">
        <v>9334</v>
      </c>
      <c r="AC15" s="12"/>
      <c r="AD15" s="12" t="s">
        <v>1402</v>
      </c>
      <c r="AE15" s="12" t="s">
        <v>1399</v>
      </c>
      <c r="AF15" s="2" t="s">
        <v>9334</v>
      </c>
      <c r="AG15" s="12"/>
      <c r="AH15" s="12" t="s">
        <v>353</v>
      </c>
      <c r="AI15" s="12"/>
      <c r="AJ15" s="2" t="s">
        <v>505</v>
      </c>
      <c r="AK15" s="12"/>
      <c r="AL15" s="12" t="s">
        <v>9301</v>
      </c>
      <c r="AM15" s="12"/>
      <c r="AN15" s="2" t="s">
        <v>9334</v>
      </c>
      <c r="AO15" s="12"/>
      <c r="AP15" s="12" t="s">
        <v>9301</v>
      </c>
      <c r="AQ15" s="12"/>
      <c r="AR15" s="2" t="s">
        <v>9334</v>
      </c>
      <c r="AS15" s="12"/>
      <c r="AT15" s="12" t="s">
        <v>1402</v>
      </c>
      <c r="AU15" s="12" t="s">
        <v>1399</v>
      </c>
      <c r="AV15" s="2" t="s">
        <v>9334</v>
      </c>
      <c r="AW15" s="12"/>
      <c r="AX15" s="12" t="s">
        <v>353</v>
      </c>
      <c r="AY15" s="12"/>
      <c r="AZ15" s="2" t="s">
        <v>9334</v>
      </c>
      <c r="BA15" s="12"/>
      <c r="BB15" s="12" t="s">
        <v>9301</v>
      </c>
      <c r="BC15" s="12" t="s">
        <v>505</v>
      </c>
      <c r="BD15" s="2" t="s">
        <v>9011</v>
      </c>
      <c r="BE15" s="12"/>
      <c r="BF15" s="12" t="s">
        <v>9301</v>
      </c>
      <c r="BG15" s="12" t="s">
        <v>505</v>
      </c>
      <c r="BH15" s="2" t="s">
        <v>9011</v>
      </c>
      <c r="BI15" s="12"/>
      <c r="BJ15" s="12" t="s">
        <v>1402</v>
      </c>
      <c r="BK15" s="12" t="s">
        <v>353</v>
      </c>
      <c r="BL15" s="2" t="s">
        <v>505</v>
      </c>
      <c r="BM15" s="12"/>
      <c r="BN15" s="12" t="s">
        <v>353</v>
      </c>
      <c r="BO15" s="12"/>
      <c r="BP15" s="2" t="s">
        <v>505</v>
      </c>
      <c r="BQ15" s="12"/>
      <c r="BR15" s="12" t="s">
        <v>9301</v>
      </c>
      <c r="BS15" s="12"/>
      <c r="BT15" s="2" t="s">
        <v>9334</v>
      </c>
      <c r="BU15" s="12"/>
      <c r="BV15" s="12" t="s">
        <v>9301</v>
      </c>
      <c r="BW15" s="12"/>
      <c r="BX15" s="2" t="s">
        <v>9334</v>
      </c>
      <c r="BY15" s="12"/>
      <c r="BZ15" s="12" t="s">
        <v>1402</v>
      </c>
      <c r="CA15" s="12" t="s">
        <v>1399</v>
      </c>
      <c r="CB15" s="2" t="s">
        <v>9334</v>
      </c>
      <c r="CC15" s="12"/>
      <c r="CD15" s="12" t="s">
        <v>353</v>
      </c>
      <c r="CE15" s="12"/>
      <c r="CF15" s="2" t="s">
        <v>9334</v>
      </c>
      <c r="CG15" s="12"/>
      <c r="CH15" s="12" t="s">
        <v>9301</v>
      </c>
      <c r="CI15" s="12" t="s">
        <v>505</v>
      </c>
      <c r="CJ15" s="2" t="s">
        <v>9011</v>
      </c>
      <c r="CK15" s="12"/>
      <c r="CL15" s="12" t="s">
        <v>9301</v>
      </c>
      <c r="CM15" s="12" t="s">
        <v>505</v>
      </c>
      <c r="CN15" s="2" t="s">
        <v>9011</v>
      </c>
      <c r="CO15" s="12"/>
      <c r="CP15" s="12" t="s">
        <v>1402</v>
      </c>
      <c r="CQ15" s="12" t="s">
        <v>353</v>
      </c>
      <c r="CR15" s="2" t="s">
        <v>505</v>
      </c>
      <c r="CS15" s="12"/>
      <c r="CT15" s="12" t="s">
        <v>353</v>
      </c>
      <c r="CU15" s="12"/>
      <c r="CV15" s="2" t="s">
        <v>9334</v>
      </c>
      <c r="CW15" s="12"/>
      <c r="CX15" s="12" t="s">
        <v>9301</v>
      </c>
      <c r="CY15" s="12" t="s">
        <v>505</v>
      </c>
      <c r="CZ15" s="2" t="s">
        <v>9011</v>
      </c>
      <c r="DA15" s="12"/>
      <c r="DB15" s="12" t="s">
        <v>9301</v>
      </c>
      <c r="DC15" s="12" t="s">
        <v>505</v>
      </c>
      <c r="DD15" s="2" t="s">
        <v>9011</v>
      </c>
      <c r="DE15" s="12"/>
      <c r="DF15" s="12" t="s">
        <v>1402</v>
      </c>
      <c r="DG15" s="12" t="s">
        <v>353</v>
      </c>
      <c r="DH15" s="2" t="s">
        <v>505</v>
      </c>
      <c r="DI15" s="12"/>
      <c r="DJ15" s="12" t="s">
        <v>353</v>
      </c>
      <c r="DK15" s="12" t="s">
        <v>9011</v>
      </c>
      <c r="DL15" s="2" t="s">
        <v>505</v>
      </c>
      <c r="DM15" s="12"/>
      <c r="DN15" s="12" t="s">
        <v>9301</v>
      </c>
      <c r="DO15" s="12" t="s">
        <v>1399</v>
      </c>
      <c r="DP15" s="2" t="s">
        <v>1399</v>
      </c>
      <c r="DQ15" s="12"/>
      <c r="DR15" s="12" t="s">
        <v>9301</v>
      </c>
      <c r="DS15" s="12" t="s">
        <v>1399</v>
      </c>
      <c r="DT15" s="2" t="s">
        <v>1399</v>
      </c>
      <c r="DU15" s="12"/>
      <c r="DV15" s="12" t="s">
        <v>1402</v>
      </c>
      <c r="DW15" s="12" t="s">
        <v>9301</v>
      </c>
      <c r="DX15" s="2" t="s">
        <v>9334</v>
      </c>
      <c r="DZ15" s="622" t="s">
        <v>353</v>
      </c>
      <c r="EA15" s="32" t="s">
        <v>9011</v>
      </c>
      <c r="EB15" s="12" t="s">
        <v>353</v>
      </c>
      <c r="EC15" s="32" t="s">
        <v>9011</v>
      </c>
      <c r="ED15" s="12" t="s">
        <v>9332</v>
      </c>
      <c r="EE15" s="12"/>
      <c r="EF15" s="12" t="s">
        <v>353</v>
      </c>
      <c r="EG15" s="12" t="s">
        <v>9011</v>
      </c>
      <c r="EH15" s="2" t="s">
        <v>9334</v>
      </c>
      <c r="EI15" s="2"/>
      <c r="EJ15" s="2" t="s">
        <v>353</v>
      </c>
      <c r="EK15" s="2" t="s">
        <v>9011</v>
      </c>
    </row>
    <row r="16" spans="1:141" s="11" customFormat="1" hidden="1">
      <c r="A16" s="31">
        <v>2</v>
      </c>
      <c r="B16" s="12"/>
      <c r="C16" s="12"/>
      <c r="D16" s="12" t="s">
        <v>9301</v>
      </c>
      <c r="E16" s="12"/>
      <c r="F16" s="2" t="s">
        <v>9011</v>
      </c>
      <c r="G16" s="12"/>
      <c r="H16" s="2" t="s">
        <v>505</v>
      </c>
      <c r="I16" s="12"/>
      <c r="J16" s="12" t="s">
        <v>1402</v>
      </c>
      <c r="K16" s="12"/>
      <c r="L16" s="12" t="s">
        <v>1402</v>
      </c>
      <c r="M16" s="12"/>
      <c r="N16" s="2" t="s">
        <v>9011</v>
      </c>
      <c r="O16" s="12"/>
      <c r="P16" s="2" t="s">
        <v>9334</v>
      </c>
      <c r="Q16" s="12"/>
      <c r="R16" s="12" t="s">
        <v>9301</v>
      </c>
      <c r="S16" s="12"/>
      <c r="T16" s="12" t="s">
        <v>9301</v>
      </c>
      <c r="U16" s="12"/>
      <c r="V16" s="2" t="s">
        <v>505</v>
      </c>
      <c r="W16" s="12"/>
      <c r="X16" s="2" t="s">
        <v>9334</v>
      </c>
      <c r="Y16" s="12"/>
      <c r="Z16" s="12" t="s">
        <v>1402</v>
      </c>
      <c r="AA16" s="12"/>
      <c r="AB16" s="12" t="s">
        <v>1402</v>
      </c>
      <c r="AC16" s="12" t="s">
        <v>1399</v>
      </c>
      <c r="AD16" s="2" t="s">
        <v>9334</v>
      </c>
      <c r="AE16" s="12"/>
      <c r="AF16" s="2" t="s">
        <v>9011</v>
      </c>
      <c r="AG16" s="12"/>
      <c r="AH16" s="12" t="s">
        <v>9301</v>
      </c>
      <c r="AI16" s="12"/>
      <c r="AJ16" s="12" t="s">
        <v>9301</v>
      </c>
      <c r="AK16" s="12"/>
      <c r="AL16" s="2" t="s">
        <v>505</v>
      </c>
      <c r="AM16" s="12"/>
      <c r="AN16" s="2" t="s">
        <v>9334</v>
      </c>
      <c r="AO16" s="12"/>
      <c r="AP16" s="12" t="s">
        <v>1402</v>
      </c>
      <c r="AQ16" s="12"/>
      <c r="AR16" s="12" t="s">
        <v>1402</v>
      </c>
      <c r="AS16" s="12" t="s">
        <v>1399</v>
      </c>
      <c r="AT16" s="2" t="s">
        <v>9334</v>
      </c>
      <c r="AU16" s="12"/>
      <c r="AV16" s="2" t="s">
        <v>9011</v>
      </c>
      <c r="AW16" s="12"/>
      <c r="AX16" s="12" t="s">
        <v>9301</v>
      </c>
      <c r="AY16" s="12"/>
      <c r="AZ16" s="12" t="s">
        <v>9301</v>
      </c>
      <c r="BA16" s="12" t="s">
        <v>505</v>
      </c>
      <c r="BB16" s="2" t="s">
        <v>9334</v>
      </c>
      <c r="BC16" s="12"/>
      <c r="BD16" s="2" t="s">
        <v>505</v>
      </c>
      <c r="BE16" s="12"/>
      <c r="BF16" s="12" t="s">
        <v>1402</v>
      </c>
      <c r="BG16" s="12" t="s">
        <v>1399</v>
      </c>
      <c r="BH16" s="12" t="s">
        <v>1402</v>
      </c>
      <c r="BI16" s="12" t="s">
        <v>353</v>
      </c>
      <c r="BJ16" s="2" t="s">
        <v>9011</v>
      </c>
      <c r="BK16" s="12"/>
      <c r="BL16" s="2" t="s">
        <v>1399</v>
      </c>
      <c r="BM16" s="12"/>
      <c r="BN16" s="12" t="s">
        <v>9301</v>
      </c>
      <c r="BO16" s="12"/>
      <c r="BP16" s="12" t="s">
        <v>9301</v>
      </c>
      <c r="BQ16" s="12"/>
      <c r="BR16" s="2" t="s">
        <v>505</v>
      </c>
      <c r="BS16" s="12"/>
      <c r="BT16" s="2" t="s">
        <v>9334</v>
      </c>
      <c r="BU16" s="12"/>
      <c r="BV16" s="12" t="s">
        <v>1402</v>
      </c>
      <c r="BW16" s="12"/>
      <c r="BX16" s="12" t="s">
        <v>1402</v>
      </c>
      <c r="BY16" s="12" t="s">
        <v>1399</v>
      </c>
      <c r="BZ16" s="2" t="s">
        <v>9334</v>
      </c>
      <c r="CA16" s="12"/>
      <c r="CB16" s="2" t="s">
        <v>9011</v>
      </c>
      <c r="CC16" s="12"/>
      <c r="CD16" s="12" t="s">
        <v>9301</v>
      </c>
      <c r="CE16" s="12"/>
      <c r="CF16" s="12" t="s">
        <v>9301</v>
      </c>
      <c r="CG16" s="12" t="s">
        <v>505</v>
      </c>
      <c r="CH16" s="2" t="s">
        <v>9334</v>
      </c>
      <c r="CI16" s="12"/>
      <c r="CJ16" s="2" t="s">
        <v>505</v>
      </c>
      <c r="CK16" s="12"/>
      <c r="CL16" s="12" t="s">
        <v>1402</v>
      </c>
      <c r="CM16" s="12" t="s">
        <v>1399</v>
      </c>
      <c r="CN16" s="12" t="s">
        <v>1402</v>
      </c>
      <c r="CO16" s="12" t="s">
        <v>353</v>
      </c>
      <c r="CP16" s="2" t="s">
        <v>9011</v>
      </c>
      <c r="CQ16" s="12"/>
      <c r="CR16" s="2" t="s">
        <v>1399</v>
      </c>
      <c r="CS16" s="12"/>
      <c r="CT16" s="12" t="s">
        <v>9301</v>
      </c>
      <c r="CU16" s="12"/>
      <c r="CV16" s="12" t="s">
        <v>9301</v>
      </c>
      <c r="CW16" s="12" t="s">
        <v>505</v>
      </c>
      <c r="CX16" s="2" t="s">
        <v>9334</v>
      </c>
      <c r="CY16" s="12"/>
      <c r="CZ16" s="2" t="s">
        <v>505</v>
      </c>
      <c r="DA16" s="12"/>
      <c r="DB16" s="12" t="s">
        <v>1402</v>
      </c>
      <c r="DC16" s="12" t="s">
        <v>1399</v>
      </c>
      <c r="DD16" s="12" t="s">
        <v>1402</v>
      </c>
      <c r="DE16" s="12" t="s">
        <v>353</v>
      </c>
      <c r="DF16" s="2" t="s">
        <v>9011</v>
      </c>
      <c r="DG16" s="12"/>
      <c r="DH16" s="2" t="s">
        <v>1399</v>
      </c>
      <c r="DI16" s="12"/>
      <c r="DJ16" s="12" t="s">
        <v>9301</v>
      </c>
      <c r="DK16" s="12" t="s">
        <v>505</v>
      </c>
      <c r="DL16" s="12" t="s">
        <v>9301</v>
      </c>
      <c r="DM16" s="12" t="s">
        <v>1399</v>
      </c>
      <c r="DN16" s="2" t="s">
        <v>505</v>
      </c>
      <c r="DO16" s="12"/>
      <c r="DP16" s="2" t="s">
        <v>353</v>
      </c>
      <c r="DQ16" s="12"/>
      <c r="DR16" s="12" t="s">
        <v>1402</v>
      </c>
      <c r="DS16" s="12" t="s">
        <v>353</v>
      </c>
      <c r="DT16" s="12" t="s">
        <v>1402</v>
      </c>
      <c r="DU16" s="12" t="s">
        <v>9301</v>
      </c>
      <c r="DV16" s="2" t="s">
        <v>1399</v>
      </c>
      <c r="DW16" s="12"/>
      <c r="DX16" s="2" t="s">
        <v>9334</v>
      </c>
      <c r="DZ16" s="622" t="s">
        <v>9301</v>
      </c>
      <c r="EA16" s="11" t="s">
        <v>505</v>
      </c>
      <c r="EB16" s="12" t="s">
        <v>9301</v>
      </c>
      <c r="EC16" s="11" t="s">
        <v>505</v>
      </c>
      <c r="ED16" s="12" t="s">
        <v>9332</v>
      </c>
      <c r="EE16" s="12"/>
      <c r="EF16" s="12" t="s">
        <v>9301</v>
      </c>
      <c r="EG16" s="12" t="s">
        <v>505</v>
      </c>
      <c r="EH16" s="2" t="s">
        <v>9334</v>
      </c>
      <c r="EI16" s="2"/>
      <c r="EJ16" s="2" t="s">
        <v>9301</v>
      </c>
      <c r="EK16" s="2" t="s">
        <v>505</v>
      </c>
    </row>
    <row r="17" spans="1:141" s="11" customFormat="1" hidden="1">
      <c r="A17" s="627">
        <v>1</v>
      </c>
      <c r="B17" s="29"/>
      <c r="C17" s="29"/>
      <c r="D17" s="29" t="s">
        <v>1402</v>
      </c>
      <c r="E17" s="29"/>
      <c r="F17" s="29" t="s">
        <v>1402</v>
      </c>
      <c r="G17" s="29"/>
      <c r="H17" s="29" t="s">
        <v>1402</v>
      </c>
      <c r="I17" s="29"/>
      <c r="J17" s="25" t="s">
        <v>9011</v>
      </c>
      <c r="K17" s="29"/>
      <c r="L17" s="25" t="s">
        <v>505</v>
      </c>
      <c r="M17" s="29"/>
      <c r="N17" s="2" t="s">
        <v>505</v>
      </c>
      <c r="O17" s="29"/>
      <c r="P17" s="25" t="s">
        <v>9334</v>
      </c>
      <c r="Q17" s="29"/>
      <c r="R17" s="12" t="s">
        <v>1402</v>
      </c>
      <c r="S17" s="29"/>
      <c r="T17" s="29" t="s">
        <v>1402</v>
      </c>
      <c r="U17" s="29"/>
      <c r="V17" s="29" t="s">
        <v>1402</v>
      </c>
      <c r="W17" s="29"/>
      <c r="X17" s="29" t="s">
        <v>1402</v>
      </c>
      <c r="Y17" s="29" t="s">
        <v>1399</v>
      </c>
      <c r="Z17" s="25" t="s">
        <v>505</v>
      </c>
      <c r="AA17" s="29"/>
      <c r="AB17" s="25" t="s">
        <v>9334</v>
      </c>
      <c r="AC17" s="29"/>
      <c r="AD17" s="25" t="s">
        <v>9334</v>
      </c>
      <c r="AE17" s="29"/>
      <c r="AF17" s="25" t="s">
        <v>505</v>
      </c>
      <c r="AG17" s="29"/>
      <c r="AH17" s="12" t="s">
        <v>1402</v>
      </c>
      <c r="AI17" s="29"/>
      <c r="AJ17" s="12" t="s">
        <v>1402</v>
      </c>
      <c r="AK17" s="29"/>
      <c r="AL17" s="12" t="s">
        <v>1402</v>
      </c>
      <c r="AM17" s="29"/>
      <c r="AN17" s="29" t="s">
        <v>1402</v>
      </c>
      <c r="AO17" s="29" t="s">
        <v>1399</v>
      </c>
      <c r="AP17" s="25" t="s">
        <v>505</v>
      </c>
      <c r="AQ17" s="29"/>
      <c r="AR17" s="25" t="s">
        <v>9334</v>
      </c>
      <c r="AS17" s="29"/>
      <c r="AT17" s="25" t="s">
        <v>9334</v>
      </c>
      <c r="AU17" s="29"/>
      <c r="AV17" s="25" t="s">
        <v>505</v>
      </c>
      <c r="AW17" s="29"/>
      <c r="AX17" s="29" t="s">
        <v>1402</v>
      </c>
      <c r="AY17" s="29"/>
      <c r="AZ17" s="12" t="s">
        <v>1402</v>
      </c>
      <c r="BA17" s="12" t="s">
        <v>1399</v>
      </c>
      <c r="BB17" s="12" t="s">
        <v>1402</v>
      </c>
      <c r="BC17" s="12" t="s">
        <v>1399</v>
      </c>
      <c r="BD17" s="29" t="s">
        <v>1402</v>
      </c>
      <c r="BE17" s="29" t="s">
        <v>353</v>
      </c>
      <c r="BF17" s="25" t="s">
        <v>9334</v>
      </c>
      <c r="BG17" s="29"/>
      <c r="BH17" s="25" t="s">
        <v>505</v>
      </c>
      <c r="BI17" s="29"/>
      <c r="BJ17" s="25" t="s">
        <v>505</v>
      </c>
      <c r="BK17" s="29"/>
      <c r="BL17" s="25" t="s">
        <v>353</v>
      </c>
      <c r="BM17" s="29"/>
      <c r="BN17" s="29" t="s">
        <v>1402</v>
      </c>
      <c r="BO17" s="12"/>
      <c r="BP17" s="29" t="s">
        <v>1402</v>
      </c>
      <c r="BQ17" s="29"/>
      <c r="BR17" s="29" t="s">
        <v>1402</v>
      </c>
      <c r="BS17" s="29"/>
      <c r="BT17" s="29" t="s">
        <v>1402</v>
      </c>
      <c r="BU17" s="29" t="s">
        <v>1399</v>
      </c>
      <c r="BV17" s="25" t="s">
        <v>505</v>
      </c>
      <c r="BW17" s="29"/>
      <c r="BX17" s="25" t="s">
        <v>9334</v>
      </c>
      <c r="BY17" s="29"/>
      <c r="BZ17" s="25" t="s">
        <v>9334</v>
      </c>
      <c r="CA17" s="29"/>
      <c r="CB17" s="25" t="s">
        <v>505</v>
      </c>
      <c r="CC17" s="29"/>
      <c r="CD17" s="29" t="s">
        <v>1402</v>
      </c>
      <c r="CE17" s="29"/>
      <c r="CF17" s="12" t="s">
        <v>1402</v>
      </c>
      <c r="CG17" s="12" t="s">
        <v>1399</v>
      </c>
      <c r="CH17" s="12" t="s">
        <v>1402</v>
      </c>
      <c r="CI17" s="12" t="s">
        <v>1399</v>
      </c>
      <c r="CJ17" s="29" t="s">
        <v>1402</v>
      </c>
      <c r="CK17" s="29" t="s">
        <v>353</v>
      </c>
      <c r="CL17" s="25" t="s">
        <v>9334</v>
      </c>
      <c r="CM17" s="29"/>
      <c r="CN17" s="25" t="s">
        <v>505</v>
      </c>
      <c r="CO17" s="29"/>
      <c r="CP17" s="25" t="s">
        <v>505</v>
      </c>
      <c r="CQ17" s="29"/>
      <c r="CR17" s="25" t="s">
        <v>353</v>
      </c>
      <c r="CS17" s="29"/>
      <c r="CT17" s="29" t="s">
        <v>1402</v>
      </c>
      <c r="CU17" s="29"/>
      <c r="CV17" s="29" t="s">
        <v>1402</v>
      </c>
      <c r="CW17" s="29" t="s">
        <v>1399</v>
      </c>
      <c r="CX17" s="29" t="s">
        <v>1402</v>
      </c>
      <c r="CY17" s="29" t="s">
        <v>1399</v>
      </c>
      <c r="CZ17" s="29" t="s">
        <v>1402</v>
      </c>
      <c r="DA17" s="29" t="s">
        <v>353</v>
      </c>
      <c r="DB17" s="25" t="s">
        <v>9334</v>
      </c>
      <c r="DC17" s="29"/>
      <c r="DD17" s="25" t="s">
        <v>505</v>
      </c>
      <c r="DE17" s="29"/>
      <c r="DF17" s="25" t="s">
        <v>505</v>
      </c>
      <c r="DG17" s="29"/>
      <c r="DH17" s="25" t="s">
        <v>353</v>
      </c>
      <c r="DI17" s="29"/>
      <c r="DJ17" s="12" t="s">
        <v>1402</v>
      </c>
      <c r="DK17" s="12" t="s">
        <v>1399</v>
      </c>
      <c r="DL17" s="29" t="s">
        <v>1402</v>
      </c>
      <c r="DM17" s="29" t="s">
        <v>353</v>
      </c>
      <c r="DN17" s="29" t="s">
        <v>1402</v>
      </c>
      <c r="DO17" s="29" t="s">
        <v>353</v>
      </c>
      <c r="DP17" s="29" t="s">
        <v>1402</v>
      </c>
      <c r="DQ17" s="29" t="s">
        <v>9301</v>
      </c>
      <c r="DR17" s="25" t="s">
        <v>505</v>
      </c>
      <c r="DS17" s="29"/>
      <c r="DT17" s="25" t="s">
        <v>353</v>
      </c>
      <c r="DU17" s="29"/>
      <c r="DV17" s="25" t="s">
        <v>353</v>
      </c>
      <c r="DW17" s="29"/>
      <c r="DX17" s="25" t="s">
        <v>9334</v>
      </c>
      <c r="DY17" s="30"/>
      <c r="DZ17" s="624" t="s">
        <v>1402</v>
      </c>
      <c r="EA17" s="11" t="s">
        <v>1399</v>
      </c>
      <c r="EB17" s="29" t="s">
        <v>1402</v>
      </c>
      <c r="EC17" s="11" t="s">
        <v>1399</v>
      </c>
      <c r="ED17" s="29" t="s">
        <v>9332</v>
      </c>
      <c r="EE17" s="29"/>
      <c r="EF17" s="29" t="s">
        <v>1402</v>
      </c>
      <c r="EG17" s="29" t="s">
        <v>1399</v>
      </c>
      <c r="EH17" s="25" t="s">
        <v>9334</v>
      </c>
      <c r="EI17" s="25"/>
      <c r="EJ17" s="25" t="s">
        <v>1402</v>
      </c>
      <c r="EK17" s="25" t="s">
        <v>1399</v>
      </c>
    </row>
    <row r="18" spans="1:141" s="11" customFormat="1" hidden="1">
      <c r="A18" s="31" t="s">
        <v>3860</v>
      </c>
      <c r="B18" s="12"/>
      <c r="C18" s="12"/>
      <c r="D18" s="12" t="s">
        <v>9332</v>
      </c>
      <c r="E18" s="12"/>
      <c r="F18" s="12" t="s">
        <v>9332</v>
      </c>
      <c r="G18" s="12"/>
      <c r="H18" s="12" t="s">
        <v>9332</v>
      </c>
      <c r="I18" s="12"/>
      <c r="J18" s="12" t="s">
        <v>9332</v>
      </c>
      <c r="K18" s="12"/>
      <c r="L18" s="12" t="s">
        <v>9332</v>
      </c>
      <c r="M18" s="12"/>
      <c r="N18" s="12" t="s">
        <v>9332</v>
      </c>
      <c r="O18" s="12"/>
      <c r="P18" s="12" t="s">
        <v>9332</v>
      </c>
      <c r="Q18" s="12"/>
      <c r="R18" s="2" t="s">
        <v>506</v>
      </c>
      <c r="S18" s="2" t="s">
        <v>507</v>
      </c>
      <c r="T18" s="2" t="s">
        <v>507</v>
      </c>
      <c r="U18" s="2" t="s">
        <v>9298</v>
      </c>
      <c r="V18" s="2" t="s">
        <v>507</v>
      </c>
      <c r="W18" s="2" t="s">
        <v>9298</v>
      </c>
      <c r="X18" s="2" t="s">
        <v>9297</v>
      </c>
      <c r="Y18" s="2" t="s">
        <v>9300</v>
      </c>
      <c r="Z18" s="2" t="s">
        <v>507</v>
      </c>
      <c r="AA18" s="2" t="s">
        <v>9298</v>
      </c>
      <c r="AB18" s="2" t="s">
        <v>9297</v>
      </c>
      <c r="AC18" s="2" t="s">
        <v>9300</v>
      </c>
      <c r="AD18" s="2" t="s">
        <v>9297</v>
      </c>
      <c r="AE18" s="2" t="s">
        <v>9300</v>
      </c>
      <c r="AF18" s="2" t="s">
        <v>9298</v>
      </c>
      <c r="AG18" s="12"/>
      <c r="AH18" s="12" t="s">
        <v>9332</v>
      </c>
      <c r="AI18" s="12"/>
      <c r="AJ18" s="12" t="s">
        <v>9332</v>
      </c>
      <c r="AK18" s="12"/>
      <c r="AL18" s="12" t="s">
        <v>9332</v>
      </c>
      <c r="AM18" s="12"/>
      <c r="AN18" s="12" t="s">
        <v>9332</v>
      </c>
      <c r="AO18" s="12"/>
      <c r="AP18" s="12" t="s">
        <v>9332</v>
      </c>
      <c r="AQ18" s="12"/>
      <c r="AR18" s="12" t="s">
        <v>9332</v>
      </c>
      <c r="AS18" s="12"/>
      <c r="AT18" s="12" t="s">
        <v>9332</v>
      </c>
      <c r="AU18" s="12"/>
      <c r="AV18" s="12" t="s">
        <v>9300</v>
      </c>
      <c r="AW18" s="12"/>
      <c r="AX18" s="2" t="s">
        <v>507</v>
      </c>
      <c r="AY18" s="12" t="s">
        <v>9298</v>
      </c>
      <c r="AZ18" s="2" t="s">
        <v>9297</v>
      </c>
      <c r="BA18" s="12" t="s">
        <v>9300</v>
      </c>
      <c r="BB18" s="2" t="s">
        <v>9297</v>
      </c>
      <c r="BC18" s="12" t="s">
        <v>9300</v>
      </c>
      <c r="BD18" s="2" t="s">
        <v>9298</v>
      </c>
      <c r="BE18" s="12"/>
      <c r="BF18" s="2" t="s">
        <v>9297</v>
      </c>
      <c r="BG18" s="12" t="s">
        <v>9300</v>
      </c>
      <c r="BH18" s="2" t="s">
        <v>9298</v>
      </c>
      <c r="BI18" s="12"/>
      <c r="BJ18" s="2" t="s">
        <v>9298</v>
      </c>
      <c r="BK18" s="12"/>
      <c r="BL18" s="2" t="s">
        <v>9299</v>
      </c>
      <c r="BM18" s="12"/>
      <c r="BN18" s="12" t="s">
        <v>9332</v>
      </c>
      <c r="BO18" s="12"/>
      <c r="BP18" s="12" t="s">
        <v>9332</v>
      </c>
      <c r="BQ18" s="12"/>
      <c r="BR18" s="12" t="s">
        <v>9332</v>
      </c>
      <c r="BS18" s="12"/>
      <c r="BT18" s="12" t="s">
        <v>9332</v>
      </c>
      <c r="BU18" s="12"/>
      <c r="BV18" s="12" t="s">
        <v>9332</v>
      </c>
      <c r="BW18" s="12"/>
      <c r="BX18" s="12" t="s">
        <v>9332</v>
      </c>
      <c r="BY18" s="12"/>
      <c r="BZ18" s="12" t="s">
        <v>9332</v>
      </c>
      <c r="CA18" s="12"/>
      <c r="CB18" s="12" t="s">
        <v>9300</v>
      </c>
      <c r="CC18" s="12"/>
      <c r="CD18" s="2" t="s">
        <v>507</v>
      </c>
      <c r="CE18" s="12" t="s">
        <v>9298</v>
      </c>
      <c r="CF18" s="2" t="s">
        <v>9297</v>
      </c>
      <c r="CG18" s="12" t="s">
        <v>9300</v>
      </c>
      <c r="CH18" s="2" t="s">
        <v>9297</v>
      </c>
      <c r="CI18" s="12" t="s">
        <v>9300</v>
      </c>
      <c r="CJ18" s="2" t="s">
        <v>9298</v>
      </c>
      <c r="CK18" s="12"/>
      <c r="CL18" s="2" t="s">
        <v>9297</v>
      </c>
      <c r="CM18" s="12" t="s">
        <v>9300</v>
      </c>
      <c r="CN18" s="2" t="s">
        <v>9298</v>
      </c>
      <c r="CO18" s="12"/>
      <c r="CP18" s="2" t="s">
        <v>9298</v>
      </c>
      <c r="CQ18" s="12"/>
      <c r="CR18" s="2" t="s">
        <v>9299</v>
      </c>
      <c r="CS18" s="12"/>
      <c r="CT18" s="12" t="s">
        <v>9332</v>
      </c>
      <c r="CU18" s="12"/>
      <c r="CV18" s="12" t="s">
        <v>9332</v>
      </c>
      <c r="CW18" s="12"/>
      <c r="CX18" s="12" t="s">
        <v>9332</v>
      </c>
      <c r="CY18" s="12"/>
      <c r="CZ18" s="12" t="s">
        <v>9300</v>
      </c>
      <c r="DA18" s="12"/>
      <c r="DB18" s="12" t="s">
        <v>9332</v>
      </c>
      <c r="DC18" s="12"/>
      <c r="DD18" s="12" t="s">
        <v>9300</v>
      </c>
      <c r="DE18" s="12"/>
      <c r="DF18" s="12" t="s">
        <v>9300</v>
      </c>
      <c r="DH18" s="12" t="s">
        <v>9300</v>
      </c>
      <c r="DJ18" s="2" t="s">
        <v>9297</v>
      </c>
      <c r="DK18" s="12" t="s">
        <v>9300</v>
      </c>
      <c r="DL18" s="2" t="s">
        <v>9298</v>
      </c>
      <c r="DM18" s="12"/>
      <c r="DN18" s="2" t="s">
        <v>9298</v>
      </c>
      <c r="DO18" s="12"/>
      <c r="DP18" s="2" t="s">
        <v>9299</v>
      </c>
      <c r="DQ18" s="12"/>
      <c r="DR18" s="2" t="s">
        <v>9298</v>
      </c>
      <c r="DS18" s="12"/>
      <c r="DT18" s="2" t="s">
        <v>9299</v>
      </c>
      <c r="DU18" s="12"/>
      <c r="DV18" s="2" t="s">
        <v>9299</v>
      </c>
      <c r="DW18" s="12"/>
      <c r="DX18" s="2" t="s">
        <v>9334</v>
      </c>
      <c r="DZ18" s="622" t="s">
        <v>9297</v>
      </c>
      <c r="EA18" s="11" t="s">
        <v>9300</v>
      </c>
      <c r="EB18" s="12" t="s">
        <v>9297</v>
      </c>
      <c r="EC18" s="11" t="s">
        <v>9300</v>
      </c>
      <c r="ED18" s="12" t="s">
        <v>9332</v>
      </c>
      <c r="EE18" s="12"/>
      <c r="EF18" s="12" t="s">
        <v>9297</v>
      </c>
      <c r="EG18" s="12" t="s">
        <v>9300</v>
      </c>
      <c r="EH18" s="2" t="s">
        <v>9334</v>
      </c>
      <c r="EI18" s="2"/>
      <c r="EJ18" s="2" t="s">
        <v>9297</v>
      </c>
      <c r="EK18" s="2" t="s">
        <v>9300</v>
      </c>
    </row>
    <row r="19" spans="1:141" s="11" customFormat="1" hidden="1">
      <c r="A19" s="31">
        <v>5</v>
      </c>
      <c r="B19" s="12"/>
      <c r="C19" s="12"/>
      <c r="D19" s="12" t="s">
        <v>9300</v>
      </c>
      <c r="E19" s="12"/>
      <c r="F19" s="12" t="s">
        <v>9300</v>
      </c>
      <c r="G19" s="12"/>
      <c r="H19" s="12" t="s">
        <v>9332</v>
      </c>
      <c r="I19" s="12"/>
      <c r="J19" s="12" t="s">
        <v>9300</v>
      </c>
      <c r="K19" s="12"/>
      <c r="L19" s="12" t="s">
        <v>9332</v>
      </c>
      <c r="M19" s="12"/>
      <c r="N19" s="12" t="s">
        <v>9332</v>
      </c>
      <c r="O19" s="12"/>
      <c r="P19" s="12" t="s">
        <v>9332</v>
      </c>
      <c r="Q19" s="12"/>
      <c r="R19" s="12" t="s">
        <v>9332</v>
      </c>
      <c r="S19" s="12"/>
      <c r="T19" s="12" t="s">
        <v>9332</v>
      </c>
      <c r="U19" s="12"/>
      <c r="V19" s="12" t="s">
        <v>9332</v>
      </c>
      <c r="W19" s="12"/>
      <c r="X19" s="12" t="s">
        <v>9332</v>
      </c>
      <c r="Y19" s="2"/>
      <c r="Z19" s="12" t="s">
        <v>9332</v>
      </c>
      <c r="AA19" s="12"/>
      <c r="AB19" s="12" t="s">
        <v>9332</v>
      </c>
      <c r="AC19" s="2"/>
      <c r="AD19" s="12" t="s">
        <v>9332</v>
      </c>
      <c r="AE19" s="2"/>
      <c r="AF19" s="12" t="s">
        <v>9300</v>
      </c>
      <c r="AG19" s="12"/>
      <c r="AH19" s="2" t="s">
        <v>506</v>
      </c>
      <c r="AI19" s="2" t="s">
        <v>507</v>
      </c>
      <c r="AJ19" s="2" t="s">
        <v>507</v>
      </c>
      <c r="AK19" s="2" t="s">
        <v>9298</v>
      </c>
      <c r="AL19" s="2" t="s">
        <v>507</v>
      </c>
      <c r="AM19" s="2" t="s">
        <v>9298</v>
      </c>
      <c r="AN19" s="2" t="s">
        <v>9297</v>
      </c>
      <c r="AO19" s="2" t="s">
        <v>9300</v>
      </c>
      <c r="AP19" s="2" t="s">
        <v>507</v>
      </c>
      <c r="AQ19" s="12" t="s">
        <v>9298</v>
      </c>
      <c r="AR19" s="2" t="s">
        <v>9297</v>
      </c>
      <c r="AS19" s="12" t="s">
        <v>9300</v>
      </c>
      <c r="AT19" s="2" t="s">
        <v>9297</v>
      </c>
      <c r="AU19" s="12" t="s">
        <v>9300</v>
      </c>
      <c r="AV19" s="2" t="s">
        <v>9298</v>
      </c>
      <c r="AW19" s="12"/>
      <c r="AX19" s="2" t="s">
        <v>506</v>
      </c>
      <c r="AY19" s="12" t="s">
        <v>9297</v>
      </c>
      <c r="AZ19" s="2" t="s">
        <v>507</v>
      </c>
      <c r="BA19" s="12" t="s">
        <v>9299</v>
      </c>
      <c r="BB19" s="2" t="s">
        <v>507</v>
      </c>
      <c r="BC19" s="12" t="s">
        <v>9299</v>
      </c>
      <c r="BD19" s="2" t="s">
        <v>9297</v>
      </c>
      <c r="BE19" s="12"/>
      <c r="BF19" s="2" t="s">
        <v>507</v>
      </c>
      <c r="BG19" s="12" t="s">
        <v>9299</v>
      </c>
      <c r="BH19" s="2" t="s">
        <v>9297</v>
      </c>
      <c r="BI19" s="12"/>
      <c r="BJ19" s="2" t="s">
        <v>9297</v>
      </c>
      <c r="BK19" s="12"/>
      <c r="BL19" s="2" t="s">
        <v>9298</v>
      </c>
      <c r="BM19" s="12"/>
      <c r="BN19" s="12" t="s">
        <v>9300</v>
      </c>
      <c r="BO19" s="12"/>
      <c r="BP19" s="12" t="s">
        <v>9332</v>
      </c>
      <c r="BQ19" s="12"/>
      <c r="BR19" s="12" t="s">
        <v>9332</v>
      </c>
      <c r="BS19" s="12"/>
      <c r="BT19" s="12" t="s">
        <v>9332</v>
      </c>
      <c r="BU19" s="12"/>
      <c r="BV19" s="12" t="s">
        <v>9332</v>
      </c>
      <c r="BW19" s="12"/>
      <c r="BX19" s="12" t="s">
        <v>9332</v>
      </c>
      <c r="BY19" s="12"/>
      <c r="BZ19" s="12" t="s">
        <v>9332</v>
      </c>
      <c r="CA19" s="12"/>
      <c r="CB19" s="12" t="s">
        <v>9299</v>
      </c>
      <c r="CC19" s="12"/>
      <c r="CD19" s="12" t="s">
        <v>9332</v>
      </c>
      <c r="CE19" s="12"/>
      <c r="CF19" s="12" t="s">
        <v>9332</v>
      </c>
      <c r="CG19" s="12"/>
      <c r="CH19" s="12" t="s">
        <v>9332</v>
      </c>
      <c r="CI19" s="12"/>
      <c r="CJ19" s="12" t="s">
        <v>9300</v>
      </c>
      <c r="CK19" s="12"/>
      <c r="CL19" s="12" t="s">
        <v>9332</v>
      </c>
      <c r="CM19" s="12"/>
      <c r="CN19" s="12" t="s">
        <v>9300</v>
      </c>
      <c r="CO19" s="12"/>
      <c r="CP19" s="12" t="s">
        <v>9300</v>
      </c>
      <c r="CQ19" s="12"/>
      <c r="CR19" s="12" t="s">
        <v>9300</v>
      </c>
      <c r="CS19" s="12"/>
      <c r="CT19" s="2" t="s">
        <v>507</v>
      </c>
      <c r="CU19" s="12" t="s">
        <v>9298</v>
      </c>
      <c r="CV19" s="2" t="s">
        <v>9297</v>
      </c>
      <c r="CW19" s="12" t="s">
        <v>9300</v>
      </c>
      <c r="CX19" s="2" t="s">
        <v>9297</v>
      </c>
      <c r="CY19" s="12" t="s">
        <v>9300</v>
      </c>
      <c r="CZ19" s="2" t="s">
        <v>9298</v>
      </c>
      <c r="DA19" s="12"/>
      <c r="DB19" s="2" t="s">
        <v>9297</v>
      </c>
      <c r="DC19" s="12" t="s">
        <v>9300</v>
      </c>
      <c r="DD19" s="2" t="s">
        <v>9298</v>
      </c>
      <c r="DE19" s="12"/>
      <c r="DF19" s="2" t="s">
        <v>9298</v>
      </c>
      <c r="DH19" s="2" t="s">
        <v>9299</v>
      </c>
      <c r="DJ19" s="2" t="s">
        <v>507</v>
      </c>
      <c r="DK19" s="12" t="s">
        <v>9299</v>
      </c>
      <c r="DL19" s="2" t="s">
        <v>9297</v>
      </c>
      <c r="DM19" s="12"/>
      <c r="DN19" s="2" t="s">
        <v>9297</v>
      </c>
      <c r="DO19" s="12"/>
      <c r="DP19" s="2" t="s">
        <v>9298</v>
      </c>
      <c r="DQ19" s="12"/>
      <c r="DR19" s="2" t="s">
        <v>9297</v>
      </c>
      <c r="DS19" s="12"/>
      <c r="DT19" s="2" t="s">
        <v>9298</v>
      </c>
      <c r="DU19" s="12"/>
      <c r="DV19" s="2" t="s">
        <v>9298</v>
      </c>
      <c r="DW19" s="12"/>
      <c r="DX19" s="2" t="s">
        <v>9334</v>
      </c>
      <c r="DZ19" s="622" t="s">
        <v>507</v>
      </c>
      <c r="EA19" s="11" t="s">
        <v>9299</v>
      </c>
      <c r="EB19" s="12" t="s">
        <v>507</v>
      </c>
      <c r="EC19" s="11" t="s">
        <v>9299</v>
      </c>
      <c r="ED19" s="12" t="s">
        <v>9332</v>
      </c>
      <c r="EE19" s="12"/>
      <c r="EF19" s="12" t="s">
        <v>507</v>
      </c>
      <c r="EG19" s="12" t="s">
        <v>9299</v>
      </c>
      <c r="EH19" s="2" t="s">
        <v>9334</v>
      </c>
      <c r="EI19" s="2"/>
      <c r="EJ19" s="2" t="s">
        <v>507</v>
      </c>
      <c r="EK19" s="2" t="s">
        <v>9299</v>
      </c>
    </row>
    <row r="20" spans="1:141" s="11" customFormat="1" hidden="1">
      <c r="A20" s="31">
        <v>4</v>
      </c>
      <c r="B20" s="12"/>
      <c r="C20" s="12"/>
      <c r="D20" s="12" t="s">
        <v>9299</v>
      </c>
      <c r="E20" s="12"/>
      <c r="F20" s="12" t="s">
        <v>9299</v>
      </c>
      <c r="G20" s="12"/>
      <c r="H20" s="12" t="s">
        <v>9300</v>
      </c>
      <c r="I20" s="12"/>
      <c r="J20" s="12" t="s">
        <v>9299</v>
      </c>
      <c r="K20" s="12"/>
      <c r="L20" s="12" t="s">
        <v>9300</v>
      </c>
      <c r="M20" s="12"/>
      <c r="N20" s="12" t="s">
        <v>9300</v>
      </c>
      <c r="O20" s="12"/>
      <c r="P20" s="12" t="s">
        <v>9332</v>
      </c>
      <c r="Q20" s="12"/>
      <c r="R20" s="12" t="s">
        <v>9300</v>
      </c>
      <c r="S20" s="12"/>
      <c r="T20" s="12" t="s">
        <v>9332</v>
      </c>
      <c r="U20" s="12"/>
      <c r="V20" s="12" t="s">
        <v>9332</v>
      </c>
      <c r="W20" s="12"/>
      <c r="X20" s="12" t="s">
        <v>9332</v>
      </c>
      <c r="Y20" s="2"/>
      <c r="Z20" s="12" t="s">
        <v>9332</v>
      </c>
      <c r="AA20" s="12"/>
      <c r="AB20" s="12" t="s">
        <v>9332</v>
      </c>
      <c r="AC20" s="2"/>
      <c r="AD20" s="12" t="s">
        <v>9332</v>
      </c>
      <c r="AE20" s="2"/>
      <c r="AF20" s="12" t="s">
        <v>9299</v>
      </c>
      <c r="AG20" s="12"/>
      <c r="AH20" s="12" t="s">
        <v>9300</v>
      </c>
      <c r="AI20" s="12"/>
      <c r="AJ20" s="12" t="s">
        <v>9332</v>
      </c>
      <c r="AK20" s="2"/>
      <c r="AL20" s="12" t="s">
        <v>9332</v>
      </c>
      <c r="AM20" s="12"/>
      <c r="AN20" s="12" t="s">
        <v>9332</v>
      </c>
      <c r="AO20" s="2"/>
      <c r="AP20" s="12" t="s">
        <v>9332</v>
      </c>
      <c r="AQ20" s="12"/>
      <c r="AR20" s="12" t="s">
        <v>9332</v>
      </c>
      <c r="AS20" s="12"/>
      <c r="AT20" s="12" t="s">
        <v>9332</v>
      </c>
      <c r="AU20" s="12"/>
      <c r="AV20" s="12" t="s">
        <v>9299</v>
      </c>
      <c r="AW20" s="12"/>
      <c r="AX20" s="12" t="s">
        <v>9332</v>
      </c>
      <c r="AY20" s="12"/>
      <c r="AZ20" s="12" t="s">
        <v>9332</v>
      </c>
      <c r="BA20" s="12"/>
      <c r="BB20" s="12" t="s">
        <v>9332</v>
      </c>
      <c r="BC20" s="12"/>
      <c r="BD20" s="12" t="s">
        <v>9300</v>
      </c>
      <c r="BE20" s="12"/>
      <c r="BF20" s="12" t="s">
        <v>9332</v>
      </c>
      <c r="BG20" s="12"/>
      <c r="BH20" s="12" t="s">
        <v>9300</v>
      </c>
      <c r="BI20" s="12"/>
      <c r="BJ20" s="12" t="s">
        <v>9300</v>
      </c>
      <c r="BK20" s="12"/>
      <c r="BL20" s="12" t="s">
        <v>9300</v>
      </c>
      <c r="BM20" s="12"/>
      <c r="BN20" s="2" t="s">
        <v>506</v>
      </c>
      <c r="BO20" s="12" t="s">
        <v>507</v>
      </c>
      <c r="BP20" s="2" t="s">
        <v>507</v>
      </c>
      <c r="BQ20" s="12" t="s">
        <v>9298</v>
      </c>
      <c r="BR20" s="2" t="s">
        <v>507</v>
      </c>
      <c r="BS20" s="12" t="s">
        <v>9298</v>
      </c>
      <c r="BT20" s="2" t="s">
        <v>9297</v>
      </c>
      <c r="BU20" s="12" t="s">
        <v>9300</v>
      </c>
      <c r="BV20" s="2" t="s">
        <v>507</v>
      </c>
      <c r="BW20" s="12" t="s">
        <v>9298</v>
      </c>
      <c r="BX20" s="2" t="s">
        <v>9297</v>
      </c>
      <c r="BY20" s="12" t="s">
        <v>9300</v>
      </c>
      <c r="BZ20" s="2" t="s">
        <v>9297</v>
      </c>
      <c r="CA20" s="12" t="s">
        <v>9300</v>
      </c>
      <c r="CB20" s="2" t="s">
        <v>9298</v>
      </c>
      <c r="CC20" s="12"/>
      <c r="CD20" s="2" t="s">
        <v>506</v>
      </c>
      <c r="CE20" s="12" t="s">
        <v>9297</v>
      </c>
      <c r="CF20" s="2" t="s">
        <v>507</v>
      </c>
      <c r="CG20" s="12" t="s">
        <v>9299</v>
      </c>
      <c r="CH20" s="2" t="s">
        <v>507</v>
      </c>
      <c r="CI20" s="12" t="s">
        <v>9299</v>
      </c>
      <c r="CJ20" s="2" t="s">
        <v>9297</v>
      </c>
      <c r="CK20" s="12"/>
      <c r="CL20" s="2" t="s">
        <v>507</v>
      </c>
      <c r="CM20" s="12" t="s">
        <v>9299</v>
      </c>
      <c r="CN20" s="2" t="s">
        <v>9297</v>
      </c>
      <c r="CO20" s="12"/>
      <c r="CP20" s="2" t="s">
        <v>9297</v>
      </c>
      <c r="CQ20" s="12"/>
      <c r="CR20" s="2" t="s">
        <v>9298</v>
      </c>
      <c r="CS20" s="12"/>
      <c r="CT20" s="2" t="s">
        <v>506</v>
      </c>
      <c r="CU20" s="12" t="s">
        <v>9297</v>
      </c>
      <c r="CV20" s="2" t="s">
        <v>507</v>
      </c>
      <c r="CW20" s="12" t="s">
        <v>9299</v>
      </c>
      <c r="CX20" s="2" t="s">
        <v>507</v>
      </c>
      <c r="CY20" s="12" t="s">
        <v>9299</v>
      </c>
      <c r="CZ20" s="2" t="s">
        <v>9297</v>
      </c>
      <c r="DA20" s="12"/>
      <c r="DB20" s="2" t="s">
        <v>507</v>
      </c>
      <c r="DC20" s="12" t="s">
        <v>9299</v>
      </c>
      <c r="DD20" s="2" t="s">
        <v>9297</v>
      </c>
      <c r="DE20" s="12"/>
      <c r="DF20" s="2" t="s">
        <v>9297</v>
      </c>
      <c r="DH20" s="2" t="s">
        <v>9298</v>
      </c>
      <c r="DJ20" s="2" t="s">
        <v>506</v>
      </c>
      <c r="DK20" s="12" t="s">
        <v>9298</v>
      </c>
      <c r="DL20" s="2" t="s">
        <v>507</v>
      </c>
      <c r="DM20" s="12"/>
      <c r="DN20" s="2" t="s">
        <v>507</v>
      </c>
      <c r="DO20" s="12"/>
      <c r="DP20" s="2" t="s">
        <v>9297</v>
      </c>
      <c r="DQ20" s="12"/>
      <c r="DR20" s="2" t="s">
        <v>507</v>
      </c>
      <c r="DS20" s="12"/>
      <c r="DT20" s="2" t="s">
        <v>9297</v>
      </c>
      <c r="DU20" s="12"/>
      <c r="DV20" s="2" t="s">
        <v>9297</v>
      </c>
      <c r="DW20" s="12"/>
      <c r="DX20" s="2" t="s">
        <v>9334</v>
      </c>
      <c r="DZ20" s="622" t="s">
        <v>506</v>
      </c>
      <c r="EA20" s="11" t="s">
        <v>9298</v>
      </c>
      <c r="EB20" s="12" t="s">
        <v>506</v>
      </c>
      <c r="EC20" s="11" t="s">
        <v>9298</v>
      </c>
      <c r="ED20" s="12" t="s">
        <v>9332</v>
      </c>
      <c r="EE20" s="12"/>
      <c r="EF20" s="12" t="s">
        <v>506</v>
      </c>
      <c r="EG20" s="12" t="s">
        <v>9298</v>
      </c>
      <c r="EH20" s="2" t="s">
        <v>9334</v>
      </c>
      <c r="EI20" s="2"/>
      <c r="EJ20" s="2" t="s">
        <v>506</v>
      </c>
      <c r="EK20" s="2" t="s">
        <v>9298</v>
      </c>
    </row>
    <row r="21" spans="1:141" s="11" customFormat="1" hidden="1">
      <c r="A21" s="31">
        <v>3</v>
      </c>
      <c r="B21" s="12"/>
      <c r="C21" s="12"/>
      <c r="D21" s="12" t="s">
        <v>9298</v>
      </c>
      <c r="E21" s="12"/>
      <c r="F21" s="12" t="s">
        <v>9298</v>
      </c>
      <c r="G21" s="12"/>
      <c r="H21" s="2" t="s">
        <v>507</v>
      </c>
      <c r="I21" s="2" t="s">
        <v>9298</v>
      </c>
      <c r="J21" s="12" t="s">
        <v>9298</v>
      </c>
      <c r="K21" s="12"/>
      <c r="L21" s="2" t="s">
        <v>507</v>
      </c>
      <c r="M21" s="2" t="s">
        <v>9298</v>
      </c>
      <c r="N21" s="12" t="s">
        <v>9299</v>
      </c>
      <c r="O21" s="12"/>
      <c r="P21" s="2" t="s">
        <v>9297</v>
      </c>
      <c r="Q21" s="2" t="s">
        <v>9300</v>
      </c>
      <c r="R21" s="12" t="s">
        <v>9299</v>
      </c>
      <c r="S21" s="12"/>
      <c r="T21" s="2" t="s">
        <v>506</v>
      </c>
      <c r="U21" s="2" t="s">
        <v>9297</v>
      </c>
      <c r="V21" s="12" t="s">
        <v>9300</v>
      </c>
      <c r="W21" s="12"/>
      <c r="X21" s="2" t="s">
        <v>507</v>
      </c>
      <c r="Y21" s="2" t="s">
        <v>9299</v>
      </c>
      <c r="Z21" s="12" t="s">
        <v>9300</v>
      </c>
      <c r="AA21" s="12"/>
      <c r="AB21" s="2" t="s">
        <v>507</v>
      </c>
      <c r="AC21" s="2" t="s">
        <v>9299</v>
      </c>
      <c r="AD21" s="12" t="s">
        <v>9332</v>
      </c>
      <c r="AE21" s="2"/>
      <c r="AF21" s="2" t="s">
        <v>9297</v>
      </c>
      <c r="AG21" s="12"/>
      <c r="AH21" s="12" t="s">
        <v>9299</v>
      </c>
      <c r="AI21" s="12"/>
      <c r="AJ21" s="2" t="s">
        <v>506</v>
      </c>
      <c r="AK21" s="2" t="s">
        <v>9297</v>
      </c>
      <c r="AL21" s="12" t="s">
        <v>9300</v>
      </c>
      <c r="AM21" s="12"/>
      <c r="AN21" s="2" t="s">
        <v>507</v>
      </c>
      <c r="AO21" s="2" t="s">
        <v>9299</v>
      </c>
      <c r="AP21" s="12" t="s">
        <v>9300</v>
      </c>
      <c r="AQ21" s="12"/>
      <c r="AR21" s="2" t="s">
        <v>507</v>
      </c>
      <c r="AS21" s="12" t="s">
        <v>9299</v>
      </c>
      <c r="AT21" s="12" t="s">
        <v>9332</v>
      </c>
      <c r="AU21" s="12"/>
      <c r="AV21" s="2" t="s">
        <v>9297</v>
      </c>
      <c r="AW21" s="12"/>
      <c r="AX21" s="12" t="s">
        <v>9332</v>
      </c>
      <c r="AY21" s="12"/>
      <c r="AZ21" s="2" t="s">
        <v>506</v>
      </c>
      <c r="BA21" s="12" t="s">
        <v>9298</v>
      </c>
      <c r="BB21" s="12" t="s">
        <v>9332</v>
      </c>
      <c r="BC21" s="12"/>
      <c r="BD21" s="2" t="s">
        <v>507</v>
      </c>
      <c r="BE21" s="12"/>
      <c r="BF21" s="12" t="s">
        <v>9332</v>
      </c>
      <c r="BG21" s="12"/>
      <c r="BH21" s="2" t="s">
        <v>507</v>
      </c>
      <c r="BI21" s="12"/>
      <c r="BJ21" s="12" t="s">
        <v>9299</v>
      </c>
      <c r="BK21" s="12"/>
      <c r="BL21" s="2" t="s">
        <v>9297</v>
      </c>
      <c r="BM21" s="12"/>
      <c r="BN21" s="12" t="s">
        <v>9299</v>
      </c>
      <c r="BO21" s="12"/>
      <c r="BP21" s="2" t="s">
        <v>506</v>
      </c>
      <c r="BQ21" s="12" t="s">
        <v>9297</v>
      </c>
      <c r="BR21" s="12" t="s">
        <v>9300</v>
      </c>
      <c r="BS21" s="12"/>
      <c r="BT21" s="2" t="s">
        <v>507</v>
      </c>
      <c r="BU21" s="12" t="s">
        <v>9299</v>
      </c>
      <c r="BV21" s="12" t="s">
        <v>9300</v>
      </c>
      <c r="BW21" s="12"/>
      <c r="BX21" s="2" t="s">
        <v>507</v>
      </c>
      <c r="BY21" s="12" t="s">
        <v>9299</v>
      </c>
      <c r="BZ21" s="12" t="s">
        <v>9332</v>
      </c>
      <c r="CA21" s="12"/>
      <c r="CB21" s="2" t="s">
        <v>9297</v>
      </c>
      <c r="CC21" s="12"/>
      <c r="CD21" s="12" t="s">
        <v>9332</v>
      </c>
      <c r="CE21" s="12"/>
      <c r="CF21" s="2" t="s">
        <v>506</v>
      </c>
      <c r="CG21" s="12" t="s">
        <v>9298</v>
      </c>
      <c r="CH21" s="12" t="s">
        <v>9332</v>
      </c>
      <c r="CI21" s="12"/>
      <c r="CJ21" s="2" t="s">
        <v>507</v>
      </c>
      <c r="CK21" s="12"/>
      <c r="CL21" s="12" t="s">
        <v>9332</v>
      </c>
      <c r="CM21" s="12"/>
      <c r="CN21" s="2" t="s">
        <v>507</v>
      </c>
      <c r="CO21" s="12"/>
      <c r="CP21" s="12" t="s">
        <v>9299</v>
      </c>
      <c r="CQ21" s="12"/>
      <c r="CR21" s="2" t="s">
        <v>9297</v>
      </c>
      <c r="CS21" s="12"/>
      <c r="CT21" s="12" t="s">
        <v>9332</v>
      </c>
      <c r="CU21" s="12"/>
      <c r="CV21" s="2" t="s">
        <v>506</v>
      </c>
      <c r="CW21" s="12" t="s">
        <v>9298</v>
      </c>
      <c r="CX21" s="12" t="s">
        <v>9332</v>
      </c>
      <c r="CY21" s="12"/>
      <c r="CZ21" s="2" t="s">
        <v>507</v>
      </c>
      <c r="DA21" s="12"/>
      <c r="DB21" s="12" t="s">
        <v>9332</v>
      </c>
      <c r="DC21" s="12"/>
      <c r="DD21" s="2" t="s">
        <v>507</v>
      </c>
      <c r="DE21" s="12"/>
      <c r="DF21" s="12" t="s">
        <v>9299</v>
      </c>
      <c r="DH21" s="2" t="s">
        <v>9297</v>
      </c>
      <c r="DJ21" s="12" t="s">
        <v>9332</v>
      </c>
      <c r="DK21" s="12"/>
      <c r="DL21" s="2" t="s">
        <v>506</v>
      </c>
      <c r="DM21" s="12"/>
      <c r="DN21" s="12" t="s">
        <v>9300</v>
      </c>
      <c r="DO21" s="12"/>
      <c r="DP21" s="2" t="s">
        <v>507</v>
      </c>
      <c r="DQ21" s="12"/>
      <c r="DR21" s="12" t="s">
        <v>9300</v>
      </c>
      <c r="DS21" s="12"/>
      <c r="DT21" s="2" t="s">
        <v>507</v>
      </c>
      <c r="DU21" s="12"/>
      <c r="DV21" s="12" t="s">
        <v>9300</v>
      </c>
      <c r="DW21" s="12"/>
      <c r="DX21" s="2" t="s">
        <v>9334</v>
      </c>
      <c r="DZ21" s="622" t="s">
        <v>9332</v>
      </c>
      <c r="EB21" s="2" t="s">
        <v>9334</v>
      </c>
      <c r="ED21" s="12" t="s">
        <v>506</v>
      </c>
      <c r="EE21" s="12" t="s">
        <v>9298</v>
      </c>
      <c r="EF21" s="12" t="s">
        <v>9332</v>
      </c>
      <c r="EG21" s="12"/>
      <c r="EH21" s="2" t="s">
        <v>506</v>
      </c>
      <c r="EI21" s="2" t="s">
        <v>9298</v>
      </c>
      <c r="EJ21" s="2" t="s">
        <v>9334</v>
      </c>
      <c r="EK21" s="2"/>
    </row>
    <row r="22" spans="1:141" s="11" customFormat="1" hidden="1">
      <c r="A22" s="31">
        <v>2</v>
      </c>
      <c r="B22" s="12"/>
      <c r="C22" s="12"/>
      <c r="D22" s="2" t="s">
        <v>506</v>
      </c>
      <c r="E22" s="2" t="s">
        <v>507</v>
      </c>
      <c r="F22" s="2" t="s">
        <v>506</v>
      </c>
      <c r="G22" s="2" t="s">
        <v>507</v>
      </c>
      <c r="H22" s="2" t="s">
        <v>506</v>
      </c>
      <c r="I22" s="2" t="s">
        <v>9297</v>
      </c>
      <c r="J22" s="12" t="s">
        <v>9297</v>
      </c>
      <c r="K22" s="12"/>
      <c r="L22" s="12" t="s">
        <v>9299</v>
      </c>
      <c r="M22" s="12"/>
      <c r="N22" s="2" t="s">
        <v>507</v>
      </c>
      <c r="O22" s="2" t="s">
        <v>9298</v>
      </c>
      <c r="P22" s="2" t="s">
        <v>507</v>
      </c>
      <c r="Q22" s="2" t="s">
        <v>9299</v>
      </c>
      <c r="R22" s="12" t="s">
        <v>9298</v>
      </c>
      <c r="S22" s="12"/>
      <c r="T22" s="12" t="s">
        <v>9300</v>
      </c>
      <c r="U22" s="12"/>
      <c r="V22" s="2" t="s">
        <v>506</v>
      </c>
      <c r="W22" s="2" t="s">
        <v>9297</v>
      </c>
      <c r="X22" s="2" t="s">
        <v>506</v>
      </c>
      <c r="Y22" s="2" t="s">
        <v>9298</v>
      </c>
      <c r="Z22" s="12" t="s">
        <v>9299</v>
      </c>
      <c r="AA22" s="12"/>
      <c r="AB22" s="12" t="s">
        <v>9332</v>
      </c>
      <c r="AC22" s="2"/>
      <c r="AD22" s="2" t="s">
        <v>507</v>
      </c>
      <c r="AE22" s="2" t="s">
        <v>9299</v>
      </c>
      <c r="AF22" s="2" t="s">
        <v>507</v>
      </c>
      <c r="AG22" s="12"/>
      <c r="AH22" s="12" t="s">
        <v>9298</v>
      </c>
      <c r="AI22" s="12"/>
      <c r="AJ22" s="12" t="s">
        <v>9300</v>
      </c>
      <c r="AK22" s="12"/>
      <c r="AL22" s="2" t="s">
        <v>506</v>
      </c>
      <c r="AM22" s="2" t="s">
        <v>9297</v>
      </c>
      <c r="AN22" s="2" t="s">
        <v>506</v>
      </c>
      <c r="AO22" s="2" t="s">
        <v>9298</v>
      </c>
      <c r="AP22" s="12" t="s">
        <v>9299</v>
      </c>
      <c r="AQ22" s="12"/>
      <c r="AR22" s="12" t="s">
        <v>9332</v>
      </c>
      <c r="AS22" s="12"/>
      <c r="AT22" s="2" t="s">
        <v>507</v>
      </c>
      <c r="AU22" s="12" t="s">
        <v>9299</v>
      </c>
      <c r="AV22" s="2" t="s">
        <v>507</v>
      </c>
      <c r="AW22" s="12"/>
      <c r="AX22" s="12" t="s">
        <v>9300</v>
      </c>
      <c r="AY22" s="12"/>
      <c r="AZ22" s="12" t="s">
        <v>9332</v>
      </c>
      <c r="BA22" s="12"/>
      <c r="BB22" s="2" t="s">
        <v>506</v>
      </c>
      <c r="BC22" s="12" t="s">
        <v>9298</v>
      </c>
      <c r="BD22" s="2" t="s">
        <v>506</v>
      </c>
      <c r="BE22" s="12"/>
      <c r="BF22" s="12" t="s">
        <v>9332</v>
      </c>
      <c r="BG22" s="12"/>
      <c r="BH22" s="12" t="s">
        <v>9299</v>
      </c>
      <c r="BI22" s="12"/>
      <c r="BJ22" s="2" t="s">
        <v>507</v>
      </c>
      <c r="BK22" s="12"/>
      <c r="BL22" s="2" t="s">
        <v>507</v>
      </c>
      <c r="BM22" s="12"/>
      <c r="BN22" s="12" t="s">
        <v>9298</v>
      </c>
      <c r="BO22" s="12"/>
      <c r="BP22" s="12" t="s">
        <v>9300</v>
      </c>
      <c r="BQ22" s="12"/>
      <c r="BR22" s="2" t="s">
        <v>506</v>
      </c>
      <c r="BS22" s="12" t="s">
        <v>9297</v>
      </c>
      <c r="BT22" s="2" t="s">
        <v>506</v>
      </c>
      <c r="BU22" s="12" t="s">
        <v>9298</v>
      </c>
      <c r="BV22" s="12" t="s">
        <v>9299</v>
      </c>
      <c r="BW22" s="12"/>
      <c r="BX22" s="12" t="s">
        <v>9332</v>
      </c>
      <c r="BY22" s="12"/>
      <c r="BZ22" s="2" t="s">
        <v>507</v>
      </c>
      <c r="CA22" s="12" t="s">
        <v>9299</v>
      </c>
      <c r="CB22" s="2" t="s">
        <v>507</v>
      </c>
      <c r="CC22" s="12"/>
      <c r="CD22" s="12" t="s">
        <v>9300</v>
      </c>
      <c r="CE22" s="12"/>
      <c r="CF22" s="12" t="s">
        <v>9332</v>
      </c>
      <c r="CG22" s="12"/>
      <c r="CH22" s="2" t="s">
        <v>506</v>
      </c>
      <c r="CI22" s="12" t="s">
        <v>9298</v>
      </c>
      <c r="CJ22" s="2" t="s">
        <v>506</v>
      </c>
      <c r="CK22" s="12"/>
      <c r="CL22" s="12" t="s">
        <v>9332</v>
      </c>
      <c r="CM22" s="12"/>
      <c r="CN22" s="12" t="s">
        <v>9299</v>
      </c>
      <c r="CO22" s="12"/>
      <c r="CP22" s="2" t="s">
        <v>507</v>
      </c>
      <c r="CQ22" s="12"/>
      <c r="CR22" s="2" t="s">
        <v>507</v>
      </c>
      <c r="CS22" s="12"/>
      <c r="CT22" s="12" t="s">
        <v>9300</v>
      </c>
      <c r="CU22" s="12"/>
      <c r="CV22" s="12" t="s">
        <v>9332</v>
      </c>
      <c r="CW22" s="12"/>
      <c r="CX22" s="2" t="s">
        <v>506</v>
      </c>
      <c r="CY22" s="12" t="s">
        <v>9298</v>
      </c>
      <c r="CZ22" s="2" t="s">
        <v>506</v>
      </c>
      <c r="DA22" s="12"/>
      <c r="DB22" s="12" t="s">
        <v>9332</v>
      </c>
      <c r="DC22" s="12"/>
      <c r="DD22" s="12" t="s">
        <v>9299</v>
      </c>
      <c r="DE22" s="12"/>
      <c r="DF22" s="2" t="s">
        <v>507</v>
      </c>
      <c r="DH22" s="2" t="s">
        <v>507</v>
      </c>
      <c r="DJ22" s="12" t="s">
        <v>9332</v>
      </c>
      <c r="DK22" s="12"/>
      <c r="DL22" s="12" t="s">
        <v>9300</v>
      </c>
      <c r="DM22" s="12"/>
      <c r="DN22" s="2" t="s">
        <v>506</v>
      </c>
      <c r="DO22" s="12"/>
      <c r="DP22" s="2" t="s">
        <v>506</v>
      </c>
      <c r="DQ22" s="12"/>
      <c r="DR22" s="12" t="s">
        <v>9299</v>
      </c>
      <c r="DS22" s="12"/>
      <c r="DT22" s="12" t="s">
        <v>9300</v>
      </c>
      <c r="DU22" s="12"/>
      <c r="DV22" s="2" t="s">
        <v>507</v>
      </c>
      <c r="DW22" s="12"/>
      <c r="DX22" s="2" t="s">
        <v>9334</v>
      </c>
      <c r="DZ22" s="622" t="s">
        <v>9332</v>
      </c>
      <c r="EB22" s="2" t="s">
        <v>9334</v>
      </c>
      <c r="ED22" s="12" t="s">
        <v>507</v>
      </c>
      <c r="EE22" s="12" t="s">
        <v>9299</v>
      </c>
      <c r="EF22" s="12" t="s">
        <v>9332</v>
      </c>
      <c r="EG22" s="12"/>
      <c r="EH22" s="2" t="s">
        <v>507</v>
      </c>
      <c r="EI22" s="2" t="s">
        <v>9299</v>
      </c>
      <c r="EJ22" s="2" t="s">
        <v>9334</v>
      </c>
      <c r="EK22" s="2"/>
    </row>
    <row r="23" spans="1:141" s="11" customFormat="1" hidden="1">
      <c r="A23" s="627">
        <v>1</v>
      </c>
      <c r="B23" s="29"/>
      <c r="C23" s="29"/>
      <c r="D23" s="29" t="s">
        <v>9297</v>
      </c>
      <c r="E23" s="29"/>
      <c r="F23" s="29" t="s">
        <v>9297</v>
      </c>
      <c r="G23" s="29"/>
      <c r="H23" s="29" t="s">
        <v>9299</v>
      </c>
      <c r="I23" s="29"/>
      <c r="J23" s="25" t="s">
        <v>506</v>
      </c>
      <c r="K23" s="25" t="s">
        <v>507</v>
      </c>
      <c r="L23" s="25" t="s">
        <v>506</v>
      </c>
      <c r="M23" s="25" t="s">
        <v>9297</v>
      </c>
      <c r="N23" s="25" t="s">
        <v>506</v>
      </c>
      <c r="O23" s="25" t="s">
        <v>9297</v>
      </c>
      <c r="P23" s="25" t="s">
        <v>506</v>
      </c>
      <c r="Q23" s="25" t="s">
        <v>9298</v>
      </c>
      <c r="R23" s="29" t="s">
        <v>9297</v>
      </c>
      <c r="S23" s="29"/>
      <c r="T23" s="29" t="s">
        <v>9299</v>
      </c>
      <c r="U23" s="29"/>
      <c r="V23" s="29" t="s">
        <v>9299</v>
      </c>
      <c r="W23" s="29"/>
      <c r="X23" s="29" t="s">
        <v>9332</v>
      </c>
      <c r="Y23" s="29"/>
      <c r="Z23" s="25" t="s">
        <v>506</v>
      </c>
      <c r="AA23" s="25" t="s">
        <v>9297</v>
      </c>
      <c r="AB23" s="25" t="s">
        <v>506</v>
      </c>
      <c r="AC23" s="25" t="s">
        <v>9298</v>
      </c>
      <c r="AD23" s="25" t="s">
        <v>506</v>
      </c>
      <c r="AE23" s="25" t="s">
        <v>9298</v>
      </c>
      <c r="AF23" s="25" t="s">
        <v>506</v>
      </c>
      <c r="AG23" s="29"/>
      <c r="AH23" s="29" t="s">
        <v>9297</v>
      </c>
      <c r="AI23" s="29"/>
      <c r="AJ23" s="29" t="s">
        <v>9299</v>
      </c>
      <c r="AK23" s="29"/>
      <c r="AL23" s="29" t="s">
        <v>9299</v>
      </c>
      <c r="AM23" s="29"/>
      <c r="AN23" s="29" t="s">
        <v>9332</v>
      </c>
      <c r="AO23" s="29"/>
      <c r="AP23" s="25" t="s">
        <v>506</v>
      </c>
      <c r="AQ23" s="29" t="s">
        <v>9297</v>
      </c>
      <c r="AR23" s="25" t="s">
        <v>506</v>
      </c>
      <c r="AS23" s="29" t="s">
        <v>9298</v>
      </c>
      <c r="AT23" s="25" t="s">
        <v>506</v>
      </c>
      <c r="AU23" s="29" t="s">
        <v>9298</v>
      </c>
      <c r="AV23" s="25" t="s">
        <v>506</v>
      </c>
      <c r="AW23" s="29"/>
      <c r="AX23" s="29" t="s">
        <v>9299</v>
      </c>
      <c r="AY23" s="29"/>
      <c r="AZ23" s="29" t="s">
        <v>9332</v>
      </c>
      <c r="BA23" s="29"/>
      <c r="BB23" s="29" t="s">
        <v>9332</v>
      </c>
      <c r="BC23" s="29"/>
      <c r="BD23" s="29" t="s">
        <v>9299</v>
      </c>
      <c r="BE23" s="29"/>
      <c r="BF23" s="25" t="s">
        <v>506</v>
      </c>
      <c r="BG23" s="29" t="s">
        <v>9298</v>
      </c>
      <c r="BH23" s="25" t="s">
        <v>506</v>
      </c>
      <c r="BI23" s="29"/>
      <c r="BJ23" s="25" t="s">
        <v>506</v>
      </c>
      <c r="BK23" s="29"/>
      <c r="BL23" s="25" t="s">
        <v>506</v>
      </c>
      <c r="BM23" s="29"/>
      <c r="BN23" s="29" t="s">
        <v>9297</v>
      </c>
      <c r="BO23" s="29"/>
      <c r="BP23" s="29" t="s">
        <v>9299</v>
      </c>
      <c r="BQ23" s="29"/>
      <c r="BR23" s="29" t="s">
        <v>9299</v>
      </c>
      <c r="BS23" s="29"/>
      <c r="BT23" s="29" t="s">
        <v>9332</v>
      </c>
      <c r="BU23" s="29"/>
      <c r="BV23" s="25" t="s">
        <v>506</v>
      </c>
      <c r="BW23" s="29" t="s">
        <v>9297</v>
      </c>
      <c r="BX23" s="25" t="s">
        <v>506</v>
      </c>
      <c r="BY23" s="29" t="s">
        <v>9298</v>
      </c>
      <c r="BZ23" s="25" t="s">
        <v>506</v>
      </c>
      <c r="CA23" s="29" t="s">
        <v>9298</v>
      </c>
      <c r="CB23" s="25" t="s">
        <v>506</v>
      </c>
      <c r="CC23" s="29"/>
      <c r="CD23" s="29" t="s">
        <v>9299</v>
      </c>
      <c r="CE23" s="29"/>
      <c r="CF23" s="29" t="s">
        <v>9332</v>
      </c>
      <c r="CG23" s="29"/>
      <c r="CH23" s="29" t="s">
        <v>9332</v>
      </c>
      <c r="CI23" s="29"/>
      <c r="CJ23" s="29" t="s">
        <v>9299</v>
      </c>
      <c r="CK23" s="29"/>
      <c r="CL23" s="25" t="s">
        <v>506</v>
      </c>
      <c r="CM23" s="29" t="s">
        <v>9298</v>
      </c>
      <c r="CN23" s="25" t="s">
        <v>506</v>
      </c>
      <c r="CO23" s="29"/>
      <c r="CP23" s="25" t="s">
        <v>506</v>
      </c>
      <c r="CQ23" s="29"/>
      <c r="CR23" s="25" t="s">
        <v>506</v>
      </c>
      <c r="CS23" s="29"/>
      <c r="CT23" s="29" t="s">
        <v>9299</v>
      </c>
      <c r="CU23" s="29"/>
      <c r="CV23" s="29" t="s">
        <v>9332</v>
      </c>
      <c r="CW23" s="29"/>
      <c r="CX23" s="29" t="s">
        <v>9332</v>
      </c>
      <c r="CY23" s="29"/>
      <c r="CZ23" s="29" t="s">
        <v>9299</v>
      </c>
      <c r="DA23" s="29"/>
      <c r="DB23" s="25" t="s">
        <v>506</v>
      </c>
      <c r="DC23" s="29" t="s">
        <v>9298</v>
      </c>
      <c r="DD23" s="25" t="s">
        <v>506</v>
      </c>
      <c r="DE23" s="29"/>
      <c r="DF23" s="25" t="s">
        <v>506</v>
      </c>
      <c r="DG23" s="30"/>
      <c r="DH23" s="25" t="s">
        <v>506</v>
      </c>
      <c r="DI23" s="30"/>
      <c r="DJ23" s="29" t="s">
        <v>9332</v>
      </c>
      <c r="DK23" s="29"/>
      <c r="DL23" s="29" t="s">
        <v>9299</v>
      </c>
      <c r="DM23" s="29"/>
      <c r="DN23" s="29" t="s">
        <v>9299</v>
      </c>
      <c r="DO23" s="29"/>
      <c r="DP23" s="29" t="s">
        <v>9300</v>
      </c>
      <c r="DQ23" s="29"/>
      <c r="DR23" s="25" t="s">
        <v>506</v>
      </c>
      <c r="DS23" s="29"/>
      <c r="DT23" s="25" t="s">
        <v>506</v>
      </c>
      <c r="DU23" s="29"/>
      <c r="DV23" s="25" t="s">
        <v>506</v>
      </c>
      <c r="DW23" s="29"/>
      <c r="DX23" s="25" t="s">
        <v>9334</v>
      </c>
      <c r="DY23" s="30"/>
      <c r="DZ23" s="624" t="s">
        <v>9332</v>
      </c>
      <c r="EB23" s="25" t="s">
        <v>9334</v>
      </c>
      <c r="ED23" s="29" t="s">
        <v>9297</v>
      </c>
      <c r="EE23" s="29" t="s">
        <v>9300</v>
      </c>
      <c r="EF23" s="29" t="s">
        <v>9332</v>
      </c>
      <c r="EG23" s="29"/>
      <c r="EH23" s="25" t="s">
        <v>9297</v>
      </c>
      <c r="EI23" s="25" t="s">
        <v>9300</v>
      </c>
      <c r="EJ23" s="25" t="s">
        <v>9334</v>
      </c>
      <c r="EK23" s="25"/>
    </row>
    <row r="24" spans="1:141" s="10" customFormat="1" ht="11.25" hidden="1">
      <c r="A24" s="33" t="s">
        <v>470</v>
      </c>
      <c r="B24" s="212" t="s">
        <v>471</v>
      </c>
      <c r="C24" s="212"/>
      <c r="D24" s="212" t="s">
        <v>471</v>
      </c>
      <c r="E24" s="212"/>
      <c r="F24" s="212" t="s">
        <v>471</v>
      </c>
      <c r="G24" s="212"/>
      <c r="H24" s="212" t="s">
        <v>472</v>
      </c>
      <c r="I24" s="212"/>
      <c r="J24" s="212" t="s">
        <v>471</v>
      </c>
      <c r="K24" s="212"/>
      <c r="L24" s="212" t="s">
        <v>472</v>
      </c>
      <c r="M24" s="212"/>
      <c r="N24" s="212" t="s">
        <v>472</v>
      </c>
      <c r="O24" s="212"/>
      <c r="P24" s="212" t="s">
        <v>472</v>
      </c>
      <c r="Q24" s="212"/>
      <c r="R24" s="212" t="s">
        <v>472</v>
      </c>
      <c r="S24" s="212"/>
      <c r="T24" s="212" t="s">
        <v>471</v>
      </c>
      <c r="U24" s="212"/>
      <c r="V24" s="212" t="s">
        <v>471</v>
      </c>
      <c r="W24" s="212"/>
      <c r="X24" s="212" t="s">
        <v>471</v>
      </c>
      <c r="Y24" s="212"/>
      <c r="Z24" s="212" t="s">
        <v>472</v>
      </c>
      <c r="AA24" s="212"/>
      <c r="AB24" s="212" t="s">
        <v>472</v>
      </c>
      <c r="AC24" s="212"/>
      <c r="AD24" s="212" t="s">
        <v>471</v>
      </c>
      <c r="AE24" s="212"/>
      <c r="AF24" s="212" t="s">
        <v>471</v>
      </c>
      <c r="AG24" s="212"/>
      <c r="AH24" s="212" t="s">
        <v>471</v>
      </c>
      <c r="AI24" s="212"/>
      <c r="AJ24" s="212" t="s">
        <v>472</v>
      </c>
      <c r="AK24" s="212"/>
      <c r="AL24" s="212" t="s">
        <v>471</v>
      </c>
      <c r="AM24" s="212"/>
      <c r="AN24" s="212" t="s">
        <v>472</v>
      </c>
      <c r="AO24" s="212"/>
      <c r="AP24" s="212" t="s">
        <v>471</v>
      </c>
      <c r="AQ24" s="212"/>
      <c r="AR24" s="212" t="s">
        <v>472</v>
      </c>
      <c r="AS24" s="212"/>
      <c r="AT24" s="212" t="s">
        <v>472</v>
      </c>
      <c r="AU24" s="212"/>
      <c r="AV24" s="212" t="s">
        <v>471</v>
      </c>
      <c r="AW24" s="212"/>
      <c r="AX24" s="212" t="s">
        <v>471</v>
      </c>
      <c r="AY24" s="212"/>
      <c r="AZ24" s="212" t="s">
        <v>472</v>
      </c>
      <c r="BA24" s="212"/>
      <c r="BB24" s="212" t="s">
        <v>471</v>
      </c>
      <c r="BC24" s="212"/>
      <c r="BD24" s="212" t="s">
        <v>472</v>
      </c>
      <c r="BE24" s="212"/>
      <c r="BF24" s="212" t="s">
        <v>471</v>
      </c>
      <c r="BG24" s="212"/>
      <c r="BH24" s="212" t="s">
        <v>471</v>
      </c>
      <c r="BI24" s="212"/>
      <c r="BJ24" s="212" t="s">
        <v>472</v>
      </c>
      <c r="BK24" s="212"/>
      <c r="BL24" s="212" t="s">
        <v>471</v>
      </c>
      <c r="BN24" s="212" t="s">
        <v>471</v>
      </c>
      <c r="BP24" s="212" t="s">
        <v>471</v>
      </c>
      <c r="BR24" s="212" t="s">
        <v>471</v>
      </c>
      <c r="BT24" s="212" t="s">
        <v>471</v>
      </c>
      <c r="BV24" s="212" t="s">
        <v>471</v>
      </c>
      <c r="BX24" s="212" t="s">
        <v>472</v>
      </c>
      <c r="BZ24" s="212" t="s">
        <v>471</v>
      </c>
      <c r="CB24" s="212" t="s">
        <v>471</v>
      </c>
      <c r="CD24" s="212" t="s">
        <v>471</v>
      </c>
      <c r="CF24" s="212" t="s">
        <v>471</v>
      </c>
      <c r="CH24" s="212" t="s">
        <v>471</v>
      </c>
      <c r="CJ24" s="212" t="s">
        <v>472</v>
      </c>
      <c r="CL24" s="212" t="s">
        <v>471</v>
      </c>
      <c r="CN24" s="212" t="s">
        <v>472</v>
      </c>
      <c r="CP24" s="212" t="s">
        <v>472</v>
      </c>
      <c r="CR24" s="212" t="s">
        <v>471</v>
      </c>
      <c r="CT24" s="212" t="s">
        <v>471</v>
      </c>
      <c r="CV24" s="212" t="s">
        <v>472</v>
      </c>
      <c r="CX24" s="212" t="s">
        <v>471</v>
      </c>
      <c r="CZ24" s="212" t="s">
        <v>471</v>
      </c>
      <c r="DB24" s="212" t="s">
        <v>472</v>
      </c>
      <c r="DD24" s="212" t="s">
        <v>471</v>
      </c>
      <c r="DF24" s="212" t="s">
        <v>472</v>
      </c>
      <c r="DH24" s="212" t="s">
        <v>472</v>
      </c>
      <c r="DJ24" s="212" t="s">
        <v>471</v>
      </c>
      <c r="DL24" s="212" t="s">
        <v>471</v>
      </c>
      <c r="DN24" s="212" t="s">
        <v>472</v>
      </c>
      <c r="DP24" s="212" t="s">
        <v>472</v>
      </c>
      <c r="DR24" s="212" t="s">
        <v>471</v>
      </c>
      <c r="DT24" s="212" t="s">
        <v>471</v>
      </c>
      <c r="DV24" s="212" t="s">
        <v>472</v>
      </c>
      <c r="DX24" s="212" t="s">
        <v>471</v>
      </c>
      <c r="DZ24" s="625"/>
    </row>
    <row r="25" spans="1:141" s="212" customFormat="1" ht="11.25" hidden="1">
      <c r="A25" s="33" t="s">
        <v>473</v>
      </c>
      <c r="B25" s="212">
        <v>4</v>
      </c>
      <c r="D25" s="212">
        <v>3</v>
      </c>
      <c r="F25" s="212">
        <v>1</v>
      </c>
      <c r="H25" s="212">
        <v>2</v>
      </c>
      <c r="J25" s="212">
        <v>5</v>
      </c>
      <c r="L25" s="212">
        <v>2</v>
      </c>
      <c r="N25" s="212">
        <v>6</v>
      </c>
      <c r="P25" s="212">
        <v>7</v>
      </c>
      <c r="R25" s="212">
        <v>3</v>
      </c>
      <c r="T25" s="212">
        <v>10</v>
      </c>
      <c r="V25" s="212">
        <v>2</v>
      </c>
      <c r="X25" s="212">
        <v>7</v>
      </c>
      <c r="Z25" s="212">
        <v>2</v>
      </c>
      <c r="AB25" s="212">
        <v>5</v>
      </c>
      <c r="AD25" s="212">
        <v>1</v>
      </c>
      <c r="AF25" s="212">
        <v>6</v>
      </c>
      <c r="AH25" s="212">
        <v>1</v>
      </c>
      <c r="AJ25" s="212">
        <v>2</v>
      </c>
      <c r="AL25" s="212">
        <v>4</v>
      </c>
      <c r="AN25" s="212">
        <v>9</v>
      </c>
      <c r="AP25" s="212">
        <v>12</v>
      </c>
      <c r="AR25" s="212">
        <v>7</v>
      </c>
      <c r="AT25" s="212">
        <v>5</v>
      </c>
      <c r="AV25" s="212">
        <v>2</v>
      </c>
      <c r="AX25" s="212">
        <v>2</v>
      </c>
      <c r="AZ25" s="212">
        <v>7</v>
      </c>
      <c r="BB25" s="212">
        <v>9</v>
      </c>
      <c r="BD25" s="212">
        <v>10</v>
      </c>
      <c r="BF25" s="212">
        <v>1</v>
      </c>
      <c r="BH25" s="212">
        <v>12</v>
      </c>
      <c r="BJ25" s="212">
        <v>2</v>
      </c>
      <c r="BL25" s="212">
        <v>5</v>
      </c>
      <c r="BN25" s="352">
        <v>11</v>
      </c>
      <c r="BP25" s="212">
        <v>8</v>
      </c>
      <c r="BR25" s="212">
        <v>6</v>
      </c>
      <c r="BT25" s="212">
        <v>7</v>
      </c>
      <c r="BV25" s="212">
        <v>4</v>
      </c>
      <c r="BX25" s="212">
        <v>3</v>
      </c>
      <c r="BZ25" s="212">
        <v>1</v>
      </c>
      <c r="CB25" s="212">
        <v>8</v>
      </c>
      <c r="CD25" s="212">
        <v>8</v>
      </c>
      <c r="CF25" s="352">
        <v>11</v>
      </c>
      <c r="CH25" s="212">
        <v>1</v>
      </c>
      <c r="CJ25" s="212">
        <v>6</v>
      </c>
      <c r="CL25" s="212">
        <v>3</v>
      </c>
      <c r="CN25" s="212">
        <v>10</v>
      </c>
      <c r="CP25" s="212">
        <v>8</v>
      </c>
      <c r="CR25" s="212">
        <v>7</v>
      </c>
      <c r="CT25" s="212">
        <v>12</v>
      </c>
      <c r="CV25" s="212">
        <v>7</v>
      </c>
      <c r="CX25" s="352">
        <v>11</v>
      </c>
      <c r="CZ25" s="212">
        <v>8</v>
      </c>
      <c r="DB25" s="212">
        <v>1</v>
      </c>
      <c r="DD25" s="212">
        <v>8</v>
      </c>
      <c r="DF25" s="212">
        <v>4</v>
      </c>
      <c r="DH25" s="212">
        <v>9</v>
      </c>
      <c r="DJ25" s="212">
        <v>1</v>
      </c>
      <c r="DL25" s="212">
        <v>12</v>
      </c>
      <c r="DN25" s="212">
        <v>8</v>
      </c>
      <c r="DP25" s="352">
        <v>11</v>
      </c>
      <c r="DR25" s="212">
        <v>8</v>
      </c>
      <c r="DT25" s="212">
        <v>7</v>
      </c>
      <c r="DV25" s="212">
        <v>9</v>
      </c>
      <c r="DX25" s="212">
        <v>10</v>
      </c>
      <c r="DZ25" s="394"/>
    </row>
    <row r="26" spans="1:141" s="19" customFormat="1" ht="11.25" hidden="1">
      <c r="A26" s="246"/>
      <c r="B26" s="19">
        <v>2</v>
      </c>
      <c r="C26" s="19">
        <v>7</v>
      </c>
      <c r="R26" s="19">
        <v>7</v>
      </c>
      <c r="S26" s="19">
        <v>9</v>
      </c>
      <c r="X26" s="19">
        <v>2</v>
      </c>
      <c r="Y26" s="19">
        <v>8</v>
      </c>
      <c r="AN26" s="19">
        <v>2</v>
      </c>
      <c r="AO26" s="19">
        <v>8</v>
      </c>
      <c r="AX26" s="19">
        <v>1</v>
      </c>
      <c r="AY26" s="19">
        <v>8</v>
      </c>
      <c r="BH26" s="19">
        <v>2</v>
      </c>
      <c r="BI26" s="19">
        <v>8</v>
      </c>
      <c r="BL26" s="19">
        <v>3</v>
      </c>
      <c r="BM26" s="19">
        <v>8</v>
      </c>
      <c r="BT26" s="19">
        <v>2</v>
      </c>
      <c r="BU26" s="19">
        <v>8</v>
      </c>
      <c r="BV26" s="19">
        <v>1</v>
      </c>
      <c r="BW26" s="19">
        <v>6</v>
      </c>
      <c r="CJ26" s="19">
        <v>2</v>
      </c>
      <c r="CK26" s="19">
        <v>8</v>
      </c>
      <c r="CZ26" s="19">
        <v>2</v>
      </c>
      <c r="DA26" s="19">
        <v>8</v>
      </c>
      <c r="DZ26" s="626"/>
    </row>
  </sheetData>
  <sheetProtection password="C2DF" sheet="1" objects="1" scenarios="1" selectLockedCells="1"/>
  <phoneticPr fontId="3" type="noConversion"/>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8B8A5-43F1-4601-AFFE-960AF5AB5EFC}">
  <sheetPr codeName="Sheet6"/>
  <dimension ref="B1:E3626"/>
  <sheetViews>
    <sheetView showGridLines="0" showRowColHeaders="0" workbookViewId="0">
      <pane ySplit="2" topLeftCell="A3" activePane="bottomLeft" state="frozen"/>
      <selection pane="bottomLeft" activeCell="D10" sqref="D10"/>
    </sheetView>
  </sheetViews>
  <sheetFormatPr defaultRowHeight="13.5" customHeight="1"/>
  <cols>
    <col min="1" max="1" width="33" style="382" customWidth="1"/>
    <col min="2" max="2" width="7" style="391" bestFit="1" customWidth="1"/>
    <col min="3" max="3" width="9.42578125" style="392" bestFit="1" customWidth="1"/>
    <col min="4" max="4" width="15.85546875" style="393" bestFit="1" customWidth="1"/>
    <col min="5" max="5" width="3" style="382" bestFit="1" customWidth="1"/>
    <col min="6" max="6" width="3.28515625" style="382" bestFit="1" customWidth="1"/>
    <col min="7" max="7" width="2" style="382" bestFit="1" customWidth="1"/>
    <col min="8" max="8" width="9.140625" style="382"/>
    <col min="9" max="9" width="15.85546875" style="382" bestFit="1" customWidth="1"/>
    <col min="10" max="16384" width="9.140625" style="382"/>
  </cols>
  <sheetData>
    <row r="1" spans="2:5" ht="13.5" customHeight="1">
      <c r="B1" s="381" t="s">
        <v>352</v>
      </c>
      <c r="C1" s="982" t="s">
        <v>3044</v>
      </c>
      <c r="D1" s="983"/>
    </row>
    <row r="2" spans="2:5" ht="13.5" customHeight="1">
      <c r="B2" s="383" t="s">
        <v>459</v>
      </c>
      <c r="C2" s="984" t="s">
        <v>3045</v>
      </c>
      <c r="D2" s="985"/>
    </row>
    <row r="3" spans="2:5" ht="13.5" customHeight="1">
      <c r="B3" s="384" t="s">
        <v>3200</v>
      </c>
      <c r="C3" s="385" t="s">
        <v>9317</v>
      </c>
      <c r="D3" s="386">
        <v>6.0443981481481481</v>
      </c>
      <c r="E3" s="387"/>
    </row>
    <row r="4" spans="2:5" ht="13.5" customHeight="1">
      <c r="B4" s="336" t="s">
        <v>4229</v>
      </c>
      <c r="C4" s="388" t="s">
        <v>4230</v>
      </c>
      <c r="D4" s="386">
        <v>20.772500000000001</v>
      </c>
      <c r="E4" s="387"/>
    </row>
    <row r="5" spans="2:5" ht="13.5" customHeight="1">
      <c r="B5" s="336" t="s">
        <v>3201</v>
      </c>
      <c r="C5" s="388" t="s">
        <v>7010</v>
      </c>
      <c r="D5" s="386">
        <v>35.535798611111112</v>
      </c>
      <c r="E5" s="387"/>
    </row>
    <row r="6" spans="2:5" ht="13.5" customHeight="1">
      <c r="B6" s="336" t="s">
        <v>4231</v>
      </c>
      <c r="C6" s="388" t="s">
        <v>4232</v>
      </c>
      <c r="D6" s="386">
        <v>50.37586805555555</v>
      </c>
      <c r="E6" s="387"/>
    </row>
    <row r="7" spans="2:5" ht="13.5" customHeight="1">
      <c r="B7" s="336" t="s">
        <v>2063</v>
      </c>
      <c r="C7" s="388" t="s">
        <v>7011</v>
      </c>
      <c r="D7" s="386">
        <v>66.306793981481491</v>
      </c>
      <c r="E7" s="387"/>
    </row>
    <row r="8" spans="2:5" ht="13.5" customHeight="1">
      <c r="B8" s="336" t="s">
        <v>4233</v>
      </c>
      <c r="C8" s="389" t="s">
        <v>4234</v>
      </c>
      <c r="D8" s="386">
        <v>81.360312500000006</v>
      </c>
      <c r="E8" s="387"/>
    </row>
    <row r="9" spans="2:5" ht="13.5" customHeight="1">
      <c r="B9" s="336" t="s">
        <v>2064</v>
      </c>
      <c r="C9" s="388" t="s">
        <v>7012</v>
      </c>
      <c r="D9" s="386">
        <v>96.536412037037039</v>
      </c>
      <c r="E9" s="387"/>
    </row>
    <row r="10" spans="2:5" ht="13.5" customHeight="1">
      <c r="B10" s="336" t="s">
        <v>4235</v>
      </c>
      <c r="C10" s="388" t="s">
        <v>4236</v>
      </c>
      <c r="D10" s="386">
        <v>111.85199074074075</v>
      </c>
      <c r="E10" s="387"/>
    </row>
    <row r="11" spans="2:5" ht="13.5" customHeight="1">
      <c r="B11" s="336" t="s">
        <v>2065</v>
      </c>
      <c r="C11" s="388" t="s">
        <v>7013</v>
      </c>
      <c r="D11" s="386">
        <v>127.28815972222223</v>
      </c>
      <c r="E11" s="387"/>
    </row>
    <row r="12" spans="2:5" ht="13.5" customHeight="1">
      <c r="B12" s="336" t="s">
        <v>4237</v>
      </c>
      <c r="C12" s="388" t="s">
        <v>4238</v>
      </c>
      <c r="D12" s="386">
        <v>142.84498842592592</v>
      </c>
      <c r="E12" s="387"/>
    </row>
    <row r="13" spans="2:5" ht="13.5" customHeight="1">
      <c r="B13" s="336" t="s">
        <v>2066</v>
      </c>
      <c r="C13" s="388" t="s">
        <v>7014</v>
      </c>
      <c r="D13" s="386">
        <v>158.48524305555554</v>
      </c>
      <c r="E13" s="387"/>
    </row>
    <row r="14" spans="2:5" ht="13.5" customHeight="1">
      <c r="B14" s="336" t="s">
        <v>4239</v>
      </c>
      <c r="C14" s="389" t="s">
        <v>4240</v>
      </c>
      <c r="D14" s="386">
        <v>174.19424768518519</v>
      </c>
      <c r="E14" s="387"/>
    </row>
    <row r="15" spans="2:5" ht="13.5" customHeight="1">
      <c r="B15" s="336" t="s">
        <v>2067</v>
      </c>
      <c r="C15" s="388" t="s">
        <v>7015</v>
      </c>
      <c r="D15" s="386">
        <v>189.9236574074074</v>
      </c>
      <c r="E15" s="387"/>
    </row>
    <row r="16" spans="2:5" ht="13.5" customHeight="1">
      <c r="B16" s="336" t="s">
        <v>4241</v>
      </c>
      <c r="C16" s="388" t="s">
        <v>4242</v>
      </c>
      <c r="D16" s="386">
        <v>205.65019675925925</v>
      </c>
      <c r="E16" s="387"/>
    </row>
    <row r="17" spans="2:5" ht="13.5" customHeight="1">
      <c r="B17" s="336" t="s">
        <v>2068</v>
      </c>
      <c r="C17" s="388" t="s">
        <v>7016</v>
      </c>
      <c r="D17" s="386">
        <v>221.32684027777776</v>
      </c>
      <c r="E17" s="387"/>
    </row>
    <row r="18" spans="2:5" ht="13.5" customHeight="1">
      <c r="B18" s="336" t="s">
        <v>4275</v>
      </c>
      <c r="C18" s="388" t="s">
        <v>4276</v>
      </c>
      <c r="D18" s="386">
        <v>236.9306597222222</v>
      </c>
      <c r="E18" s="387"/>
    </row>
    <row r="19" spans="2:5" ht="13.5" customHeight="1">
      <c r="B19" s="336" t="s">
        <v>2069</v>
      </c>
      <c r="C19" s="388" t="s">
        <v>7017</v>
      </c>
      <c r="D19" s="386">
        <v>252.42826388888889</v>
      </c>
      <c r="E19" s="387"/>
    </row>
    <row r="20" spans="2:5" ht="13.5" customHeight="1">
      <c r="B20" s="336" t="s">
        <v>4277</v>
      </c>
      <c r="C20" s="389" t="s">
        <v>4278</v>
      </c>
      <c r="D20" s="386">
        <v>267.80575231481481</v>
      </c>
      <c r="E20" s="387"/>
    </row>
    <row r="21" spans="2:5" ht="13.5" customHeight="1">
      <c r="B21" s="336" t="s">
        <v>2070</v>
      </c>
      <c r="C21" s="388" t="s">
        <v>7018</v>
      </c>
      <c r="D21" s="386">
        <v>283.05059027777781</v>
      </c>
      <c r="E21" s="387"/>
    </row>
    <row r="22" spans="2:5" ht="13.5" customHeight="1">
      <c r="B22" s="336" t="s">
        <v>4279</v>
      </c>
      <c r="C22" s="388" t="s">
        <v>4280</v>
      </c>
      <c r="D22" s="386">
        <v>298.16319444444446</v>
      </c>
      <c r="E22" s="387"/>
    </row>
    <row r="23" spans="2:5" ht="13.5" customHeight="1">
      <c r="B23" s="336" t="s">
        <v>2071</v>
      </c>
      <c r="C23" s="388" t="s">
        <v>7019</v>
      </c>
      <c r="D23" s="386">
        <v>313.15223379629634</v>
      </c>
      <c r="E23" s="387"/>
    </row>
    <row r="24" spans="2:5" ht="13.5" customHeight="1">
      <c r="B24" s="336" t="s">
        <v>4281</v>
      </c>
      <c r="C24" s="388" t="s">
        <v>4282</v>
      </c>
      <c r="D24" s="386">
        <v>328.03292824074077</v>
      </c>
      <c r="E24" s="387"/>
    </row>
    <row r="25" spans="2:5" ht="13.5" customHeight="1">
      <c r="B25" s="336" t="s">
        <v>2072</v>
      </c>
      <c r="C25" s="388" t="s">
        <v>7020</v>
      </c>
      <c r="D25" s="386">
        <v>342.83017361111115</v>
      </c>
      <c r="E25" s="387"/>
    </row>
    <row r="26" spans="2:5" ht="13.5" customHeight="1">
      <c r="B26" s="336" t="s">
        <v>4283</v>
      </c>
      <c r="C26" s="389" t="s">
        <v>4284</v>
      </c>
      <c r="D26" s="386">
        <v>357.57032407407411</v>
      </c>
      <c r="E26" s="387"/>
    </row>
    <row r="27" spans="2:5" ht="13.5" customHeight="1">
      <c r="B27" s="336" t="s">
        <v>2073</v>
      </c>
      <c r="C27" s="390" t="s">
        <v>9317</v>
      </c>
      <c r="D27" s="386">
        <v>372.28700231481486</v>
      </c>
      <c r="E27" s="387"/>
    </row>
    <row r="28" spans="2:5" ht="13.5" customHeight="1">
      <c r="B28" s="336" t="s">
        <v>4285</v>
      </c>
      <c r="C28" s="388" t="s">
        <v>4230</v>
      </c>
      <c r="D28" s="386">
        <v>387.01136574074076</v>
      </c>
      <c r="E28" s="387"/>
    </row>
    <row r="29" spans="2:5" ht="13.5" customHeight="1">
      <c r="B29" s="336" t="s">
        <v>2074</v>
      </c>
      <c r="C29" s="388" t="s">
        <v>7010</v>
      </c>
      <c r="D29" s="386">
        <v>401.77774305555556</v>
      </c>
      <c r="E29" s="387"/>
    </row>
    <row r="30" spans="2:5" ht="13.5" customHeight="1">
      <c r="B30" s="336" t="s">
        <v>4286</v>
      </c>
      <c r="C30" s="388" t="s">
        <v>4232</v>
      </c>
      <c r="D30" s="386">
        <v>416.61449074074073</v>
      </c>
      <c r="E30" s="387"/>
    </row>
    <row r="31" spans="2:5" ht="13.5" customHeight="1">
      <c r="B31" s="336" t="s">
        <v>2075</v>
      </c>
      <c r="C31" s="388" t="s">
        <v>7011</v>
      </c>
      <c r="D31" s="386">
        <v>431.54928240740742</v>
      </c>
      <c r="E31" s="387"/>
    </row>
    <row r="32" spans="2:5" ht="13.5" customHeight="1">
      <c r="B32" s="336" t="s">
        <v>4287</v>
      </c>
      <c r="C32" s="389" t="s">
        <v>4234</v>
      </c>
      <c r="D32" s="386">
        <v>446.59962962962965</v>
      </c>
      <c r="E32" s="387"/>
    </row>
    <row r="33" spans="2:5" ht="13.5" customHeight="1">
      <c r="B33" s="336" t="s">
        <v>2076</v>
      </c>
      <c r="C33" s="388" t="s">
        <v>7012</v>
      </c>
      <c r="D33" s="386">
        <v>461.78084490740741</v>
      </c>
      <c r="E33" s="387"/>
    </row>
    <row r="34" spans="2:5" ht="13.5" customHeight="1">
      <c r="B34" s="336" t="s">
        <v>1820</v>
      </c>
      <c r="C34" s="388" t="s">
        <v>4236</v>
      </c>
      <c r="D34" s="386">
        <v>477.09261574074077</v>
      </c>
      <c r="E34" s="387"/>
    </row>
    <row r="35" spans="2:5" ht="13.5" customHeight="1">
      <c r="B35" s="336" t="s">
        <v>2077</v>
      </c>
      <c r="C35" s="388" t="s">
        <v>7013</v>
      </c>
      <c r="D35" s="386">
        <v>492.53510416666671</v>
      </c>
      <c r="E35" s="387"/>
    </row>
    <row r="36" spans="2:5" ht="13.5" customHeight="1">
      <c r="B36" s="336" t="s">
        <v>1821</v>
      </c>
      <c r="C36" s="388" t="s">
        <v>4238</v>
      </c>
      <c r="D36" s="386">
        <v>508.08667824074075</v>
      </c>
      <c r="E36" s="387"/>
    </row>
    <row r="37" spans="2:5" ht="13.5" customHeight="1">
      <c r="B37" s="336" t="s">
        <v>2078</v>
      </c>
      <c r="C37" s="388" t="s">
        <v>7014</v>
      </c>
      <c r="D37" s="386">
        <v>523.73384259259251</v>
      </c>
      <c r="E37" s="387"/>
    </row>
    <row r="38" spans="2:5" ht="13.5" customHeight="1">
      <c r="B38" s="336" t="s">
        <v>1822</v>
      </c>
      <c r="C38" s="389" t="s">
        <v>4240</v>
      </c>
      <c r="D38" s="386">
        <v>539.43606481481481</v>
      </c>
      <c r="E38" s="387"/>
    </row>
    <row r="39" spans="2:5" ht="13.5" customHeight="1">
      <c r="B39" s="336" t="s">
        <v>2079</v>
      </c>
      <c r="C39" s="388" t="s">
        <v>7015</v>
      </c>
      <c r="D39" s="386">
        <v>555.17202546296289</v>
      </c>
      <c r="E39" s="387"/>
    </row>
    <row r="40" spans="2:5" ht="13.5" customHeight="1">
      <c r="B40" s="336" t="s">
        <v>1823</v>
      </c>
      <c r="C40" s="388" t="s">
        <v>4242</v>
      </c>
      <c r="D40" s="386">
        <v>570.89149305555554</v>
      </c>
      <c r="E40" s="387"/>
    </row>
    <row r="41" spans="2:5" ht="13.5" customHeight="1">
      <c r="B41" s="336" t="s">
        <v>2080</v>
      </c>
      <c r="C41" s="388" t="s">
        <v>7016</v>
      </c>
      <c r="D41" s="386">
        <v>586.57369212962953</v>
      </c>
      <c r="E41" s="387"/>
    </row>
    <row r="42" spans="2:5" ht="13.5" customHeight="1">
      <c r="B42" s="336" t="s">
        <v>1824</v>
      </c>
      <c r="C42" s="388" t="s">
        <v>4276</v>
      </c>
      <c r="D42" s="386">
        <v>602.17178240740736</v>
      </c>
      <c r="E42" s="387"/>
    </row>
    <row r="43" spans="2:5" ht="13.5" customHeight="1">
      <c r="B43" s="336" t="s">
        <v>5574</v>
      </c>
      <c r="C43" s="388" t="s">
        <v>7017</v>
      </c>
      <c r="D43" s="386">
        <v>617.67381944444446</v>
      </c>
      <c r="E43" s="387"/>
    </row>
    <row r="44" spans="2:5" ht="13.5" customHeight="1">
      <c r="B44" s="336" t="s">
        <v>1825</v>
      </c>
      <c r="C44" s="389" t="s">
        <v>4278</v>
      </c>
      <c r="D44" s="386">
        <v>633.04773148148149</v>
      </c>
      <c r="E44" s="387"/>
    </row>
    <row r="45" spans="2:5" ht="13.5" customHeight="1">
      <c r="B45" s="336" t="s">
        <v>5575</v>
      </c>
      <c r="C45" s="388" t="s">
        <v>7018</v>
      </c>
      <c r="D45" s="386">
        <v>648.29608796296293</v>
      </c>
      <c r="E45" s="387"/>
    </row>
    <row r="46" spans="2:5" ht="13.5" customHeight="1">
      <c r="B46" s="336" t="s">
        <v>1826</v>
      </c>
      <c r="C46" s="388" t="s">
        <v>4280</v>
      </c>
      <c r="D46" s="386">
        <v>663.40686342592585</v>
      </c>
      <c r="E46" s="387"/>
    </row>
    <row r="47" spans="2:5" ht="13.5" customHeight="1">
      <c r="B47" s="336" t="s">
        <v>5576</v>
      </c>
      <c r="C47" s="388" t="s">
        <v>7019</v>
      </c>
      <c r="D47" s="386">
        <v>678.39877314814817</v>
      </c>
      <c r="E47" s="387"/>
    </row>
    <row r="48" spans="2:5" ht="13.5" customHeight="1">
      <c r="B48" s="336" t="s">
        <v>1827</v>
      </c>
      <c r="C48" s="388" t="s">
        <v>4282</v>
      </c>
      <c r="D48" s="386">
        <v>693.27837962962963</v>
      </c>
      <c r="E48" s="387"/>
    </row>
    <row r="49" spans="2:5" ht="13.5" customHeight="1">
      <c r="B49" s="336" t="s">
        <v>5577</v>
      </c>
      <c r="C49" s="388" t="s">
        <v>7020</v>
      </c>
      <c r="D49" s="386">
        <v>708.07805555555547</v>
      </c>
      <c r="E49" s="387"/>
    </row>
    <row r="50" spans="2:5" ht="13.5" customHeight="1">
      <c r="B50" s="336" t="s">
        <v>1828</v>
      </c>
      <c r="C50" s="389" t="s">
        <v>4284</v>
      </c>
      <c r="D50" s="386">
        <v>722.81700231481477</v>
      </c>
      <c r="E50" s="387"/>
    </row>
    <row r="51" spans="2:5" ht="13.5" customHeight="1">
      <c r="B51" s="336" t="s">
        <v>5578</v>
      </c>
      <c r="C51" s="390" t="s">
        <v>9317</v>
      </c>
      <c r="D51" s="386">
        <v>737.53578703703704</v>
      </c>
      <c r="E51" s="387"/>
    </row>
    <row r="52" spans="2:5" ht="13.5" customHeight="1">
      <c r="B52" s="336" t="s">
        <v>1829</v>
      </c>
      <c r="C52" s="388" t="s">
        <v>4230</v>
      </c>
      <c r="D52" s="386">
        <v>752.25840277777775</v>
      </c>
      <c r="E52" s="387"/>
    </row>
    <row r="53" spans="2:5" ht="13.5" customHeight="1">
      <c r="B53" s="336" t="s">
        <v>5579</v>
      </c>
      <c r="C53" s="388" t="s">
        <v>7010</v>
      </c>
      <c r="D53" s="386">
        <v>767.02648148148148</v>
      </c>
      <c r="E53" s="387"/>
    </row>
    <row r="54" spans="2:5" ht="13.5" customHeight="1">
      <c r="B54" s="336" t="s">
        <v>1830</v>
      </c>
      <c r="C54" s="388" t="s">
        <v>4232</v>
      </c>
      <c r="D54" s="386">
        <v>781.86096064814808</v>
      </c>
      <c r="E54" s="387"/>
    </row>
    <row r="55" spans="2:5" ht="13.5" customHeight="1">
      <c r="B55" s="336" t="s">
        <v>5580</v>
      </c>
      <c r="C55" s="388" t="s">
        <v>7011</v>
      </c>
      <c r="D55" s="386">
        <v>796.79675925925926</v>
      </c>
      <c r="E55" s="387"/>
    </row>
    <row r="56" spans="2:5" ht="13.5" customHeight="1">
      <c r="B56" s="336" t="s">
        <v>1831</v>
      </c>
      <c r="C56" s="389" t="s">
        <v>4234</v>
      </c>
      <c r="D56" s="386">
        <v>811.8448032407407</v>
      </c>
      <c r="E56" s="387"/>
    </row>
    <row r="57" spans="2:5" ht="13.5" customHeight="1">
      <c r="B57" s="336" t="s">
        <v>5581</v>
      </c>
      <c r="C57" s="388" t="s">
        <v>7012</v>
      </c>
      <c r="D57" s="386">
        <v>827.02583333333325</v>
      </c>
      <c r="E57" s="387"/>
    </row>
    <row r="58" spans="2:5" ht="13.5" customHeight="1">
      <c r="B58" s="336" t="s">
        <v>1832</v>
      </c>
      <c r="C58" s="388" t="s">
        <v>4236</v>
      </c>
      <c r="D58" s="386">
        <v>842.33615740740731</v>
      </c>
      <c r="E58" s="387"/>
    </row>
    <row r="59" spans="2:5" ht="13.5" customHeight="1">
      <c r="B59" s="336" t="s">
        <v>5582</v>
      </c>
      <c r="C59" s="388" t="s">
        <v>7013</v>
      </c>
      <c r="D59" s="386">
        <v>857.77673611111106</v>
      </c>
      <c r="E59" s="387"/>
    </row>
    <row r="60" spans="2:5" ht="13.5" customHeight="1">
      <c r="B60" s="336" t="s">
        <v>1833</v>
      </c>
      <c r="C60" s="388" t="s">
        <v>4238</v>
      </c>
      <c r="D60" s="386">
        <v>873.32875000000001</v>
      </c>
      <c r="E60" s="387"/>
    </row>
    <row r="61" spans="2:5" ht="13.5" customHeight="1">
      <c r="B61" s="336" t="s">
        <v>5583</v>
      </c>
      <c r="C61" s="388" t="s">
        <v>7014</v>
      </c>
      <c r="D61" s="386">
        <v>888.97192129629627</v>
      </c>
      <c r="E61" s="387"/>
    </row>
    <row r="62" spans="2:5" ht="13.5" customHeight="1">
      <c r="B62" s="336" t="s">
        <v>1834</v>
      </c>
      <c r="C62" s="389" t="s">
        <v>4240</v>
      </c>
      <c r="D62" s="386">
        <v>904.67709490740742</v>
      </c>
      <c r="E62" s="387"/>
    </row>
    <row r="63" spans="2:5" ht="13.5" customHeight="1">
      <c r="B63" s="336" t="s">
        <v>6332</v>
      </c>
      <c r="C63" s="388" t="s">
        <v>7015</v>
      </c>
      <c r="D63" s="386">
        <v>920.40714120370365</v>
      </c>
      <c r="E63" s="387"/>
    </row>
    <row r="64" spans="2:5" ht="13.5" customHeight="1">
      <c r="B64" s="336" t="s">
        <v>1835</v>
      </c>
      <c r="C64" s="388" t="s">
        <v>4242</v>
      </c>
      <c r="D64" s="386">
        <v>936.13179398148145</v>
      </c>
      <c r="E64" s="387"/>
    </row>
    <row r="65" spans="2:5" ht="13.5" customHeight="1">
      <c r="B65" s="336" t="s">
        <v>6333</v>
      </c>
      <c r="C65" s="388" t="s">
        <v>7016</v>
      </c>
      <c r="D65" s="386">
        <v>951.80710648148147</v>
      </c>
      <c r="E65" s="387"/>
    </row>
    <row r="66" spans="2:5" ht="13.5" customHeight="1">
      <c r="B66" s="336" t="s">
        <v>1836</v>
      </c>
      <c r="C66" s="388" t="s">
        <v>4276</v>
      </c>
      <c r="D66" s="386">
        <v>967.41178240740737</v>
      </c>
      <c r="E66" s="387"/>
    </row>
    <row r="67" spans="2:5" ht="13.5" customHeight="1">
      <c r="B67" s="336" t="s">
        <v>6334</v>
      </c>
      <c r="C67" s="388" t="s">
        <v>7017</v>
      </c>
      <c r="D67" s="386">
        <v>982.90724537037033</v>
      </c>
      <c r="E67" s="387"/>
    </row>
    <row r="68" spans="2:5" ht="13.5" customHeight="1">
      <c r="B68" s="336" t="s">
        <v>1837</v>
      </c>
      <c r="C68" s="389" t="s">
        <v>4278</v>
      </c>
      <c r="D68" s="386">
        <v>998.28841435185177</v>
      </c>
      <c r="E68" s="387"/>
    </row>
    <row r="69" spans="2:5" ht="13.5" customHeight="1">
      <c r="B69" s="336" t="s">
        <v>936</v>
      </c>
      <c r="C69" s="388" t="s">
        <v>7018</v>
      </c>
      <c r="D69" s="386">
        <v>1013.5313310185185</v>
      </c>
      <c r="E69" s="387"/>
    </row>
    <row r="70" spans="2:5" ht="13.5" customHeight="1">
      <c r="B70" s="336" t="s">
        <v>1838</v>
      </c>
      <c r="C70" s="388" t="s">
        <v>4280</v>
      </c>
      <c r="D70" s="386">
        <v>1028.6496875</v>
      </c>
      <c r="E70" s="387"/>
    </row>
    <row r="71" spans="2:5" ht="13.5" customHeight="1">
      <c r="B71" s="336" t="s">
        <v>937</v>
      </c>
      <c r="C71" s="388" t="s">
        <v>7019</v>
      </c>
      <c r="D71" s="386">
        <v>1043.6371875</v>
      </c>
      <c r="E71" s="387"/>
    </row>
    <row r="72" spans="2:5" ht="13.5" customHeight="1">
      <c r="B72" s="336" t="s">
        <v>1839</v>
      </c>
      <c r="C72" s="388" t="s">
        <v>4282</v>
      </c>
      <c r="D72" s="386">
        <v>1058.5243981481483</v>
      </c>
      <c r="E72" s="387"/>
    </row>
    <row r="73" spans="2:5" ht="13.5" customHeight="1">
      <c r="B73" s="336" t="s">
        <v>938</v>
      </c>
      <c r="C73" s="388" t="s">
        <v>7020</v>
      </c>
      <c r="D73" s="386">
        <v>1073.3199537037037</v>
      </c>
      <c r="E73" s="387"/>
    </row>
    <row r="74" spans="2:5" ht="13.5" customHeight="1">
      <c r="B74" s="336" t="s">
        <v>1840</v>
      </c>
      <c r="C74" s="389" t="s">
        <v>4284</v>
      </c>
      <c r="D74" s="386">
        <v>1088.0661226851853</v>
      </c>
      <c r="E74" s="387"/>
    </row>
    <row r="75" spans="2:5" ht="13.5" customHeight="1">
      <c r="B75" s="336" t="s">
        <v>4742</v>
      </c>
      <c r="C75" s="390" t="s">
        <v>9317</v>
      </c>
      <c r="D75" s="386">
        <v>1102.7802083333333</v>
      </c>
      <c r="E75" s="387"/>
    </row>
    <row r="76" spans="2:5" ht="13.5" customHeight="1">
      <c r="B76" s="336" t="s">
        <v>1841</v>
      </c>
      <c r="C76" s="388" t="s">
        <v>4230</v>
      </c>
      <c r="D76" s="386">
        <v>1117.5092592592594</v>
      </c>
      <c r="E76" s="387"/>
    </row>
    <row r="77" spans="2:5" ht="13.5" customHeight="1">
      <c r="B77" s="336" t="s">
        <v>4743</v>
      </c>
      <c r="C77" s="388" t="s">
        <v>7010</v>
      </c>
      <c r="D77" s="386">
        <v>1132.2716319444446</v>
      </c>
      <c r="E77" s="387"/>
    </row>
    <row r="78" spans="2:5" ht="13.5" customHeight="1">
      <c r="B78" s="336" t="s">
        <v>1842</v>
      </c>
      <c r="C78" s="388" t="s">
        <v>4232</v>
      </c>
      <c r="D78" s="386">
        <v>1147.1116203703705</v>
      </c>
      <c r="E78" s="387"/>
    </row>
    <row r="79" spans="2:5" ht="13.5" customHeight="1">
      <c r="B79" s="336" t="s">
        <v>4744</v>
      </c>
      <c r="C79" s="388" t="s">
        <v>7011</v>
      </c>
      <c r="D79" s="386">
        <v>1162.0408912037037</v>
      </c>
      <c r="E79" s="387"/>
    </row>
    <row r="80" spans="2:5" ht="13.5" customHeight="1">
      <c r="B80" s="336" t="s">
        <v>1843</v>
      </c>
      <c r="C80" s="389" t="s">
        <v>4234</v>
      </c>
      <c r="D80" s="386">
        <v>1177.0936574074076</v>
      </c>
      <c r="E80" s="387"/>
    </row>
    <row r="81" spans="2:5" ht="13.5" customHeight="1">
      <c r="B81" s="336" t="s">
        <v>4745</v>
      </c>
      <c r="C81" s="388" t="s">
        <v>7012</v>
      </c>
      <c r="D81" s="386">
        <v>1192.2681481481482</v>
      </c>
      <c r="E81" s="387"/>
    </row>
    <row r="82" spans="2:5" ht="13.5" customHeight="1">
      <c r="B82" s="336" t="s">
        <v>1844</v>
      </c>
      <c r="C82" s="388" t="s">
        <v>4236</v>
      </c>
      <c r="D82" s="386">
        <v>1207.5825578703705</v>
      </c>
      <c r="E82" s="387"/>
    </row>
    <row r="83" spans="2:5" ht="13.5" customHeight="1">
      <c r="B83" s="336" t="s">
        <v>4746</v>
      </c>
      <c r="C83" s="388" t="s">
        <v>7013</v>
      </c>
      <c r="D83" s="386">
        <v>1223.0178009259259</v>
      </c>
      <c r="E83" s="387"/>
    </row>
    <row r="84" spans="2:5" ht="13.5" customHeight="1">
      <c r="B84" s="336" t="s">
        <v>1845</v>
      </c>
      <c r="C84" s="388" t="s">
        <v>4238</v>
      </c>
      <c r="D84" s="386">
        <v>1238.5730092592594</v>
      </c>
      <c r="E84" s="387"/>
    </row>
    <row r="85" spans="2:5" ht="13.5" customHeight="1">
      <c r="B85" s="336" t="s">
        <v>4747</v>
      </c>
      <c r="C85" s="388" t="s">
        <v>7014</v>
      </c>
      <c r="D85" s="386">
        <v>1254.2132986111112</v>
      </c>
      <c r="E85" s="387"/>
    </row>
    <row r="86" spans="2:5" ht="13.5" customHeight="1">
      <c r="B86" s="336" t="s">
        <v>303</v>
      </c>
      <c r="C86" s="389" t="s">
        <v>4240</v>
      </c>
      <c r="D86" s="386">
        <v>1269.919988425926</v>
      </c>
      <c r="E86" s="387"/>
    </row>
    <row r="87" spans="2:5" ht="13.5" customHeight="1">
      <c r="B87" s="336" t="s">
        <v>4748</v>
      </c>
      <c r="C87" s="388" t="s">
        <v>7015</v>
      </c>
      <c r="D87" s="386">
        <v>1285.6503240740742</v>
      </c>
      <c r="E87" s="387"/>
    </row>
    <row r="88" spans="2:5" ht="13.5" customHeight="1">
      <c r="B88" s="336" t="s">
        <v>304</v>
      </c>
      <c r="C88" s="388" t="s">
        <v>4242</v>
      </c>
      <c r="D88" s="386">
        <v>1301.3740856481481</v>
      </c>
      <c r="E88" s="387"/>
    </row>
    <row r="89" spans="2:5" ht="13.5" customHeight="1">
      <c r="B89" s="336" t="s">
        <v>4749</v>
      </c>
      <c r="C89" s="388" t="s">
        <v>7016</v>
      </c>
      <c r="D89" s="386">
        <v>1317.0525694444445</v>
      </c>
      <c r="E89" s="387"/>
    </row>
    <row r="90" spans="2:5" ht="13.5" customHeight="1">
      <c r="B90" s="336" t="s">
        <v>305</v>
      </c>
      <c r="C90" s="388" t="s">
        <v>4276</v>
      </c>
      <c r="D90" s="386">
        <v>1332.6539120370371</v>
      </c>
      <c r="E90" s="387"/>
    </row>
    <row r="91" spans="2:5" ht="13.5" customHeight="1">
      <c r="B91" s="336" t="s">
        <v>4750</v>
      </c>
      <c r="C91" s="388" t="s">
        <v>7017</v>
      </c>
      <c r="D91" s="386">
        <v>1348.1543055555555</v>
      </c>
      <c r="E91" s="387"/>
    </row>
    <row r="92" spans="2:5" ht="13.5" customHeight="1">
      <c r="B92" s="336" t="s">
        <v>306</v>
      </c>
      <c r="C92" s="389" t="s">
        <v>4278</v>
      </c>
      <c r="D92" s="386">
        <v>1363.5303125</v>
      </c>
      <c r="E92" s="387"/>
    </row>
    <row r="93" spans="2:5" ht="13.5" customHeight="1">
      <c r="B93" s="336" t="s">
        <v>4751</v>
      </c>
      <c r="C93" s="388" t="s">
        <v>7018</v>
      </c>
      <c r="D93" s="386">
        <v>1378.7787847222223</v>
      </c>
      <c r="E93" s="387"/>
    </row>
    <row r="94" spans="2:5" ht="13.5" customHeight="1">
      <c r="B94" s="336" t="s">
        <v>307</v>
      </c>
      <c r="C94" s="388" t="s">
        <v>4280</v>
      </c>
      <c r="D94" s="386">
        <v>1393.890925925926</v>
      </c>
      <c r="E94" s="387"/>
    </row>
    <row r="95" spans="2:5" ht="13.5" customHeight="1">
      <c r="B95" s="336" t="s">
        <v>4752</v>
      </c>
      <c r="C95" s="388" t="s">
        <v>7019</v>
      </c>
      <c r="D95" s="386">
        <v>1408.884050925926</v>
      </c>
      <c r="E95" s="387"/>
    </row>
    <row r="96" spans="2:5" ht="13.5" customHeight="1">
      <c r="B96" s="336" t="s">
        <v>308</v>
      </c>
      <c r="C96" s="388" t="s">
        <v>4282</v>
      </c>
      <c r="D96" s="386">
        <v>1423.7646990740741</v>
      </c>
      <c r="E96" s="387"/>
    </row>
    <row r="97" spans="2:5" ht="13.5" customHeight="1">
      <c r="B97" s="336" t="s">
        <v>2532</v>
      </c>
      <c r="C97" s="388" t="s">
        <v>7020</v>
      </c>
      <c r="D97" s="386">
        <v>1438.5658796296298</v>
      </c>
      <c r="E97" s="387"/>
    </row>
    <row r="98" spans="2:5" ht="13.5" customHeight="1">
      <c r="B98" s="336" t="s">
        <v>309</v>
      </c>
      <c r="C98" s="389" t="s">
        <v>4284</v>
      </c>
      <c r="D98" s="386">
        <v>1453.3055902777778</v>
      </c>
      <c r="E98" s="387"/>
    </row>
    <row r="99" spans="2:5" ht="13.5" customHeight="1">
      <c r="B99" s="336" t="s">
        <v>2533</v>
      </c>
      <c r="C99" s="390" t="s">
        <v>9317</v>
      </c>
      <c r="D99" s="386">
        <v>1468.0254282407409</v>
      </c>
      <c r="E99" s="387"/>
    </row>
    <row r="100" spans="2:5" ht="13.5" customHeight="1">
      <c r="B100" s="336" t="s">
        <v>310</v>
      </c>
      <c r="C100" s="388" t="s">
        <v>4230</v>
      </c>
      <c r="D100" s="386">
        <v>1482.7482523148149</v>
      </c>
      <c r="E100" s="387"/>
    </row>
    <row r="101" spans="2:5" ht="13.5" customHeight="1">
      <c r="B101" s="336" t="s">
        <v>2534</v>
      </c>
      <c r="C101" s="388" t="s">
        <v>7010</v>
      </c>
      <c r="D101" s="386">
        <v>1497.5165393518519</v>
      </c>
      <c r="E101" s="387"/>
    </row>
    <row r="102" spans="2:5" ht="13.5" customHeight="1">
      <c r="B102" s="336" t="s">
        <v>311</v>
      </c>
      <c r="C102" s="388" t="s">
        <v>4232</v>
      </c>
      <c r="D102" s="386">
        <v>1512.3503587962964</v>
      </c>
      <c r="E102" s="387"/>
    </row>
    <row r="103" spans="2:5" ht="13.5" customHeight="1">
      <c r="B103" s="336" t="s">
        <v>2535</v>
      </c>
      <c r="C103" s="388" t="s">
        <v>7011</v>
      </c>
      <c r="D103" s="386">
        <v>1527.2857060185186</v>
      </c>
      <c r="E103" s="387"/>
    </row>
    <row r="104" spans="2:5" ht="13.5" customHeight="1">
      <c r="B104" s="336" t="s">
        <v>312</v>
      </c>
      <c r="C104" s="389" t="s">
        <v>4234</v>
      </c>
      <c r="D104" s="386">
        <v>1542.3320486111111</v>
      </c>
      <c r="E104" s="387"/>
    </row>
    <row r="105" spans="2:5" ht="13.5" customHeight="1">
      <c r="B105" s="336" t="s">
        <v>2536</v>
      </c>
      <c r="C105" s="388" t="s">
        <v>7012</v>
      </c>
      <c r="D105" s="386">
        <v>1557.5129166666668</v>
      </c>
      <c r="E105" s="387"/>
    </row>
    <row r="106" spans="2:5" ht="13.5" customHeight="1">
      <c r="B106" s="336" t="s">
        <v>313</v>
      </c>
      <c r="C106" s="388" t="s">
        <v>4236</v>
      </c>
      <c r="D106" s="386">
        <v>1572.8206250000001</v>
      </c>
      <c r="E106" s="387"/>
    </row>
    <row r="107" spans="2:5" ht="13.5" customHeight="1">
      <c r="B107" s="336" t="s">
        <v>2537</v>
      </c>
      <c r="C107" s="388" t="s">
        <v>7013</v>
      </c>
      <c r="D107" s="386">
        <v>1588.2627199074075</v>
      </c>
      <c r="E107" s="387"/>
    </row>
    <row r="108" spans="2:5" ht="13.5" customHeight="1">
      <c r="B108" s="336" t="s">
        <v>314</v>
      </c>
      <c r="C108" s="388" t="s">
        <v>4238</v>
      </c>
      <c r="D108" s="386">
        <v>1603.8115162037038</v>
      </c>
      <c r="E108" s="387"/>
    </row>
    <row r="109" spans="2:5" ht="13.5" customHeight="1">
      <c r="B109" s="336" t="s">
        <v>2538</v>
      </c>
      <c r="C109" s="388" t="s">
        <v>7014</v>
      </c>
      <c r="D109" s="386">
        <v>1619.4588310185186</v>
      </c>
      <c r="E109" s="387"/>
    </row>
    <row r="110" spans="2:5" ht="13.5" customHeight="1">
      <c r="B110" s="336" t="s">
        <v>315</v>
      </c>
      <c r="C110" s="389" t="s">
        <v>4240</v>
      </c>
      <c r="D110" s="386">
        <v>1635.1604398148149</v>
      </c>
      <c r="E110" s="387"/>
    </row>
    <row r="111" spans="2:5" ht="13.5" customHeight="1">
      <c r="B111" s="336" t="s">
        <v>2539</v>
      </c>
      <c r="C111" s="388" t="s">
        <v>7015</v>
      </c>
      <c r="D111" s="386">
        <v>1650.8968865740742</v>
      </c>
      <c r="E111" s="387"/>
    </row>
    <row r="112" spans="2:5" ht="13.5" customHeight="1">
      <c r="B112" s="336" t="s">
        <v>316</v>
      </c>
      <c r="C112" s="388" t="s">
        <v>4242</v>
      </c>
      <c r="D112" s="386">
        <v>1666.617662037037</v>
      </c>
      <c r="E112" s="387"/>
    </row>
    <row r="113" spans="2:5" ht="13.5" customHeight="1">
      <c r="B113" s="336" t="s">
        <v>2540</v>
      </c>
      <c r="C113" s="388" t="s">
        <v>7016</v>
      </c>
      <c r="D113" s="386">
        <v>1682.2998958333335</v>
      </c>
      <c r="E113" s="387"/>
    </row>
    <row r="114" spans="2:5" ht="13.5" customHeight="1">
      <c r="B114" s="336" t="s">
        <v>317</v>
      </c>
      <c r="C114" s="388" t="s">
        <v>4276</v>
      </c>
      <c r="D114" s="386">
        <v>1697.9002430555556</v>
      </c>
      <c r="E114" s="387"/>
    </row>
    <row r="115" spans="2:5" ht="13.5" customHeight="1">
      <c r="B115" s="336" t="s">
        <v>2541</v>
      </c>
      <c r="C115" s="388" t="s">
        <v>7017</v>
      </c>
      <c r="D115" s="386">
        <v>1713.4014351851852</v>
      </c>
      <c r="E115" s="387"/>
    </row>
    <row r="116" spans="2:5" ht="13.5" customHeight="1">
      <c r="B116" s="336" t="s">
        <v>318</v>
      </c>
      <c r="C116" s="389" t="s">
        <v>4278</v>
      </c>
      <c r="D116" s="386">
        <v>1728.7778356481483</v>
      </c>
      <c r="E116" s="387"/>
    </row>
    <row r="117" spans="2:5" ht="13.5" customHeight="1">
      <c r="B117" s="336" t="s">
        <v>2542</v>
      </c>
      <c r="C117" s="388" t="s">
        <v>7018</v>
      </c>
      <c r="D117" s="386">
        <v>1744.0246990740741</v>
      </c>
      <c r="E117" s="387"/>
    </row>
    <row r="118" spans="2:5" ht="13.5" customHeight="1">
      <c r="B118" s="336" t="s">
        <v>319</v>
      </c>
      <c r="C118" s="388" t="s">
        <v>4280</v>
      </c>
      <c r="D118" s="386">
        <v>1759.1380787037037</v>
      </c>
      <c r="E118" s="387"/>
    </row>
    <row r="119" spans="2:5" ht="13.5" customHeight="1">
      <c r="B119" s="336" t="s">
        <v>2543</v>
      </c>
      <c r="C119" s="388" t="s">
        <v>7019</v>
      </c>
      <c r="D119" s="386">
        <v>1774.1284143518519</v>
      </c>
      <c r="E119" s="387"/>
    </row>
    <row r="120" spans="2:5" ht="13.5" customHeight="1">
      <c r="B120" s="336" t="s">
        <v>320</v>
      </c>
      <c r="C120" s="388" t="s">
        <v>4282</v>
      </c>
      <c r="D120" s="386">
        <v>1789.0108564814816</v>
      </c>
      <c r="E120" s="387"/>
    </row>
    <row r="121" spans="2:5" ht="13.5" customHeight="1">
      <c r="B121" s="336" t="s">
        <v>2544</v>
      </c>
      <c r="C121" s="388" t="s">
        <v>7020</v>
      </c>
      <c r="D121" s="386">
        <v>1803.809189814815</v>
      </c>
      <c r="E121" s="387"/>
    </row>
    <row r="122" spans="2:5" ht="13.5" customHeight="1">
      <c r="B122" s="336" t="s">
        <v>321</v>
      </c>
      <c r="C122" s="389" t="s">
        <v>4284</v>
      </c>
      <c r="D122" s="386">
        <v>1818.5511458333335</v>
      </c>
      <c r="E122" s="387"/>
    </row>
    <row r="123" spans="2:5" ht="13.5" customHeight="1">
      <c r="B123" s="336" t="s">
        <v>3046</v>
      </c>
      <c r="C123" s="390" t="s">
        <v>9317</v>
      </c>
      <c r="D123" s="386">
        <v>1833.2686574074075</v>
      </c>
      <c r="E123" s="387"/>
    </row>
    <row r="124" spans="2:5" ht="13.5" customHeight="1">
      <c r="B124" s="336" t="s">
        <v>322</v>
      </c>
      <c r="C124" s="388" t="s">
        <v>4230</v>
      </c>
      <c r="D124" s="386">
        <v>1847.9941782407409</v>
      </c>
      <c r="E124" s="387"/>
    </row>
    <row r="125" spans="2:5" ht="13.5" customHeight="1">
      <c r="B125" s="336" t="s">
        <v>3047</v>
      </c>
      <c r="C125" s="388" t="s">
        <v>7010</v>
      </c>
      <c r="D125" s="386">
        <v>1862.7607523148149</v>
      </c>
      <c r="E125" s="387"/>
    </row>
    <row r="126" spans="2:5" ht="13.5" customHeight="1">
      <c r="B126" s="336" t="s">
        <v>323</v>
      </c>
      <c r="C126" s="388" t="s">
        <v>4232</v>
      </c>
      <c r="D126" s="386">
        <v>1877.5977546296297</v>
      </c>
      <c r="E126" s="387"/>
    </row>
    <row r="127" spans="2:5" ht="13.5" customHeight="1">
      <c r="B127" s="336" t="s">
        <v>3048</v>
      </c>
      <c r="C127" s="388" t="s">
        <v>7011</v>
      </c>
      <c r="D127" s="386">
        <v>1892.5314583333334</v>
      </c>
      <c r="E127" s="387"/>
    </row>
    <row r="128" spans="2:5" ht="13.5" customHeight="1">
      <c r="B128" s="336" t="s">
        <v>324</v>
      </c>
      <c r="C128" s="389" t="s">
        <v>4234</v>
      </c>
      <c r="D128" s="386">
        <v>1907.5815856481481</v>
      </c>
      <c r="E128" s="387"/>
    </row>
    <row r="129" spans="2:5" ht="13.5" customHeight="1">
      <c r="B129" s="336" t="s">
        <v>3049</v>
      </c>
      <c r="C129" s="388" t="s">
        <v>7012</v>
      </c>
      <c r="D129" s="386">
        <v>1922.7599189814816</v>
      </c>
      <c r="E129" s="387"/>
    </row>
    <row r="130" spans="2:5" ht="13.5" customHeight="1">
      <c r="B130" s="336" t="s">
        <v>325</v>
      </c>
      <c r="C130" s="388" t="s">
        <v>4236</v>
      </c>
      <c r="D130" s="386">
        <v>1938.0720486111111</v>
      </c>
      <c r="E130" s="387"/>
    </row>
    <row r="131" spans="2:5" ht="13.5" customHeight="1">
      <c r="B131" s="336" t="s">
        <v>3107</v>
      </c>
      <c r="C131" s="388" t="s">
        <v>7013</v>
      </c>
      <c r="D131" s="386">
        <v>1953.5096064814816</v>
      </c>
      <c r="E131" s="387"/>
    </row>
    <row r="132" spans="2:5" ht="13.5" customHeight="1">
      <c r="B132" s="336" t="s">
        <v>326</v>
      </c>
      <c r="C132" s="388" t="s">
        <v>4238</v>
      </c>
      <c r="D132" s="386">
        <v>1969.0634027777778</v>
      </c>
      <c r="E132" s="387"/>
    </row>
    <row r="133" spans="2:5" ht="13.5" customHeight="1">
      <c r="B133" s="336" t="s">
        <v>3108</v>
      </c>
      <c r="C133" s="388" t="s">
        <v>7014</v>
      </c>
      <c r="D133" s="386">
        <v>1984.7038310185185</v>
      </c>
      <c r="E133" s="387"/>
    </row>
    <row r="134" spans="2:5" ht="13.5" customHeight="1">
      <c r="B134" s="336" t="s">
        <v>327</v>
      </c>
      <c r="C134" s="389" t="s">
        <v>4240</v>
      </c>
      <c r="D134" s="386">
        <v>2000.4108333333334</v>
      </c>
      <c r="E134" s="387"/>
    </row>
    <row r="135" spans="2:5" ht="13.5" customHeight="1">
      <c r="B135" s="336" t="s">
        <v>3109</v>
      </c>
      <c r="C135" s="388" t="s">
        <v>7015</v>
      </c>
      <c r="D135" s="386">
        <v>2016.1390277777778</v>
      </c>
      <c r="E135" s="387"/>
    </row>
    <row r="136" spans="2:5" ht="13.5" customHeight="1">
      <c r="B136" s="336" t="s">
        <v>634</v>
      </c>
      <c r="C136" s="388" t="s">
        <v>4242</v>
      </c>
      <c r="D136" s="386">
        <v>2031.8652083333334</v>
      </c>
      <c r="E136" s="387"/>
    </row>
    <row r="137" spans="2:5" ht="13.5" customHeight="1">
      <c r="B137" s="336" t="s">
        <v>3110</v>
      </c>
      <c r="C137" s="388" t="s">
        <v>7016</v>
      </c>
      <c r="D137" s="386">
        <v>2047.539664351852</v>
      </c>
      <c r="E137" s="387"/>
    </row>
    <row r="138" spans="2:5" ht="13.5" customHeight="1">
      <c r="B138" s="336" t="s">
        <v>667</v>
      </c>
      <c r="C138" s="388" t="s">
        <v>4276</v>
      </c>
      <c r="D138" s="386">
        <v>2063.1450231481481</v>
      </c>
      <c r="E138" s="387"/>
    </row>
    <row r="139" spans="2:5" ht="13.5" customHeight="1">
      <c r="B139" s="336" t="s">
        <v>3111</v>
      </c>
      <c r="C139" s="388" t="s">
        <v>7017</v>
      </c>
      <c r="D139" s="386">
        <v>2078.6402083333332</v>
      </c>
      <c r="E139" s="387"/>
    </row>
    <row r="140" spans="2:5" ht="13.5" customHeight="1">
      <c r="B140" s="336" t="s">
        <v>668</v>
      </c>
      <c r="C140" s="389" t="s">
        <v>4278</v>
      </c>
      <c r="D140" s="386">
        <v>2094.0208564814811</v>
      </c>
      <c r="E140" s="387"/>
    </row>
    <row r="141" spans="2:5" ht="13.5" customHeight="1">
      <c r="B141" s="336" t="s">
        <v>3112</v>
      </c>
      <c r="C141" s="388" t="s">
        <v>7018</v>
      </c>
      <c r="D141" s="386">
        <v>2109.2635532407407</v>
      </c>
      <c r="E141" s="387"/>
    </row>
    <row r="142" spans="2:5" ht="13.5" customHeight="1">
      <c r="B142" s="336" t="s">
        <v>1686</v>
      </c>
      <c r="C142" s="388" t="s">
        <v>4280</v>
      </c>
      <c r="D142" s="386">
        <v>2124.3804050925924</v>
      </c>
      <c r="E142" s="387"/>
    </row>
    <row r="143" spans="2:5" ht="13.5" customHeight="1">
      <c r="B143" s="336" t="s">
        <v>3113</v>
      </c>
      <c r="C143" s="388" t="s">
        <v>7019</v>
      </c>
      <c r="D143" s="386">
        <v>2139.3677083333332</v>
      </c>
      <c r="E143" s="387"/>
    </row>
    <row r="144" spans="2:5" ht="13.5" customHeight="1">
      <c r="B144" s="336" t="s">
        <v>1687</v>
      </c>
      <c r="C144" s="388" t="s">
        <v>4282</v>
      </c>
      <c r="D144" s="386">
        <v>2154.2531712962959</v>
      </c>
      <c r="E144" s="387"/>
    </row>
    <row r="145" spans="2:5" ht="13.5" customHeight="1">
      <c r="B145" s="336" t="s">
        <v>3114</v>
      </c>
      <c r="C145" s="388" t="s">
        <v>7020</v>
      </c>
      <c r="D145" s="386">
        <v>2169.0489351851852</v>
      </c>
      <c r="E145" s="387"/>
    </row>
    <row r="146" spans="2:5" ht="13.5" customHeight="1">
      <c r="B146" s="336" t="s">
        <v>1688</v>
      </c>
      <c r="C146" s="389" t="s">
        <v>4284</v>
      </c>
      <c r="D146" s="386">
        <v>2183.7939699074072</v>
      </c>
      <c r="E146" s="387"/>
    </row>
    <row r="147" spans="2:5" ht="13.5" customHeight="1">
      <c r="B147" s="336" t="s">
        <v>3115</v>
      </c>
      <c r="C147" s="390" t="s">
        <v>9317</v>
      </c>
      <c r="D147" s="386">
        <v>2198.509108796296</v>
      </c>
      <c r="E147" s="387"/>
    </row>
    <row r="148" spans="2:5" ht="13.5" customHeight="1">
      <c r="B148" s="336" t="s">
        <v>1689</v>
      </c>
      <c r="C148" s="388" t="s">
        <v>4230</v>
      </c>
      <c r="D148" s="386">
        <v>2213.2380555555555</v>
      </c>
      <c r="E148" s="387"/>
    </row>
    <row r="149" spans="2:5" ht="13.5" customHeight="1">
      <c r="B149" s="336" t="s">
        <v>3116</v>
      </c>
      <c r="C149" s="388" t="s">
        <v>7010</v>
      </c>
      <c r="D149" s="386">
        <v>2228.0024305555553</v>
      </c>
      <c r="E149" s="387"/>
    </row>
    <row r="150" spans="2:5" ht="13.5" customHeight="1">
      <c r="B150" s="336" t="s">
        <v>1690</v>
      </c>
      <c r="C150" s="388" t="s">
        <v>4232</v>
      </c>
      <c r="D150" s="386">
        <v>2242.8430671296296</v>
      </c>
      <c r="E150" s="387"/>
    </row>
    <row r="151" spans="2:5" ht="13.5" customHeight="1">
      <c r="B151" s="336" t="s">
        <v>3117</v>
      </c>
      <c r="C151" s="388" t="s">
        <v>7011</v>
      </c>
      <c r="D151" s="386">
        <v>2257.774849537037</v>
      </c>
      <c r="E151" s="387"/>
    </row>
    <row r="152" spans="2:5" ht="13.5" customHeight="1">
      <c r="B152" s="336" t="s">
        <v>1691</v>
      </c>
      <c r="C152" s="389" t="s">
        <v>4234</v>
      </c>
      <c r="D152" s="386">
        <v>2272.8281365740741</v>
      </c>
      <c r="E152" s="387"/>
    </row>
    <row r="153" spans="2:5" ht="13.5" customHeight="1">
      <c r="B153" s="336" t="s">
        <v>3118</v>
      </c>
      <c r="C153" s="388" t="s">
        <v>7012</v>
      </c>
      <c r="D153" s="386">
        <v>2288.0050115740737</v>
      </c>
      <c r="E153" s="387"/>
    </row>
    <row r="154" spans="2:5" ht="13.5" customHeight="1">
      <c r="B154" s="336" t="s">
        <v>1692</v>
      </c>
      <c r="C154" s="388" t="s">
        <v>4236</v>
      </c>
      <c r="D154" s="386">
        <v>2303.3187847222221</v>
      </c>
      <c r="E154" s="387"/>
    </row>
    <row r="155" spans="2:5" ht="13.5" customHeight="1">
      <c r="B155" s="336" t="s">
        <v>3119</v>
      </c>
      <c r="C155" s="388" t="s">
        <v>7013</v>
      </c>
      <c r="D155" s="386">
        <v>2318.7558796296294</v>
      </c>
      <c r="E155" s="387"/>
    </row>
    <row r="156" spans="2:5" ht="13.5" customHeight="1">
      <c r="B156" s="336" t="s">
        <v>1693</v>
      </c>
      <c r="C156" s="388" t="s">
        <v>4238</v>
      </c>
      <c r="D156" s="386">
        <v>2334.3088310185185</v>
      </c>
      <c r="E156" s="387"/>
    </row>
    <row r="157" spans="2:5" ht="13.5" customHeight="1">
      <c r="B157" s="336" t="s">
        <v>3120</v>
      </c>
      <c r="C157" s="388" t="s">
        <v>7014</v>
      </c>
      <c r="D157" s="386">
        <v>2349.9504861111109</v>
      </c>
      <c r="E157" s="387"/>
    </row>
    <row r="158" spans="2:5" ht="13.5" customHeight="1">
      <c r="B158" s="336" t="s">
        <v>1694</v>
      </c>
      <c r="C158" s="389" t="s">
        <v>4240</v>
      </c>
      <c r="D158" s="386">
        <v>2365.6537962962962</v>
      </c>
      <c r="E158" s="387"/>
    </row>
    <row r="159" spans="2:5" ht="13.5" customHeight="1">
      <c r="B159" s="336" t="s">
        <v>3121</v>
      </c>
      <c r="C159" s="388" t="s">
        <v>7015</v>
      </c>
      <c r="D159" s="386">
        <v>2381.3854166666665</v>
      </c>
      <c r="E159" s="387"/>
    </row>
    <row r="160" spans="2:5" ht="13.5" customHeight="1">
      <c r="B160" s="336" t="s">
        <v>1695</v>
      </c>
      <c r="C160" s="388" t="s">
        <v>4242</v>
      </c>
      <c r="D160" s="386">
        <v>2397.1057060185185</v>
      </c>
      <c r="E160" s="387"/>
    </row>
    <row r="161" spans="2:5" ht="13.5" customHeight="1">
      <c r="B161" s="336" t="s">
        <v>3122</v>
      </c>
      <c r="C161" s="388" t="s">
        <v>7016</v>
      </c>
      <c r="D161" s="386">
        <v>2412.785636574074</v>
      </c>
      <c r="E161" s="387"/>
    </row>
    <row r="162" spans="2:5" ht="13.5" customHeight="1">
      <c r="B162" s="336" t="s">
        <v>1696</v>
      </c>
      <c r="C162" s="388" t="s">
        <v>4276</v>
      </c>
      <c r="D162" s="386">
        <v>2428.3842824074072</v>
      </c>
      <c r="E162" s="387"/>
    </row>
    <row r="163" spans="2:5" ht="13.5" customHeight="1">
      <c r="B163" s="336" t="s">
        <v>3123</v>
      </c>
      <c r="C163" s="388" t="s">
        <v>7017</v>
      </c>
      <c r="D163" s="386">
        <v>2443.886238425926</v>
      </c>
      <c r="E163" s="387"/>
    </row>
    <row r="164" spans="2:5" ht="13.5" customHeight="1">
      <c r="B164" s="336" t="s">
        <v>1697</v>
      </c>
      <c r="C164" s="389" t="s">
        <v>4278</v>
      </c>
      <c r="D164" s="386">
        <v>2459.2605092592589</v>
      </c>
      <c r="E164" s="387"/>
    </row>
    <row r="165" spans="2:5" ht="13.5" customHeight="1">
      <c r="B165" s="336" t="s">
        <v>3124</v>
      </c>
      <c r="C165" s="388" t="s">
        <v>7018</v>
      </c>
      <c r="D165" s="386">
        <v>2474.5104745370368</v>
      </c>
      <c r="E165" s="387"/>
    </row>
    <row r="166" spans="2:5" ht="13.5" customHeight="1">
      <c r="B166" s="336" t="s">
        <v>1698</v>
      </c>
      <c r="C166" s="388" t="s">
        <v>4280</v>
      </c>
      <c r="D166" s="386">
        <v>2489.6215393518519</v>
      </c>
      <c r="E166" s="387"/>
    </row>
    <row r="167" spans="2:5" ht="13.5" customHeight="1">
      <c r="B167" s="336" t="s">
        <v>3125</v>
      </c>
      <c r="C167" s="388" t="s">
        <v>7019</v>
      </c>
      <c r="D167" s="386">
        <v>2504.6159490740738</v>
      </c>
      <c r="E167" s="387"/>
    </row>
    <row r="168" spans="2:5" ht="13.5" customHeight="1">
      <c r="B168" s="336" t="s">
        <v>1699</v>
      </c>
      <c r="C168" s="388" t="s">
        <v>4282</v>
      </c>
      <c r="D168" s="386">
        <v>2519.4957291666665</v>
      </c>
      <c r="E168" s="387"/>
    </row>
    <row r="169" spans="2:5" ht="13.5" customHeight="1">
      <c r="B169" s="336" t="s">
        <v>3126</v>
      </c>
      <c r="C169" s="388" t="s">
        <v>7020</v>
      </c>
      <c r="D169" s="386">
        <v>2534.2979976851852</v>
      </c>
      <c r="E169" s="387"/>
    </row>
    <row r="170" spans="2:5" ht="13.5" customHeight="1">
      <c r="B170" s="336" t="s">
        <v>1700</v>
      </c>
      <c r="C170" s="389" t="s">
        <v>4284</v>
      </c>
      <c r="D170" s="386">
        <v>2549.0367708333333</v>
      </c>
      <c r="E170" s="387"/>
    </row>
    <row r="171" spans="2:5" ht="13.5" customHeight="1">
      <c r="B171" s="336" t="s">
        <v>3127</v>
      </c>
      <c r="C171" s="390" t="s">
        <v>9317</v>
      </c>
      <c r="D171" s="386">
        <v>2563.7576157407407</v>
      </c>
      <c r="E171" s="387"/>
    </row>
    <row r="172" spans="2:5" ht="13.5" customHeight="1">
      <c r="B172" s="336" t="s">
        <v>9016</v>
      </c>
      <c r="C172" s="388" t="s">
        <v>4230</v>
      </c>
      <c r="D172" s="386">
        <v>2578.4794791666664</v>
      </c>
      <c r="E172" s="387"/>
    </row>
    <row r="173" spans="2:5" ht="13.5" customHeight="1">
      <c r="B173" s="336" t="s">
        <v>3128</v>
      </c>
      <c r="C173" s="388" t="s">
        <v>7010</v>
      </c>
      <c r="D173" s="386">
        <v>2593.2489004629629</v>
      </c>
      <c r="E173" s="387"/>
    </row>
    <row r="174" spans="2:5" ht="13.5" customHeight="1">
      <c r="B174" s="336" t="s">
        <v>9017</v>
      </c>
      <c r="C174" s="388" t="s">
        <v>4232</v>
      </c>
      <c r="D174" s="386">
        <v>2608.0819212962961</v>
      </c>
      <c r="E174" s="387"/>
    </row>
    <row r="175" spans="2:5" ht="13.5" customHeight="1">
      <c r="B175" s="336" t="s">
        <v>3129</v>
      </c>
      <c r="C175" s="388" t="s">
        <v>7011</v>
      </c>
      <c r="D175" s="386">
        <v>2623.0185300925923</v>
      </c>
      <c r="E175" s="387"/>
    </row>
    <row r="176" spans="2:5" ht="13.5" customHeight="1">
      <c r="B176" s="336" t="s">
        <v>9018</v>
      </c>
      <c r="C176" s="389" t="s">
        <v>4234</v>
      </c>
      <c r="D176" s="386">
        <v>2638.0643518518518</v>
      </c>
      <c r="E176" s="387"/>
    </row>
    <row r="177" spans="2:5" ht="13.5" customHeight="1">
      <c r="B177" s="336" t="s">
        <v>7933</v>
      </c>
      <c r="C177" s="388" t="s">
        <v>7012</v>
      </c>
      <c r="D177" s="386">
        <v>2653.2462268518516</v>
      </c>
      <c r="E177" s="387"/>
    </row>
    <row r="178" spans="2:5" ht="13.5" customHeight="1">
      <c r="B178" s="336" t="s">
        <v>9019</v>
      </c>
      <c r="C178" s="388" t="s">
        <v>4236</v>
      </c>
      <c r="D178" s="386">
        <v>2668.5535648148148</v>
      </c>
      <c r="E178" s="387"/>
    </row>
    <row r="179" spans="2:5" ht="13.5" customHeight="1">
      <c r="B179" s="336" t="s">
        <v>7934</v>
      </c>
      <c r="C179" s="388" t="s">
        <v>7013</v>
      </c>
      <c r="D179" s="386">
        <v>2683.995625</v>
      </c>
      <c r="E179" s="387"/>
    </row>
    <row r="180" spans="2:5" ht="13.5" customHeight="1">
      <c r="B180" s="336" t="s">
        <v>9020</v>
      </c>
      <c r="C180" s="388" t="s">
        <v>4238</v>
      </c>
      <c r="D180" s="386">
        <v>2699.5440046296294</v>
      </c>
      <c r="E180" s="387"/>
    </row>
    <row r="181" spans="2:5" ht="13.5" customHeight="1">
      <c r="B181" s="336" t="s">
        <v>1701</v>
      </c>
      <c r="C181" s="388" t="s">
        <v>7014</v>
      </c>
      <c r="D181" s="386">
        <v>2715.1896412037036</v>
      </c>
      <c r="E181" s="387"/>
    </row>
    <row r="182" spans="2:5" ht="13.5" customHeight="1">
      <c r="B182" s="336" t="s">
        <v>9021</v>
      </c>
      <c r="C182" s="389" t="s">
        <v>4240</v>
      </c>
      <c r="D182" s="386">
        <v>2730.8909490740739</v>
      </c>
      <c r="E182" s="387"/>
    </row>
    <row r="183" spans="2:5" ht="13.5" customHeight="1">
      <c r="B183" s="336" t="s">
        <v>1702</v>
      </c>
      <c r="C183" s="388" t="s">
        <v>7015</v>
      </c>
      <c r="D183" s="386">
        <v>2746.6244212962961</v>
      </c>
      <c r="E183" s="387"/>
    </row>
    <row r="184" spans="2:5" ht="13.5" customHeight="1">
      <c r="B184" s="336" t="s">
        <v>9022</v>
      </c>
      <c r="C184" s="388" t="s">
        <v>4242</v>
      </c>
      <c r="D184" s="386">
        <v>2762.3457060185183</v>
      </c>
      <c r="E184" s="387"/>
    </row>
    <row r="185" spans="2:5" ht="13.5" customHeight="1">
      <c r="B185" s="336" t="s">
        <v>4540</v>
      </c>
      <c r="C185" s="388" t="s">
        <v>7016</v>
      </c>
      <c r="D185" s="386">
        <v>2778.0249189814813</v>
      </c>
      <c r="E185" s="387"/>
    </row>
    <row r="186" spans="2:5" ht="13.5" customHeight="1">
      <c r="B186" s="336" t="s">
        <v>9023</v>
      </c>
      <c r="C186" s="388" t="s">
        <v>4276</v>
      </c>
      <c r="D186" s="386">
        <v>2793.6272222222219</v>
      </c>
      <c r="E186" s="387"/>
    </row>
    <row r="187" spans="2:5" ht="13.5" customHeight="1">
      <c r="B187" s="336" t="s">
        <v>4541</v>
      </c>
      <c r="C187" s="388" t="s">
        <v>7017</v>
      </c>
      <c r="D187" s="386">
        <v>2809.1263657407408</v>
      </c>
      <c r="E187" s="387"/>
    </row>
    <row r="188" spans="2:5" ht="13.5" customHeight="1">
      <c r="B188" s="336" t="s">
        <v>9024</v>
      </c>
      <c r="C188" s="389" t="s">
        <v>4278</v>
      </c>
      <c r="D188" s="386">
        <v>2824.5060416666665</v>
      </c>
      <c r="E188" s="387"/>
    </row>
    <row r="189" spans="2:5" ht="13.5" customHeight="1">
      <c r="B189" s="336" t="s">
        <v>4542</v>
      </c>
      <c r="C189" s="388" t="s">
        <v>7018</v>
      </c>
      <c r="D189" s="386">
        <v>2839.7518634259259</v>
      </c>
      <c r="E189" s="387"/>
    </row>
    <row r="190" spans="2:5" ht="13.5" customHeight="1">
      <c r="B190" s="336" t="s">
        <v>9025</v>
      </c>
      <c r="C190" s="388" t="s">
        <v>4280</v>
      </c>
      <c r="D190" s="386">
        <v>2854.8690046296297</v>
      </c>
      <c r="E190" s="387"/>
    </row>
    <row r="191" spans="2:5" ht="13.5" customHeight="1">
      <c r="B191" s="336" t="s">
        <v>4543</v>
      </c>
      <c r="C191" s="388" t="s">
        <v>7019</v>
      </c>
      <c r="D191" s="386">
        <v>2869.8584722222222</v>
      </c>
      <c r="E191" s="387"/>
    </row>
    <row r="192" spans="2:5" ht="13.5" customHeight="1">
      <c r="B192" s="336" t="s">
        <v>9026</v>
      </c>
      <c r="C192" s="388" t="s">
        <v>4282</v>
      </c>
      <c r="D192" s="386">
        <v>2884.7442592592593</v>
      </c>
      <c r="E192" s="387"/>
    </row>
    <row r="193" spans="2:5" ht="13.5" customHeight="1">
      <c r="B193" s="336" t="s">
        <v>4498</v>
      </c>
      <c r="C193" s="388" t="s">
        <v>7020</v>
      </c>
      <c r="D193" s="386">
        <v>2899.5410995370371</v>
      </c>
      <c r="E193" s="387"/>
    </row>
    <row r="194" spans="2:5" ht="13.5" customHeight="1">
      <c r="B194" s="336" t="s">
        <v>4503</v>
      </c>
      <c r="C194" s="389" t="s">
        <v>4284</v>
      </c>
      <c r="D194" s="386">
        <v>2914.2854861111109</v>
      </c>
      <c r="E194" s="387"/>
    </row>
    <row r="195" spans="2:5" ht="13.5" customHeight="1">
      <c r="B195" s="336" t="s">
        <v>4499</v>
      </c>
      <c r="C195" s="390" t="s">
        <v>9317</v>
      </c>
      <c r="D195" s="386">
        <v>2929.0005671296294</v>
      </c>
      <c r="E195" s="387"/>
    </row>
    <row r="196" spans="2:5" ht="13.5" customHeight="1">
      <c r="B196" s="336" t="s">
        <v>4504</v>
      </c>
      <c r="C196" s="388" t="s">
        <v>4230</v>
      </c>
      <c r="D196" s="386">
        <v>2943.7276388888886</v>
      </c>
      <c r="E196" s="387"/>
    </row>
    <row r="197" spans="2:5" ht="13.5" customHeight="1">
      <c r="B197" s="336" t="s">
        <v>4500</v>
      </c>
      <c r="C197" s="388" t="s">
        <v>7010</v>
      </c>
      <c r="D197" s="386">
        <v>2958.4910300925926</v>
      </c>
      <c r="E197" s="387"/>
    </row>
    <row r="198" spans="2:5" ht="13.5" customHeight="1">
      <c r="B198" s="336" t="s">
        <v>4505</v>
      </c>
      <c r="C198" s="388" t="s">
        <v>4232</v>
      </c>
      <c r="D198" s="386">
        <v>2973.3290856481481</v>
      </c>
      <c r="E198" s="387"/>
    </row>
    <row r="199" spans="2:5" ht="13.5" customHeight="1">
      <c r="B199" s="336" t="s">
        <v>4501</v>
      </c>
      <c r="C199" s="388" t="s">
        <v>7011</v>
      </c>
      <c r="D199" s="386">
        <v>2988.2593981481482</v>
      </c>
      <c r="E199" s="387"/>
    </row>
    <row r="200" spans="2:5" ht="13.5" customHeight="1">
      <c r="B200" s="336" t="s">
        <v>4506</v>
      </c>
      <c r="C200" s="389" t="s">
        <v>4234</v>
      </c>
      <c r="D200" s="386">
        <v>3003.3106018518515</v>
      </c>
      <c r="E200" s="387"/>
    </row>
    <row r="201" spans="2:5" ht="13.5" customHeight="1">
      <c r="B201" s="336" t="s">
        <v>4502</v>
      </c>
      <c r="C201" s="388" t="s">
        <v>7012</v>
      </c>
      <c r="D201" s="386">
        <v>3018.4859374999996</v>
      </c>
      <c r="E201" s="387"/>
    </row>
    <row r="202" spans="2:5" ht="13.5" customHeight="1">
      <c r="B202" s="336" t="s">
        <v>4507</v>
      </c>
      <c r="C202" s="388" t="s">
        <v>4236</v>
      </c>
      <c r="D202" s="386">
        <v>3033.7995370370368</v>
      </c>
      <c r="E202" s="387"/>
    </row>
    <row r="203" spans="2:5" ht="13.5" customHeight="1">
      <c r="B203" s="336" t="s">
        <v>9027</v>
      </c>
      <c r="C203" s="388" t="s">
        <v>7013</v>
      </c>
      <c r="D203" s="386">
        <v>3049.2350347222223</v>
      </c>
      <c r="E203" s="387"/>
    </row>
    <row r="204" spans="2:5" ht="13.5" customHeight="1">
      <c r="B204" s="336" t="s">
        <v>4508</v>
      </c>
      <c r="C204" s="388" t="s">
        <v>4238</v>
      </c>
      <c r="D204" s="386">
        <v>3064.7906018518515</v>
      </c>
      <c r="E204" s="387"/>
    </row>
    <row r="205" spans="2:5" ht="13.5" customHeight="1">
      <c r="B205" s="336" t="s">
        <v>9028</v>
      </c>
      <c r="C205" s="388" t="s">
        <v>7014</v>
      </c>
      <c r="D205" s="386">
        <v>3080.4301273148149</v>
      </c>
      <c r="E205" s="387"/>
    </row>
    <row r="206" spans="2:5" ht="13.5" customHeight="1">
      <c r="B206" s="336" t="s">
        <v>5232</v>
      </c>
      <c r="C206" s="389" t="s">
        <v>4240</v>
      </c>
      <c r="D206" s="386">
        <v>3096.1385300925926</v>
      </c>
      <c r="E206" s="387"/>
    </row>
    <row r="207" spans="2:5" ht="13.5" customHeight="1">
      <c r="B207" s="336" t="s">
        <v>7940</v>
      </c>
      <c r="C207" s="388" t="s">
        <v>7015</v>
      </c>
      <c r="D207" s="386">
        <v>3111.8668055555554</v>
      </c>
      <c r="E207" s="387"/>
    </row>
    <row r="208" spans="2:5" ht="13.5" customHeight="1">
      <c r="B208" s="336" t="s">
        <v>7407</v>
      </c>
      <c r="C208" s="388" t="s">
        <v>4242</v>
      </c>
      <c r="D208" s="386">
        <v>3127.5933101851851</v>
      </c>
      <c r="E208" s="387"/>
    </row>
    <row r="209" spans="2:5" ht="13.5" customHeight="1">
      <c r="B209" s="336" t="s">
        <v>7941</v>
      </c>
      <c r="C209" s="388" t="s">
        <v>7016</v>
      </c>
      <c r="D209" s="386">
        <v>3143.268587962963</v>
      </c>
      <c r="E209" s="387"/>
    </row>
    <row r="210" spans="2:5" ht="13.5" customHeight="1">
      <c r="B210" s="336" t="s">
        <v>7408</v>
      </c>
      <c r="C210" s="388" t="s">
        <v>4276</v>
      </c>
      <c r="D210" s="386">
        <v>3158.8731018518515</v>
      </c>
      <c r="E210" s="387"/>
    </row>
    <row r="211" spans="2:5" ht="13.5" customHeight="1">
      <c r="B211" s="336" t="s">
        <v>7942</v>
      </c>
      <c r="C211" s="388" t="s">
        <v>7017</v>
      </c>
      <c r="D211" s="386">
        <v>3174.3696875000001</v>
      </c>
      <c r="E211" s="387"/>
    </row>
    <row r="212" spans="2:5" ht="13.5" customHeight="1">
      <c r="B212" s="336" t="s">
        <v>7409</v>
      </c>
      <c r="C212" s="389" t="s">
        <v>4278</v>
      </c>
      <c r="D212" s="386">
        <v>3189.7488657407407</v>
      </c>
      <c r="E212" s="387"/>
    </row>
    <row r="213" spans="2:5" ht="13.5" customHeight="1">
      <c r="B213" s="336" t="s">
        <v>7943</v>
      </c>
      <c r="C213" s="388" t="s">
        <v>7018</v>
      </c>
      <c r="D213" s="386">
        <v>3204.9935416666667</v>
      </c>
      <c r="E213" s="387"/>
    </row>
    <row r="214" spans="2:5" ht="13.5" customHeight="1">
      <c r="B214" s="336" t="s">
        <v>7410</v>
      </c>
      <c r="C214" s="388" t="s">
        <v>4280</v>
      </c>
      <c r="D214" s="386">
        <v>3220.1088194444442</v>
      </c>
      <c r="E214" s="387"/>
    </row>
    <row r="215" spans="2:5" ht="13.5" customHeight="1">
      <c r="B215" s="336" t="s">
        <v>7944</v>
      </c>
      <c r="C215" s="388" t="s">
        <v>7019</v>
      </c>
      <c r="D215" s="386">
        <v>3235.0984143518517</v>
      </c>
      <c r="E215" s="387"/>
    </row>
    <row r="216" spans="2:5" ht="13.5" customHeight="1">
      <c r="B216" s="336" t="s">
        <v>7411</v>
      </c>
      <c r="C216" s="388" t="s">
        <v>4282</v>
      </c>
      <c r="D216" s="386">
        <v>3249.9822222222219</v>
      </c>
      <c r="E216" s="387"/>
    </row>
    <row r="217" spans="2:5" ht="13.5" customHeight="1">
      <c r="B217" s="336" t="s">
        <v>7945</v>
      </c>
      <c r="C217" s="388" t="s">
        <v>7020</v>
      </c>
      <c r="D217" s="386">
        <v>3264.7801273148148</v>
      </c>
      <c r="E217" s="387"/>
    </row>
    <row r="218" spans="2:5" ht="13.5" customHeight="1">
      <c r="B218" s="336" t="s">
        <v>7412</v>
      </c>
      <c r="C218" s="389" t="s">
        <v>4284</v>
      </c>
      <c r="D218" s="386">
        <v>3279.5230555555554</v>
      </c>
      <c r="E218" s="387"/>
    </row>
    <row r="219" spans="2:5" ht="13.5" customHeight="1">
      <c r="B219" s="336" t="s">
        <v>7946</v>
      </c>
      <c r="C219" s="390" t="s">
        <v>9317</v>
      </c>
      <c r="D219" s="386">
        <v>3294.239699074074</v>
      </c>
      <c r="E219" s="387"/>
    </row>
    <row r="220" spans="2:5" ht="13.5" customHeight="1">
      <c r="B220" s="336" t="s">
        <v>7413</v>
      </c>
      <c r="C220" s="388" t="s">
        <v>4230</v>
      </c>
      <c r="D220" s="386">
        <v>3308.9658564814813</v>
      </c>
      <c r="E220" s="387"/>
    </row>
    <row r="221" spans="2:5" ht="13.5" customHeight="1">
      <c r="B221" s="336" t="s">
        <v>7947</v>
      </c>
      <c r="C221" s="388" t="s">
        <v>7010</v>
      </c>
      <c r="D221" s="386">
        <v>3323.7310300925924</v>
      </c>
      <c r="E221" s="387"/>
    </row>
    <row r="222" spans="2:5" ht="13.5" customHeight="1">
      <c r="B222" s="336" t="s">
        <v>2406</v>
      </c>
      <c r="C222" s="388" t="s">
        <v>4232</v>
      </c>
      <c r="D222" s="386">
        <v>3338.5683564814813</v>
      </c>
      <c r="E222" s="387"/>
    </row>
    <row r="223" spans="2:5" ht="13.5" customHeight="1">
      <c r="B223" s="336" t="s">
        <v>7948</v>
      </c>
      <c r="C223" s="388" t="s">
        <v>7011</v>
      </c>
      <c r="D223" s="386">
        <v>3353.5007986111109</v>
      </c>
      <c r="E223" s="387"/>
    </row>
    <row r="224" spans="2:5" ht="13.5" customHeight="1">
      <c r="B224" s="336" t="s">
        <v>2407</v>
      </c>
      <c r="C224" s="389" t="s">
        <v>4234</v>
      </c>
      <c r="D224" s="386">
        <v>3368.5508333333332</v>
      </c>
      <c r="E224" s="387"/>
    </row>
    <row r="225" spans="2:5" ht="13.5" customHeight="1">
      <c r="B225" s="336" t="s">
        <v>7949</v>
      </c>
      <c r="C225" s="388" t="s">
        <v>7012</v>
      </c>
      <c r="D225" s="386">
        <v>3383.7291087962963</v>
      </c>
      <c r="E225" s="387"/>
    </row>
    <row r="226" spans="2:5" ht="13.5" customHeight="1">
      <c r="B226" s="336" t="s">
        <v>2408</v>
      </c>
      <c r="C226" s="388" t="s">
        <v>4236</v>
      </c>
      <c r="D226" s="386">
        <v>3399.040358796296</v>
      </c>
      <c r="E226" s="387"/>
    </row>
    <row r="227" spans="2:5" ht="13.5" customHeight="1">
      <c r="B227" s="336" t="s">
        <v>7950</v>
      </c>
      <c r="C227" s="388" t="s">
        <v>7013</v>
      </c>
      <c r="D227" s="386">
        <v>3414.4801273148146</v>
      </c>
      <c r="E227" s="387"/>
    </row>
    <row r="228" spans="2:5" ht="13.5" customHeight="1">
      <c r="B228" s="336" t="s">
        <v>4147</v>
      </c>
      <c r="C228" s="388" t="s">
        <v>4238</v>
      </c>
      <c r="D228" s="386">
        <v>3430.0315162037036</v>
      </c>
      <c r="E228" s="387"/>
    </row>
    <row r="229" spans="2:5" ht="13.5" customHeight="1">
      <c r="B229" s="336" t="s">
        <v>7951</v>
      </c>
      <c r="C229" s="388" t="s">
        <v>7014</v>
      </c>
      <c r="D229" s="386">
        <v>3445.6767708333332</v>
      </c>
      <c r="E229" s="387"/>
    </row>
    <row r="230" spans="2:5" ht="13.5" customHeight="1">
      <c r="B230" s="336" t="s">
        <v>4148</v>
      </c>
      <c r="C230" s="389" t="s">
        <v>4240</v>
      </c>
      <c r="D230" s="386">
        <v>3461.3791898148147</v>
      </c>
      <c r="E230" s="387"/>
    </row>
    <row r="231" spans="2:5" ht="13.5" customHeight="1">
      <c r="B231" s="336" t="s">
        <v>7952</v>
      </c>
      <c r="C231" s="388" t="s">
        <v>7015</v>
      </c>
      <c r="D231" s="386">
        <v>3477.1141666666667</v>
      </c>
      <c r="E231" s="387"/>
    </row>
    <row r="232" spans="2:5" ht="13.5" customHeight="1">
      <c r="B232" s="336" t="s">
        <v>4149</v>
      </c>
      <c r="C232" s="388" t="s">
        <v>4242</v>
      </c>
      <c r="D232" s="386">
        <v>3492.8337384259257</v>
      </c>
      <c r="E232" s="387"/>
    </row>
    <row r="233" spans="2:5" ht="13.5" customHeight="1">
      <c r="B233" s="336" t="s">
        <v>7953</v>
      </c>
      <c r="C233" s="388" t="s">
        <v>7016</v>
      </c>
      <c r="D233" s="386">
        <v>3508.5156481481481</v>
      </c>
      <c r="E233" s="387"/>
    </row>
    <row r="234" spans="2:5" ht="13.5" customHeight="1">
      <c r="B234" s="336" t="s">
        <v>4150</v>
      </c>
      <c r="C234" s="388" t="s">
        <v>4276</v>
      </c>
      <c r="D234" s="386">
        <v>3524.1134837962964</v>
      </c>
      <c r="E234" s="387"/>
    </row>
    <row r="235" spans="2:5" ht="13.5" customHeight="1">
      <c r="B235" s="336" t="s">
        <v>2556</v>
      </c>
      <c r="C235" s="388" t="s">
        <v>7017</v>
      </c>
      <c r="D235" s="386">
        <v>3539.6157638888885</v>
      </c>
      <c r="E235" s="387"/>
    </row>
    <row r="236" spans="2:5" ht="13.5" customHeight="1">
      <c r="B236" s="336" t="s">
        <v>4151</v>
      </c>
      <c r="C236" s="389" t="s">
        <v>4278</v>
      </c>
      <c r="D236" s="386">
        <v>3554.9892476851851</v>
      </c>
      <c r="E236" s="387"/>
    </row>
    <row r="237" spans="2:5" ht="13.5" customHeight="1">
      <c r="B237" s="336" t="s">
        <v>2557</v>
      </c>
      <c r="C237" s="388" t="s">
        <v>7018</v>
      </c>
      <c r="D237" s="386">
        <v>3570.2384722222218</v>
      </c>
      <c r="E237" s="387"/>
    </row>
    <row r="238" spans="2:5" ht="13.5" customHeight="1">
      <c r="B238" s="336" t="s">
        <v>4152</v>
      </c>
      <c r="C238" s="388" t="s">
        <v>4280</v>
      </c>
      <c r="D238" s="386">
        <v>3585.3491087962962</v>
      </c>
      <c r="E238" s="387"/>
    </row>
    <row r="239" spans="2:5" ht="13.5" customHeight="1">
      <c r="B239" s="336" t="s">
        <v>2558</v>
      </c>
      <c r="C239" s="388" t="s">
        <v>7019</v>
      </c>
      <c r="D239" s="386">
        <v>3600.3425925925926</v>
      </c>
      <c r="E239" s="387"/>
    </row>
    <row r="240" spans="2:5" ht="13.5" customHeight="1">
      <c r="B240" s="336" t="s">
        <v>4153</v>
      </c>
      <c r="C240" s="388" t="s">
        <v>4282</v>
      </c>
      <c r="D240" s="386">
        <v>3615.2225578703701</v>
      </c>
      <c r="E240" s="387"/>
    </row>
    <row r="241" spans="2:5" ht="13.5" customHeight="1">
      <c r="B241" s="336" t="s">
        <v>2559</v>
      </c>
      <c r="C241" s="388" t="s">
        <v>7020</v>
      </c>
      <c r="D241" s="386">
        <v>3630.0243287037038</v>
      </c>
      <c r="E241" s="387"/>
    </row>
    <row r="242" spans="2:5" ht="13.5" customHeight="1">
      <c r="B242" s="336" t="s">
        <v>6382</v>
      </c>
      <c r="C242" s="389" t="s">
        <v>4284</v>
      </c>
      <c r="D242" s="386">
        <v>3644.7638773148146</v>
      </c>
      <c r="E242" s="387"/>
    </row>
    <row r="243" spans="2:5" ht="13.5" customHeight="1">
      <c r="B243" s="336" t="s">
        <v>82</v>
      </c>
      <c r="C243" s="390" t="s">
        <v>9317</v>
      </c>
      <c r="D243" s="386">
        <v>3659.4847453703701</v>
      </c>
      <c r="E243" s="387"/>
    </row>
    <row r="244" spans="2:5" ht="13.5" customHeight="1">
      <c r="B244" s="336" t="s">
        <v>6383</v>
      </c>
      <c r="C244" s="388" t="s">
        <v>4230</v>
      </c>
      <c r="D244" s="386">
        <v>3674.2076504629626</v>
      </c>
      <c r="E244" s="387"/>
    </row>
    <row r="245" spans="2:5" ht="13.5" customHeight="1">
      <c r="B245" s="336" t="s">
        <v>83</v>
      </c>
      <c r="C245" s="388" t="s">
        <v>7010</v>
      </c>
      <c r="D245" s="386">
        <v>3688.9771643518516</v>
      </c>
      <c r="E245" s="387"/>
    </row>
    <row r="246" spans="2:5" ht="13.5" customHeight="1">
      <c r="B246" s="336" t="s">
        <v>7965</v>
      </c>
      <c r="C246" s="388" t="s">
        <v>4232</v>
      </c>
      <c r="D246" s="386">
        <v>3703.8110300925923</v>
      </c>
      <c r="E246" s="387"/>
    </row>
    <row r="247" spans="2:5" ht="13.5" customHeight="1">
      <c r="B247" s="336" t="s">
        <v>84</v>
      </c>
      <c r="C247" s="388" t="s">
        <v>7011</v>
      </c>
      <c r="D247" s="386">
        <v>3718.7472453703704</v>
      </c>
      <c r="E247" s="387"/>
    </row>
    <row r="248" spans="2:5" ht="13.5" customHeight="1">
      <c r="B248" s="336" t="s">
        <v>7966</v>
      </c>
      <c r="C248" s="389" t="s">
        <v>4234</v>
      </c>
      <c r="D248" s="386">
        <v>3733.7935185185183</v>
      </c>
      <c r="E248" s="387"/>
    </row>
    <row r="249" spans="2:5" ht="13.5" customHeight="1">
      <c r="B249" s="336" t="s">
        <v>85</v>
      </c>
      <c r="C249" s="388" t="s">
        <v>7012</v>
      </c>
      <c r="D249" s="386">
        <v>3748.974085648148</v>
      </c>
      <c r="E249" s="387"/>
    </row>
    <row r="250" spans="2:5" ht="13.5" customHeight="1">
      <c r="B250" s="336" t="s">
        <v>7967</v>
      </c>
      <c r="C250" s="388" t="s">
        <v>4236</v>
      </c>
      <c r="D250" s="386">
        <v>3764.2817708333332</v>
      </c>
      <c r="E250" s="387"/>
    </row>
    <row r="251" spans="2:5" ht="13.5" customHeight="1">
      <c r="B251" s="336" t="s">
        <v>86</v>
      </c>
      <c r="C251" s="388" t="s">
        <v>7013</v>
      </c>
      <c r="D251" s="386">
        <v>3779.721712962963</v>
      </c>
      <c r="E251" s="387"/>
    </row>
    <row r="252" spans="2:5" ht="13.5" customHeight="1">
      <c r="B252" s="336" t="s">
        <v>7968</v>
      </c>
      <c r="C252" s="388" t="s">
        <v>4238</v>
      </c>
      <c r="D252" s="386">
        <v>3795.2709722222221</v>
      </c>
      <c r="E252" s="387"/>
    </row>
    <row r="253" spans="2:5" ht="13.5" customHeight="1">
      <c r="B253" s="336" t="s">
        <v>87</v>
      </c>
      <c r="C253" s="388" t="s">
        <v>7014</v>
      </c>
      <c r="D253" s="386">
        <v>3810.9141087962962</v>
      </c>
      <c r="E253" s="387"/>
    </row>
    <row r="254" spans="2:5" ht="13.5" customHeight="1">
      <c r="B254" s="336" t="s">
        <v>7969</v>
      </c>
      <c r="C254" s="389" t="s">
        <v>4240</v>
      </c>
      <c r="D254" s="386">
        <v>3826.6171990740741</v>
      </c>
      <c r="E254" s="387"/>
    </row>
    <row r="255" spans="2:5" ht="13.5" customHeight="1">
      <c r="B255" s="336" t="s">
        <v>88</v>
      </c>
      <c r="C255" s="388" t="s">
        <v>7015</v>
      </c>
      <c r="D255" s="386">
        <v>3842.3481018518519</v>
      </c>
      <c r="E255" s="387"/>
    </row>
    <row r="256" spans="2:5" ht="13.5" customHeight="1">
      <c r="B256" s="336" t="s">
        <v>7970</v>
      </c>
      <c r="C256" s="388" t="s">
        <v>4242</v>
      </c>
      <c r="D256" s="386">
        <v>3858.071608796296</v>
      </c>
      <c r="E256" s="387"/>
    </row>
    <row r="257" spans="2:5" ht="13.5" customHeight="1">
      <c r="B257" s="336" t="s">
        <v>89</v>
      </c>
      <c r="C257" s="388" t="s">
        <v>7016</v>
      </c>
      <c r="D257" s="386">
        <v>3873.7481597222222</v>
      </c>
      <c r="E257" s="387"/>
    </row>
    <row r="258" spans="2:5" ht="13.5" customHeight="1">
      <c r="B258" s="336" t="s">
        <v>7971</v>
      </c>
      <c r="C258" s="388" t="s">
        <v>4276</v>
      </c>
      <c r="D258" s="386">
        <v>3889.3523263888887</v>
      </c>
      <c r="E258" s="387"/>
    </row>
    <row r="259" spans="2:5" ht="13.5" customHeight="1">
      <c r="B259" s="336" t="s">
        <v>931</v>
      </c>
      <c r="C259" s="388" t="s">
        <v>7017</v>
      </c>
      <c r="D259" s="386">
        <v>3904.8487731481482</v>
      </c>
      <c r="E259" s="387"/>
    </row>
    <row r="260" spans="2:5" ht="13.5" customHeight="1">
      <c r="B260" s="336" t="s">
        <v>7972</v>
      </c>
      <c r="C260" s="389" t="s">
        <v>4278</v>
      </c>
      <c r="D260" s="386">
        <v>3920.2296412037035</v>
      </c>
      <c r="E260" s="387"/>
    </row>
    <row r="261" spans="2:5" ht="13.5" customHeight="1">
      <c r="B261" s="336" t="s">
        <v>932</v>
      </c>
      <c r="C261" s="388" t="s">
        <v>7018</v>
      </c>
      <c r="D261" s="386">
        <v>3935.4730324074071</v>
      </c>
      <c r="E261" s="387"/>
    </row>
    <row r="262" spans="2:5" ht="13.5" customHeight="1">
      <c r="B262" s="336" t="s">
        <v>7973</v>
      </c>
      <c r="C262" s="388" t="s">
        <v>4280</v>
      </c>
      <c r="D262" s="386">
        <v>3950.591145833333</v>
      </c>
      <c r="E262" s="387"/>
    </row>
    <row r="263" spans="2:5" ht="13.5" customHeight="1">
      <c r="B263" s="336" t="s">
        <v>933</v>
      </c>
      <c r="C263" s="388" t="s">
        <v>7019</v>
      </c>
      <c r="D263" s="386">
        <v>3965.5788657407406</v>
      </c>
      <c r="E263" s="387"/>
    </row>
    <row r="264" spans="2:5" ht="13.5" customHeight="1">
      <c r="B264" s="336" t="s">
        <v>7974</v>
      </c>
      <c r="C264" s="388" t="s">
        <v>4282</v>
      </c>
      <c r="D264" s="386">
        <v>3980.4660069444444</v>
      </c>
      <c r="E264" s="387"/>
    </row>
    <row r="265" spans="2:5" ht="13.5" customHeight="1">
      <c r="B265" s="336" t="s">
        <v>934</v>
      </c>
      <c r="C265" s="388" t="s">
        <v>7020</v>
      </c>
      <c r="D265" s="386">
        <v>3995.2618981481478</v>
      </c>
      <c r="E265" s="387"/>
    </row>
    <row r="266" spans="2:5" ht="13.5" customHeight="1">
      <c r="B266" s="336" t="s">
        <v>7975</v>
      </c>
      <c r="C266" s="389" t="s">
        <v>4284</v>
      </c>
      <c r="D266" s="386">
        <v>4010.008287037037</v>
      </c>
      <c r="E266" s="387"/>
    </row>
    <row r="267" spans="2:5" ht="13.5" customHeight="1">
      <c r="B267" s="336" t="s">
        <v>935</v>
      </c>
      <c r="C267" s="390" t="s">
        <v>9317</v>
      </c>
      <c r="D267" s="386">
        <v>4024.7229745370369</v>
      </c>
      <c r="E267" s="387"/>
    </row>
    <row r="268" spans="2:5" ht="13.5" customHeight="1">
      <c r="B268" s="336" t="s">
        <v>7976</v>
      </c>
      <c r="C268" s="388" t="s">
        <v>4230</v>
      </c>
      <c r="D268" s="386">
        <v>4039.4524189814815</v>
      </c>
      <c r="E268" s="387"/>
    </row>
    <row r="269" spans="2:5" ht="13.5" customHeight="1">
      <c r="B269" s="336" t="s">
        <v>5915</v>
      </c>
      <c r="C269" s="388" t="s">
        <v>7010</v>
      </c>
      <c r="D269" s="386">
        <v>4054.2154513888886</v>
      </c>
      <c r="E269" s="387"/>
    </row>
    <row r="270" spans="2:5" ht="13.5" customHeight="1">
      <c r="B270" s="336" t="s">
        <v>7977</v>
      </c>
      <c r="C270" s="388" t="s">
        <v>4232</v>
      </c>
      <c r="D270" s="386">
        <v>4069.0556481481481</v>
      </c>
      <c r="E270" s="387"/>
    </row>
    <row r="271" spans="2:5" ht="13.5" customHeight="1">
      <c r="B271" s="336" t="s">
        <v>5916</v>
      </c>
      <c r="C271" s="388" t="s">
        <v>7011</v>
      </c>
      <c r="D271" s="386">
        <v>4083.9851388888887</v>
      </c>
      <c r="E271" s="387"/>
    </row>
    <row r="272" spans="2:5" ht="13.5" customHeight="1">
      <c r="B272" s="336" t="s">
        <v>7978</v>
      </c>
      <c r="C272" s="389" t="s">
        <v>4234</v>
      </c>
      <c r="D272" s="386">
        <v>4099.0376273148149</v>
      </c>
      <c r="E272" s="387"/>
    </row>
    <row r="273" spans="2:5" ht="13.5" customHeight="1">
      <c r="B273" s="336" t="s">
        <v>5917</v>
      </c>
      <c r="C273" s="388" t="s">
        <v>7012</v>
      </c>
      <c r="D273" s="386">
        <v>4114.2114699074073</v>
      </c>
      <c r="E273" s="387"/>
    </row>
    <row r="274" spans="2:5" ht="13.5" customHeight="1">
      <c r="B274" s="336" t="s">
        <v>6402</v>
      </c>
      <c r="C274" s="388" t="s">
        <v>4236</v>
      </c>
      <c r="D274" s="386">
        <v>4129.5250462962968</v>
      </c>
      <c r="E274" s="387"/>
    </row>
    <row r="275" spans="2:5" ht="13.5" customHeight="1">
      <c r="B275" s="336" t="s">
        <v>5918</v>
      </c>
      <c r="C275" s="388" t="s">
        <v>7013</v>
      </c>
      <c r="D275" s="386">
        <v>4144.9587037037036</v>
      </c>
      <c r="E275" s="387"/>
    </row>
    <row r="276" spans="2:5" ht="13.5" customHeight="1">
      <c r="B276" s="336" t="s">
        <v>4788</v>
      </c>
      <c r="C276" s="388" t="s">
        <v>4238</v>
      </c>
      <c r="D276" s="386">
        <v>4160.5130208333339</v>
      </c>
      <c r="E276" s="387"/>
    </row>
    <row r="277" spans="2:5" ht="13.5" customHeight="1">
      <c r="B277" s="336" t="s">
        <v>3721</v>
      </c>
      <c r="C277" s="388" t="s">
        <v>7014</v>
      </c>
      <c r="D277" s="386">
        <v>4176.1513078703711</v>
      </c>
      <c r="E277" s="387"/>
    </row>
    <row r="278" spans="2:5" ht="13.5" customHeight="1">
      <c r="B278" s="336" t="s">
        <v>4789</v>
      </c>
      <c r="C278" s="389" t="s">
        <v>4240</v>
      </c>
      <c r="D278" s="386">
        <v>4191.8578587962966</v>
      </c>
      <c r="E278" s="387"/>
    </row>
    <row r="279" spans="2:5" ht="13.5" customHeight="1">
      <c r="B279" s="336" t="s">
        <v>5867</v>
      </c>
      <c r="C279" s="388" t="s">
        <v>7015</v>
      </c>
      <c r="D279" s="386">
        <v>4207.5865625000006</v>
      </c>
      <c r="E279" s="387"/>
    </row>
    <row r="280" spans="2:5" ht="13.5" customHeight="1">
      <c r="B280" s="336" t="s">
        <v>4790</v>
      </c>
      <c r="C280" s="388" t="s">
        <v>4242</v>
      </c>
      <c r="D280" s="386">
        <v>4223.3114120370374</v>
      </c>
      <c r="E280" s="387"/>
    </row>
    <row r="281" spans="2:5" ht="13.5" customHeight="1">
      <c r="B281" s="336" t="s">
        <v>5868</v>
      </c>
      <c r="C281" s="388" t="s">
        <v>7016</v>
      </c>
      <c r="D281" s="386">
        <v>4238.9890277777777</v>
      </c>
      <c r="E281" s="387"/>
    </row>
    <row r="282" spans="2:5" ht="13.5" customHeight="1">
      <c r="B282" s="336" t="s">
        <v>1663</v>
      </c>
      <c r="C282" s="388" t="s">
        <v>4276</v>
      </c>
      <c r="D282" s="386">
        <v>4254.592326388889</v>
      </c>
      <c r="E282" s="387"/>
    </row>
    <row r="283" spans="2:5" ht="13.5" customHeight="1">
      <c r="B283" s="336" t="s">
        <v>5869</v>
      </c>
      <c r="C283" s="388" t="s">
        <v>7017</v>
      </c>
      <c r="D283" s="386">
        <v>4270.092337962963</v>
      </c>
      <c r="E283" s="387"/>
    </row>
    <row r="284" spans="2:5" ht="13.5" customHeight="1">
      <c r="B284" s="336" t="s">
        <v>8739</v>
      </c>
      <c r="C284" s="389" t="s">
        <v>4278</v>
      </c>
      <c r="D284" s="386">
        <v>4285.4703472222227</v>
      </c>
      <c r="E284" s="387"/>
    </row>
    <row r="285" spans="2:5" ht="13.5" customHeight="1">
      <c r="B285" s="336" t="s">
        <v>5870</v>
      </c>
      <c r="C285" s="388" t="s">
        <v>7018</v>
      </c>
      <c r="D285" s="386">
        <v>4300.7183217592592</v>
      </c>
      <c r="E285" s="387"/>
    </row>
    <row r="286" spans="2:5" ht="13.5" customHeight="1">
      <c r="B286" s="336" t="s">
        <v>8740</v>
      </c>
      <c r="C286" s="388" t="s">
        <v>4280</v>
      </c>
      <c r="D286" s="386">
        <v>4315.8318634259258</v>
      </c>
      <c r="E286" s="387"/>
    </row>
    <row r="287" spans="2:5" ht="13.5" customHeight="1">
      <c r="B287" s="336" t="s">
        <v>5871</v>
      </c>
      <c r="C287" s="388" t="s">
        <v>7019</v>
      </c>
      <c r="D287" s="386">
        <v>4330.8240046296296</v>
      </c>
      <c r="E287" s="387"/>
    </row>
    <row r="288" spans="2:5" ht="13.5" customHeight="1">
      <c r="B288" s="336" t="s">
        <v>8741</v>
      </c>
      <c r="C288" s="388" t="s">
        <v>4282</v>
      </c>
      <c r="D288" s="386">
        <v>4345.7053819444445</v>
      </c>
      <c r="E288" s="387"/>
    </row>
    <row r="289" spans="2:5" ht="13.5" customHeight="1">
      <c r="B289" s="336" t="s">
        <v>5872</v>
      </c>
      <c r="C289" s="388" t="s">
        <v>7020</v>
      </c>
      <c r="D289" s="386">
        <v>4360.5051736111118</v>
      </c>
      <c r="E289" s="387"/>
    </row>
    <row r="290" spans="2:5" ht="13.5" customHeight="1">
      <c r="B290" s="336" t="s">
        <v>8742</v>
      </c>
      <c r="C290" s="389" t="s">
        <v>4284</v>
      </c>
      <c r="D290" s="386">
        <v>4375.2452893518521</v>
      </c>
      <c r="E290" s="387"/>
    </row>
    <row r="291" spans="2:5" ht="13.5" customHeight="1">
      <c r="B291" s="336" t="s">
        <v>5873</v>
      </c>
      <c r="C291" s="390" t="s">
        <v>9317</v>
      </c>
      <c r="D291" s="386">
        <v>4389.9636342592594</v>
      </c>
      <c r="E291" s="387"/>
    </row>
    <row r="292" spans="2:5" ht="13.5" customHeight="1">
      <c r="B292" s="336" t="s">
        <v>8743</v>
      </c>
      <c r="C292" s="388" t="s">
        <v>4230</v>
      </c>
      <c r="D292" s="386">
        <v>4404.6869675925927</v>
      </c>
      <c r="E292" s="387"/>
    </row>
    <row r="293" spans="2:5" ht="13.5" customHeight="1">
      <c r="B293" s="336" t="s">
        <v>5874</v>
      </c>
      <c r="C293" s="388" t="s">
        <v>7010</v>
      </c>
      <c r="D293" s="386">
        <v>4419.4539351851854</v>
      </c>
      <c r="E293" s="387"/>
    </row>
    <row r="294" spans="2:5" ht="13.5" customHeight="1">
      <c r="B294" s="336" t="s">
        <v>8744</v>
      </c>
      <c r="C294" s="388" t="s">
        <v>4232</v>
      </c>
      <c r="D294" s="386">
        <v>4434.2885416666668</v>
      </c>
      <c r="E294" s="387"/>
    </row>
    <row r="295" spans="2:5" ht="13.5" customHeight="1">
      <c r="B295" s="336" t="s">
        <v>5875</v>
      </c>
      <c r="C295" s="388" t="s">
        <v>7011</v>
      </c>
      <c r="D295" s="386">
        <v>4449.2228356481482</v>
      </c>
      <c r="E295" s="387"/>
    </row>
    <row r="296" spans="2:5" ht="13.5" customHeight="1">
      <c r="B296" s="336" t="s">
        <v>8745</v>
      </c>
      <c r="C296" s="389" t="s">
        <v>4234</v>
      </c>
      <c r="D296" s="386">
        <v>4464.2700462962966</v>
      </c>
      <c r="E296" s="387"/>
    </row>
    <row r="297" spans="2:5" ht="13.5" customHeight="1">
      <c r="B297" s="336" t="s">
        <v>5876</v>
      </c>
      <c r="C297" s="388" t="s">
        <v>7012</v>
      </c>
      <c r="D297" s="386">
        <v>4479.4499189814815</v>
      </c>
      <c r="E297" s="387"/>
    </row>
    <row r="298" spans="2:5" ht="13.5" customHeight="1">
      <c r="B298" s="336" t="s">
        <v>8746</v>
      </c>
      <c r="C298" s="388" t="s">
        <v>4236</v>
      </c>
      <c r="D298" s="386">
        <v>4494.7581597222224</v>
      </c>
      <c r="E298" s="387"/>
    </row>
    <row r="299" spans="2:5" ht="13.5" customHeight="1">
      <c r="B299" s="336" t="s">
        <v>5877</v>
      </c>
      <c r="C299" s="388" t="s">
        <v>7013</v>
      </c>
      <c r="D299" s="386">
        <v>4510.199120370371</v>
      </c>
      <c r="E299" s="387"/>
    </row>
    <row r="300" spans="2:5" ht="13.5" customHeight="1">
      <c r="B300" s="336" t="s">
        <v>8747</v>
      </c>
      <c r="C300" s="388" t="s">
        <v>4238</v>
      </c>
      <c r="D300" s="386">
        <v>4525.7477662037036</v>
      </c>
      <c r="E300" s="387"/>
    </row>
    <row r="301" spans="2:5" ht="13.5" customHeight="1">
      <c r="B301" s="336" t="s">
        <v>5878</v>
      </c>
      <c r="C301" s="388" t="s">
        <v>7014</v>
      </c>
      <c r="D301" s="386">
        <v>4541.3939930555562</v>
      </c>
      <c r="E301" s="387"/>
    </row>
    <row r="302" spans="2:5" ht="13.5" customHeight="1">
      <c r="B302" s="336" t="s">
        <v>8748</v>
      </c>
      <c r="C302" s="389" t="s">
        <v>4240</v>
      </c>
      <c r="D302" s="386">
        <v>4557.0948958333338</v>
      </c>
      <c r="E302" s="387"/>
    </row>
    <row r="303" spans="2:5" ht="13.5" customHeight="1">
      <c r="B303" s="336" t="s">
        <v>643</v>
      </c>
      <c r="C303" s="388" t="s">
        <v>7015</v>
      </c>
      <c r="D303" s="386">
        <v>4572.8309143518518</v>
      </c>
      <c r="E303" s="387"/>
    </row>
    <row r="304" spans="2:5" ht="13.5" customHeight="1">
      <c r="B304" s="336" t="s">
        <v>8749</v>
      </c>
      <c r="C304" s="388" t="s">
        <v>4242</v>
      </c>
      <c r="D304" s="386">
        <v>4588.5509722222223</v>
      </c>
      <c r="E304" s="387"/>
    </row>
    <row r="305" spans="2:5" ht="13.5" customHeight="1">
      <c r="B305" s="336" t="s">
        <v>644</v>
      </c>
      <c r="C305" s="388" t="s">
        <v>7016</v>
      </c>
      <c r="D305" s="386">
        <v>4604.2340393518525</v>
      </c>
      <c r="E305" s="387"/>
    </row>
    <row r="306" spans="2:5" ht="13.5" customHeight="1">
      <c r="B306" s="336" t="s">
        <v>8750</v>
      </c>
      <c r="C306" s="388" t="s">
        <v>4276</v>
      </c>
      <c r="D306" s="386">
        <v>4619.8341435185184</v>
      </c>
      <c r="E306" s="387"/>
    </row>
    <row r="307" spans="2:5" ht="13.5" customHeight="1">
      <c r="B307" s="336" t="s">
        <v>645</v>
      </c>
      <c r="C307" s="388" t="s">
        <v>7017</v>
      </c>
      <c r="D307" s="386">
        <v>4635.3373032407408</v>
      </c>
      <c r="E307" s="387"/>
    </row>
    <row r="308" spans="2:5" ht="13.5" customHeight="1">
      <c r="B308" s="336" t="s">
        <v>2161</v>
      </c>
      <c r="C308" s="389" t="s">
        <v>4278</v>
      </c>
      <c r="D308" s="386">
        <v>4650.713796296297</v>
      </c>
      <c r="E308" s="387"/>
    </row>
    <row r="309" spans="2:5" ht="13.5" customHeight="1">
      <c r="B309" s="336" t="s">
        <v>646</v>
      </c>
      <c r="C309" s="388" t="s">
        <v>7018</v>
      </c>
      <c r="D309" s="386">
        <v>4665.9630092592597</v>
      </c>
      <c r="E309" s="387"/>
    </row>
    <row r="310" spans="2:5" ht="13.5" customHeight="1">
      <c r="B310" s="336" t="s">
        <v>2162</v>
      </c>
      <c r="C310" s="388" t="s">
        <v>4280</v>
      </c>
      <c r="D310" s="386">
        <v>4681.076238425926</v>
      </c>
      <c r="E310" s="387"/>
    </row>
    <row r="311" spans="2:5" ht="13.5" customHeight="1">
      <c r="B311" s="336" t="s">
        <v>647</v>
      </c>
      <c r="C311" s="388" t="s">
        <v>7019</v>
      </c>
      <c r="D311" s="386">
        <v>4696.068425925926</v>
      </c>
      <c r="E311" s="387"/>
    </row>
    <row r="312" spans="2:5" ht="13.5" customHeight="1">
      <c r="B312" s="336" t="s">
        <v>2163</v>
      </c>
      <c r="C312" s="388" t="s">
        <v>4282</v>
      </c>
      <c r="D312" s="386">
        <v>4710.9499189814815</v>
      </c>
      <c r="E312" s="387"/>
    </row>
    <row r="313" spans="2:5" ht="13.5" customHeight="1">
      <c r="B313" s="336" t="s">
        <v>648</v>
      </c>
      <c r="C313" s="388" t="s">
        <v>7020</v>
      </c>
      <c r="D313" s="386">
        <v>4725.7491435185184</v>
      </c>
      <c r="E313" s="387"/>
    </row>
    <row r="314" spans="2:5" ht="13.5" customHeight="1">
      <c r="B314" s="336" t="s">
        <v>2164</v>
      </c>
      <c r="C314" s="389" t="s">
        <v>4284</v>
      </c>
      <c r="D314" s="386">
        <v>4740.4892361111115</v>
      </c>
      <c r="E314" s="387"/>
    </row>
    <row r="315" spans="2:5" ht="13.5" customHeight="1">
      <c r="B315" s="336" t="s">
        <v>649</v>
      </c>
      <c r="C315" s="390" t="s">
        <v>9317</v>
      </c>
      <c r="D315" s="386">
        <v>4755.2068518518518</v>
      </c>
      <c r="E315" s="387"/>
    </row>
    <row r="316" spans="2:5" ht="13.5" customHeight="1">
      <c r="B316" s="336" t="s">
        <v>2165</v>
      </c>
      <c r="C316" s="388" t="s">
        <v>4230</v>
      </c>
      <c r="D316" s="386">
        <v>4769.9299074074079</v>
      </c>
      <c r="E316" s="387"/>
    </row>
    <row r="317" spans="2:5" ht="13.5" customHeight="1">
      <c r="B317" s="336" t="s">
        <v>650</v>
      </c>
      <c r="C317" s="388" t="s">
        <v>7010</v>
      </c>
      <c r="D317" s="386">
        <v>4784.696261574074</v>
      </c>
      <c r="E317" s="387"/>
    </row>
    <row r="318" spans="2:5" ht="13.5" customHeight="1">
      <c r="B318" s="336" t="s">
        <v>5959</v>
      </c>
      <c r="C318" s="388" t="s">
        <v>4232</v>
      </c>
      <c r="D318" s="386">
        <v>4799.5307638888889</v>
      </c>
      <c r="E318" s="387"/>
    </row>
    <row r="319" spans="2:5" ht="13.5" customHeight="1">
      <c r="B319" s="336" t="s">
        <v>651</v>
      </c>
      <c r="C319" s="388" t="s">
        <v>7011</v>
      </c>
      <c r="D319" s="386">
        <v>4814.4645370370372</v>
      </c>
      <c r="E319" s="387"/>
    </row>
    <row r="320" spans="2:5" ht="13.5" customHeight="1">
      <c r="B320" s="336" t="s">
        <v>5960</v>
      </c>
      <c r="C320" s="389" t="s">
        <v>4234</v>
      </c>
      <c r="D320" s="386">
        <v>4829.512557870371</v>
      </c>
      <c r="E320" s="387"/>
    </row>
    <row r="321" spans="2:5" ht="13.5" customHeight="1">
      <c r="B321" s="336" t="s">
        <v>652</v>
      </c>
      <c r="C321" s="388" t="s">
        <v>7012</v>
      </c>
      <c r="D321" s="386">
        <v>4844.6914930555558</v>
      </c>
      <c r="E321" s="387"/>
    </row>
    <row r="322" spans="2:5" ht="13.5" customHeight="1">
      <c r="B322" s="336" t="s">
        <v>5961</v>
      </c>
      <c r="C322" s="388" t="s">
        <v>4236</v>
      </c>
      <c r="D322" s="386">
        <v>4860.0019907407413</v>
      </c>
      <c r="E322" s="387"/>
    </row>
    <row r="323" spans="2:5" ht="13.5" customHeight="1">
      <c r="B323" s="336" t="s">
        <v>653</v>
      </c>
      <c r="C323" s="388" t="s">
        <v>7013</v>
      </c>
      <c r="D323" s="386">
        <v>4875.4405439814818</v>
      </c>
      <c r="E323" s="387"/>
    </row>
    <row r="324" spans="2:5" ht="13.5" customHeight="1">
      <c r="B324" s="336" t="s">
        <v>5962</v>
      </c>
      <c r="C324" s="388" t="s">
        <v>4238</v>
      </c>
      <c r="D324" s="386">
        <v>4890.9929745370373</v>
      </c>
      <c r="E324" s="387"/>
    </row>
    <row r="325" spans="2:5" ht="13.5" customHeight="1">
      <c r="B325" s="336" t="s">
        <v>654</v>
      </c>
      <c r="C325" s="388" t="s">
        <v>7014</v>
      </c>
      <c r="D325" s="386">
        <v>4906.6343171296303</v>
      </c>
      <c r="E325" s="387"/>
    </row>
    <row r="326" spans="2:5" ht="13.5" customHeight="1">
      <c r="B326" s="336" t="s">
        <v>5963</v>
      </c>
      <c r="C326" s="389" t="s">
        <v>4240</v>
      </c>
      <c r="D326" s="386">
        <v>4922.3401273148147</v>
      </c>
      <c r="E326" s="387"/>
    </row>
    <row r="327" spans="2:5" ht="13.5" customHeight="1">
      <c r="B327" s="336" t="s">
        <v>4780</v>
      </c>
      <c r="C327" s="388" t="s">
        <v>7015</v>
      </c>
      <c r="D327" s="386">
        <v>4938.068900462963</v>
      </c>
      <c r="E327" s="387"/>
    </row>
    <row r="328" spans="2:5" ht="13.5" customHeight="1">
      <c r="B328" s="336" t="s">
        <v>5964</v>
      </c>
      <c r="C328" s="388" t="s">
        <v>4242</v>
      </c>
      <c r="D328" s="386">
        <v>4953.7944097222226</v>
      </c>
      <c r="E328" s="387"/>
    </row>
    <row r="329" spans="2:5" ht="13.5" customHeight="1">
      <c r="B329" s="336" t="s">
        <v>4781</v>
      </c>
      <c r="C329" s="388" t="s">
        <v>7016</v>
      </c>
      <c r="D329" s="386">
        <v>4969.4693402777784</v>
      </c>
      <c r="E329" s="387"/>
    </row>
    <row r="330" spans="2:5" ht="13.5" customHeight="1">
      <c r="B330" s="336" t="s">
        <v>5965</v>
      </c>
      <c r="C330" s="388" t="s">
        <v>4276</v>
      </c>
      <c r="D330" s="386">
        <v>4985.0750462962969</v>
      </c>
      <c r="E330" s="387"/>
    </row>
    <row r="331" spans="2:5" ht="13.5" customHeight="1">
      <c r="B331" s="336" t="s">
        <v>4782</v>
      </c>
      <c r="C331" s="388" t="s">
        <v>7017</v>
      </c>
      <c r="D331" s="386">
        <v>5000.5709722222227</v>
      </c>
      <c r="E331" s="387"/>
    </row>
    <row r="332" spans="2:5" ht="13.5" customHeight="1">
      <c r="B332" s="336" t="s">
        <v>5966</v>
      </c>
      <c r="C332" s="389" t="s">
        <v>4278</v>
      </c>
      <c r="D332" s="386">
        <v>5015.9531018518519</v>
      </c>
      <c r="E332" s="387"/>
    </row>
    <row r="333" spans="2:5" ht="13.5" customHeight="1">
      <c r="B333" s="336" t="s">
        <v>4783</v>
      </c>
      <c r="C333" s="388" t="s">
        <v>7018</v>
      </c>
      <c r="D333" s="386">
        <v>5031.1968287037043</v>
      </c>
      <c r="E333" s="387"/>
    </row>
    <row r="334" spans="2:5" ht="13.5" customHeight="1">
      <c r="B334" s="336" t="s">
        <v>4855</v>
      </c>
      <c r="C334" s="388" t="s">
        <v>4280</v>
      </c>
      <c r="D334" s="386">
        <v>5046.3156944444445</v>
      </c>
      <c r="E334" s="387"/>
    </row>
    <row r="335" spans="2:5" ht="13.5" customHeight="1">
      <c r="B335" s="336" t="s">
        <v>2914</v>
      </c>
      <c r="C335" s="388" t="s">
        <v>7019</v>
      </c>
      <c r="D335" s="386">
        <v>5061.3037962962962</v>
      </c>
      <c r="E335" s="387"/>
    </row>
    <row r="336" spans="2:5" ht="13.5" customHeight="1">
      <c r="B336" s="336" t="s">
        <v>4856</v>
      </c>
      <c r="C336" s="388" t="s">
        <v>4282</v>
      </c>
      <c r="D336" s="386">
        <v>5076.1909490740745</v>
      </c>
      <c r="E336" s="387"/>
    </row>
    <row r="337" spans="2:5" ht="13.5" customHeight="1">
      <c r="B337" s="336" t="s">
        <v>2915</v>
      </c>
      <c r="C337" s="388" t="s">
        <v>7020</v>
      </c>
      <c r="D337" s="386">
        <v>5090.9866782407407</v>
      </c>
      <c r="E337" s="387"/>
    </row>
    <row r="338" spans="2:5" ht="13.5" customHeight="1">
      <c r="B338" s="336" t="s">
        <v>4857</v>
      </c>
      <c r="C338" s="389" t="s">
        <v>4284</v>
      </c>
      <c r="D338" s="386">
        <v>5105.7323611111115</v>
      </c>
      <c r="E338" s="387"/>
    </row>
    <row r="339" spans="2:5" ht="13.5" customHeight="1">
      <c r="B339" s="336" t="s">
        <v>2916</v>
      </c>
      <c r="C339" s="390" t="s">
        <v>9317</v>
      </c>
      <c r="D339" s="386">
        <v>5120.4463078703702</v>
      </c>
      <c r="E339" s="387"/>
    </row>
    <row r="340" spans="2:5" ht="13.5" customHeight="1">
      <c r="B340" s="336" t="s">
        <v>4858</v>
      </c>
      <c r="C340" s="388" t="s">
        <v>4230</v>
      </c>
      <c r="D340" s="386">
        <v>5135.1746990740739</v>
      </c>
      <c r="E340" s="387"/>
    </row>
    <row r="341" spans="2:5" ht="13.5" customHeight="1">
      <c r="B341" s="336" t="s">
        <v>2917</v>
      </c>
      <c r="C341" s="388" t="s">
        <v>7010</v>
      </c>
      <c r="D341" s="386">
        <v>5149.9368402777782</v>
      </c>
      <c r="E341" s="387"/>
    </row>
    <row r="342" spans="2:5" ht="13.5" customHeight="1">
      <c r="B342" s="336" t="s">
        <v>4859</v>
      </c>
      <c r="C342" s="388" t="s">
        <v>4232</v>
      </c>
      <c r="D342" s="386">
        <v>5164.7761574074075</v>
      </c>
      <c r="E342" s="387"/>
    </row>
    <row r="343" spans="2:5" ht="13.5" customHeight="1">
      <c r="B343" s="336" t="s">
        <v>2918</v>
      </c>
      <c r="C343" s="388" t="s">
        <v>7011</v>
      </c>
      <c r="D343" s="386">
        <v>5179.705266203704</v>
      </c>
      <c r="E343" s="387"/>
    </row>
    <row r="344" spans="2:5" ht="13.5" customHeight="1">
      <c r="B344" s="336" t="s">
        <v>4860</v>
      </c>
      <c r="C344" s="389" t="s">
        <v>4234</v>
      </c>
      <c r="D344" s="386">
        <v>5194.7573148148149</v>
      </c>
      <c r="E344" s="387"/>
    </row>
    <row r="345" spans="2:5" ht="13.5" customHeight="1">
      <c r="B345" s="336" t="s">
        <v>2919</v>
      </c>
      <c r="C345" s="388" t="s">
        <v>7012</v>
      </c>
      <c r="D345" s="386">
        <v>5209.9317708333338</v>
      </c>
      <c r="E345" s="387"/>
    </row>
    <row r="346" spans="2:5" ht="13.5" customHeight="1">
      <c r="B346" s="336" t="s">
        <v>465</v>
      </c>
      <c r="C346" s="388" t="s">
        <v>4236</v>
      </c>
      <c r="D346" s="386">
        <v>5225.2451851851856</v>
      </c>
      <c r="E346" s="387"/>
    </row>
    <row r="347" spans="2:5" ht="13.5" customHeight="1">
      <c r="B347" s="336" t="s">
        <v>2920</v>
      </c>
      <c r="C347" s="388" t="s">
        <v>7013</v>
      </c>
      <c r="D347" s="386">
        <v>5240.6805439814816</v>
      </c>
      <c r="E347" s="387"/>
    </row>
    <row r="348" spans="2:5" ht="13.5" customHeight="1">
      <c r="B348" s="336" t="s">
        <v>466</v>
      </c>
      <c r="C348" s="388" t="s">
        <v>4238</v>
      </c>
      <c r="D348" s="386">
        <v>5256.2343055555557</v>
      </c>
      <c r="E348" s="387"/>
    </row>
    <row r="349" spans="2:5" ht="13.5" customHeight="1">
      <c r="B349" s="336" t="s">
        <v>2921</v>
      </c>
      <c r="C349" s="388" t="s">
        <v>7014</v>
      </c>
      <c r="D349" s="386">
        <v>5271.8748495370373</v>
      </c>
      <c r="E349" s="387"/>
    </row>
    <row r="350" spans="2:5" ht="13.5" customHeight="1">
      <c r="B350" s="336" t="s">
        <v>467</v>
      </c>
      <c r="C350" s="389" t="s">
        <v>4240</v>
      </c>
      <c r="D350" s="386">
        <v>5287.5797453703708</v>
      </c>
      <c r="E350" s="387"/>
    </row>
    <row r="351" spans="2:5" ht="13.5" customHeight="1">
      <c r="B351" s="336" t="s">
        <v>2922</v>
      </c>
      <c r="C351" s="388" t="s">
        <v>7015</v>
      </c>
      <c r="D351" s="386">
        <v>5303.3105671296298</v>
      </c>
      <c r="E351" s="387"/>
    </row>
    <row r="352" spans="2:5" ht="13.5" customHeight="1">
      <c r="B352" s="336" t="s">
        <v>468</v>
      </c>
      <c r="C352" s="388" t="s">
        <v>4242</v>
      </c>
      <c r="D352" s="386">
        <v>5319.0326157407408</v>
      </c>
      <c r="E352" s="387"/>
    </row>
    <row r="353" spans="2:5" ht="13.5" customHeight="1">
      <c r="B353" s="336" t="s">
        <v>2923</v>
      </c>
      <c r="C353" s="388" t="s">
        <v>7016</v>
      </c>
      <c r="D353" s="386">
        <v>5334.7120023148154</v>
      </c>
      <c r="E353" s="387"/>
    </row>
    <row r="354" spans="2:5" ht="13.5" customHeight="1">
      <c r="B354" s="336" t="s">
        <v>469</v>
      </c>
      <c r="C354" s="388" t="s">
        <v>4276</v>
      </c>
      <c r="D354" s="386">
        <v>5350.3123148148152</v>
      </c>
      <c r="E354" s="387"/>
    </row>
    <row r="355" spans="2:5" ht="13.5" customHeight="1">
      <c r="B355" s="336" t="s">
        <v>356</v>
      </c>
      <c r="C355" s="388" t="s">
        <v>7017</v>
      </c>
      <c r="D355" s="386">
        <v>5365.8142245370373</v>
      </c>
      <c r="E355" s="387"/>
    </row>
    <row r="356" spans="2:5" ht="13.5" customHeight="1">
      <c r="B356" s="336" t="s">
        <v>9296</v>
      </c>
      <c r="C356" s="389" t="s">
        <v>4278</v>
      </c>
      <c r="D356" s="386">
        <v>5381.1902199074075</v>
      </c>
      <c r="E356" s="387"/>
    </row>
    <row r="357" spans="2:5" ht="13.5" customHeight="1">
      <c r="B357" s="336" t="s">
        <v>357</v>
      </c>
      <c r="C357" s="388" t="s">
        <v>7018</v>
      </c>
      <c r="D357" s="386">
        <v>5396.44082175926</v>
      </c>
      <c r="E357" s="387"/>
    </row>
    <row r="358" spans="2:5" ht="13.5" customHeight="1">
      <c r="B358" s="336" t="s">
        <v>8107</v>
      </c>
      <c r="C358" s="388" t="s">
        <v>4280</v>
      </c>
      <c r="D358" s="386">
        <v>5411.5537615740741</v>
      </c>
      <c r="E358" s="387"/>
    </row>
    <row r="359" spans="2:5" ht="13.5" customHeight="1">
      <c r="B359" s="336" t="s">
        <v>358</v>
      </c>
      <c r="C359" s="388" t="s">
        <v>7019</v>
      </c>
      <c r="D359" s="386">
        <v>5426.549236111111</v>
      </c>
      <c r="E359" s="387"/>
    </row>
    <row r="360" spans="2:5" ht="13.5" customHeight="1">
      <c r="B360" s="336" t="s">
        <v>8108</v>
      </c>
      <c r="C360" s="388" t="s">
        <v>4282</v>
      </c>
      <c r="D360" s="386">
        <v>5441.4307523148154</v>
      </c>
      <c r="E360" s="387"/>
    </row>
    <row r="361" spans="2:5" ht="13.5" customHeight="1">
      <c r="B361" s="336" t="s">
        <v>359</v>
      </c>
      <c r="C361" s="388" t="s">
        <v>7020</v>
      </c>
      <c r="D361" s="386">
        <v>5456.2338310185187</v>
      </c>
      <c r="E361" s="387"/>
    </row>
    <row r="362" spans="2:5" ht="13.5" customHeight="1">
      <c r="B362" s="336" t="s">
        <v>8109</v>
      </c>
      <c r="C362" s="389" t="s">
        <v>4284</v>
      </c>
      <c r="D362" s="386">
        <v>5470.9736689814818</v>
      </c>
      <c r="E362" s="387"/>
    </row>
    <row r="363" spans="2:5" ht="13.5" customHeight="1">
      <c r="B363" s="336" t="s">
        <v>360</v>
      </c>
      <c r="C363" s="390" t="s">
        <v>9317</v>
      </c>
      <c r="D363" s="386">
        <v>5485.6943865740741</v>
      </c>
      <c r="E363" s="387"/>
    </row>
    <row r="364" spans="2:5" ht="13.5" customHeight="1">
      <c r="B364" s="336" t="s">
        <v>8110</v>
      </c>
      <c r="C364" s="388" t="s">
        <v>4230</v>
      </c>
      <c r="D364" s="386">
        <v>5500.4161805555559</v>
      </c>
      <c r="E364" s="387"/>
    </row>
    <row r="365" spans="2:5" ht="13.5" customHeight="1">
      <c r="B365" s="336" t="s">
        <v>361</v>
      </c>
      <c r="C365" s="388" t="s">
        <v>7010</v>
      </c>
      <c r="D365" s="386">
        <v>5515.1841666666669</v>
      </c>
      <c r="E365" s="387"/>
    </row>
    <row r="366" spans="2:5" ht="13.5" customHeight="1">
      <c r="B366" s="336" t="s">
        <v>5952</v>
      </c>
      <c r="C366" s="388" t="s">
        <v>4232</v>
      </c>
      <c r="D366" s="386">
        <v>5530.0158564814819</v>
      </c>
      <c r="E366" s="387"/>
    </row>
    <row r="367" spans="2:5" ht="13.5" customHeight="1">
      <c r="B367" s="336" t="s">
        <v>362</v>
      </c>
      <c r="C367" s="388" t="s">
        <v>7011</v>
      </c>
      <c r="D367" s="386">
        <v>5544.9500231481488</v>
      </c>
      <c r="E367" s="387"/>
    </row>
    <row r="368" spans="2:5" ht="13.5" customHeight="1">
      <c r="B368" s="336" t="s">
        <v>6500</v>
      </c>
      <c r="C368" s="389" t="s">
        <v>4234</v>
      </c>
      <c r="D368" s="386">
        <v>5559.9937268518524</v>
      </c>
      <c r="E368" s="387"/>
    </row>
    <row r="369" spans="2:5" ht="13.5" customHeight="1">
      <c r="B369" s="336" t="s">
        <v>363</v>
      </c>
      <c r="C369" s="388" t="s">
        <v>7012</v>
      </c>
      <c r="D369" s="386">
        <v>5575.1730092592597</v>
      </c>
      <c r="E369" s="387"/>
    </row>
    <row r="370" spans="2:5" ht="13.5" customHeight="1">
      <c r="B370" s="336" t="s">
        <v>6501</v>
      </c>
      <c r="C370" s="388" t="s">
        <v>4236</v>
      </c>
      <c r="D370" s="386">
        <v>5590.4782060185189</v>
      </c>
      <c r="E370" s="387"/>
    </row>
    <row r="371" spans="2:5" ht="13.5" customHeight="1">
      <c r="B371" s="336" t="s">
        <v>364</v>
      </c>
      <c r="C371" s="388" t="s">
        <v>7013</v>
      </c>
      <c r="D371" s="386">
        <v>5605.9186342592593</v>
      </c>
      <c r="E371" s="387"/>
    </row>
    <row r="372" spans="2:5" ht="13.5" customHeight="1">
      <c r="B372" s="336" t="s">
        <v>6502</v>
      </c>
      <c r="C372" s="388" t="s">
        <v>4238</v>
      </c>
      <c r="D372" s="386">
        <v>5621.4655671296296</v>
      </c>
      <c r="E372" s="387"/>
    </row>
    <row r="373" spans="2:5" ht="13.5" customHeight="1">
      <c r="B373" s="336" t="s">
        <v>365</v>
      </c>
      <c r="C373" s="388" t="s">
        <v>7014</v>
      </c>
      <c r="D373" s="386">
        <v>5637.111273148148</v>
      </c>
      <c r="E373" s="387"/>
    </row>
    <row r="374" spans="2:5" ht="13.5" customHeight="1">
      <c r="B374" s="336" t="s">
        <v>7454</v>
      </c>
      <c r="C374" s="389" t="s">
        <v>4240</v>
      </c>
      <c r="D374" s="386">
        <v>5652.8120138888889</v>
      </c>
      <c r="E374" s="387"/>
    </row>
    <row r="375" spans="2:5" ht="13.5" customHeight="1">
      <c r="B375" s="336" t="s">
        <v>366</v>
      </c>
      <c r="C375" s="388" t="s">
        <v>7015</v>
      </c>
      <c r="D375" s="386">
        <v>5668.5470833333338</v>
      </c>
      <c r="E375" s="387"/>
    </row>
    <row r="376" spans="2:5" ht="13.5" customHeight="1">
      <c r="B376" s="336" t="s">
        <v>7455</v>
      </c>
      <c r="C376" s="388" t="s">
        <v>4242</v>
      </c>
      <c r="D376" s="386">
        <v>5684.2682638888891</v>
      </c>
      <c r="E376" s="387"/>
    </row>
    <row r="377" spans="2:5" ht="13.5" customHeight="1">
      <c r="B377" s="336" t="s">
        <v>367</v>
      </c>
      <c r="C377" s="388" t="s">
        <v>7016</v>
      </c>
      <c r="D377" s="386">
        <v>5699.9498263888891</v>
      </c>
      <c r="E377" s="387"/>
    </row>
    <row r="378" spans="2:5" ht="13.5" customHeight="1">
      <c r="B378" s="336" t="s">
        <v>3498</v>
      </c>
      <c r="C378" s="388" t="s">
        <v>4276</v>
      </c>
      <c r="D378" s="386">
        <v>5715.5520601851858</v>
      </c>
      <c r="E378" s="387"/>
    </row>
    <row r="379" spans="2:5" ht="13.5" customHeight="1">
      <c r="B379" s="336" t="s">
        <v>1002</v>
      </c>
      <c r="C379" s="388" t="s">
        <v>7017</v>
      </c>
      <c r="D379" s="386">
        <v>5731.0535879629633</v>
      </c>
      <c r="E379" s="387"/>
    </row>
    <row r="380" spans="2:5" ht="13.5" customHeight="1">
      <c r="B380" s="336" t="s">
        <v>3499</v>
      </c>
      <c r="C380" s="389" t="s">
        <v>4278</v>
      </c>
      <c r="D380" s="386">
        <v>5746.4331134259264</v>
      </c>
      <c r="E380" s="387"/>
    </row>
    <row r="381" spans="2:5" ht="13.5" customHeight="1">
      <c r="B381" s="336" t="s">
        <v>1003</v>
      </c>
      <c r="C381" s="388" t="s">
        <v>7018</v>
      </c>
      <c r="D381" s="386">
        <v>5761.6811805555562</v>
      </c>
      <c r="E381" s="387"/>
    </row>
    <row r="382" spans="2:5" ht="13.5" customHeight="1">
      <c r="B382" s="336" t="s">
        <v>3500</v>
      </c>
      <c r="C382" s="388" t="s">
        <v>4280</v>
      </c>
      <c r="D382" s="386">
        <v>5776.7982291666667</v>
      </c>
      <c r="E382" s="387"/>
    </row>
    <row r="383" spans="2:5" ht="13.5" customHeight="1">
      <c r="B383" s="336" t="s">
        <v>1004</v>
      </c>
      <c r="C383" s="388" t="s">
        <v>7019</v>
      </c>
      <c r="D383" s="386">
        <v>5791.7899189814816</v>
      </c>
      <c r="E383" s="387"/>
    </row>
    <row r="384" spans="2:5" ht="13.5" customHeight="1">
      <c r="B384" s="336" t="s">
        <v>3501</v>
      </c>
      <c r="C384" s="388" t="s">
        <v>4282</v>
      </c>
      <c r="D384" s="386">
        <v>5806.6757291666672</v>
      </c>
      <c r="E384" s="387"/>
    </row>
    <row r="385" spans="2:5" ht="13.5" customHeight="1">
      <c r="B385" s="336" t="s">
        <v>1005</v>
      </c>
      <c r="C385" s="388" t="s">
        <v>7020</v>
      </c>
      <c r="D385" s="386">
        <v>5821.4747106481482</v>
      </c>
      <c r="E385" s="387"/>
    </row>
    <row r="386" spans="2:5" ht="13.5" customHeight="1">
      <c r="B386" s="336" t="s">
        <v>3502</v>
      </c>
      <c r="C386" s="389" t="s">
        <v>4284</v>
      </c>
      <c r="D386" s="386">
        <v>5836.2189467592598</v>
      </c>
      <c r="E386" s="387"/>
    </row>
    <row r="387" spans="2:5" ht="13.5" customHeight="1">
      <c r="B387" s="336" t="s">
        <v>1006</v>
      </c>
      <c r="C387" s="390" t="s">
        <v>9317</v>
      </c>
      <c r="D387" s="386">
        <v>5850.9357870370377</v>
      </c>
      <c r="E387" s="387"/>
    </row>
    <row r="388" spans="2:5" ht="13.5" customHeight="1">
      <c r="B388" s="336" t="s">
        <v>3503</v>
      </c>
      <c r="C388" s="388" t="s">
        <v>4230</v>
      </c>
      <c r="D388" s="386">
        <v>5865.6620601851855</v>
      </c>
      <c r="E388" s="387"/>
    </row>
    <row r="389" spans="2:5" ht="13.5" customHeight="1">
      <c r="B389" s="336" t="s">
        <v>1007</v>
      </c>
      <c r="C389" s="388" t="s">
        <v>7010</v>
      </c>
      <c r="D389" s="386">
        <v>5880.4263425925928</v>
      </c>
      <c r="E389" s="387"/>
    </row>
    <row r="390" spans="2:5" ht="13.5" customHeight="1">
      <c r="B390" s="336" t="s">
        <v>3504</v>
      </c>
      <c r="C390" s="388" t="s">
        <v>4232</v>
      </c>
      <c r="D390" s="386">
        <v>5895.2625462962969</v>
      </c>
      <c r="E390" s="387"/>
    </row>
    <row r="391" spans="2:5" ht="13.5" customHeight="1">
      <c r="B391" s="336" t="s">
        <v>1008</v>
      </c>
      <c r="C391" s="388" t="s">
        <v>7011</v>
      </c>
      <c r="D391" s="386">
        <v>5910.1925925925925</v>
      </c>
      <c r="E391" s="387"/>
    </row>
    <row r="392" spans="2:5" ht="13.5" customHeight="1">
      <c r="B392" s="336" t="s">
        <v>3505</v>
      </c>
      <c r="C392" s="389" t="s">
        <v>4234</v>
      </c>
      <c r="D392" s="386">
        <v>5925.2408796296295</v>
      </c>
      <c r="E392" s="387"/>
    </row>
    <row r="393" spans="2:5" ht="13.5" customHeight="1">
      <c r="B393" s="336" t="s">
        <v>1009</v>
      </c>
      <c r="C393" s="388" t="s">
        <v>7012</v>
      </c>
      <c r="D393" s="386">
        <v>5940.415</v>
      </c>
      <c r="E393" s="387"/>
    </row>
    <row r="394" spans="2:5" ht="13.5" customHeight="1">
      <c r="B394" s="336" t="s">
        <v>3506</v>
      </c>
      <c r="C394" s="388" t="s">
        <v>4236</v>
      </c>
      <c r="D394" s="386">
        <v>5955.7252777777785</v>
      </c>
      <c r="E394" s="387"/>
    </row>
    <row r="395" spans="2:5" ht="13.5" customHeight="1">
      <c r="B395" s="336" t="s">
        <v>1010</v>
      </c>
      <c r="C395" s="388" t="s">
        <v>7013</v>
      </c>
      <c r="D395" s="386">
        <v>5971.159340277778</v>
      </c>
      <c r="E395" s="387"/>
    </row>
    <row r="396" spans="2:5" ht="13.5" customHeight="1">
      <c r="B396" s="336" t="s">
        <v>3507</v>
      </c>
      <c r="C396" s="388" t="s">
        <v>4238</v>
      </c>
      <c r="D396" s="386">
        <v>5986.7123032407408</v>
      </c>
      <c r="E396" s="387"/>
    </row>
    <row r="397" spans="2:5" ht="13.5" customHeight="1">
      <c r="B397" s="336" t="s">
        <v>1011</v>
      </c>
      <c r="C397" s="388" t="s">
        <v>7014</v>
      </c>
      <c r="D397" s="386">
        <v>6002.3510300925927</v>
      </c>
      <c r="E397" s="387"/>
    </row>
    <row r="398" spans="2:5" ht="13.5" customHeight="1">
      <c r="B398" s="336" t="s">
        <v>1660</v>
      </c>
      <c r="C398" s="389" t="s">
        <v>4240</v>
      </c>
      <c r="D398" s="386">
        <v>6018.0585879629634</v>
      </c>
      <c r="E398" s="387"/>
    </row>
    <row r="399" spans="2:5" ht="13.5" customHeight="1">
      <c r="B399" s="336" t="s">
        <v>1012</v>
      </c>
      <c r="C399" s="388" t="s">
        <v>7015</v>
      </c>
      <c r="D399" s="386">
        <v>6033.7870949074077</v>
      </c>
      <c r="E399" s="387"/>
    </row>
    <row r="400" spans="2:5" ht="13.5" customHeight="1">
      <c r="B400" s="336" t="s">
        <v>1661</v>
      </c>
      <c r="C400" s="388" t="s">
        <v>4242</v>
      </c>
      <c r="D400" s="386">
        <v>6049.5147222222222</v>
      </c>
      <c r="E400" s="387"/>
    </row>
    <row r="401" spans="2:5" ht="13.5" customHeight="1">
      <c r="B401" s="336" t="s">
        <v>1013</v>
      </c>
      <c r="C401" s="388" t="s">
        <v>7016</v>
      </c>
      <c r="D401" s="386">
        <v>6065.1908796296302</v>
      </c>
      <c r="E401" s="387"/>
    </row>
    <row r="402" spans="2:5" ht="13.5" customHeight="1">
      <c r="B402" s="336" t="s">
        <v>1662</v>
      </c>
      <c r="C402" s="388" t="s">
        <v>4276</v>
      </c>
      <c r="D402" s="386">
        <v>6080.7977314814816</v>
      </c>
      <c r="E402" s="387"/>
    </row>
    <row r="403" spans="2:5" ht="13.5" customHeight="1">
      <c r="B403" s="336" t="s">
        <v>1014</v>
      </c>
      <c r="C403" s="388" t="s">
        <v>7017</v>
      </c>
      <c r="D403" s="386">
        <v>6096.2951736111117</v>
      </c>
      <c r="E403" s="387"/>
    </row>
    <row r="404" spans="2:5" ht="13.5" customHeight="1">
      <c r="B404" s="336" t="s">
        <v>5495</v>
      </c>
      <c r="C404" s="389" t="s">
        <v>4278</v>
      </c>
      <c r="D404" s="386">
        <v>6111.6769444444444</v>
      </c>
      <c r="E404" s="387"/>
    </row>
    <row r="405" spans="2:5" ht="13.5" customHeight="1">
      <c r="B405" s="336" t="s">
        <v>1015</v>
      </c>
      <c r="C405" s="388" t="s">
        <v>7018</v>
      </c>
      <c r="D405" s="386">
        <v>6126.9220023148155</v>
      </c>
      <c r="E405" s="387"/>
    </row>
    <row r="406" spans="2:5" ht="13.5" customHeight="1">
      <c r="B406" s="336" t="s">
        <v>5496</v>
      </c>
      <c r="C406" s="388" t="s">
        <v>4280</v>
      </c>
      <c r="D406" s="386">
        <v>6142.0395833333332</v>
      </c>
      <c r="E406" s="387"/>
    </row>
    <row r="407" spans="2:5" ht="13.5" customHeight="1">
      <c r="B407" s="336" t="s">
        <v>1016</v>
      </c>
      <c r="C407" s="388" t="s">
        <v>7019</v>
      </c>
      <c r="D407" s="386">
        <v>6157.0290856481488</v>
      </c>
      <c r="E407" s="387"/>
    </row>
    <row r="408" spans="2:5" ht="13.5" customHeight="1">
      <c r="B408" s="336" t="s">
        <v>5497</v>
      </c>
      <c r="C408" s="388" t="s">
        <v>4282</v>
      </c>
      <c r="D408" s="386">
        <v>6171.9148611111113</v>
      </c>
      <c r="E408" s="387"/>
    </row>
    <row r="409" spans="2:5" ht="13.5" customHeight="1">
      <c r="B409" s="336" t="s">
        <v>1017</v>
      </c>
      <c r="C409" s="388" t="s">
        <v>7020</v>
      </c>
      <c r="D409" s="386">
        <v>6186.712361111111</v>
      </c>
      <c r="E409" s="387"/>
    </row>
    <row r="410" spans="2:5" ht="13.5" customHeight="1">
      <c r="B410" s="336" t="s">
        <v>5498</v>
      </c>
      <c r="C410" s="389" t="s">
        <v>4284</v>
      </c>
      <c r="D410" s="386">
        <v>6201.4570254629634</v>
      </c>
      <c r="E410" s="387"/>
    </row>
    <row r="411" spans="2:5" ht="13.5" customHeight="1">
      <c r="B411" s="336" t="s">
        <v>8687</v>
      </c>
      <c r="C411" s="390" t="s">
        <v>9317</v>
      </c>
      <c r="D411" s="386">
        <v>6216.17306712963</v>
      </c>
      <c r="E411" s="387"/>
    </row>
    <row r="412" spans="2:5" ht="13.5" customHeight="1">
      <c r="B412" s="336" t="s">
        <v>5499</v>
      </c>
      <c r="C412" s="388" t="s">
        <v>4230</v>
      </c>
      <c r="D412" s="386">
        <v>6230.9006828703705</v>
      </c>
      <c r="E412" s="387"/>
    </row>
    <row r="413" spans="2:5" ht="13.5" customHeight="1">
      <c r="B413" s="336" t="s">
        <v>8688</v>
      </c>
      <c r="C413" s="388" t="s">
        <v>7010</v>
      </c>
      <c r="D413" s="386">
        <v>6245.6648842592595</v>
      </c>
      <c r="E413" s="387"/>
    </row>
    <row r="414" spans="2:5" ht="13.5" customHeight="1">
      <c r="B414" s="336" t="s">
        <v>5500</v>
      </c>
      <c r="C414" s="388" t="s">
        <v>4232</v>
      </c>
      <c r="D414" s="386">
        <v>6260.5031481481483</v>
      </c>
      <c r="E414" s="387"/>
    </row>
    <row r="415" spans="2:5" ht="13.5" customHeight="1">
      <c r="B415" s="336" t="s">
        <v>8689</v>
      </c>
      <c r="C415" s="388" t="s">
        <v>7011</v>
      </c>
      <c r="D415" s="386">
        <v>6275.4339004629637</v>
      </c>
      <c r="E415" s="387"/>
    </row>
    <row r="416" spans="2:5" ht="13.5" customHeight="1">
      <c r="B416" s="336" t="s">
        <v>5501</v>
      </c>
      <c r="C416" s="389" t="s">
        <v>4234</v>
      </c>
      <c r="D416" s="386">
        <v>6290.4840856481487</v>
      </c>
      <c r="E416" s="387"/>
    </row>
    <row r="417" spans="2:5" ht="13.5" customHeight="1">
      <c r="B417" s="336" t="s">
        <v>8690</v>
      </c>
      <c r="C417" s="388" t="s">
        <v>7012</v>
      </c>
      <c r="D417" s="386">
        <v>6305.6596990740745</v>
      </c>
      <c r="E417" s="387"/>
    </row>
    <row r="418" spans="2:5" ht="13.5" customHeight="1">
      <c r="B418" s="336" t="s">
        <v>5502</v>
      </c>
      <c r="C418" s="388" t="s">
        <v>4236</v>
      </c>
      <c r="D418" s="386">
        <v>6320.9703240740746</v>
      </c>
      <c r="E418" s="387"/>
    </row>
    <row r="419" spans="2:5" ht="13.5" customHeight="1">
      <c r="B419" s="336" t="s">
        <v>8691</v>
      </c>
      <c r="C419" s="388" t="s">
        <v>7013</v>
      </c>
      <c r="D419" s="386">
        <v>6336.406724537037</v>
      </c>
      <c r="E419" s="387"/>
    </row>
    <row r="420" spans="2:5" ht="13.5" customHeight="1">
      <c r="B420" s="336" t="s">
        <v>5503</v>
      </c>
      <c r="C420" s="388" t="s">
        <v>4238</v>
      </c>
      <c r="D420" s="386">
        <v>6351.9572337962964</v>
      </c>
      <c r="E420" s="387"/>
    </row>
    <row r="421" spans="2:5" ht="13.5" customHeight="1">
      <c r="B421" s="336" t="s">
        <v>8692</v>
      </c>
      <c r="C421" s="388" t="s">
        <v>7014</v>
      </c>
      <c r="D421" s="386">
        <v>6367.5993750000007</v>
      </c>
      <c r="E421" s="387"/>
    </row>
    <row r="422" spans="2:5" ht="13.5" customHeight="1">
      <c r="B422" s="336" t="s">
        <v>5504</v>
      </c>
      <c r="C422" s="389" t="s">
        <v>4240</v>
      </c>
      <c r="D422" s="386">
        <v>6383.3014930555555</v>
      </c>
      <c r="E422" s="387"/>
    </row>
    <row r="423" spans="2:5" ht="13.5" customHeight="1">
      <c r="B423" s="336" t="s">
        <v>8693</v>
      </c>
      <c r="C423" s="388" t="s">
        <v>7015</v>
      </c>
      <c r="D423" s="386">
        <v>6399.034803240741</v>
      </c>
      <c r="E423" s="387"/>
    </row>
    <row r="424" spans="2:5" ht="13.5" customHeight="1">
      <c r="B424" s="336" t="s">
        <v>5505</v>
      </c>
      <c r="C424" s="388" t="s">
        <v>4242</v>
      </c>
      <c r="D424" s="386">
        <v>6414.755219907408</v>
      </c>
      <c r="E424" s="387"/>
    </row>
    <row r="425" spans="2:5" ht="13.5" customHeight="1">
      <c r="B425" s="336" t="s">
        <v>8694</v>
      </c>
      <c r="C425" s="388" t="s">
        <v>7016</v>
      </c>
      <c r="D425" s="386">
        <v>6430.4374421296297</v>
      </c>
      <c r="E425" s="387"/>
    </row>
    <row r="426" spans="2:5" ht="13.5" customHeight="1">
      <c r="B426" s="336" t="s">
        <v>5506</v>
      </c>
      <c r="C426" s="388" t="s">
        <v>4276</v>
      </c>
      <c r="D426" s="386">
        <v>6446.0370833333336</v>
      </c>
      <c r="E426" s="387"/>
    </row>
    <row r="427" spans="2:5" ht="13.5" customHeight="1">
      <c r="B427" s="336" t="s">
        <v>8695</v>
      </c>
      <c r="C427" s="388" t="s">
        <v>7017</v>
      </c>
      <c r="D427" s="386">
        <v>6461.5411342592597</v>
      </c>
      <c r="E427" s="387"/>
    </row>
    <row r="428" spans="2:5" ht="13.5" customHeight="1">
      <c r="B428" s="336" t="s">
        <v>5507</v>
      </c>
      <c r="C428" s="389" t="s">
        <v>4278</v>
      </c>
      <c r="D428" s="386">
        <v>6476.9165972222227</v>
      </c>
      <c r="E428" s="387"/>
    </row>
    <row r="429" spans="2:5" ht="13.5" customHeight="1">
      <c r="B429" s="336" t="s">
        <v>6532</v>
      </c>
      <c r="C429" s="388" t="s">
        <v>7018</v>
      </c>
      <c r="D429" s="386">
        <v>6492.1680208333337</v>
      </c>
      <c r="E429" s="387"/>
    </row>
    <row r="430" spans="2:5" ht="13.5" customHeight="1">
      <c r="B430" s="336" t="s">
        <v>5508</v>
      </c>
      <c r="C430" s="388" t="s">
        <v>4280</v>
      </c>
      <c r="D430" s="386">
        <v>6507.2800578703709</v>
      </c>
      <c r="E430" s="387"/>
    </row>
    <row r="431" spans="2:5" ht="13.5" customHeight="1">
      <c r="B431" s="336" t="s">
        <v>4450</v>
      </c>
      <c r="C431" s="388" t="s">
        <v>7019</v>
      </c>
      <c r="D431" s="386">
        <v>6522.275324074074</v>
      </c>
      <c r="E431" s="387"/>
    </row>
    <row r="432" spans="2:5" ht="13.5" customHeight="1">
      <c r="B432" s="336" t="s">
        <v>5509</v>
      </c>
      <c r="C432" s="388" t="s">
        <v>4282</v>
      </c>
      <c r="D432" s="386">
        <v>6537.1558333333332</v>
      </c>
      <c r="E432" s="387"/>
    </row>
    <row r="433" spans="2:5" ht="13.5" customHeight="1">
      <c r="B433" s="336" t="s">
        <v>4451</v>
      </c>
      <c r="C433" s="388" t="s">
        <v>7020</v>
      </c>
      <c r="D433" s="386">
        <v>6551.9586805555555</v>
      </c>
      <c r="E433" s="387"/>
    </row>
    <row r="434" spans="2:5" ht="13.5" customHeight="1">
      <c r="B434" s="336" t="s">
        <v>8715</v>
      </c>
      <c r="C434" s="389" t="s">
        <v>4284</v>
      </c>
      <c r="D434" s="386">
        <v>6566.6981018518518</v>
      </c>
      <c r="E434" s="387"/>
    </row>
    <row r="435" spans="2:5" ht="13.5" customHeight="1">
      <c r="B435" s="336" t="s">
        <v>3154</v>
      </c>
      <c r="C435" s="390" t="s">
        <v>9317</v>
      </c>
      <c r="D435" s="386">
        <v>6581.4194675925928</v>
      </c>
      <c r="E435" s="387"/>
    </row>
    <row r="436" spans="2:5" ht="13.5" customHeight="1">
      <c r="B436" s="336" t="s">
        <v>2924</v>
      </c>
      <c r="C436" s="388" t="s">
        <v>4230</v>
      </c>
      <c r="D436" s="386">
        <v>6596.1418518518522</v>
      </c>
      <c r="E436" s="387"/>
    </row>
    <row r="437" spans="2:5" ht="13.5" customHeight="1">
      <c r="B437" s="336" t="s">
        <v>3155</v>
      </c>
      <c r="C437" s="388" t="s">
        <v>7010</v>
      </c>
      <c r="D437" s="386">
        <v>6610.9115509259263</v>
      </c>
      <c r="E437" s="387"/>
    </row>
    <row r="438" spans="2:5" ht="13.5" customHeight="1">
      <c r="B438" s="336" t="s">
        <v>9305</v>
      </c>
      <c r="C438" s="388" t="s">
        <v>4232</v>
      </c>
      <c r="D438" s="386">
        <v>6625.7446527777784</v>
      </c>
      <c r="E438" s="387"/>
    </row>
    <row r="439" spans="2:5" ht="13.5" customHeight="1">
      <c r="B439" s="336" t="s">
        <v>3156</v>
      </c>
      <c r="C439" s="388" t="s">
        <v>7011</v>
      </c>
      <c r="D439" s="386">
        <v>6640.6808564814819</v>
      </c>
      <c r="E439" s="387"/>
    </row>
    <row r="440" spans="2:5" ht="13.5" customHeight="1">
      <c r="B440" s="336" t="s">
        <v>9306</v>
      </c>
      <c r="C440" s="389" t="s">
        <v>4234</v>
      </c>
      <c r="D440" s="386">
        <v>6655.7259722222225</v>
      </c>
      <c r="E440" s="387"/>
    </row>
    <row r="441" spans="2:5" ht="13.5" customHeight="1">
      <c r="B441" s="336" t="s">
        <v>3157</v>
      </c>
      <c r="C441" s="388" t="s">
        <v>7012</v>
      </c>
      <c r="D441" s="386">
        <v>6670.9062962962962</v>
      </c>
      <c r="E441" s="387"/>
    </row>
    <row r="442" spans="2:5" ht="13.5" customHeight="1">
      <c r="B442" s="336" t="s">
        <v>9307</v>
      </c>
      <c r="C442" s="388" t="s">
        <v>4236</v>
      </c>
      <c r="D442" s="386">
        <v>6686.21212962963</v>
      </c>
      <c r="E442" s="387"/>
    </row>
    <row r="443" spans="2:5" ht="13.5" customHeight="1">
      <c r="B443" s="336" t="s">
        <v>3158</v>
      </c>
      <c r="C443" s="388" t="s">
        <v>7013</v>
      </c>
      <c r="D443" s="386">
        <v>6701.6515509259261</v>
      </c>
      <c r="E443" s="387"/>
    </row>
    <row r="444" spans="2:5" ht="13.5" customHeight="1">
      <c r="B444" s="336" t="s">
        <v>9308</v>
      </c>
      <c r="C444" s="388" t="s">
        <v>4238</v>
      </c>
      <c r="D444" s="386">
        <v>6717.1982175925932</v>
      </c>
      <c r="E444" s="387"/>
    </row>
    <row r="445" spans="2:5" ht="13.5" customHeight="1">
      <c r="B445" s="336" t="s">
        <v>7217</v>
      </c>
      <c r="C445" s="388" t="s">
        <v>7014</v>
      </c>
      <c r="D445" s="386">
        <v>6732.8408217592596</v>
      </c>
      <c r="E445" s="387"/>
    </row>
    <row r="446" spans="2:5" ht="13.5" customHeight="1">
      <c r="B446" s="336" t="s">
        <v>9309</v>
      </c>
      <c r="C446" s="389" t="s">
        <v>4240</v>
      </c>
      <c r="D446" s="386">
        <v>6748.5411805555559</v>
      </c>
      <c r="E446" s="387"/>
    </row>
    <row r="447" spans="2:5" ht="13.5" customHeight="1">
      <c r="B447" s="336" t="s">
        <v>3629</v>
      </c>
      <c r="C447" s="388" t="s">
        <v>7015</v>
      </c>
      <c r="D447" s="386">
        <v>6764.2721643518526</v>
      </c>
      <c r="E447" s="387"/>
    </row>
    <row r="448" spans="2:5" ht="13.5" customHeight="1">
      <c r="B448" s="336" t="s">
        <v>9310</v>
      </c>
      <c r="C448" s="388" t="s">
        <v>4242</v>
      </c>
      <c r="D448" s="386">
        <v>6779.9938078703708</v>
      </c>
      <c r="E448" s="387"/>
    </row>
    <row r="449" spans="2:5" ht="13.5" customHeight="1">
      <c r="B449" s="336" t="s">
        <v>3630</v>
      </c>
      <c r="C449" s="388" t="s">
        <v>7016</v>
      </c>
      <c r="D449" s="386">
        <v>6795.6716898148152</v>
      </c>
      <c r="E449" s="387"/>
    </row>
    <row r="450" spans="2:5" ht="13.5" customHeight="1">
      <c r="B450" s="336" t="s">
        <v>9311</v>
      </c>
      <c r="C450" s="388" t="s">
        <v>4276</v>
      </c>
      <c r="D450" s="386">
        <v>6811.2755902777781</v>
      </c>
      <c r="E450" s="387"/>
    </row>
    <row r="451" spans="2:5" ht="13.5" customHeight="1">
      <c r="B451" s="336" t="s">
        <v>3631</v>
      </c>
      <c r="C451" s="388" t="s">
        <v>7017</v>
      </c>
      <c r="D451" s="386">
        <v>6826.7745601851857</v>
      </c>
      <c r="E451" s="387"/>
    </row>
    <row r="452" spans="2:5" ht="13.5" customHeight="1">
      <c r="B452" s="336" t="s">
        <v>9312</v>
      </c>
      <c r="C452" s="389" t="s">
        <v>4278</v>
      </c>
      <c r="D452" s="386">
        <v>6842.1565625000003</v>
      </c>
      <c r="E452" s="387"/>
    </row>
    <row r="453" spans="2:5" ht="13.5" customHeight="1">
      <c r="B453" s="336" t="s">
        <v>3632</v>
      </c>
      <c r="C453" s="388" t="s">
        <v>7018</v>
      </c>
      <c r="D453" s="386">
        <v>6857.4029745370372</v>
      </c>
      <c r="E453" s="387"/>
    </row>
    <row r="454" spans="2:5" ht="13.5" customHeight="1">
      <c r="B454" s="336" t="s">
        <v>9313</v>
      </c>
      <c r="C454" s="388" t="s">
        <v>4280</v>
      </c>
      <c r="D454" s="386">
        <v>6872.5226851851858</v>
      </c>
      <c r="E454" s="387"/>
    </row>
    <row r="455" spans="2:5" ht="13.5" customHeight="1">
      <c r="B455" s="336" t="s">
        <v>3633</v>
      </c>
      <c r="C455" s="388" t="s">
        <v>7019</v>
      </c>
      <c r="D455" s="386">
        <v>6887.5130208333339</v>
      </c>
      <c r="E455" s="387"/>
    </row>
    <row r="456" spans="2:5" ht="13.5" customHeight="1">
      <c r="B456" s="336" t="s">
        <v>7180</v>
      </c>
      <c r="C456" s="388" t="s">
        <v>4282</v>
      </c>
      <c r="D456" s="386">
        <v>6902.4012499999999</v>
      </c>
      <c r="E456" s="387"/>
    </row>
    <row r="457" spans="2:5" ht="13.5" customHeight="1">
      <c r="B457" s="336" t="s">
        <v>3634</v>
      </c>
      <c r="C457" s="388" t="s">
        <v>7020</v>
      </c>
      <c r="D457" s="386">
        <v>6917.1987962962967</v>
      </c>
      <c r="E457" s="387"/>
    </row>
    <row r="458" spans="2:5" ht="13.5" customHeight="1">
      <c r="B458" s="336" t="s">
        <v>7181</v>
      </c>
      <c r="C458" s="389" t="s">
        <v>4284</v>
      </c>
      <c r="D458" s="386">
        <v>6931.9452662037038</v>
      </c>
      <c r="E458" s="387"/>
    </row>
    <row r="459" spans="2:5" ht="13.5" customHeight="1">
      <c r="B459" s="336" t="s">
        <v>3635</v>
      </c>
      <c r="C459" s="390" t="s">
        <v>9317</v>
      </c>
      <c r="D459" s="386">
        <v>6946.6605902777783</v>
      </c>
      <c r="E459" s="387"/>
    </row>
    <row r="460" spans="2:5" ht="13.5" customHeight="1">
      <c r="B460" s="336" t="s">
        <v>7182</v>
      </c>
      <c r="C460" s="388" t="s">
        <v>4230</v>
      </c>
      <c r="D460" s="386">
        <v>6961.389212962963</v>
      </c>
      <c r="E460" s="387"/>
    </row>
    <row r="461" spans="2:5" ht="13.5" customHeight="1">
      <c r="B461" s="336" t="s">
        <v>5373</v>
      </c>
      <c r="C461" s="388" t="s">
        <v>7010</v>
      </c>
      <c r="D461" s="386">
        <v>6976.1522106481489</v>
      </c>
      <c r="E461" s="387"/>
    </row>
    <row r="462" spans="2:5" ht="13.5" customHeight="1">
      <c r="B462" s="336" t="s">
        <v>7183</v>
      </c>
      <c r="C462" s="388" t="s">
        <v>4232</v>
      </c>
      <c r="D462" s="386">
        <v>6990.9911342592595</v>
      </c>
      <c r="E462" s="387"/>
    </row>
    <row r="463" spans="2:5" ht="13.5" customHeight="1">
      <c r="B463" s="336" t="s">
        <v>5374</v>
      </c>
      <c r="C463" s="388" t="s">
        <v>7011</v>
      </c>
      <c r="D463" s="386">
        <v>7005.9203356481485</v>
      </c>
      <c r="E463" s="387"/>
    </row>
    <row r="464" spans="2:5" ht="13.5" customHeight="1">
      <c r="B464" s="336" t="s">
        <v>7184</v>
      </c>
      <c r="C464" s="389" t="s">
        <v>4234</v>
      </c>
      <c r="D464" s="386">
        <v>7020.9715624999999</v>
      </c>
      <c r="E464" s="387"/>
    </row>
    <row r="465" spans="2:5" ht="13.5" customHeight="1">
      <c r="B465" s="336" t="s">
        <v>5375</v>
      </c>
      <c r="C465" s="388" t="s">
        <v>7012</v>
      </c>
      <c r="D465" s="386">
        <v>7036.1450115740745</v>
      </c>
      <c r="E465" s="387"/>
    </row>
    <row r="466" spans="2:5" ht="13.5" customHeight="1">
      <c r="B466" s="336" t="s">
        <v>7185</v>
      </c>
      <c r="C466" s="388" t="s">
        <v>4236</v>
      </c>
      <c r="D466" s="386">
        <v>7051.4575694444447</v>
      </c>
      <c r="E466" s="387"/>
    </row>
    <row r="467" spans="2:5" ht="13.5" customHeight="1">
      <c r="B467" s="336" t="s">
        <v>5376</v>
      </c>
      <c r="C467" s="388" t="s">
        <v>7013</v>
      </c>
      <c r="D467" s="386">
        <v>7066.8905671296297</v>
      </c>
      <c r="E467" s="387"/>
    </row>
    <row r="468" spans="2:5" ht="13.5" customHeight="1">
      <c r="B468" s="336" t="s">
        <v>7186</v>
      </c>
      <c r="C468" s="388" t="s">
        <v>4238</v>
      </c>
      <c r="D468" s="386">
        <v>7082.4441203703709</v>
      </c>
      <c r="E468" s="387"/>
    </row>
    <row r="469" spans="2:5" ht="13.5" customHeight="1">
      <c r="B469" s="336" t="s">
        <v>5093</v>
      </c>
      <c r="C469" s="388" t="s">
        <v>7014</v>
      </c>
      <c r="D469" s="386">
        <v>7098.0811342592597</v>
      </c>
      <c r="E469" s="387"/>
    </row>
    <row r="470" spans="2:5" ht="13.5" customHeight="1">
      <c r="B470" s="336" t="s">
        <v>7187</v>
      </c>
      <c r="C470" s="389" t="s">
        <v>4240</v>
      </c>
      <c r="D470" s="386">
        <v>7113.7871990740741</v>
      </c>
      <c r="E470" s="387"/>
    </row>
    <row r="471" spans="2:5" ht="13.5" customHeight="1">
      <c r="B471" s="336" t="s">
        <v>5094</v>
      </c>
      <c r="C471" s="388" t="s">
        <v>7015</v>
      </c>
      <c r="D471" s="386">
        <v>7129.5141435185187</v>
      </c>
      <c r="E471" s="387"/>
    </row>
    <row r="472" spans="2:5" ht="13.5" customHeight="1">
      <c r="B472" s="336" t="s">
        <v>7188</v>
      </c>
      <c r="C472" s="388" t="s">
        <v>4242</v>
      </c>
      <c r="D472" s="386">
        <v>7145.239131944445</v>
      </c>
      <c r="E472" s="387"/>
    </row>
    <row r="473" spans="2:5" ht="13.5" customHeight="1">
      <c r="B473" s="336" t="s">
        <v>5095</v>
      </c>
      <c r="C473" s="388" t="s">
        <v>7016</v>
      </c>
      <c r="D473" s="386">
        <v>7160.9151736111116</v>
      </c>
      <c r="E473" s="387"/>
    </row>
    <row r="474" spans="2:5" ht="13.5" customHeight="1">
      <c r="B474" s="336" t="s">
        <v>7189</v>
      </c>
      <c r="C474" s="388" t="s">
        <v>4276</v>
      </c>
      <c r="D474" s="386">
        <v>7176.5197106481482</v>
      </c>
      <c r="E474" s="387"/>
    </row>
    <row r="475" spans="2:5" ht="13.5" customHeight="1">
      <c r="B475" s="336" t="s">
        <v>5096</v>
      </c>
      <c r="C475" s="388" t="s">
        <v>7017</v>
      </c>
      <c r="D475" s="386">
        <v>7192.0191203703707</v>
      </c>
      <c r="E475" s="387"/>
    </row>
    <row r="476" spans="2:5" ht="13.5" customHeight="1">
      <c r="B476" s="336" t="s">
        <v>7190</v>
      </c>
      <c r="C476" s="389" t="s">
        <v>4278</v>
      </c>
      <c r="D476" s="386">
        <v>7207.3995717592597</v>
      </c>
      <c r="E476" s="387"/>
    </row>
    <row r="477" spans="2:5" ht="13.5" customHeight="1">
      <c r="B477" s="336" t="s">
        <v>5097</v>
      </c>
      <c r="C477" s="388" t="s">
        <v>7018</v>
      </c>
      <c r="D477" s="386">
        <v>7222.6480208333332</v>
      </c>
      <c r="E477" s="387"/>
    </row>
    <row r="478" spans="2:5" ht="13.5" customHeight="1">
      <c r="B478" s="336" t="s">
        <v>7191</v>
      </c>
      <c r="C478" s="388" t="s">
        <v>4280</v>
      </c>
      <c r="D478" s="386">
        <v>7237.7647916666674</v>
      </c>
      <c r="E478" s="387"/>
    </row>
    <row r="479" spans="2:5" ht="13.5" customHeight="1">
      <c r="B479" s="336" t="s">
        <v>5098</v>
      </c>
      <c r="C479" s="388" t="s">
        <v>7019</v>
      </c>
      <c r="D479" s="386">
        <v>7252.7578819444443</v>
      </c>
      <c r="E479" s="387"/>
    </row>
    <row r="480" spans="2:5" ht="13.5" customHeight="1">
      <c r="B480" s="336" t="s">
        <v>7192</v>
      </c>
      <c r="C480" s="388" t="s">
        <v>4282</v>
      </c>
      <c r="D480" s="386">
        <v>7267.6424421296297</v>
      </c>
      <c r="E480" s="387"/>
    </row>
    <row r="481" spans="2:5" ht="13.5" customHeight="1">
      <c r="B481" s="336" t="s">
        <v>4584</v>
      </c>
      <c r="C481" s="388" t="s">
        <v>7020</v>
      </c>
      <c r="D481" s="386">
        <v>7282.4427777777782</v>
      </c>
      <c r="E481" s="387"/>
    </row>
    <row r="482" spans="2:5" ht="13.5" customHeight="1">
      <c r="B482" s="336" t="s">
        <v>7193</v>
      </c>
      <c r="C482" s="389" t="s">
        <v>4284</v>
      </c>
      <c r="D482" s="386">
        <v>7297.1852893518526</v>
      </c>
      <c r="E482" s="387"/>
    </row>
    <row r="483" spans="2:5" ht="13.5" customHeight="1">
      <c r="B483" s="336" t="s">
        <v>4585</v>
      </c>
      <c r="C483" s="390" t="s">
        <v>9317</v>
      </c>
      <c r="D483" s="386">
        <v>7311.903182870371</v>
      </c>
      <c r="E483" s="387"/>
    </row>
    <row r="484" spans="2:5" ht="13.5" customHeight="1">
      <c r="B484" s="336" t="s">
        <v>7194</v>
      </c>
      <c r="C484" s="388" t="s">
        <v>4230</v>
      </c>
      <c r="D484" s="386">
        <v>7326.6278009259258</v>
      </c>
      <c r="E484" s="387"/>
    </row>
    <row r="485" spans="2:5" ht="13.5" customHeight="1">
      <c r="B485" s="336" t="s">
        <v>4586</v>
      </c>
      <c r="C485" s="388" t="s">
        <v>7010</v>
      </c>
      <c r="D485" s="386">
        <v>7341.3932754629632</v>
      </c>
      <c r="E485" s="387"/>
    </row>
    <row r="486" spans="2:5" ht="13.5" customHeight="1">
      <c r="B486" s="336" t="s">
        <v>7195</v>
      </c>
      <c r="C486" s="388" t="s">
        <v>4232</v>
      </c>
      <c r="D486" s="386">
        <v>7356.2282523148151</v>
      </c>
      <c r="E486" s="387"/>
    </row>
    <row r="487" spans="2:5" ht="13.5" customHeight="1">
      <c r="B487" s="336" t="s">
        <v>4587</v>
      </c>
      <c r="C487" s="388" t="s">
        <v>7011</v>
      </c>
      <c r="D487" s="386">
        <v>7371.1603703703704</v>
      </c>
      <c r="E487" s="387"/>
    </row>
    <row r="488" spans="2:5" ht="13.5" customHeight="1">
      <c r="B488" s="336" t="s">
        <v>7196</v>
      </c>
      <c r="C488" s="389" t="s">
        <v>4234</v>
      </c>
      <c r="D488" s="386">
        <v>7386.2075925925928</v>
      </c>
      <c r="E488" s="387"/>
    </row>
    <row r="489" spans="2:5" ht="13.5" customHeight="1">
      <c r="B489" s="336" t="s">
        <v>4588</v>
      </c>
      <c r="C489" s="388" t="s">
        <v>7012</v>
      </c>
      <c r="D489" s="386">
        <v>7401.3852662037043</v>
      </c>
      <c r="E489" s="387"/>
    </row>
    <row r="490" spans="2:5" ht="13.5" customHeight="1">
      <c r="B490" s="336" t="s">
        <v>7197</v>
      </c>
      <c r="C490" s="388" t="s">
        <v>4236</v>
      </c>
      <c r="D490" s="386">
        <v>7416.6936226851858</v>
      </c>
      <c r="E490" s="387"/>
    </row>
    <row r="491" spans="2:5" ht="13.5" customHeight="1">
      <c r="B491" s="336" t="s">
        <v>4589</v>
      </c>
      <c r="C491" s="388" t="s">
        <v>7013</v>
      </c>
      <c r="D491" s="386">
        <v>7432.1328472222222</v>
      </c>
      <c r="E491" s="387"/>
    </row>
    <row r="492" spans="2:5" ht="13.5" customHeight="1">
      <c r="B492" s="336" t="s">
        <v>7198</v>
      </c>
      <c r="C492" s="388" t="s">
        <v>4238</v>
      </c>
      <c r="D492" s="386">
        <v>7447.6817824074078</v>
      </c>
      <c r="E492" s="387"/>
    </row>
    <row r="493" spans="2:5" ht="13.5" customHeight="1">
      <c r="B493" s="336" t="s">
        <v>4590</v>
      </c>
      <c r="C493" s="388" t="s">
        <v>7014</v>
      </c>
      <c r="D493" s="386">
        <v>7463.3268518518526</v>
      </c>
      <c r="E493" s="387"/>
    </row>
    <row r="494" spans="2:5" ht="13.5" customHeight="1">
      <c r="B494" s="336" t="s">
        <v>7199</v>
      </c>
      <c r="C494" s="389" t="s">
        <v>4240</v>
      </c>
      <c r="D494" s="386">
        <v>7479.0278009259264</v>
      </c>
      <c r="E494" s="387"/>
    </row>
    <row r="495" spans="2:5" ht="13.5" customHeight="1">
      <c r="B495" s="336" t="s">
        <v>4591</v>
      </c>
      <c r="C495" s="388" t="s">
        <v>7015</v>
      </c>
      <c r="D495" s="386">
        <v>7494.7631365740745</v>
      </c>
      <c r="E495" s="387"/>
    </row>
    <row r="496" spans="2:5" ht="13.5" customHeight="1">
      <c r="B496" s="336" t="s">
        <v>7200</v>
      </c>
      <c r="C496" s="388" t="s">
        <v>4242</v>
      </c>
      <c r="D496" s="386">
        <v>7510.4826620370377</v>
      </c>
      <c r="E496" s="387"/>
    </row>
    <row r="497" spans="2:5" ht="13.5" customHeight="1">
      <c r="B497" s="336" t="s">
        <v>6384</v>
      </c>
      <c r="C497" s="388" t="s">
        <v>7016</v>
      </c>
      <c r="D497" s="386">
        <v>7526.1655208333341</v>
      </c>
      <c r="E497" s="387"/>
    </row>
    <row r="498" spans="2:5" ht="13.5" customHeight="1">
      <c r="B498" s="336" t="s">
        <v>7201</v>
      </c>
      <c r="C498" s="388" t="s">
        <v>4276</v>
      </c>
      <c r="D498" s="386">
        <v>7541.7647800925924</v>
      </c>
      <c r="E498" s="387"/>
    </row>
    <row r="499" spans="2:5" ht="13.5" customHeight="1">
      <c r="B499" s="336" t="s">
        <v>6385</v>
      </c>
      <c r="C499" s="388" t="s">
        <v>7017</v>
      </c>
      <c r="D499" s="386">
        <v>7557.2685069444451</v>
      </c>
      <c r="E499" s="387"/>
    </row>
    <row r="500" spans="2:5" ht="13.5" customHeight="1">
      <c r="B500" s="336" t="s">
        <v>7202</v>
      </c>
      <c r="C500" s="389" t="s">
        <v>4278</v>
      </c>
      <c r="D500" s="386">
        <v>7572.6444791666672</v>
      </c>
      <c r="E500" s="387"/>
    </row>
    <row r="501" spans="2:5" ht="13.5" customHeight="1">
      <c r="B501" s="336" t="s">
        <v>6386</v>
      </c>
      <c r="C501" s="388" t="s">
        <v>7018</v>
      </c>
      <c r="D501" s="386">
        <v>7587.8953240740748</v>
      </c>
      <c r="E501" s="387"/>
    </row>
    <row r="502" spans="2:5" ht="13.5" customHeight="1">
      <c r="B502" s="336" t="s">
        <v>7203</v>
      </c>
      <c r="C502" s="388" t="s">
        <v>4280</v>
      </c>
      <c r="D502" s="386">
        <v>7603.0087268518519</v>
      </c>
      <c r="E502" s="387"/>
    </row>
    <row r="503" spans="2:5" ht="13.5" customHeight="1">
      <c r="B503" s="336" t="s">
        <v>6387</v>
      </c>
      <c r="C503" s="388" t="s">
        <v>7019</v>
      </c>
      <c r="D503" s="386">
        <v>7618.0034259259264</v>
      </c>
      <c r="E503" s="387"/>
    </row>
    <row r="504" spans="2:5" ht="13.5" customHeight="1">
      <c r="B504" s="336" t="s">
        <v>7204</v>
      </c>
      <c r="C504" s="388" t="s">
        <v>4282</v>
      </c>
      <c r="D504" s="386">
        <v>7632.8856134259258</v>
      </c>
      <c r="E504" s="387"/>
    </row>
    <row r="505" spans="2:5" ht="13.5" customHeight="1">
      <c r="B505" s="336" t="s">
        <v>6388</v>
      </c>
      <c r="C505" s="388" t="s">
        <v>7020</v>
      </c>
      <c r="D505" s="386">
        <v>7647.6876273148155</v>
      </c>
      <c r="E505" s="387"/>
    </row>
    <row r="506" spans="2:5" ht="13.5" customHeight="1">
      <c r="B506" s="336" t="s">
        <v>7205</v>
      </c>
      <c r="C506" s="389" t="s">
        <v>4284</v>
      </c>
      <c r="D506" s="386">
        <v>7662.4282870370371</v>
      </c>
      <c r="E506" s="387"/>
    </row>
    <row r="507" spans="2:5" ht="13.5" customHeight="1">
      <c r="B507" s="336" t="s">
        <v>6389</v>
      </c>
      <c r="C507" s="390" t="s">
        <v>9317</v>
      </c>
      <c r="D507" s="386">
        <v>7677.148206018519</v>
      </c>
      <c r="E507" s="387"/>
    </row>
    <row r="508" spans="2:5" ht="13.5" customHeight="1">
      <c r="B508" s="336" t="s">
        <v>7206</v>
      </c>
      <c r="C508" s="388" t="s">
        <v>4230</v>
      </c>
      <c r="D508" s="386">
        <v>7691.8711111111115</v>
      </c>
      <c r="E508" s="387"/>
    </row>
    <row r="509" spans="2:5" ht="13.5" customHeight="1">
      <c r="B509" s="336" t="s">
        <v>1682</v>
      </c>
      <c r="C509" s="388" t="s">
        <v>7010</v>
      </c>
      <c r="D509" s="386">
        <v>7706.6388078703703</v>
      </c>
      <c r="E509" s="387"/>
    </row>
    <row r="510" spans="2:5" ht="13.5" customHeight="1">
      <c r="B510" s="336" t="s">
        <v>7207</v>
      </c>
      <c r="C510" s="388" t="s">
        <v>4232</v>
      </c>
      <c r="D510" s="386">
        <v>7721.4721064814821</v>
      </c>
      <c r="E510" s="387"/>
    </row>
    <row r="511" spans="2:5" ht="13.5" customHeight="1">
      <c r="B511" s="336" t="s">
        <v>1683</v>
      </c>
      <c r="C511" s="388" t="s">
        <v>7011</v>
      </c>
      <c r="D511" s="386">
        <v>7736.40625</v>
      </c>
      <c r="E511" s="387"/>
    </row>
    <row r="512" spans="2:5" ht="13.5" customHeight="1">
      <c r="B512" s="336" t="s">
        <v>8854</v>
      </c>
      <c r="C512" s="389" t="s">
        <v>4234</v>
      </c>
      <c r="D512" s="386">
        <v>7751.4521875</v>
      </c>
      <c r="E512" s="387"/>
    </row>
    <row r="513" spans="2:5" ht="13.5" customHeight="1">
      <c r="B513" s="336" t="s">
        <v>1684</v>
      </c>
      <c r="C513" s="388" t="s">
        <v>7012</v>
      </c>
      <c r="D513" s="386">
        <v>7766.6310648148155</v>
      </c>
      <c r="E513" s="387"/>
    </row>
    <row r="514" spans="2:5" ht="13.5" customHeight="1">
      <c r="B514" s="336" t="s">
        <v>4509</v>
      </c>
      <c r="C514" s="388" t="s">
        <v>4236</v>
      </c>
      <c r="D514" s="386">
        <v>7781.9391782407411</v>
      </c>
      <c r="E514" s="387"/>
    </row>
    <row r="515" spans="2:5" ht="13.5" customHeight="1">
      <c r="B515" s="336" t="s">
        <v>1685</v>
      </c>
      <c r="C515" s="388" t="s">
        <v>7013</v>
      </c>
      <c r="D515" s="386">
        <v>7797.3779050925932</v>
      </c>
      <c r="E515" s="387"/>
    </row>
    <row r="516" spans="2:5" ht="13.5" customHeight="1">
      <c r="B516" s="336" t="s">
        <v>4510</v>
      </c>
      <c r="C516" s="388" t="s">
        <v>4238</v>
      </c>
      <c r="D516" s="386">
        <v>7812.9283217592592</v>
      </c>
      <c r="E516" s="387"/>
    </row>
    <row r="517" spans="2:5" ht="13.5" customHeight="1">
      <c r="B517" s="336" t="s">
        <v>4245</v>
      </c>
      <c r="C517" s="388" t="s">
        <v>7014</v>
      </c>
      <c r="D517" s="386">
        <v>7828.5704513888895</v>
      </c>
      <c r="E517" s="387"/>
    </row>
    <row r="518" spans="2:5" ht="13.5" customHeight="1">
      <c r="B518" s="336" t="s">
        <v>4511</v>
      </c>
      <c r="C518" s="389" t="s">
        <v>4240</v>
      </c>
      <c r="D518" s="386">
        <v>7844.2749074074081</v>
      </c>
      <c r="E518" s="387"/>
    </row>
    <row r="519" spans="2:5" ht="13.5" customHeight="1">
      <c r="B519" s="336" t="s">
        <v>4246</v>
      </c>
      <c r="C519" s="388" t="s">
        <v>7015</v>
      </c>
      <c r="D519" s="386">
        <v>7860.0047685185191</v>
      </c>
      <c r="E519" s="387"/>
    </row>
    <row r="520" spans="2:5" ht="13.5" customHeight="1">
      <c r="B520" s="336" t="s">
        <v>4512</v>
      </c>
      <c r="C520" s="388" t="s">
        <v>4242</v>
      </c>
      <c r="D520" s="386">
        <v>7875.7294791666673</v>
      </c>
      <c r="E520" s="387"/>
    </row>
    <row r="521" spans="2:5" ht="13.5" customHeight="1">
      <c r="B521" s="336" t="s">
        <v>4247</v>
      </c>
      <c r="C521" s="388" t="s">
        <v>7016</v>
      </c>
      <c r="D521" s="386">
        <v>7891.4052083333336</v>
      </c>
      <c r="E521" s="387"/>
    </row>
    <row r="522" spans="2:5" ht="13.5" customHeight="1">
      <c r="B522" s="336" t="s">
        <v>4513</v>
      </c>
      <c r="C522" s="388" t="s">
        <v>4276</v>
      </c>
      <c r="D522" s="386">
        <v>7907.0104050925929</v>
      </c>
      <c r="E522" s="387"/>
    </row>
    <row r="523" spans="2:5" ht="13.5" customHeight="1">
      <c r="B523" s="336" t="s">
        <v>4248</v>
      </c>
      <c r="C523" s="388" t="s">
        <v>7017</v>
      </c>
      <c r="D523" s="386">
        <v>7922.5065972222228</v>
      </c>
      <c r="E523" s="387"/>
    </row>
    <row r="524" spans="2:5" ht="13.5" customHeight="1">
      <c r="B524" s="336" t="s">
        <v>4514</v>
      </c>
      <c r="C524" s="389" t="s">
        <v>4278</v>
      </c>
      <c r="D524" s="386">
        <v>7937.8885416666672</v>
      </c>
      <c r="E524" s="387"/>
    </row>
    <row r="525" spans="2:5" ht="13.5" customHeight="1">
      <c r="B525" s="336" t="s">
        <v>4249</v>
      </c>
      <c r="C525" s="388" t="s">
        <v>7018</v>
      </c>
      <c r="D525" s="386">
        <v>7953.1323148148149</v>
      </c>
      <c r="E525" s="387"/>
    </row>
    <row r="526" spans="2:5" ht="13.5" customHeight="1">
      <c r="B526" s="336" t="s">
        <v>4515</v>
      </c>
      <c r="C526" s="388" t="s">
        <v>4280</v>
      </c>
      <c r="D526" s="386">
        <v>7968.2515625000005</v>
      </c>
      <c r="E526" s="387"/>
    </row>
    <row r="527" spans="2:5" ht="13.5" customHeight="1">
      <c r="B527" s="336" t="s">
        <v>4250</v>
      </c>
      <c r="C527" s="388" t="s">
        <v>7019</v>
      </c>
      <c r="D527" s="386">
        <v>7983.2399884259266</v>
      </c>
      <c r="E527" s="387"/>
    </row>
    <row r="528" spans="2:5" ht="13.5" customHeight="1">
      <c r="B528" s="336" t="s">
        <v>1108</v>
      </c>
      <c r="C528" s="388" t="s">
        <v>4282</v>
      </c>
      <c r="D528" s="386">
        <v>7998.1281597222223</v>
      </c>
      <c r="E528" s="387"/>
    </row>
    <row r="529" spans="2:5" ht="13.5" customHeight="1">
      <c r="B529" s="336" t="s">
        <v>4251</v>
      </c>
      <c r="C529" s="388" t="s">
        <v>7020</v>
      </c>
      <c r="D529" s="386">
        <v>8012.9246759259258</v>
      </c>
      <c r="E529" s="387"/>
    </row>
    <row r="530" spans="2:5" ht="13.5" customHeight="1">
      <c r="B530" s="336" t="s">
        <v>1109</v>
      </c>
      <c r="C530" s="389" t="s">
        <v>4284</v>
      </c>
      <c r="D530" s="386">
        <v>8027.6717708333335</v>
      </c>
      <c r="E530" s="387"/>
    </row>
    <row r="531" spans="2:5" ht="13.5" customHeight="1">
      <c r="B531" s="336" t="s">
        <v>4252</v>
      </c>
      <c r="C531" s="390" t="s">
        <v>9317</v>
      </c>
      <c r="D531" s="386">
        <v>8042.3866898148153</v>
      </c>
      <c r="E531" s="387"/>
    </row>
    <row r="532" spans="2:5" ht="13.5" customHeight="1">
      <c r="B532" s="336" t="s">
        <v>1110</v>
      </c>
      <c r="C532" s="388" t="s">
        <v>4230</v>
      </c>
      <c r="D532" s="386">
        <v>8057.1163888888896</v>
      </c>
      <c r="E532" s="387"/>
    </row>
    <row r="533" spans="2:5" ht="13.5" customHeight="1">
      <c r="B533" s="336" t="s">
        <v>4253</v>
      </c>
      <c r="C533" s="388" t="s">
        <v>7010</v>
      </c>
      <c r="D533" s="386">
        <v>8071.8791435185185</v>
      </c>
      <c r="E533" s="387"/>
    </row>
    <row r="534" spans="2:5" ht="13.5" customHeight="1">
      <c r="B534" s="336" t="s">
        <v>1111</v>
      </c>
      <c r="C534" s="388" t="s">
        <v>4232</v>
      </c>
      <c r="D534" s="386">
        <v>8086.7191782407408</v>
      </c>
      <c r="E534" s="387"/>
    </row>
    <row r="535" spans="2:5" ht="13.5" customHeight="1">
      <c r="B535" s="336" t="s">
        <v>4254</v>
      </c>
      <c r="C535" s="388" t="s">
        <v>7011</v>
      </c>
      <c r="D535" s="386">
        <v>8101.6480787037044</v>
      </c>
      <c r="E535" s="387"/>
    </row>
    <row r="536" spans="2:5" ht="13.5" customHeight="1">
      <c r="B536" s="336" t="s">
        <v>1112</v>
      </c>
      <c r="C536" s="389" t="s">
        <v>4234</v>
      </c>
      <c r="D536" s="386">
        <v>8116.7000810185191</v>
      </c>
      <c r="E536" s="387"/>
    </row>
    <row r="537" spans="2:5" ht="13.5" customHeight="1">
      <c r="B537" s="336" t="s">
        <v>4255</v>
      </c>
      <c r="C537" s="388" t="s">
        <v>7012</v>
      </c>
      <c r="D537" s="386">
        <v>8131.8733796296301</v>
      </c>
      <c r="E537" s="387"/>
    </row>
    <row r="538" spans="2:5" ht="13.5" customHeight="1">
      <c r="B538" s="336" t="s">
        <v>1113</v>
      </c>
      <c r="C538" s="388" t="s">
        <v>4236</v>
      </c>
      <c r="D538" s="386">
        <v>8147.1863773148152</v>
      </c>
      <c r="E538" s="387"/>
    </row>
    <row r="539" spans="2:5" ht="13.5" customHeight="1">
      <c r="B539" s="336" t="s">
        <v>4256</v>
      </c>
      <c r="C539" s="388" t="s">
        <v>7013</v>
      </c>
      <c r="D539" s="386">
        <v>8162.6200115740739</v>
      </c>
      <c r="E539" s="387"/>
    </row>
    <row r="540" spans="2:5" ht="13.5" customHeight="1">
      <c r="B540" s="336" t="s">
        <v>1114</v>
      </c>
      <c r="C540" s="388" t="s">
        <v>4238</v>
      </c>
      <c r="D540" s="386">
        <v>8178.1737268518518</v>
      </c>
      <c r="E540" s="387"/>
    </row>
    <row r="541" spans="2:5" ht="13.5" customHeight="1">
      <c r="B541" s="336" t="s">
        <v>4257</v>
      </c>
      <c r="C541" s="388" t="s">
        <v>7014</v>
      </c>
      <c r="D541" s="386">
        <v>8193.8126620370367</v>
      </c>
      <c r="E541" s="387"/>
    </row>
    <row r="542" spans="2:5" ht="13.5" customHeight="1">
      <c r="B542" s="336" t="s">
        <v>1115</v>
      </c>
      <c r="C542" s="389" t="s">
        <v>4240</v>
      </c>
      <c r="D542" s="386">
        <v>8209.5184606481471</v>
      </c>
      <c r="E542" s="387"/>
    </row>
    <row r="543" spans="2:5" ht="13.5" customHeight="1">
      <c r="B543" s="336" t="s">
        <v>1847</v>
      </c>
      <c r="C543" s="388" t="s">
        <v>7015</v>
      </c>
      <c r="D543" s="386">
        <v>8225.2482407407406</v>
      </c>
      <c r="E543" s="387"/>
    </row>
    <row r="544" spans="2:5" ht="13.5" customHeight="1">
      <c r="B544" s="336" t="s">
        <v>1116</v>
      </c>
      <c r="C544" s="388" t="s">
        <v>4242</v>
      </c>
      <c r="D544" s="386">
        <v>8240.972037037036</v>
      </c>
      <c r="E544" s="387"/>
    </row>
    <row r="545" spans="2:5" ht="13.5" customHeight="1">
      <c r="B545" s="336" t="s">
        <v>1848</v>
      </c>
      <c r="C545" s="388" t="s">
        <v>7016</v>
      </c>
      <c r="D545" s="386">
        <v>8256.6508217592582</v>
      </c>
      <c r="E545" s="387"/>
    </row>
    <row r="546" spans="2:5" ht="13.5" customHeight="1">
      <c r="B546" s="336" t="s">
        <v>1117</v>
      </c>
      <c r="C546" s="388" t="s">
        <v>4276</v>
      </c>
      <c r="D546" s="386">
        <v>8272.2529745370357</v>
      </c>
      <c r="E546" s="387"/>
    </row>
    <row r="547" spans="2:5" ht="13.5" customHeight="1">
      <c r="B547" s="336" t="s">
        <v>1849</v>
      </c>
      <c r="C547" s="388" t="s">
        <v>7017</v>
      </c>
      <c r="D547" s="386">
        <v>8287.7543171296293</v>
      </c>
      <c r="E547" s="387"/>
    </row>
    <row r="548" spans="2:5" ht="13.5" customHeight="1">
      <c r="B548" s="336" t="s">
        <v>1118</v>
      </c>
      <c r="C548" s="389" t="s">
        <v>4278</v>
      </c>
      <c r="D548" s="386">
        <v>8303.13162037037</v>
      </c>
      <c r="E548" s="387"/>
    </row>
    <row r="549" spans="2:5" ht="13.5" customHeight="1">
      <c r="B549" s="336" t="s">
        <v>1850</v>
      </c>
      <c r="C549" s="388" t="s">
        <v>7018</v>
      </c>
      <c r="D549" s="386">
        <v>8318.3814236111102</v>
      </c>
      <c r="E549" s="387"/>
    </row>
    <row r="550" spans="2:5" ht="13.5" customHeight="1">
      <c r="B550" s="336" t="s">
        <v>1119</v>
      </c>
      <c r="C550" s="388" t="s">
        <v>4280</v>
      </c>
      <c r="D550" s="386">
        <v>8333.4950694444433</v>
      </c>
      <c r="E550" s="387"/>
    </row>
    <row r="551" spans="2:5" ht="13.5" customHeight="1">
      <c r="B551" s="336" t="s">
        <v>1851</v>
      </c>
      <c r="C551" s="388" t="s">
        <v>7019</v>
      </c>
      <c r="D551" s="386">
        <v>8348.4895949074071</v>
      </c>
      <c r="E551" s="387"/>
    </row>
    <row r="552" spans="2:5" ht="13.5" customHeight="1">
      <c r="B552" s="336" t="s">
        <v>1120</v>
      </c>
      <c r="C552" s="388" t="s">
        <v>4282</v>
      </c>
      <c r="D552" s="386">
        <v>8363.3716087962948</v>
      </c>
      <c r="E552" s="387"/>
    </row>
    <row r="553" spans="2:5" ht="13.5" customHeight="1">
      <c r="B553" s="336" t="s">
        <v>1852</v>
      </c>
      <c r="C553" s="388" t="s">
        <v>7020</v>
      </c>
      <c r="D553" s="386">
        <v>8378.1738657407404</v>
      </c>
      <c r="E553" s="387"/>
    </row>
    <row r="554" spans="2:5" ht="13.5" customHeight="1">
      <c r="B554" s="336" t="s">
        <v>4396</v>
      </c>
      <c r="C554" s="389" t="s">
        <v>4284</v>
      </c>
      <c r="D554" s="386">
        <v>8392.9144097222215</v>
      </c>
      <c r="E554" s="387"/>
    </row>
    <row r="555" spans="2:5" ht="13.5" customHeight="1">
      <c r="B555" s="336" t="s">
        <v>1853</v>
      </c>
      <c r="C555" s="390" t="s">
        <v>9317</v>
      </c>
      <c r="D555" s="386">
        <v>8407.6346180555556</v>
      </c>
      <c r="E555" s="387"/>
    </row>
    <row r="556" spans="2:5" ht="13.5" customHeight="1">
      <c r="B556" s="336" t="s">
        <v>4397</v>
      </c>
      <c r="C556" s="388" t="s">
        <v>4230</v>
      </c>
      <c r="D556" s="386">
        <v>8422.3574421296289</v>
      </c>
      <c r="E556" s="387"/>
    </row>
    <row r="557" spans="2:5" ht="13.5" customHeight="1">
      <c r="B557" s="336" t="s">
        <v>1854</v>
      </c>
      <c r="C557" s="388" t="s">
        <v>7010</v>
      </c>
      <c r="D557" s="386">
        <v>8437.1251504629618</v>
      </c>
      <c r="E557" s="387"/>
    </row>
    <row r="558" spans="2:5" ht="13.5" customHeight="1">
      <c r="B558" s="336" t="s">
        <v>4398</v>
      </c>
      <c r="C558" s="388" t="s">
        <v>4232</v>
      </c>
      <c r="D558" s="386">
        <v>8451.9580092592587</v>
      </c>
      <c r="E558" s="387"/>
    </row>
    <row r="559" spans="2:5" ht="13.5" customHeight="1">
      <c r="B559" s="336" t="s">
        <v>1855</v>
      </c>
      <c r="C559" s="388" t="s">
        <v>7011</v>
      </c>
      <c r="D559" s="386">
        <v>8466.8918518518512</v>
      </c>
      <c r="E559" s="387"/>
    </row>
    <row r="560" spans="2:5" ht="13.5" customHeight="1">
      <c r="B560" s="336" t="s">
        <v>4399</v>
      </c>
      <c r="C560" s="389" t="s">
        <v>4234</v>
      </c>
      <c r="D560" s="386">
        <v>8481.9363888888874</v>
      </c>
      <c r="E560" s="387"/>
    </row>
    <row r="561" spans="2:5" ht="13.5" customHeight="1">
      <c r="B561" s="336" t="s">
        <v>1856</v>
      </c>
      <c r="C561" s="388" t="s">
        <v>7012</v>
      </c>
      <c r="D561" s="386">
        <v>8497.115046296296</v>
      </c>
      <c r="E561" s="387"/>
    </row>
    <row r="562" spans="2:5" ht="13.5" customHeight="1">
      <c r="B562" s="336" t="s">
        <v>4400</v>
      </c>
      <c r="C562" s="388" t="s">
        <v>4236</v>
      </c>
      <c r="D562" s="386">
        <v>8512.4204166666659</v>
      </c>
      <c r="E562" s="387"/>
    </row>
    <row r="563" spans="2:5" ht="13.5" customHeight="1">
      <c r="B563" s="336" t="s">
        <v>1857</v>
      </c>
      <c r="C563" s="388" t="s">
        <v>7013</v>
      </c>
      <c r="D563" s="386">
        <v>8527.8600347222218</v>
      </c>
      <c r="E563" s="387"/>
    </row>
    <row r="564" spans="2:5" ht="13.5" customHeight="1">
      <c r="B564" s="336" t="s">
        <v>4401</v>
      </c>
      <c r="C564" s="388" t="s">
        <v>4238</v>
      </c>
      <c r="D564" s="386">
        <v>8543.4065162037023</v>
      </c>
      <c r="E564" s="387"/>
    </row>
    <row r="565" spans="2:5" ht="13.5" customHeight="1">
      <c r="B565" s="336" t="s">
        <v>1858</v>
      </c>
      <c r="C565" s="388" t="s">
        <v>7014</v>
      </c>
      <c r="D565" s="386">
        <v>8559.0517939814818</v>
      </c>
      <c r="E565" s="387"/>
    </row>
    <row r="566" spans="2:5" ht="13.5" customHeight="1">
      <c r="B566" s="336" t="s">
        <v>4402</v>
      </c>
      <c r="C566" s="389" t="s">
        <v>4240</v>
      </c>
      <c r="D566" s="386">
        <v>8574.7519097222212</v>
      </c>
      <c r="E566" s="387"/>
    </row>
    <row r="567" spans="2:5" ht="13.5" customHeight="1">
      <c r="B567" s="336" t="s">
        <v>1859</v>
      </c>
      <c r="C567" s="388" t="s">
        <v>7015</v>
      </c>
      <c r="D567" s="386">
        <v>8590.4876273148147</v>
      </c>
      <c r="E567" s="387"/>
    </row>
    <row r="568" spans="2:5" ht="13.5" customHeight="1">
      <c r="B568" s="336" t="s">
        <v>4647</v>
      </c>
      <c r="C568" s="388" t="s">
        <v>4242</v>
      </c>
      <c r="D568" s="386">
        <v>8606.2085069444438</v>
      </c>
      <c r="E568" s="387"/>
    </row>
    <row r="569" spans="2:5" ht="13.5" customHeight="1">
      <c r="B569" s="336" t="s">
        <v>1860</v>
      </c>
      <c r="C569" s="388" t="s">
        <v>7016</v>
      </c>
      <c r="D569" s="386">
        <v>8621.8918518518512</v>
      </c>
      <c r="E569" s="387"/>
    </row>
    <row r="570" spans="2:5" ht="13.5" customHeight="1">
      <c r="B570" s="336" t="s">
        <v>2902</v>
      </c>
      <c r="C570" s="388" t="s">
        <v>4276</v>
      </c>
      <c r="D570" s="386">
        <v>8637.494050925925</v>
      </c>
      <c r="E570" s="387"/>
    </row>
    <row r="571" spans="2:5" ht="13.5" customHeight="1">
      <c r="B571" s="336" t="s">
        <v>1861</v>
      </c>
      <c r="C571" s="388" t="s">
        <v>7017</v>
      </c>
      <c r="D571" s="386">
        <v>8652.9978819444441</v>
      </c>
      <c r="E571" s="387"/>
    </row>
    <row r="572" spans="2:5" ht="13.5" customHeight="1">
      <c r="B572" s="336" t="s">
        <v>2903</v>
      </c>
      <c r="C572" s="389" t="s">
        <v>4278</v>
      </c>
      <c r="D572" s="386">
        <v>8668.3771643518521</v>
      </c>
      <c r="E572" s="387"/>
    </row>
    <row r="573" spans="2:5" ht="13.5" customHeight="1">
      <c r="B573" s="336" t="s">
        <v>1862</v>
      </c>
      <c r="C573" s="388" t="s">
        <v>7018</v>
      </c>
      <c r="D573" s="386">
        <v>8683.6271412037022</v>
      </c>
      <c r="E573" s="387"/>
    </row>
    <row r="574" spans="2:5" ht="13.5" customHeight="1">
      <c r="B574" s="336" t="s">
        <v>2904</v>
      </c>
      <c r="C574" s="388" t="s">
        <v>4280</v>
      </c>
      <c r="D574" s="386">
        <v>8698.7432870370358</v>
      </c>
      <c r="E574" s="387"/>
    </row>
    <row r="575" spans="2:5" ht="13.5" customHeight="1">
      <c r="B575" s="336" t="s">
        <v>1863</v>
      </c>
      <c r="C575" s="388" t="s">
        <v>7019</v>
      </c>
      <c r="D575" s="386">
        <v>8713.7360532407401</v>
      </c>
      <c r="E575" s="387"/>
    </row>
    <row r="576" spans="2:5" ht="13.5" customHeight="1">
      <c r="B576" s="336" t="s">
        <v>2905</v>
      </c>
      <c r="C576" s="388" t="s">
        <v>4282</v>
      </c>
      <c r="D576" s="386">
        <v>8728.6201967592588</v>
      </c>
      <c r="E576" s="387"/>
    </row>
    <row r="577" spans="2:5" ht="13.5" customHeight="1">
      <c r="B577" s="336" t="s">
        <v>1864</v>
      </c>
      <c r="C577" s="388" t="s">
        <v>7020</v>
      </c>
      <c r="D577" s="386">
        <v>8743.4196064814805</v>
      </c>
      <c r="E577" s="387"/>
    </row>
    <row r="578" spans="2:5" ht="13.5" customHeight="1">
      <c r="B578" s="336" t="s">
        <v>2906</v>
      </c>
      <c r="C578" s="389" t="s">
        <v>4284</v>
      </c>
      <c r="D578" s="386">
        <v>8758.1617708333324</v>
      </c>
      <c r="E578" s="387"/>
    </row>
    <row r="579" spans="2:5" ht="13.5" customHeight="1">
      <c r="B579" s="336" t="s">
        <v>1865</v>
      </c>
      <c r="C579" s="390" t="s">
        <v>9317</v>
      </c>
      <c r="D579" s="386">
        <v>8772.8788541666654</v>
      </c>
      <c r="E579" s="387"/>
    </row>
    <row r="580" spans="2:5" ht="13.5" customHeight="1">
      <c r="B580" s="336" t="s">
        <v>4649</v>
      </c>
      <c r="C580" s="388" t="s">
        <v>4230</v>
      </c>
      <c r="D580" s="386">
        <v>8787.6031134259247</v>
      </c>
      <c r="E580" s="387"/>
    </row>
    <row r="581" spans="2:5" ht="13.5" customHeight="1">
      <c r="B581" s="336" t="s">
        <v>9274</v>
      </c>
      <c r="C581" s="388" t="s">
        <v>7010</v>
      </c>
      <c r="D581" s="386">
        <v>8802.3679166666661</v>
      </c>
      <c r="E581" s="387"/>
    </row>
    <row r="582" spans="2:5" ht="13.5" customHeight="1">
      <c r="B582" s="336" t="s">
        <v>1797</v>
      </c>
      <c r="C582" s="388" t="s">
        <v>4232</v>
      </c>
      <c r="D582" s="386">
        <v>8817.2025231481475</v>
      </c>
      <c r="E582" s="387"/>
    </row>
    <row r="583" spans="2:5" ht="13.5" customHeight="1">
      <c r="B583" s="336" t="s">
        <v>9275</v>
      </c>
      <c r="C583" s="388" t="s">
        <v>7011</v>
      </c>
      <c r="D583" s="386">
        <v>8832.1335879629623</v>
      </c>
      <c r="E583" s="387"/>
    </row>
    <row r="584" spans="2:5" ht="13.5" customHeight="1">
      <c r="B584" s="336" t="s">
        <v>1798</v>
      </c>
      <c r="C584" s="389" t="s">
        <v>4234</v>
      </c>
      <c r="D584" s="386">
        <v>8847.1807291666664</v>
      </c>
      <c r="E584" s="387"/>
    </row>
    <row r="585" spans="2:5" ht="13.5" customHeight="1">
      <c r="B585" s="336" t="s">
        <v>9276</v>
      </c>
      <c r="C585" s="388" t="s">
        <v>7012</v>
      </c>
      <c r="D585" s="386">
        <v>8862.3561921296296</v>
      </c>
      <c r="E585" s="387"/>
    </row>
    <row r="586" spans="2:5" ht="13.5" customHeight="1">
      <c r="B586" s="336" t="s">
        <v>1799</v>
      </c>
      <c r="C586" s="388" t="s">
        <v>4236</v>
      </c>
      <c r="D586" s="386">
        <v>8877.6655208333323</v>
      </c>
      <c r="E586" s="387"/>
    </row>
    <row r="587" spans="2:5" ht="13.5" customHeight="1">
      <c r="B587" s="336" t="s">
        <v>2885</v>
      </c>
      <c r="C587" s="388" t="s">
        <v>7013</v>
      </c>
      <c r="D587" s="386">
        <v>8893.1008680555551</v>
      </c>
      <c r="E587" s="387"/>
    </row>
    <row r="588" spans="2:5" ht="13.5" customHeight="1">
      <c r="B588" s="336" t="s">
        <v>1800</v>
      </c>
      <c r="C588" s="388" t="s">
        <v>4238</v>
      </c>
      <c r="D588" s="386">
        <v>8908.6529282407409</v>
      </c>
      <c r="E588" s="387"/>
    </row>
    <row r="589" spans="2:5" ht="13.5" customHeight="1">
      <c r="B589" s="336" t="s">
        <v>2886</v>
      </c>
      <c r="C589" s="388" t="s">
        <v>7014</v>
      </c>
      <c r="D589" s="386">
        <v>8924.2925578703689</v>
      </c>
      <c r="E589" s="387"/>
    </row>
    <row r="590" spans="2:5" ht="13.5" customHeight="1">
      <c r="B590" s="336" t="s">
        <v>1801</v>
      </c>
      <c r="C590" s="389" t="s">
        <v>4240</v>
      </c>
      <c r="D590" s="386">
        <v>8939.999513888888</v>
      </c>
      <c r="E590" s="387"/>
    </row>
    <row r="591" spans="2:5" ht="13.5" customHeight="1">
      <c r="B591" s="336" t="s">
        <v>2887</v>
      </c>
      <c r="C591" s="388" t="s">
        <v>7015</v>
      </c>
      <c r="D591" s="386">
        <v>8955.7286458333328</v>
      </c>
      <c r="E591" s="387"/>
    </row>
    <row r="592" spans="2:5" ht="13.5" customHeight="1">
      <c r="B592" s="336" t="s">
        <v>1802</v>
      </c>
      <c r="C592" s="388" t="s">
        <v>4242</v>
      </c>
      <c r="D592" s="386">
        <v>8971.4565277777765</v>
      </c>
      <c r="E592" s="387"/>
    </row>
    <row r="593" spans="2:5" ht="13.5" customHeight="1">
      <c r="B593" s="336" t="s">
        <v>2888</v>
      </c>
      <c r="C593" s="388" t="s">
        <v>7016</v>
      </c>
      <c r="D593" s="386">
        <v>8987.1333912037026</v>
      </c>
      <c r="E593" s="387"/>
    </row>
    <row r="594" spans="2:5" ht="13.5" customHeight="1">
      <c r="B594" s="336" t="s">
        <v>1803</v>
      </c>
      <c r="C594" s="388" t="s">
        <v>4276</v>
      </c>
      <c r="D594" s="386">
        <v>9002.7416203703706</v>
      </c>
      <c r="E594" s="387"/>
    </row>
    <row r="595" spans="2:5" ht="13.5" customHeight="1">
      <c r="B595" s="336" t="s">
        <v>2889</v>
      </c>
      <c r="C595" s="388" t="s">
        <v>7017</v>
      </c>
      <c r="D595" s="386">
        <v>9018.2399421296286</v>
      </c>
      <c r="E595" s="387"/>
    </row>
    <row r="596" spans="2:5" ht="13.5" customHeight="1">
      <c r="B596" s="336" t="s">
        <v>1804</v>
      </c>
      <c r="C596" s="389" t="s">
        <v>4278</v>
      </c>
      <c r="D596" s="386">
        <v>9033.62380787037</v>
      </c>
      <c r="E596" s="387"/>
    </row>
    <row r="597" spans="2:5" ht="13.5" customHeight="1">
      <c r="B597" s="336" t="s">
        <v>2890</v>
      </c>
      <c r="C597" s="388" t="s">
        <v>7018</v>
      </c>
      <c r="D597" s="386">
        <v>9048.8695138888888</v>
      </c>
      <c r="E597" s="387"/>
    </row>
    <row r="598" spans="2:5" ht="13.5" customHeight="1">
      <c r="B598" s="336" t="s">
        <v>1805</v>
      </c>
      <c r="C598" s="388" t="s">
        <v>4280</v>
      </c>
      <c r="D598" s="386">
        <v>9063.9890624999989</v>
      </c>
      <c r="E598" s="387"/>
    </row>
    <row r="599" spans="2:5" ht="13.5" customHeight="1">
      <c r="B599" s="336" t="s">
        <v>2891</v>
      </c>
      <c r="C599" s="388" t="s">
        <v>7019</v>
      </c>
      <c r="D599" s="386">
        <v>9078.9784027777769</v>
      </c>
      <c r="E599" s="387"/>
    </row>
    <row r="600" spans="2:5" ht="13.5" customHeight="1">
      <c r="B600" s="336" t="s">
        <v>1806</v>
      </c>
      <c r="C600" s="388" t="s">
        <v>4282</v>
      </c>
      <c r="D600" s="386">
        <v>9093.8652662037039</v>
      </c>
      <c r="E600" s="387"/>
    </row>
    <row r="601" spans="2:5" ht="13.5" customHeight="1">
      <c r="B601" s="336" t="s">
        <v>2892</v>
      </c>
      <c r="C601" s="388" t="s">
        <v>7020</v>
      </c>
      <c r="D601" s="386">
        <v>9108.6615046296283</v>
      </c>
      <c r="E601" s="387"/>
    </row>
    <row r="602" spans="2:5" ht="13.5" customHeight="1">
      <c r="B602" s="336" t="s">
        <v>1807</v>
      </c>
      <c r="C602" s="389" t="s">
        <v>4284</v>
      </c>
      <c r="D602" s="386">
        <v>9123.4061921296288</v>
      </c>
      <c r="E602" s="387"/>
    </row>
    <row r="603" spans="2:5" ht="13.5" customHeight="1">
      <c r="B603" s="336" t="s">
        <v>2893</v>
      </c>
      <c r="C603" s="390" t="s">
        <v>9317</v>
      </c>
      <c r="D603" s="386">
        <v>9138.120034722222</v>
      </c>
      <c r="E603" s="387"/>
    </row>
    <row r="604" spans="2:5" ht="13.5" customHeight="1">
      <c r="B604" s="336" t="s">
        <v>1808</v>
      </c>
      <c r="C604" s="388" t="s">
        <v>4230</v>
      </c>
      <c r="D604" s="386">
        <v>9152.8469675925917</v>
      </c>
      <c r="E604" s="387"/>
    </row>
    <row r="605" spans="2:5" ht="13.5" customHeight="1">
      <c r="B605" s="336" t="s">
        <v>2894</v>
      </c>
      <c r="C605" s="388" t="s">
        <v>7010</v>
      </c>
      <c r="D605" s="386">
        <v>9167.6086226851839</v>
      </c>
      <c r="E605" s="387"/>
    </row>
    <row r="606" spans="2:5" ht="13.5" customHeight="1">
      <c r="B606" s="336" t="s">
        <v>1809</v>
      </c>
      <c r="C606" s="388" t="s">
        <v>4232</v>
      </c>
      <c r="D606" s="386">
        <v>9182.4461921296297</v>
      </c>
      <c r="E606" s="387"/>
    </row>
    <row r="607" spans="2:5" ht="13.5" customHeight="1">
      <c r="B607" s="336" t="s">
        <v>2895</v>
      </c>
      <c r="C607" s="388" t="s">
        <v>7011</v>
      </c>
      <c r="D607" s="386">
        <v>9197.3746643518516</v>
      </c>
      <c r="E607" s="387"/>
    </row>
    <row r="608" spans="2:5" ht="13.5" customHeight="1">
      <c r="B608" s="336" t="s">
        <v>6422</v>
      </c>
      <c r="C608" s="389" t="s">
        <v>4234</v>
      </c>
      <c r="D608" s="386">
        <v>9212.4248148148145</v>
      </c>
      <c r="E608" s="387"/>
    </row>
    <row r="609" spans="2:5" ht="13.5" customHeight="1">
      <c r="B609" s="336" t="s">
        <v>2896</v>
      </c>
      <c r="C609" s="388" t="s">
        <v>7012</v>
      </c>
      <c r="D609" s="386">
        <v>9227.5987962962954</v>
      </c>
      <c r="E609" s="387"/>
    </row>
    <row r="610" spans="2:5" ht="13.5" customHeight="1">
      <c r="B610" s="336" t="s">
        <v>6423</v>
      </c>
      <c r="C610" s="388" t="s">
        <v>4236</v>
      </c>
      <c r="D610" s="386">
        <v>9242.9103125000001</v>
      </c>
      <c r="E610" s="387"/>
    </row>
    <row r="611" spans="2:5" ht="13.5" customHeight="1">
      <c r="B611" s="336" t="s">
        <v>2026</v>
      </c>
      <c r="C611" s="388" t="s">
        <v>7013</v>
      </c>
      <c r="D611" s="386">
        <v>9258.3456712962961</v>
      </c>
      <c r="E611" s="387"/>
    </row>
    <row r="612" spans="2:5" ht="13.5" customHeight="1">
      <c r="B612" s="336" t="s">
        <v>6424</v>
      </c>
      <c r="C612" s="388" t="s">
        <v>4238</v>
      </c>
      <c r="D612" s="386">
        <v>9273.8977662037032</v>
      </c>
      <c r="E612" s="387"/>
    </row>
    <row r="613" spans="2:5" ht="13.5" customHeight="1">
      <c r="B613" s="336" t="s">
        <v>2027</v>
      </c>
      <c r="C613" s="388" t="s">
        <v>7014</v>
      </c>
      <c r="D613" s="386">
        <v>9289.5391435185174</v>
      </c>
      <c r="E613" s="387"/>
    </row>
    <row r="614" spans="2:5" ht="13.5" customHeight="1">
      <c r="B614" s="336" t="s">
        <v>6425</v>
      </c>
      <c r="C614" s="389" t="s">
        <v>4240</v>
      </c>
      <c r="D614" s="386">
        <v>9305.2430208333335</v>
      </c>
      <c r="E614" s="387"/>
    </row>
    <row r="615" spans="2:5" ht="13.5" customHeight="1">
      <c r="B615" s="336" t="s">
        <v>2028</v>
      </c>
      <c r="C615" s="388" t="s">
        <v>7015</v>
      </c>
      <c r="D615" s="386">
        <v>9320.9757291666665</v>
      </c>
      <c r="E615" s="387"/>
    </row>
    <row r="616" spans="2:5" ht="13.5" customHeight="1">
      <c r="B616" s="336" t="s">
        <v>6426</v>
      </c>
      <c r="C616" s="388" t="s">
        <v>4242</v>
      </c>
      <c r="D616" s="386">
        <v>9336.6978356481468</v>
      </c>
      <c r="E616" s="387"/>
    </row>
    <row r="617" spans="2:5" ht="13.5" customHeight="1">
      <c r="B617" s="336" t="s">
        <v>2029</v>
      </c>
      <c r="C617" s="388" t="s">
        <v>7016</v>
      </c>
      <c r="D617" s="386">
        <v>9352.3799305555549</v>
      </c>
      <c r="E617" s="387"/>
    </row>
    <row r="618" spans="2:5" ht="13.5" customHeight="1">
      <c r="B618" s="336" t="s">
        <v>6427</v>
      </c>
      <c r="C618" s="388" t="s">
        <v>4276</v>
      </c>
      <c r="D618" s="386">
        <v>9367.9812384259258</v>
      </c>
      <c r="E618" s="387"/>
    </row>
    <row r="619" spans="2:5" ht="13.5" customHeight="1">
      <c r="B619" s="336" t="s">
        <v>2030</v>
      </c>
      <c r="C619" s="388" t="s">
        <v>7017</v>
      </c>
      <c r="D619" s="386">
        <v>9383.485995370369</v>
      </c>
      <c r="E619" s="387"/>
    </row>
    <row r="620" spans="2:5" ht="13.5" customHeight="1">
      <c r="B620" s="336" t="s">
        <v>6428</v>
      </c>
      <c r="C620" s="389" t="s">
        <v>4278</v>
      </c>
      <c r="D620" s="386">
        <v>9398.8632291666654</v>
      </c>
      <c r="E620" s="387"/>
    </row>
    <row r="621" spans="2:5" ht="13.5" customHeight="1">
      <c r="B621" s="336" t="s">
        <v>2031</v>
      </c>
      <c r="C621" s="388" t="s">
        <v>7018</v>
      </c>
      <c r="D621" s="386">
        <v>9414.1160185185181</v>
      </c>
      <c r="E621" s="387"/>
    </row>
    <row r="622" spans="2:5" ht="13.5" customHeight="1">
      <c r="B622" s="336" t="s">
        <v>6429</v>
      </c>
      <c r="C622" s="388" t="s">
        <v>4280</v>
      </c>
      <c r="D622" s="386">
        <v>9429.2296874999993</v>
      </c>
      <c r="E622" s="387"/>
    </row>
    <row r="623" spans="2:5" ht="13.5" customHeight="1">
      <c r="B623" s="336" t="s">
        <v>2032</v>
      </c>
      <c r="C623" s="388" t="s">
        <v>7019</v>
      </c>
      <c r="D623" s="386">
        <v>9444.226284722221</v>
      </c>
      <c r="E623" s="387"/>
    </row>
    <row r="624" spans="2:5" ht="13.5" customHeight="1">
      <c r="B624" s="336" t="s">
        <v>7103</v>
      </c>
      <c r="C624" s="388" t="s">
        <v>4282</v>
      </c>
      <c r="D624" s="386">
        <v>9459.1077546296292</v>
      </c>
      <c r="E624" s="387"/>
    </row>
    <row r="625" spans="2:5" ht="13.5" customHeight="1">
      <c r="B625" s="336" t="s">
        <v>2033</v>
      </c>
      <c r="C625" s="388" t="s">
        <v>7020</v>
      </c>
      <c r="D625" s="386">
        <v>9473.9111111111106</v>
      </c>
      <c r="E625" s="387"/>
    </row>
    <row r="626" spans="2:5" ht="13.5" customHeight="1">
      <c r="B626" s="336" t="s">
        <v>7104</v>
      </c>
      <c r="C626" s="389" t="s">
        <v>4284</v>
      </c>
      <c r="D626" s="386">
        <v>9488.650335648148</v>
      </c>
      <c r="E626" s="387"/>
    </row>
    <row r="627" spans="2:5" ht="13.5" customHeight="1">
      <c r="B627" s="336" t="s">
        <v>2034</v>
      </c>
      <c r="C627" s="390" t="s">
        <v>9317</v>
      </c>
      <c r="D627" s="386">
        <v>9503.3709374999999</v>
      </c>
      <c r="E627" s="387"/>
    </row>
    <row r="628" spans="2:5" ht="13.5" customHeight="1">
      <c r="B628" s="336" t="s">
        <v>7105</v>
      </c>
      <c r="C628" s="388" t="s">
        <v>4230</v>
      </c>
      <c r="D628" s="386">
        <v>9518.0918750000001</v>
      </c>
      <c r="E628" s="387"/>
    </row>
    <row r="629" spans="2:5" ht="13.5" customHeight="1">
      <c r="B629" s="336" t="s">
        <v>5967</v>
      </c>
      <c r="C629" s="388" t="s">
        <v>7010</v>
      </c>
      <c r="D629" s="386">
        <v>9532.8596759259253</v>
      </c>
      <c r="E629" s="387"/>
    </row>
    <row r="630" spans="2:5" ht="13.5" customHeight="1">
      <c r="B630" s="336" t="s">
        <v>7106</v>
      </c>
      <c r="C630" s="388" t="s">
        <v>4232</v>
      </c>
      <c r="D630" s="386">
        <v>9547.6904861111107</v>
      </c>
      <c r="E630" s="387"/>
    </row>
    <row r="631" spans="2:5" ht="13.5" customHeight="1">
      <c r="B631" s="336" t="s">
        <v>5968</v>
      </c>
      <c r="C631" s="388" t="s">
        <v>7011</v>
      </c>
      <c r="D631" s="386">
        <v>9562.6243749999994</v>
      </c>
      <c r="E631" s="387"/>
    </row>
    <row r="632" spans="2:5" ht="13.5" customHeight="1">
      <c r="B632" s="336" t="s">
        <v>7107</v>
      </c>
      <c r="C632" s="389" t="s">
        <v>4234</v>
      </c>
      <c r="D632" s="386">
        <v>9577.667118055555</v>
      </c>
      <c r="E632" s="387"/>
    </row>
    <row r="633" spans="2:5" ht="13.5" customHeight="1">
      <c r="B633" s="336" t="s">
        <v>5969</v>
      </c>
      <c r="C633" s="388" t="s">
        <v>7012</v>
      </c>
      <c r="D633" s="386">
        <v>9592.8457407407404</v>
      </c>
      <c r="E633" s="387"/>
    </row>
    <row r="634" spans="2:5" ht="13.5" customHeight="1">
      <c r="B634" s="336" t="s">
        <v>7108</v>
      </c>
      <c r="C634" s="388" t="s">
        <v>4236</v>
      </c>
      <c r="D634" s="386">
        <v>9608.1498379629629</v>
      </c>
      <c r="E634" s="387"/>
    </row>
    <row r="635" spans="2:5" ht="13.5" customHeight="1">
      <c r="B635" s="336" t="s">
        <v>5970</v>
      </c>
      <c r="C635" s="388" t="s">
        <v>7013</v>
      </c>
      <c r="D635" s="386">
        <v>9623.5889699074069</v>
      </c>
      <c r="E635" s="387"/>
    </row>
    <row r="636" spans="2:5" ht="13.5" customHeight="1">
      <c r="B636" s="336" t="s">
        <v>7109</v>
      </c>
      <c r="C636" s="388" t="s">
        <v>4238</v>
      </c>
      <c r="D636" s="386">
        <v>9639.1348263888885</v>
      </c>
      <c r="E636" s="387"/>
    </row>
    <row r="637" spans="2:5" ht="13.5" customHeight="1">
      <c r="B637" s="336" t="s">
        <v>6165</v>
      </c>
      <c r="C637" s="388" t="s">
        <v>7014</v>
      </c>
      <c r="D637" s="386">
        <v>9654.7786689814802</v>
      </c>
      <c r="E637" s="387"/>
    </row>
    <row r="638" spans="2:5" ht="13.5" customHeight="1">
      <c r="B638" s="336" t="s">
        <v>7110</v>
      </c>
      <c r="C638" s="389" t="s">
        <v>4240</v>
      </c>
      <c r="D638" s="386">
        <v>9670.4788194444445</v>
      </c>
      <c r="E638" s="387"/>
    </row>
    <row r="639" spans="2:5" ht="13.5" customHeight="1">
      <c r="B639" s="336" t="s">
        <v>6166</v>
      </c>
      <c r="C639" s="388" t="s">
        <v>7015</v>
      </c>
      <c r="D639" s="386">
        <v>9686.2120138888877</v>
      </c>
      <c r="E639" s="387"/>
    </row>
    <row r="640" spans="2:5" ht="13.5" customHeight="1">
      <c r="B640" s="336" t="s">
        <v>7111</v>
      </c>
      <c r="C640" s="388" t="s">
        <v>4242</v>
      </c>
      <c r="D640" s="386">
        <v>9701.9336342592578</v>
      </c>
      <c r="E640" s="387"/>
    </row>
    <row r="641" spans="2:5" ht="13.5" customHeight="1">
      <c r="B641" s="336" t="s">
        <v>6167</v>
      </c>
      <c r="C641" s="388" t="s">
        <v>7016</v>
      </c>
      <c r="D641" s="386">
        <v>9717.6139930555546</v>
      </c>
      <c r="E641" s="387"/>
    </row>
    <row r="642" spans="2:5" ht="13.5" customHeight="1">
      <c r="B642" s="336" t="s">
        <v>7112</v>
      </c>
      <c r="C642" s="388" t="s">
        <v>4276</v>
      </c>
      <c r="D642" s="386">
        <v>9733.2179282407396</v>
      </c>
      <c r="E642" s="387"/>
    </row>
    <row r="643" spans="2:5" ht="13.5" customHeight="1">
      <c r="B643" s="336" t="s">
        <v>6168</v>
      </c>
      <c r="C643" s="388" t="s">
        <v>7017</v>
      </c>
      <c r="D643" s="386">
        <v>9748.7193634259256</v>
      </c>
      <c r="E643" s="387"/>
    </row>
    <row r="644" spans="2:5" ht="13.5" customHeight="1">
      <c r="B644" s="336" t="s">
        <v>7113</v>
      </c>
      <c r="C644" s="389" t="s">
        <v>4278</v>
      </c>
      <c r="D644" s="386">
        <v>9764.1016550925924</v>
      </c>
      <c r="E644" s="387"/>
    </row>
    <row r="645" spans="2:5" ht="13.5" customHeight="1">
      <c r="B645" s="336" t="s">
        <v>6169</v>
      </c>
      <c r="C645" s="388" t="s">
        <v>7018</v>
      </c>
      <c r="D645" s="386">
        <v>9779.3505555555548</v>
      </c>
      <c r="E645" s="387"/>
    </row>
    <row r="646" spans="2:5" ht="13.5" customHeight="1">
      <c r="B646" s="336" t="s">
        <v>7114</v>
      </c>
      <c r="C646" s="388" t="s">
        <v>4280</v>
      </c>
      <c r="D646" s="386">
        <v>9794.470844907406</v>
      </c>
      <c r="E646" s="387"/>
    </row>
    <row r="647" spans="2:5" ht="13.5" customHeight="1">
      <c r="B647" s="336" t="s">
        <v>6170</v>
      </c>
      <c r="C647" s="388" t="s">
        <v>7019</v>
      </c>
      <c r="D647" s="386">
        <v>9809.4635879629623</v>
      </c>
      <c r="E647" s="387"/>
    </row>
    <row r="648" spans="2:5" ht="13.5" customHeight="1">
      <c r="B648" s="336" t="s">
        <v>7115</v>
      </c>
      <c r="C648" s="388" t="s">
        <v>4282</v>
      </c>
      <c r="D648" s="386">
        <v>9824.3523379629623</v>
      </c>
      <c r="E648" s="387"/>
    </row>
    <row r="649" spans="2:5" ht="13.5" customHeight="1">
      <c r="B649" s="336" t="s">
        <v>6171</v>
      </c>
      <c r="C649" s="388" t="s">
        <v>7020</v>
      </c>
      <c r="D649" s="386">
        <v>9839.1518171296284</v>
      </c>
      <c r="E649" s="387"/>
    </row>
    <row r="650" spans="2:5" ht="13.5" customHeight="1">
      <c r="B650" s="336" t="s">
        <v>7116</v>
      </c>
      <c r="C650" s="389" t="s">
        <v>4284</v>
      </c>
      <c r="D650" s="386">
        <v>9853.8981018518516</v>
      </c>
      <c r="E650" s="387"/>
    </row>
    <row r="651" spans="2:5" ht="13.5" customHeight="1">
      <c r="B651" s="336" t="s">
        <v>6172</v>
      </c>
      <c r="C651" s="390" t="s">
        <v>9317</v>
      </c>
      <c r="D651" s="386">
        <v>9868.6143749999992</v>
      </c>
      <c r="E651" s="387"/>
    </row>
    <row r="652" spans="2:5" ht="13.5" customHeight="1">
      <c r="B652" s="336" t="s">
        <v>7117</v>
      </c>
      <c r="C652" s="388" t="s">
        <v>4230</v>
      </c>
      <c r="D652" s="386">
        <v>9883.341597222221</v>
      </c>
      <c r="E652" s="387"/>
    </row>
    <row r="653" spans="2:5" ht="13.5" customHeight="1">
      <c r="B653" s="336" t="s">
        <v>6173</v>
      </c>
      <c r="C653" s="388" t="s">
        <v>7010</v>
      </c>
      <c r="D653" s="386">
        <v>9898.1042245370372</v>
      </c>
      <c r="E653" s="387"/>
    </row>
    <row r="654" spans="2:5" ht="13.5" customHeight="1">
      <c r="B654" s="336" t="s">
        <v>7118</v>
      </c>
      <c r="C654" s="388" t="s">
        <v>4232</v>
      </c>
      <c r="D654" s="386">
        <v>9912.9404629629626</v>
      </c>
      <c r="E654" s="387"/>
    </row>
    <row r="655" spans="2:5" ht="13.5" customHeight="1">
      <c r="B655" s="336" t="s">
        <v>6174</v>
      </c>
      <c r="C655" s="388" t="s">
        <v>7011</v>
      </c>
      <c r="D655" s="386">
        <v>9927.8681597222221</v>
      </c>
      <c r="E655" s="387"/>
    </row>
    <row r="656" spans="2:5" ht="13.5" customHeight="1">
      <c r="B656" s="336" t="s">
        <v>7119</v>
      </c>
      <c r="C656" s="389" t="s">
        <v>4234</v>
      </c>
      <c r="D656" s="386">
        <v>9942.9159374999999</v>
      </c>
      <c r="E656" s="387"/>
    </row>
    <row r="657" spans="2:5" ht="13.5" customHeight="1">
      <c r="B657" s="336" t="s">
        <v>6175</v>
      </c>
      <c r="C657" s="388" t="s">
        <v>7012</v>
      </c>
      <c r="D657" s="386">
        <v>9958.0874421296285</v>
      </c>
      <c r="E657" s="387"/>
    </row>
    <row r="658" spans="2:5" ht="13.5" customHeight="1">
      <c r="B658" s="336" t="s">
        <v>7120</v>
      </c>
      <c r="C658" s="388" t="s">
        <v>4236</v>
      </c>
      <c r="D658" s="386">
        <v>9973.3969097222216</v>
      </c>
      <c r="E658" s="387"/>
    </row>
    <row r="659" spans="2:5" ht="13.5" customHeight="1">
      <c r="B659" s="336" t="s">
        <v>6176</v>
      </c>
      <c r="C659" s="388" t="s">
        <v>7013</v>
      </c>
      <c r="D659" s="386">
        <v>9988.8284606481484</v>
      </c>
      <c r="E659" s="387"/>
    </row>
    <row r="660" spans="2:5" ht="13.5" customHeight="1">
      <c r="B660" s="336" t="s">
        <v>7121</v>
      </c>
      <c r="C660" s="388" t="s">
        <v>4238</v>
      </c>
      <c r="D660" s="386">
        <v>10004.380393518519</v>
      </c>
      <c r="E660" s="387"/>
    </row>
    <row r="661" spans="2:5" ht="13.5" customHeight="1">
      <c r="B661" s="336" t="s">
        <v>6177</v>
      </c>
      <c r="C661" s="388" t="s">
        <v>7014</v>
      </c>
      <c r="D661" s="386">
        <v>10020.017048611111</v>
      </c>
      <c r="E661" s="387"/>
    </row>
    <row r="662" spans="2:5" ht="13.5" customHeight="1">
      <c r="B662" s="336" t="s">
        <v>7122</v>
      </c>
      <c r="C662" s="389" t="s">
        <v>4240</v>
      </c>
      <c r="D662" s="386">
        <v>10035.723530092591</v>
      </c>
      <c r="E662" s="387"/>
    </row>
    <row r="663" spans="2:5" ht="13.5" customHeight="1">
      <c r="B663" s="336" t="s">
        <v>6178</v>
      </c>
      <c r="C663" s="388" t="s">
        <v>7015</v>
      </c>
      <c r="D663" s="386">
        <v>10051.451041666665</v>
      </c>
      <c r="E663" s="387"/>
    </row>
    <row r="664" spans="2:5" ht="13.5" customHeight="1">
      <c r="B664" s="336" t="s">
        <v>7123</v>
      </c>
      <c r="C664" s="388" t="s">
        <v>4242</v>
      </c>
      <c r="D664" s="386">
        <v>10067.178032407406</v>
      </c>
      <c r="E664" s="387"/>
    </row>
    <row r="665" spans="2:5" ht="13.5" customHeight="1">
      <c r="B665" s="336" t="s">
        <v>6179</v>
      </c>
      <c r="C665" s="388" t="s">
        <v>7016</v>
      </c>
      <c r="D665" s="386">
        <v>10082.854895833332</v>
      </c>
      <c r="E665" s="387"/>
    </row>
    <row r="666" spans="2:5" ht="13.5" customHeight="1">
      <c r="B666" s="336" t="s">
        <v>7124</v>
      </c>
      <c r="C666" s="388" t="s">
        <v>4276</v>
      </c>
      <c r="D666" s="386">
        <v>10098.462094907407</v>
      </c>
      <c r="E666" s="387"/>
    </row>
    <row r="667" spans="2:5" ht="13.5" customHeight="1">
      <c r="B667" s="336" t="s">
        <v>6180</v>
      </c>
      <c r="C667" s="388" t="s">
        <v>7017</v>
      </c>
      <c r="D667" s="386">
        <v>10113.962037037036</v>
      </c>
      <c r="E667" s="387"/>
    </row>
    <row r="668" spans="2:5" ht="13.5" customHeight="1">
      <c r="B668" s="336" t="s">
        <v>7125</v>
      </c>
      <c r="C668" s="389" t="s">
        <v>4278</v>
      </c>
      <c r="D668" s="386">
        <v>10129.345138888888</v>
      </c>
      <c r="E668" s="387"/>
    </row>
    <row r="669" spans="2:5" ht="13.5" customHeight="1">
      <c r="B669" s="336" t="s">
        <v>345</v>
      </c>
      <c r="C669" s="388" t="s">
        <v>7018</v>
      </c>
      <c r="D669" s="386">
        <v>10144.593773148148</v>
      </c>
      <c r="E669" s="387"/>
    </row>
    <row r="670" spans="2:5" ht="13.5" customHeight="1">
      <c r="B670" s="336" t="s">
        <v>7126</v>
      </c>
      <c r="C670" s="388" t="s">
        <v>4280</v>
      </c>
      <c r="D670" s="386">
        <v>10159.713009259258</v>
      </c>
      <c r="E670" s="387"/>
    </row>
    <row r="671" spans="2:5" ht="13.5" customHeight="1">
      <c r="B671" s="336" t="s">
        <v>346</v>
      </c>
      <c r="C671" s="388" t="s">
        <v>7019</v>
      </c>
      <c r="D671" s="386">
        <v>10174.706099537036</v>
      </c>
      <c r="E671" s="387"/>
    </row>
    <row r="672" spans="2:5" ht="13.5" customHeight="1">
      <c r="B672" s="336" t="s">
        <v>7127</v>
      </c>
      <c r="C672" s="388" t="s">
        <v>4282</v>
      </c>
      <c r="D672" s="386">
        <v>10189.592951388888</v>
      </c>
      <c r="E672" s="387"/>
    </row>
    <row r="673" spans="2:5" ht="13.5" customHeight="1">
      <c r="B673" s="336" t="s">
        <v>347</v>
      </c>
      <c r="C673" s="388" t="s">
        <v>7020</v>
      </c>
      <c r="D673" s="386">
        <v>10204.393101851851</v>
      </c>
      <c r="E673" s="387"/>
    </row>
    <row r="674" spans="2:5" ht="13.5" customHeight="1">
      <c r="B674" s="336" t="s">
        <v>7128</v>
      </c>
      <c r="C674" s="389" t="s">
        <v>4284</v>
      </c>
      <c r="D674" s="386">
        <v>10219.137592592591</v>
      </c>
      <c r="E674" s="387"/>
    </row>
    <row r="675" spans="2:5" ht="13.5" customHeight="1">
      <c r="B675" s="336" t="s">
        <v>348</v>
      </c>
      <c r="C675" s="390" t="s">
        <v>9317</v>
      </c>
      <c r="D675" s="386">
        <v>10233.854826388888</v>
      </c>
      <c r="E675" s="387"/>
    </row>
    <row r="676" spans="2:5" ht="13.5" customHeight="1">
      <c r="B676" s="336" t="s">
        <v>7129</v>
      </c>
      <c r="C676" s="388" t="s">
        <v>4230</v>
      </c>
      <c r="D676" s="386">
        <v>10248.580752314814</v>
      </c>
      <c r="E676" s="387"/>
    </row>
    <row r="677" spans="2:5" ht="13.5" customHeight="1">
      <c r="B677" s="336" t="s">
        <v>349</v>
      </c>
      <c r="C677" s="388" t="s">
        <v>7010</v>
      </c>
      <c r="D677" s="386">
        <v>10263.344641203703</v>
      </c>
      <c r="E677" s="387"/>
    </row>
    <row r="678" spans="2:5" ht="13.5" customHeight="1">
      <c r="B678" s="336" t="s">
        <v>7130</v>
      </c>
      <c r="C678" s="388" t="s">
        <v>4232</v>
      </c>
      <c r="D678" s="386">
        <v>10278.179837962962</v>
      </c>
      <c r="E678" s="387"/>
    </row>
    <row r="679" spans="2:5" ht="13.5" customHeight="1">
      <c r="B679" s="336" t="s">
        <v>8800</v>
      </c>
      <c r="C679" s="388" t="s">
        <v>7011</v>
      </c>
      <c r="D679" s="386">
        <v>10293.10917824074</v>
      </c>
      <c r="E679" s="387"/>
    </row>
    <row r="680" spans="2:5" ht="13.5" customHeight="1">
      <c r="B680" s="336" t="s">
        <v>7131</v>
      </c>
      <c r="C680" s="389" t="s">
        <v>4234</v>
      </c>
      <c r="D680" s="386">
        <v>10308.155474537036</v>
      </c>
      <c r="E680" s="387"/>
    </row>
    <row r="681" spans="2:5" ht="13.5" customHeight="1">
      <c r="B681" s="336" t="s">
        <v>8801</v>
      </c>
      <c r="C681" s="388" t="s">
        <v>7012</v>
      </c>
      <c r="D681" s="386">
        <v>10323.329386574074</v>
      </c>
      <c r="E681" s="387"/>
    </row>
    <row r="682" spans="2:5" ht="13.5" customHeight="1">
      <c r="B682" s="336" t="s">
        <v>7132</v>
      </c>
      <c r="C682" s="388" t="s">
        <v>4236</v>
      </c>
      <c r="D682" s="386">
        <v>10338.636203703703</v>
      </c>
      <c r="E682" s="387"/>
    </row>
    <row r="683" spans="2:5" ht="13.5" customHeight="1">
      <c r="B683" s="336" t="s">
        <v>8802</v>
      </c>
      <c r="C683" s="388" t="s">
        <v>7013</v>
      </c>
      <c r="D683" s="386">
        <v>10354.071585648147</v>
      </c>
      <c r="E683" s="387"/>
    </row>
    <row r="684" spans="2:5" ht="13.5" customHeight="1">
      <c r="B684" s="336" t="s">
        <v>7133</v>
      </c>
      <c r="C684" s="388" t="s">
        <v>4238</v>
      </c>
      <c r="D684" s="386">
        <v>10369.619328703702</v>
      </c>
      <c r="E684" s="387"/>
    </row>
    <row r="685" spans="2:5" ht="13.5" customHeight="1">
      <c r="B685" s="336" t="s">
        <v>8803</v>
      </c>
      <c r="C685" s="388" t="s">
        <v>7014</v>
      </c>
      <c r="D685" s="386">
        <v>10385.261724537037</v>
      </c>
      <c r="E685" s="387"/>
    </row>
    <row r="686" spans="2:5" ht="13.5" customHeight="1">
      <c r="B686" s="336" t="s">
        <v>7134</v>
      </c>
      <c r="C686" s="389" t="s">
        <v>4240</v>
      </c>
      <c r="D686" s="386">
        <v>10400.962662037036</v>
      </c>
      <c r="E686" s="387"/>
    </row>
    <row r="687" spans="2:5" ht="13.5" customHeight="1">
      <c r="B687" s="336" t="s">
        <v>8804</v>
      </c>
      <c r="C687" s="388" t="s">
        <v>7015</v>
      </c>
      <c r="D687" s="386">
        <v>10416.697384259258</v>
      </c>
      <c r="E687" s="387"/>
    </row>
    <row r="688" spans="2:5" ht="13.5" customHeight="1">
      <c r="B688" s="336" t="s">
        <v>7135</v>
      </c>
      <c r="C688" s="388" t="s">
        <v>4242</v>
      </c>
      <c r="D688" s="386">
        <v>10432.418148148148</v>
      </c>
      <c r="E688" s="387"/>
    </row>
    <row r="689" spans="2:5" ht="13.5" customHeight="1">
      <c r="B689" s="336" t="s">
        <v>8805</v>
      </c>
      <c r="C689" s="388" t="s">
        <v>7016</v>
      </c>
      <c r="D689" s="386">
        <v>10448.102326388887</v>
      </c>
      <c r="E689" s="387"/>
    </row>
    <row r="690" spans="2:5" ht="13.5" customHeight="1">
      <c r="B690" s="336" t="s">
        <v>7136</v>
      </c>
      <c r="C690" s="388" t="s">
        <v>4276</v>
      </c>
      <c r="D690" s="386">
        <v>10463.703356481481</v>
      </c>
      <c r="E690" s="387"/>
    </row>
    <row r="691" spans="2:5" ht="13.5" customHeight="1">
      <c r="B691" s="336" t="s">
        <v>8806</v>
      </c>
      <c r="C691" s="388" t="s">
        <v>7017</v>
      </c>
      <c r="D691" s="386">
        <v>10479.209398148147</v>
      </c>
      <c r="E691" s="387"/>
    </row>
    <row r="692" spans="2:5" ht="13.5" customHeight="1">
      <c r="B692" s="336" t="s">
        <v>7137</v>
      </c>
      <c r="C692" s="389" t="s">
        <v>4278</v>
      </c>
      <c r="D692" s="386">
        <v>10494.586863425926</v>
      </c>
      <c r="E692" s="387"/>
    </row>
    <row r="693" spans="2:5" ht="13.5" customHeight="1">
      <c r="B693" s="336" t="s">
        <v>8807</v>
      </c>
      <c r="C693" s="388" t="s">
        <v>7018</v>
      </c>
      <c r="D693" s="386">
        <v>10509.840057870369</v>
      </c>
      <c r="E693" s="387"/>
    </row>
    <row r="694" spans="2:5" ht="13.5" customHeight="1">
      <c r="B694" s="336" t="s">
        <v>7138</v>
      </c>
      <c r="C694" s="388" t="s">
        <v>4280</v>
      </c>
      <c r="D694" s="386">
        <v>10524.95429398148</v>
      </c>
      <c r="E694" s="387"/>
    </row>
    <row r="695" spans="2:5" ht="13.5" customHeight="1">
      <c r="B695" s="336" t="s">
        <v>8808</v>
      </c>
      <c r="C695" s="388" t="s">
        <v>7019</v>
      </c>
      <c r="D695" s="386">
        <v>10539.9509375</v>
      </c>
      <c r="E695" s="387"/>
    </row>
    <row r="696" spans="2:5" ht="13.5" customHeight="1">
      <c r="B696" s="336" t="s">
        <v>7139</v>
      </c>
      <c r="C696" s="388" t="s">
        <v>4282</v>
      </c>
      <c r="D696" s="386">
        <v>10554.833333333332</v>
      </c>
      <c r="E696" s="387"/>
    </row>
    <row r="697" spans="2:5" ht="13.5" customHeight="1">
      <c r="B697" s="336" t="s">
        <v>8809</v>
      </c>
      <c r="C697" s="388" t="s">
        <v>7020</v>
      </c>
      <c r="D697" s="386">
        <v>10569.636863425925</v>
      </c>
      <c r="E697" s="387"/>
    </row>
    <row r="698" spans="2:5" ht="13.5" customHeight="1">
      <c r="B698" s="336" t="s">
        <v>5634</v>
      </c>
      <c r="C698" s="389" t="s">
        <v>4284</v>
      </c>
      <c r="D698" s="386">
        <v>10584.377349537037</v>
      </c>
      <c r="E698" s="387"/>
    </row>
    <row r="699" spans="2:5" ht="13.5" customHeight="1">
      <c r="B699" s="336" t="s">
        <v>8810</v>
      </c>
      <c r="C699" s="390" t="s">
        <v>9317</v>
      </c>
      <c r="D699" s="386">
        <v>10599.098414351851</v>
      </c>
      <c r="E699" s="387"/>
    </row>
    <row r="700" spans="2:5" ht="13.5" customHeight="1">
      <c r="B700" s="336" t="s">
        <v>5635</v>
      </c>
      <c r="C700" s="388" t="s">
        <v>4230</v>
      </c>
      <c r="D700" s="386">
        <v>10613.820775462962</v>
      </c>
      <c r="E700" s="387"/>
    </row>
    <row r="701" spans="2:5" ht="13.5" customHeight="1">
      <c r="B701" s="336" t="s">
        <v>4453</v>
      </c>
      <c r="C701" s="388" t="s">
        <v>7010</v>
      </c>
      <c r="D701" s="386">
        <v>10628.589155092592</v>
      </c>
      <c r="E701" s="387"/>
    </row>
    <row r="702" spans="2:5" ht="13.5" customHeight="1">
      <c r="B702" s="336" t="s">
        <v>5636</v>
      </c>
      <c r="C702" s="388" t="s">
        <v>4232</v>
      </c>
      <c r="D702" s="386">
        <v>10643.421307870371</v>
      </c>
      <c r="E702" s="387"/>
    </row>
    <row r="703" spans="2:5" ht="13.5" customHeight="1">
      <c r="B703" s="336" t="s">
        <v>4454</v>
      </c>
      <c r="C703" s="388" t="s">
        <v>7011</v>
      </c>
      <c r="D703" s="386">
        <v>10658.355439814814</v>
      </c>
      <c r="E703" s="387"/>
    </row>
    <row r="704" spans="2:5" ht="13.5" customHeight="1">
      <c r="B704" s="336" t="s">
        <v>90</v>
      </c>
      <c r="C704" s="389" t="s">
        <v>4234</v>
      </c>
      <c r="D704" s="386">
        <v>10673.399282407407</v>
      </c>
      <c r="E704" s="387"/>
    </row>
    <row r="705" spans="2:5" ht="13.5" customHeight="1">
      <c r="B705" s="336" t="s">
        <v>4455</v>
      </c>
      <c r="C705" s="388" t="s">
        <v>7012</v>
      </c>
      <c r="D705" s="386">
        <v>10688.57730324074</v>
      </c>
      <c r="E705" s="387"/>
    </row>
    <row r="706" spans="2:5" ht="13.5" customHeight="1">
      <c r="B706" s="336" t="s">
        <v>91</v>
      </c>
      <c r="C706" s="388" t="s">
        <v>4236</v>
      </c>
      <c r="D706" s="386">
        <v>10703.882245370371</v>
      </c>
      <c r="E706" s="387"/>
    </row>
    <row r="707" spans="2:5" ht="13.5" customHeight="1">
      <c r="B707" s="336" t="s">
        <v>4456</v>
      </c>
      <c r="C707" s="388" t="s">
        <v>7013</v>
      </c>
      <c r="D707" s="386">
        <v>10719.319594907407</v>
      </c>
      <c r="E707" s="387"/>
    </row>
    <row r="708" spans="2:5" ht="13.5" customHeight="1">
      <c r="B708" s="336" t="s">
        <v>92</v>
      </c>
      <c r="C708" s="388" t="s">
        <v>4238</v>
      </c>
      <c r="D708" s="386">
        <v>10734.866284722222</v>
      </c>
      <c r="E708" s="387"/>
    </row>
    <row r="709" spans="2:5" ht="13.5" customHeight="1">
      <c r="B709" s="336" t="s">
        <v>4457</v>
      </c>
      <c r="C709" s="388" t="s">
        <v>7014</v>
      </c>
      <c r="D709" s="386">
        <v>10750.507326388888</v>
      </c>
      <c r="E709" s="387"/>
    </row>
    <row r="710" spans="2:5" ht="13.5" customHeight="1">
      <c r="B710" s="336" t="s">
        <v>93</v>
      </c>
      <c r="C710" s="389" t="s">
        <v>4240</v>
      </c>
      <c r="D710" s="386">
        <v>10766.208680555555</v>
      </c>
      <c r="E710" s="387"/>
    </row>
    <row r="711" spans="2:5" ht="13.5" customHeight="1">
      <c r="B711" s="336" t="s">
        <v>4458</v>
      </c>
      <c r="C711" s="388" t="s">
        <v>7015</v>
      </c>
      <c r="D711" s="386">
        <v>10781.938703703703</v>
      </c>
      <c r="E711" s="387"/>
    </row>
    <row r="712" spans="2:5" ht="13.5" customHeight="1">
      <c r="B712" s="336" t="s">
        <v>94</v>
      </c>
      <c r="C712" s="388" t="s">
        <v>4242</v>
      </c>
      <c r="D712" s="386">
        <v>10797.66204861111</v>
      </c>
      <c r="E712" s="387"/>
    </row>
    <row r="713" spans="2:5" ht="13.5" customHeight="1">
      <c r="B713" s="336" t="s">
        <v>4459</v>
      </c>
      <c r="C713" s="388" t="s">
        <v>7016</v>
      </c>
      <c r="D713" s="386">
        <v>10813.33949074074</v>
      </c>
      <c r="E713" s="387"/>
    </row>
    <row r="714" spans="2:5" ht="13.5" customHeight="1">
      <c r="B714" s="336" t="s">
        <v>95</v>
      </c>
      <c r="C714" s="388" t="s">
        <v>4276</v>
      </c>
      <c r="D714" s="386">
        <v>10828.945277777777</v>
      </c>
      <c r="E714" s="387"/>
    </row>
    <row r="715" spans="2:5" ht="13.5" customHeight="1">
      <c r="B715" s="336" t="s">
        <v>4460</v>
      </c>
      <c r="C715" s="388" t="s">
        <v>7017</v>
      </c>
      <c r="D715" s="386">
        <v>10844.444155092591</v>
      </c>
      <c r="E715" s="387"/>
    </row>
    <row r="716" spans="2:5" ht="13.5" customHeight="1">
      <c r="B716" s="336" t="s">
        <v>96</v>
      </c>
      <c r="C716" s="389" t="s">
        <v>4278</v>
      </c>
      <c r="D716" s="386">
        <v>10859.8278125</v>
      </c>
      <c r="E716" s="387"/>
    </row>
    <row r="717" spans="2:5" ht="13.5" customHeight="1">
      <c r="B717" s="336" t="s">
        <v>7555</v>
      </c>
      <c r="C717" s="388" t="s">
        <v>7018</v>
      </c>
      <c r="D717" s="386">
        <v>10875.074270833333</v>
      </c>
      <c r="E717" s="387"/>
    </row>
    <row r="718" spans="2:5" ht="13.5" customHeight="1">
      <c r="B718" s="336" t="s">
        <v>97</v>
      </c>
      <c r="C718" s="388" t="s">
        <v>4280</v>
      </c>
      <c r="D718" s="386">
        <v>10890.195266203704</v>
      </c>
      <c r="E718" s="387"/>
    </row>
    <row r="719" spans="2:5" ht="13.5" customHeight="1">
      <c r="B719" s="336" t="s">
        <v>7556</v>
      </c>
      <c r="C719" s="388" t="s">
        <v>7019</v>
      </c>
      <c r="D719" s="386">
        <v>10905.185636574073</v>
      </c>
      <c r="E719" s="387"/>
    </row>
    <row r="720" spans="2:5" ht="13.5" customHeight="1">
      <c r="B720" s="336" t="s">
        <v>98</v>
      </c>
      <c r="C720" s="388" t="s">
        <v>4282</v>
      </c>
      <c r="D720" s="386">
        <v>10920.074895833333</v>
      </c>
      <c r="E720" s="387"/>
    </row>
    <row r="721" spans="2:5" ht="13.5" customHeight="1">
      <c r="B721" s="336" t="s">
        <v>7557</v>
      </c>
      <c r="C721" s="388" t="s">
        <v>7020</v>
      </c>
      <c r="D721" s="386">
        <v>10934.872395833332</v>
      </c>
      <c r="E721" s="387"/>
    </row>
    <row r="722" spans="2:5" ht="13.5" customHeight="1">
      <c r="B722" s="336" t="s">
        <v>99</v>
      </c>
      <c r="C722" s="389" t="s">
        <v>4284</v>
      </c>
      <c r="D722" s="386">
        <v>10949.619791666666</v>
      </c>
      <c r="E722" s="387"/>
    </row>
    <row r="723" spans="2:5" ht="13.5" customHeight="1">
      <c r="B723" s="336" t="s">
        <v>7558</v>
      </c>
      <c r="C723" s="390" t="s">
        <v>9317</v>
      </c>
      <c r="D723" s="386">
        <v>10964.334965277778</v>
      </c>
      <c r="E723" s="387"/>
    </row>
    <row r="724" spans="2:5" ht="13.5" customHeight="1">
      <c r="B724" s="336" t="s">
        <v>100</v>
      </c>
      <c r="C724" s="388" t="s">
        <v>4230</v>
      </c>
      <c r="D724" s="386">
        <v>10979.064328703704</v>
      </c>
      <c r="E724" s="387"/>
    </row>
    <row r="725" spans="2:5" ht="13.5" customHeight="1">
      <c r="B725" s="336" t="s">
        <v>7559</v>
      </c>
      <c r="C725" s="388" t="s">
        <v>7010</v>
      </c>
      <c r="D725" s="386">
        <v>10993.826886574074</v>
      </c>
      <c r="E725" s="387"/>
    </row>
    <row r="726" spans="2:5" ht="13.5" customHeight="1">
      <c r="B726" s="336" t="s">
        <v>101</v>
      </c>
      <c r="C726" s="388" t="s">
        <v>4232</v>
      </c>
      <c r="D726" s="386">
        <v>11008.666192129629</v>
      </c>
      <c r="E726" s="387"/>
    </row>
    <row r="727" spans="2:5" ht="13.5" customHeight="1">
      <c r="B727" s="336" t="s">
        <v>7560</v>
      </c>
      <c r="C727" s="388" t="s">
        <v>7011</v>
      </c>
      <c r="D727" s="386">
        <v>11023.594479166666</v>
      </c>
      <c r="E727" s="387"/>
    </row>
    <row r="728" spans="2:5" ht="13.5" customHeight="1">
      <c r="B728" s="336" t="s">
        <v>115</v>
      </c>
      <c r="C728" s="389" t="s">
        <v>4234</v>
      </c>
      <c r="D728" s="386">
        <v>11038.645428240739</v>
      </c>
      <c r="E728" s="387"/>
    </row>
    <row r="729" spans="2:5" ht="13.5" customHeight="1">
      <c r="B729" s="336" t="s">
        <v>7561</v>
      </c>
      <c r="C729" s="388" t="s">
        <v>7012</v>
      </c>
      <c r="D729" s="386">
        <v>11053.817499999999</v>
      </c>
      <c r="E729" s="387"/>
    </row>
    <row r="730" spans="2:5" ht="13.5" customHeight="1">
      <c r="B730" s="336" t="s">
        <v>116</v>
      </c>
      <c r="C730" s="388" t="s">
        <v>4236</v>
      </c>
      <c r="D730" s="386">
        <v>11069.129074074073</v>
      </c>
      <c r="E730" s="387"/>
    </row>
    <row r="731" spans="2:5" ht="13.5" customHeight="1">
      <c r="B731" s="336" t="s">
        <v>7562</v>
      </c>
      <c r="C731" s="388" t="s">
        <v>7013</v>
      </c>
      <c r="D731" s="386">
        <v>11084.560590277777</v>
      </c>
      <c r="E731" s="387"/>
    </row>
    <row r="732" spans="2:5" ht="13.5" customHeight="1">
      <c r="B732" s="336" t="s">
        <v>117</v>
      </c>
      <c r="C732" s="388" t="s">
        <v>4238</v>
      </c>
      <c r="D732" s="386">
        <v>11100.112685185184</v>
      </c>
      <c r="E732" s="387"/>
    </row>
    <row r="733" spans="2:5" ht="13.5" customHeight="1">
      <c r="B733" s="336" t="s">
        <v>7563</v>
      </c>
      <c r="C733" s="388" t="s">
        <v>7014</v>
      </c>
      <c r="D733" s="386">
        <v>11115.748738425926</v>
      </c>
      <c r="E733" s="387"/>
    </row>
    <row r="734" spans="2:5" ht="13.5" customHeight="1">
      <c r="B734" s="336" t="s">
        <v>118</v>
      </c>
      <c r="C734" s="389" t="s">
        <v>4240</v>
      </c>
      <c r="D734" s="386">
        <v>11131.453310185185</v>
      </c>
      <c r="E734" s="387"/>
    </row>
    <row r="735" spans="2:5" ht="13.5" customHeight="1">
      <c r="B735" s="336" t="s">
        <v>8790</v>
      </c>
      <c r="C735" s="388" t="s">
        <v>7015</v>
      </c>
      <c r="D735" s="386">
        <v>11147.180289351851</v>
      </c>
      <c r="E735" s="387"/>
    </row>
    <row r="736" spans="2:5" ht="13.5" customHeight="1">
      <c r="B736" s="336" t="s">
        <v>119</v>
      </c>
      <c r="C736" s="388" t="s">
        <v>4242</v>
      </c>
      <c r="D736" s="386">
        <v>11162.904085648148</v>
      </c>
      <c r="E736" s="387"/>
    </row>
    <row r="737" spans="2:5" ht="13.5" customHeight="1">
      <c r="B737" s="336" t="s">
        <v>8791</v>
      </c>
      <c r="C737" s="388" t="s">
        <v>7016</v>
      </c>
      <c r="D737" s="386">
        <v>11178.581238425926</v>
      </c>
      <c r="E737" s="387"/>
    </row>
    <row r="738" spans="2:5" ht="13.5" customHeight="1">
      <c r="B738" s="336" t="s">
        <v>120</v>
      </c>
      <c r="C738" s="388" t="s">
        <v>4276</v>
      </c>
      <c r="D738" s="386">
        <v>11194.185104166667</v>
      </c>
      <c r="E738" s="387"/>
    </row>
    <row r="739" spans="2:5" ht="13.5" customHeight="1">
      <c r="B739" s="336" t="s">
        <v>8792</v>
      </c>
      <c r="C739" s="388" t="s">
        <v>7017</v>
      </c>
      <c r="D739" s="386">
        <v>11209.686458333334</v>
      </c>
      <c r="E739" s="387"/>
    </row>
    <row r="740" spans="2:5" ht="13.5" customHeight="1">
      <c r="B740" s="336" t="s">
        <v>121</v>
      </c>
      <c r="C740" s="389" t="s">
        <v>4278</v>
      </c>
      <c r="D740" s="386">
        <v>11225.066828703702</v>
      </c>
      <c r="E740" s="387"/>
    </row>
    <row r="741" spans="2:5" ht="13.5" customHeight="1">
      <c r="B741" s="336" t="s">
        <v>8793</v>
      </c>
      <c r="C741" s="388" t="s">
        <v>7018</v>
      </c>
      <c r="D741" s="386">
        <v>11240.317766203703</v>
      </c>
      <c r="E741" s="387"/>
    </row>
    <row r="742" spans="2:5" ht="13.5" customHeight="1">
      <c r="B742" s="336" t="s">
        <v>122</v>
      </c>
      <c r="C742" s="388" t="s">
        <v>4280</v>
      </c>
      <c r="D742" s="386">
        <v>11255.434884259259</v>
      </c>
      <c r="E742" s="387"/>
    </row>
    <row r="743" spans="2:5" ht="13.5" customHeight="1">
      <c r="B743" s="336" t="s">
        <v>8794</v>
      </c>
      <c r="C743" s="388" t="s">
        <v>7019</v>
      </c>
      <c r="D743" s="386">
        <v>11270.430613425926</v>
      </c>
      <c r="E743" s="387"/>
    </row>
    <row r="744" spans="2:5" ht="13.5" customHeight="1">
      <c r="B744" s="336" t="s">
        <v>123</v>
      </c>
      <c r="C744" s="388" t="s">
        <v>4282</v>
      </c>
      <c r="D744" s="386">
        <v>11285.315509259259</v>
      </c>
      <c r="E744" s="387"/>
    </row>
    <row r="745" spans="2:5" ht="13.5" customHeight="1">
      <c r="B745" s="336" t="s">
        <v>8795</v>
      </c>
      <c r="C745" s="388" t="s">
        <v>7020</v>
      </c>
      <c r="D745" s="386">
        <v>11300.11818287037</v>
      </c>
      <c r="E745" s="387"/>
    </row>
    <row r="746" spans="2:5" ht="13.5" customHeight="1">
      <c r="B746" s="336" t="s">
        <v>124</v>
      </c>
      <c r="C746" s="389" t="s">
        <v>4284</v>
      </c>
      <c r="D746" s="386">
        <v>11314.86054398148</v>
      </c>
      <c r="E746" s="387"/>
    </row>
    <row r="747" spans="2:5" ht="13.5" customHeight="1">
      <c r="B747" s="336" t="s">
        <v>8796</v>
      </c>
      <c r="C747" s="390" t="s">
        <v>9317</v>
      </c>
      <c r="D747" s="386">
        <v>11329.580081018517</v>
      </c>
      <c r="E747" s="387"/>
    </row>
    <row r="748" spans="2:5" ht="13.5" customHeight="1">
      <c r="B748" s="336" t="s">
        <v>125</v>
      </c>
      <c r="C748" s="388" t="s">
        <v>4230</v>
      </c>
      <c r="D748" s="386">
        <v>11344.303703703703</v>
      </c>
      <c r="E748" s="387"/>
    </row>
    <row r="749" spans="2:5" ht="13.5" customHeight="1">
      <c r="B749" s="336" t="s">
        <v>8797</v>
      </c>
      <c r="C749" s="388" t="s">
        <v>7010</v>
      </c>
      <c r="D749" s="386">
        <v>11359.069861111111</v>
      </c>
      <c r="E749" s="387"/>
    </row>
    <row r="750" spans="2:5" ht="13.5" customHeight="1">
      <c r="B750" s="336" t="s">
        <v>126</v>
      </c>
      <c r="C750" s="388" t="s">
        <v>4232</v>
      </c>
      <c r="D750" s="386">
        <v>11373.90287037037</v>
      </c>
      <c r="E750" s="387"/>
    </row>
    <row r="751" spans="2:5" ht="13.5" customHeight="1">
      <c r="B751" s="336" t="s">
        <v>8798</v>
      </c>
      <c r="C751" s="388" t="s">
        <v>7011</v>
      </c>
      <c r="D751" s="386">
        <v>11388.83474537037</v>
      </c>
      <c r="E751" s="387"/>
    </row>
    <row r="752" spans="2:5" ht="13.5" customHeight="1">
      <c r="B752" s="336" t="s">
        <v>127</v>
      </c>
      <c r="C752" s="389" t="s">
        <v>4234</v>
      </c>
      <c r="D752" s="386">
        <v>11403.879155092593</v>
      </c>
      <c r="E752" s="387"/>
    </row>
    <row r="753" spans="2:5" ht="13.5" customHeight="1">
      <c r="B753" s="336" t="s">
        <v>8799</v>
      </c>
      <c r="C753" s="388" t="s">
        <v>7012</v>
      </c>
      <c r="D753" s="386">
        <v>11419.055810185184</v>
      </c>
      <c r="E753" s="387"/>
    </row>
    <row r="754" spans="2:5" ht="13.5" customHeight="1">
      <c r="B754" s="336" t="s">
        <v>128</v>
      </c>
      <c r="C754" s="388" t="s">
        <v>4236</v>
      </c>
      <c r="D754" s="386">
        <v>11434.360821759259</v>
      </c>
      <c r="E754" s="387"/>
    </row>
    <row r="755" spans="2:5" ht="13.5" customHeight="1">
      <c r="B755" s="336" t="s">
        <v>6292</v>
      </c>
      <c r="C755" s="388" t="s">
        <v>7013</v>
      </c>
      <c r="D755" s="386">
        <v>11449.798518518517</v>
      </c>
      <c r="E755" s="387"/>
    </row>
    <row r="756" spans="2:5" ht="13.5" customHeight="1">
      <c r="B756" s="336" t="s">
        <v>129</v>
      </c>
      <c r="C756" s="388" t="s">
        <v>4238</v>
      </c>
      <c r="D756" s="386">
        <v>11465.344189814814</v>
      </c>
      <c r="E756" s="387"/>
    </row>
    <row r="757" spans="2:5" ht="13.5" customHeight="1">
      <c r="B757" s="336" t="s">
        <v>6293</v>
      </c>
      <c r="C757" s="388" t="s">
        <v>7014</v>
      </c>
      <c r="D757" s="386">
        <v>11480.987662037036</v>
      </c>
      <c r="E757" s="387"/>
    </row>
    <row r="758" spans="2:5" ht="13.5" customHeight="1">
      <c r="B758" s="336" t="s">
        <v>130</v>
      </c>
      <c r="C758" s="389" t="s">
        <v>4240</v>
      </c>
      <c r="D758" s="386">
        <v>11496.68630787037</v>
      </c>
      <c r="E758" s="387"/>
    </row>
    <row r="759" spans="2:5" ht="13.5" customHeight="1">
      <c r="B759" s="336" t="s">
        <v>6294</v>
      </c>
      <c r="C759" s="388" t="s">
        <v>7015</v>
      </c>
      <c r="D759" s="386">
        <v>11512.420636574074</v>
      </c>
      <c r="E759" s="387"/>
    </row>
    <row r="760" spans="2:5" ht="13.5" customHeight="1">
      <c r="B760" s="336" t="s">
        <v>131</v>
      </c>
      <c r="C760" s="388" t="s">
        <v>4242</v>
      </c>
      <c r="D760" s="386">
        <v>11528.139710648147</v>
      </c>
      <c r="E760" s="387"/>
    </row>
    <row r="761" spans="2:5" ht="13.5" customHeight="1">
      <c r="B761" s="336" t="s">
        <v>6295</v>
      </c>
      <c r="C761" s="388" t="s">
        <v>7016</v>
      </c>
      <c r="D761" s="386">
        <v>11543.822719907406</v>
      </c>
      <c r="E761" s="387"/>
    </row>
    <row r="762" spans="2:5" ht="13.5" customHeight="1">
      <c r="B762" s="336" t="s">
        <v>132</v>
      </c>
      <c r="C762" s="388" t="s">
        <v>4276</v>
      </c>
      <c r="D762" s="386">
        <v>11559.423622685184</v>
      </c>
      <c r="E762" s="387"/>
    </row>
    <row r="763" spans="2:5" ht="13.5" customHeight="1">
      <c r="B763" s="336" t="s">
        <v>6296</v>
      </c>
      <c r="C763" s="388" t="s">
        <v>7017</v>
      </c>
      <c r="D763" s="386">
        <v>11574.928645833334</v>
      </c>
      <c r="E763" s="387"/>
    </row>
    <row r="764" spans="2:5" ht="13.5" customHeight="1">
      <c r="B764" s="336" t="s">
        <v>133</v>
      </c>
      <c r="C764" s="389" t="s">
        <v>4278</v>
      </c>
      <c r="D764" s="386">
        <v>11590.307743055555</v>
      </c>
      <c r="E764" s="387"/>
    </row>
    <row r="765" spans="2:5" ht="13.5" customHeight="1">
      <c r="B765" s="336" t="s">
        <v>6297</v>
      </c>
      <c r="C765" s="388" t="s">
        <v>7018</v>
      </c>
      <c r="D765" s="386">
        <v>11605.560358796296</v>
      </c>
      <c r="E765" s="387"/>
    </row>
    <row r="766" spans="2:5" ht="13.5" customHeight="1">
      <c r="B766" s="336" t="s">
        <v>134</v>
      </c>
      <c r="C766" s="388" t="s">
        <v>4280</v>
      </c>
      <c r="D766" s="386">
        <v>11620.677280092592</v>
      </c>
      <c r="E766" s="387"/>
    </row>
    <row r="767" spans="2:5" ht="13.5" customHeight="1">
      <c r="B767" s="336" t="s">
        <v>6298</v>
      </c>
      <c r="C767" s="388" t="s">
        <v>7019</v>
      </c>
      <c r="D767" s="386">
        <v>11635.673414351852</v>
      </c>
      <c r="E767" s="387"/>
    </row>
    <row r="768" spans="2:5" ht="13.5" customHeight="1">
      <c r="B768" s="336" t="s">
        <v>135</v>
      </c>
      <c r="C768" s="388" t="s">
        <v>4282</v>
      </c>
      <c r="D768" s="386">
        <v>11650.558541666665</v>
      </c>
      <c r="E768" s="387"/>
    </row>
    <row r="769" spans="2:5" ht="13.5" customHeight="1">
      <c r="B769" s="336" t="s">
        <v>224</v>
      </c>
      <c r="C769" s="388" t="s">
        <v>7020</v>
      </c>
      <c r="D769" s="386">
        <v>11665.361041666665</v>
      </c>
      <c r="E769" s="387"/>
    </row>
    <row r="770" spans="2:5" ht="13.5" customHeight="1">
      <c r="B770" s="336" t="s">
        <v>136</v>
      </c>
      <c r="C770" s="389" t="s">
        <v>4284</v>
      </c>
      <c r="D770" s="386">
        <v>11680.10355324074</v>
      </c>
      <c r="E770" s="387"/>
    </row>
    <row r="771" spans="2:5" ht="13.5" customHeight="1">
      <c r="B771" s="336" t="s">
        <v>225</v>
      </c>
      <c r="C771" s="390" t="s">
        <v>9317</v>
      </c>
      <c r="D771" s="386">
        <v>11694.822754629629</v>
      </c>
      <c r="E771" s="387"/>
    </row>
    <row r="772" spans="2:5" ht="13.5" customHeight="1">
      <c r="B772" s="336" t="s">
        <v>137</v>
      </c>
      <c r="C772" s="388" t="s">
        <v>4230</v>
      </c>
      <c r="D772" s="386">
        <v>11709.546249999999</v>
      </c>
      <c r="E772" s="387"/>
    </row>
    <row r="773" spans="2:5" ht="13.5" customHeight="1">
      <c r="B773" s="336" t="s">
        <v>226</v>
      </c>
      <c r="C773" s="388" t="s">
        <v>7010</v>
      </c>
      <c r="D773" s="386">
        <v>11724.312002314815</v>
      </c>
      <c r="E773" s="387"/>
    </row>
    <row r="774" spans="2:5" ht="13.5" customHeight="1">
      <c r="B774" s="336" t="s">
        <v>138</v>
      </c>
      <c r="C774" s="388" t="s">
        <v>4232</v>
      </c>
      <c r="D774" s="386">
        <v>11739.144745370369</v>
      </c>
      <c r="E774" s="387"/>
    </row>
    <row r="775" spans="2:5" ht="13.5" customHeight="1">
      <c r="B775" s="336" t="s">
        <v>227</v>
      </c>
      <c r="C775" s="388" t="s">
        <v>7011</v>
      </c>
      <c r="D775" s="386">
        <v>11754.075914351852</v>
      </c>
      <c r="E775" s="387"/>
    </row>
    <row r="776" spans="2:5" ht="13.5" customHeight="1">
      <c r="B776" s="336" t="s">
        <v>139</v>
      </c>
      <c r="C776" s="389" t="s">
        <v>4234</v>
      </c>
      <c r="D776" s="386">
        <v>11769.120555555555</v>
      </c>
      <c r="E776" s="387"/>
    </row>
    <row r="777" spans="2:5" ht="13.5" customHeight="1">
      <c r="B777" s="336" t="s">
        <v>228</v>
      </c>
      <c r="C777" s="388" t="s">
        <v>7012</v>
      </c>
      <c r="D777" s="386">
        <v>11784.29587962963</v>
      </c>
      <c r="E777" s="387"/>
    </row>
    <row r="778" spans="2:5" ht="13.5" customHeight="1">
      <c r="B778" s="336" t="s">
        <v>140</v>
      </c>
      <c r="C778" s="388" t="s">
        <v>4236</v>
      </c>
      <c r="D778" s="386">
        <v>11799.602638888888</v>
      </c>
      <c r="E778" s="387"/>
    </row>
    <row r="779" spans="2:5" ht="13.5" customHeight="1">
      <c r="B779" s="336" t="s">
        <v>229</v>
      </c>
      <c r="C779" s="388" t="s">
        <v>7013</v>
      </c>
      <c r="D779" s="386">
        <v>11815.037986111111</v>
      </c>
      <c r="E779" s="387"/>
    </row>
    <row r="780" spans="2:5" ht="13.5" customHeight="1">
      <c r="B780" s="336" t="s">
        <v>141</v>
      </c>
      <c r="C780" s="388" t="s">
        <v>4238</v>
      </c>
      <c r="D780" s="386">
        <v>11830.587754629629</v>
      </c>
      <c r="E780" s="387"/>
    </row>
    <row r="781" spans="2:5" ht="13.5" customHeight="1">
      <c r="B781" s="336" t="s">
        <v>230</v>
      </c>
      <c r="C781" s="388" t="s">
        <v>7014</v>
      </c>
      <c r="D781" s="386">
        <v>11846.227453703703</v>
      </c>
      <c r="E781" s="387"/>
    </row>
    <row r="782" spans="2:5" ht="13.5" customHeight="1">
      <c r="B782" s="336" t="s">
        <v>142</v>
      </c>
      <c r="C782" s="389" t="s">
        <v>4240</v>
      </c>
      <c r="D782" s="386">
        <v>11861.932407407407</v>
      </c>
      <c r="E782" s="387"/>
    </row>
    <row r="783" spans="2:5" ht="13.5" customHeight="1">
      <c r="B783" s="336" t="s">
        <v>231</v>
      </c>
      <c r="C783" s="388" t="s">
        <v>7015</v>
      </c>
      <c r="D783" s="386">
        <v>11877.661296296295</v>
      </c>
      <c r="E783" s="387"/>
    </row>
    <row r="784" spans="2:5" ht="13.5" customHeight="1">
      <c r="B784" s="336" t="s">
        <v>143</v>
      </c>
      <c r="C784" s="388" t="s">
        <v>4242</v>
      </c>
      <c r="D784" s="386">
        <v>11893.387499999999</v>
      </c>
      <c r="E784" s="387"/>
    </row>
    <row r="785" spans="2:5" ht="13.5" customHeight="1">
      <c r="B785" s="336" t="s">
        <v>232</v>
      </c>
      <c r="C785" s="388" t="s">
        <v>7016</v>
      </c>
      <c r="D785" s="386">
        <v>11909.06366898148</v>
      </c>
      <c r="E785" s="387"/>
    </row>
    <row r="786" spans="2:5" ht="13.5" customHeight="1">
      <c r="B786" s="336" t="s">
        <v>144</v>
      </c>
      <c r="C786" s="388" t="s">
        <v>4276</v>
      </c>
      <c r="D786" s="386">
        <v>11924.670891203703</v>
      </c>
      <c r="E786" s="387"/>
    </row>
    <row r="787" spans="2:5" ht="13.5" customHeight="1">
      <c r="B787" s="336" t="s">
        <v>233</v>
      </c>
      <c r="C787" s="388" t="s">
        <v>7017</v>
      </c>
      <c r="D787" s="386">
        <v>11940.168530092593</v>
      </c>
      <c r="E787" s="387"/>
    </row>
    <row r="788" spans="2:5" ht="13.5" customHeight="1">
      <c r="B788" s="336" t="s">
        <v>145</v>
      </c>
      <c r="C788" s="389" t="s">
        <v>4278</v>
      </c>
      <c r="D788" s="386">
        <v>11955.552511574073</v>
      </c>
      <c r="E788" s="387"/>
    </row>
    <row r="789" spans="2:5" ht="13.5" customHeight="1">
      <c r="B789" s="336" t="s">
        <v>234</v>
      </c>
      <c r="C789" s="388" t="s">
        <v>7018</v>
      </c>
      <c r="D789" s="386">
        <v>11970.798182870371</v>
      </c>
      <c r="E789" s="387"/>
    </row>
    <row r="790" spans="2:5" ht="13.5" customHeight="1">
      <c r="B790" s="336" t="s">
        <v>3950</v>
      </c>
      <c r="C790" s="388" t="s">
        <v>4280</v>
      </c>
      <c r="D790" s="386">
        <v>11985.919108796295</v>
      </c>
      <c r="E790" s="387"/>
    </row>
    <row r="791" spans="2:5" ht="13.5" customHeight="1">
      <c r="B791" s="336" t="s">
        <v>235</v>
      </c>
      <c r="C791" s="388" t="s">
        <v>7019</v>
      </c>
      <c r="D791" s="386">
        <v>12000.909236111111</v>
      </c>
      <c r="E791" s="387"/>
    </row>
    <row r="792" spans="2:5" ht="13.5" customHeight="1">
      <c r="B792" s="336" t="s">
        <v>3951</v>
      </c>
      <c r="C792" s="388" t="s">
        <v>4282</v>
      </c>
      <c r="D792" s="386">
        <v>12015.79835648148</v>
      </c>
      <c r="E792" s="387"/>
    </row>
    <row r="793" spans="2:5" ht="13.5" customHeight="1">
      <c r="B793" s="336" t="s">
        <v>236</v>
      </c>
      <c r="C793" s="388" t="s">
        <v>7020</v>
      </c>
      <c r="D793" s="386">
        <v>12030.595787037037</v>
      </c>
      <c r="E793" s="387"/>
    </row>
    <row r="794" spans="2:5" ht="13.5" customHeight="1">
      <c r="B794" s="336" t="s">
        <v>3952</v>
      </c>
      <c r="C794" s="389" t="s">
        <v>4284</v>
      </c>
      <c r="D794" s="386">
        <v>12045.342824074074</v>
      </c>
      <c r="E794" s="387"/>
    </row>
    <row r="795" spans="2:5" ht="13.5" customHeight="1">
      <c r="B795" s="336" t="s">
        <v>237</v>
      </c>
      <c r="C795" s="390" t="s">
        <v>9317</v>
      </c>
      <c r="D795" s="386">
        <v>12060.057569444443</v>
      </c>
      <c r="E795" s="387"/>
    </row>
    <row r="796" spans="2:5" ht="13.5" customHeight="1">
      <c r="B796" s="336" t="s">
        <v>4802</v>
      </c>
      <c r="C796" s="388" t="s">
        <v>4230</v>
      </c>
      <c r="D796" s="386">
        <v>12074.786168981482</v>
      </c>
      <c r="E796" s="387"/>
    </row>
    <row r="797" spans="2:5" ht="13.5" customHeight="1">
      <c r="B797" s="336" t="s">
        <v>238</v>
      </c>
      <c r="C797" s="388" t="s">
        <v>7010</v>
      </c>
      <c r="D797" s="386">
        <v>12089.547800925926</v>
      </c>
      <c r="E797" s="387"/>
    </row>
    <row r="798" spans="2:5" ht="13.5" customHeight="1">
      <c r="B798" s="336" t="s">
        <v>4803</v>
      </c>
      <c r="C798" s="388" t="s">
        <v>4232</v>
      </c>
      <c r="D798" s="386">
        <v>12104.385972222222</v>
      </c>
      <c r="E798" s="387"/>
    </row>
    <row r="799" spans="2:5" ht="13.5" customHeight="1">
      <c r="B799" s="336" t="s">
        <v>239</v>
      </c>
      <c r="C799" s="388" t="s">
        <v>7011</v>
      </c>
      <c r="D799" s="386">
        <v>12119.313287037037</v>
      </c>
      <c r="E799" s="387"/>
    </row>
    <row r="800" spans="2:5" ht="13.5" customHeight="1">
      <c r="B800" s="336" t="s">
        <v>4804</v>
      </c>
      <c r="C800" s="389" t="s">
        <v>4234</v>
      </c>
      <c r="D800" s="386">
        <v>12134.363136574073</v>
      </c>
      <c r="E800" s="387"/>
    </row>
    <row r="801" spans="2:5" ht="13.5" customHeight="1">
      <c r="B801" s="336" t="s">
        <v>240</v>
      </c>
      <c r="C801" s="388" t="s">
        <v>7012</v>
      </c>
      <c r="D801" s="386">
        <v>12149.535081018517</v>
      </c>
      <c r="E801" s="387"/>
    </row>
    <row r="802" spans="2:5" ht="13.5" customHeight="1">
      <c r="B802" s="336" t="s">
        <v>4805</v>
      </c>
      <c r="C802" s="388" t="s">
        <v>4236</v>
      </c>
      <c r="D802" s="386">
        <v>12164.846041666666</v>
      </c>
      <c r="E802" s="387"/>
    </row>
    <row r="803" spans="2:5" ht="13.5" customHeight="1">
      <c r="B803" s="336" t="s">
        <v>241</v>
      </c>
      <c r="C803" s="388" t="s">
        <v>7013</v>
      </c>
      <c r="D803" s="386">
        <v>12180.2790625</v>
      </c>
      <c r="E803" s="387"/>
    </row>
    <row r="804" spans="2:5" ht="13.5" customHeight="1">
      <c r="B804" s="336" t="s">
        <v>4806</v>
      </c>
      <c r="C804" s="388" t="s">
        <v>4238</v>
      </c>
      <c r="D804" s="386">
        <v>12195.831053240739</v>
      </c>
      <c r="E804" s="387"/>
    </row>
    <row r="805" spans="2:5" ht="13.5" customHeight="1">
      <c r="B805" s="336" t="s">
        <v>242</v>
      </c>
      <c r="C805" s="388" t="s">
        <v>7014</v>
      </c>
      <c r="D805" s="386">
        <v>12211.470300925925</v>
      </c>
      <c r="E805" s="387"/>
    </row>
    <row r="806" spans="2:5" ht="13.5" customHeight="1">
      <c r="B806" s="336" t="s">
        <v>4807</v>
      </c>
      <c r="C806" s="389" t="s">
        <v>4240</v>
      </c>
      <c r="D806" s="386">
        <v>12227.17474537037</v>
      </c>
      <c r="E806" s="387"/>
    </row>
    <row r="807" spans="2:5" ht="13.5" customHeight="1">
      <c r="B807" s="336" t="s">
        <v>243</v>
      </c>
      <c r="C807" s="388" t="s">
        <v>7015</v>
      </c>
      <c r="D807" s="386">
        <v>12242.905659722222</v>
      </c>
      <c r="E807" s="387"/>
    </row>
    <row r="808" spans="2:5" ht="13.5" customHeight="1">
      <c r="B808" s="336" t="s">
        <v>4808</v>
      </c>
      <c r="C808" s="388" t="s">
        <v>4242</v>
      </c>
      <c r="D808" s="386">
        <v>12258.628587962963</v>
      </c>
      <c r="E808" s="387"/>
    </row>
    <row r="809" spans="2:5" ht="13.5" customHeight="1">
      <c r="B809" s="336" t="s">
        <v>244</v>
      </c>
      <c r="C809" s="388" t="s">
        <v>7016</v>
      </c>
      <c r="D809" s="386">
        <v>12274.309143518518</v>
      </c>
      <c r="E809" s="387"/>
    </row>
    <row r="810" spans="2:5" ht="13.5" customHeight="1">
      <c r="B810" s="336" t="s">
        <v>4809</v>
      </c>
      <c r="C810" s="388" t="s">
        <v>4276</v>
      </c>
      <c r="D810" s="386">
        <v>12289.911006944443</v>
      </c>
      <c r="E810" s="387"/>
    </row>
    <row r="811" spans="2:5" ht="13.5" customHeight="1">
      <c r="B811" s="336" t="s">
        <v>245</v>
      </c>
      <c r="C811" s="388" t="s">
        <v>7017</v>
      </c>
      <c r="D811" s="386">
        <v>12305.41443287037</v>
      </c>
      <c r="E811" s="387"/>
    </row>
    <row r="812" spans="2:5" ht="13.5" customHeight="1">
      <c r="B812" s="336" t="s">
        <v>4810</v>
      </c>
      <c r="C812" s="389" t="s">
        <v>4278</v>
      </c>
      <c r="D812" s="386">
        <v>12320.791967592591</v>
      </c>
      <c r="E812" s="387"/>
    </row>
    <row r="813" spans="2:5" ht="13.5" customHeight="1">
      <c r="B813" s="336" t="s">
        <v>246</v>
      </c>
      <c r="C813" s="388" t="s">
        <v>7018</v>
      </c>
      <c r="D813" s="386">
        <v>12336.043865740739</v>
      </c>
      <c r="E813" s="387"/>
    </row>
    <row r="814" spans="2:5" ht="13.5" customHeight="1">
      <c r="B814" s="336" t="s">
        <v>4811</v>
      </c>
      <c r="C814" s="388" t="s">
        <v>4280</v>
      </c>
      <c r="D814" s="386">
        <v>12351.157986111111</v>
      </c>
      <c r="E814" s="387"/>
    </row>
    <row r="815" spans="2:5" ht="13.5" customHeight="1">
      <c r="B815" s="336" t="s">
        <v>247</v>
      </c>
      <c r="C815" s="388" t="s">
        <v>7019</v>
      </c>
      <c r="D815" s="386">
        <v>12366.154421296296</v>
      </c>
      <c r="E815" s="387"/>
    </row>
    <row r="816" spans="2:5" ht="13.5" customHeight="1">
      <c r="B816" s="336" t="s">
        <v>4812</v>
      </c>
      <c r="C816" s="388" t="s">
        <v>4282</v>
      </c>
      <c r="D816" s="386">
        <v>12381.036875</v>
      </c>
      <c r="E816" s="387"/>
    </row>
    <row r="817" spans="2:5" ht="13.5" customHeight="1">
      <c r="B817" s="336" t="s">
        <v>248</v>
      </c>
      <c r="C817" s="388" t="s">
        <v>7020</v>
      </c>
      <c r="D817" s="386">
        <v>12395.840787037036</v>
      </c>
      <c r="E817" s="387"/>
    </row>
    <row r="818" spans="2:5" ht="13.5" customHeight="1">
      <c r="B818" s="336" t="s">
        <v>4813</v>
      </c>
      <c r="C818" s="389" t="s">
        <v>4284</v>
      </c>
      <c r="D818" s="386">
        <v>12410.58148148148</v>
      </c>
      <c r="E818" s="387"/>
    </row>
    <row r="819" spans="2:5" ht="13.5" customHeight="1">
      <c r="B819" s="336" t="s">
        <v>249</v>
      </c>
      <c r="C819" s="390" t="s">
        <v>9317</v>
      </c>
      <c r="D819" s="386">
        <v>12425.302951388889</v>
      </c>
      <c r="E819" s="387"/>
    </row>
    <row r="820" spans="2:5" ht="13.5" customHeight="1">
      <c r="B820" s="336" t="s">
        <v>8848</v>
      </c>
      <c r="C820" s="388" t="s">
        <v>4230</v>
      </c>
      <c r="D820" s="386">
        <v>12440.02542824074</v>
      </c>
      <c r="E820" s="387"/>
    </row>
    <row r="821" spans="2:5" ht="13.5" customHeight="1">
      <c r="B821" s="336" t="s">
        <v>250</v>
      </c>
      <c r="C821" s="388" t="s">
        <v>7010</v>
      </c>
      <c r="D821" s="386">
        <v>12454.793831018518</v>
      </c>
      <c r="E821" s="387"/>
    </row>
    <row r="822" spans="2:5" ht="13.5" customHeight="1">
      <c r="B822" s="336" t="s">
        <v>8849</v>
      </c>
      <c r="C822" s="388" t="s">
        <v>4232</v>
      </c>
      <c r="D822" s="386">
        <v>12469.625659722222</v>
      </c>
      <c r="E822" s="387"/>
    </row>
    <row r="823" spans="2:5" ht="13.5" customHeight="1">
      <c r="B823" s="336" t="s">
        <v>251</v>
      </c>
      <c r="C823" s="388" t="s">
        <v>7011</v>
      </c>
      <c r="D823" s="386">
        <v>12484.559421296295</v>
      </c>
      <c r="E823" s="387"/>
    </row>
    <row r="824" spans="2:5" ht="13.5" customHeight="1">
      <c r="B824" s="336" t="s">
        <v>8850</v>
      </c>
      <c r="C824" s="389" t="s">
        <v>4234</v>
      </c>
      <c r="D824" s="386">
        <v>12499.602210648147</v>
      </c>
      <c r="E824" s="387"/>
    </row>
    <row r="825" spans="2:5" ht="13.5" customHeight="1">
      <c r="B825" s="336" t="s">
        <v>252</v>
      </c>
      <c r="C825" s="388" t="s">
        <v>7012</v>
      </c>
      <c r="D825" s="386">
        <v>12514.779965277778</v>
      </c>
      <c r="E825" s="387"/>
    </row>
    <row r="826" spans="2:5" ht="13.5" customHeight="1">
      <c r="B826" s="336" t="s">
        <v>8851</v>
      </c>
      <c r="C826" s="388" t="s">
        <v>4236</v>
      </c>
      <c r="D826" s="386">
        <v>12530.083159722222</v>
      </c>
      <c r="E826" s="387"/>
    </row>
    <row r="827" spans="2:5" ht="13.5" customHeight="1">
      <c r="B827" s="336" t="s">
        <v>253</v>
      </c>
      <c r="C827" s="388" t="s">
        <v>7013</v>
      </c>
      <c r="D827" s="386">
        <v>12545.521215277777</v>
      </c>
      <c r="E827" s="387"/>
    </row>
    <row r="828" spans="2:5" ht="13.5" customHeight="1">
      <c r="B828" s="336" t="s">
        <v>4327</v>
      </c>
      <c r="C828" s="388" t="s">
        <v>4238</v>
      </c>
      <c r="D828" s="386">
        <v>12561.065671296295</v>
      </c>
      <c r="E828" s="387"/>
    </row>
    <row r="829" spans="2:5" ht="13.5" customHeight="1">
      <c r="B829" s="336" t="s">
        <v>254</v>
      </c>
      <c r="C829" s="388" t="s">
        <v>7014</v>
      </c>
      <c r="D829" s="386">
        <v>12576.7090625</v>
      </c>
      <c r="E829" s="387"/>
    </row>
    <row r="830" spans="2:5" ht="13.5" customHeight="1">
      <c r="B830" s="336" t="s">
        <v>4328</v>
      </c>
      <c r="C830" s="389" t="s">
        <v>4240</v>
      </c>
      <c r="D830" s="386">
        <v>12592.407881944444</v>
      </c>
      <c r="E830" s="387"/>
    </row>
    <row r="831" spans="2:5" ht="13.5" customHeight="1">
      <c r="B831" s="336" t="s">
        <v>255</v>
      </c>
      <c r="C831" s="388" t="s">
        <v>7015</v>
      </c>
      <c r="D831" s="386">
        <v>12608.141712962963</v>
      </c>
      <c r="E831" s="387"/>
    </row>
    <row r="832" spans="2:5" ht="13.5" customHeight="1">
      <c r="B832" s="336" t="s">
        <v>2293</v>
      </c>
      <c r="C832" s="388" t="s">
        <v>4242</v>
      </c>
      <c r="D832" s="386">
        <v>12623.862291666666</v>
      </c>
      <c r="E832" s="387"/>
    </row>
    <row r="833" spans="2:5" ht="13.5" customHeight="1">
      <c r="B833" s="336" t="s">
        <v>256</v>
      </c>
      <c r="C833" s="388" t="s">
        <v>7016</v>
      </c>
      <c r="D833" s="386">
        <v>12639.544062499999</v>
      </c>
      <c r="E833" s="387"/>
    </row>
    <row r="834" spans="2:5" ht="13.5" customHeight="1">
      <c r="B834" s="336" t="s">
        <v>2294</v>
      </c>
      <c r="C834" s="388" t="s">
        <v>4276</v>
      </c>
      <c r="D834" s="386">
        <v>12655.147025462962</v>
      </c>
      <c r="E834" s="387"/>
    </row>
    <row r="835" spans="2:5" ht="13.5" customHeight="1">
      <c r="B835" s="336" t="s">
        <v>257</v>
      </c>
      <c r="C835" s="388" t="s">
        <v>7017</v>
      </c>
      <c r="D835" s="386">
        <v>12670.649907407407</v>
      </c>
      <c r="E835" s="387"/>
    </row>
    <row r="836" spans="2:5" ht="13.5" customHeight="1">
      <c r="B836" s="336" t="s">
        <v>2295</v>
      </c>
      <c r="C836" s="389" t="s">
        <v>4278</v>
      </c>
      <c r="D836" s="386">
        <v>12686.030983796296</v>
      </c>
      <c r="E836" s="387"/>
    </row>
    <row r="837" spans="2:5" ht="13.5" customHeight="1">
      <c r="B837" s="336" t="s">
        <v>258</v>
      </c>
      <c r="C837" s="388" t="s">
        <v>7018</v>
      </c>
      <c r="D837" s="386">
        <v>12701.280914351852</v>
      </c>
      <c r="E837" s="387"/>
    </row>
    <row r="838" spans="2:5" ht="13.5" customHeight="1">
      <c r="B838" s="336" t="s">
        <v>2296</v>
      </c>
      <c r="C838" s="388" t="s">
        <v>4280</v>
      </c>
      <c r="D838" s="386">
        <v>12716.399699074074</v>
      </c>
      <c r="E838" s="387"/>
    </row>
    <row r="839" spans="2:5" ht="13.5" customHeight="1">
      <c r="B839" s="336" t="s">
        <v>259</v>
      </c>
      <c r="C839" s="388" t="s">
        <v>7019</v>
      </c>
      <c r="D839" s="386">
        <v>12731.393148148147</v>
      </c>
      <c r="E839" s="387"/>
    </row>
    <row r="840" spans="2:5" ht="13.5" customHeight="1">
      <c r="B840" s="336" t="s">
        <v>2523</v>
      </c>
      <c r="C840" s="388" t="s">
        <v>4282</v>
      </c>
      <c r="D840" s="386">
        <v>12746.28037037037</v>
      </c>
      <c r="E840" s="387"/>
    </row>
    <row r="841" spans="2:5" ht="13.5" customHeight="1">
      <c r="B841" s="336" t="s">
        <v>260</v>
      </c>
      <c r="C841" s="388" t="s">
        <v>7020</v>
      </c>
      <c r="D841" s="386">
        <v>12761.080613425926</v>
      </c>
      <c r="E841" s="387"/>
    </row>
    <row r="842" spans="2:5" ht="13.5" customHeight="1">
      <c r="B842" s="336" t="s">
        <v>2524</v>
      </c>
      <c r="C842" s="389" t="s">
        <v>4284</v>
      </c>
      <c r="D842" s="386">
        <v>12775.825671296296</v>
      </c>
      <c r="E842" s="387"/>
    </row>
    <row r="843" spans="2:5" ht="13.5" customHeight="1">
      <c r="B843" s="336" t="s">
        <v>261</v>
      </c>
      <c r="C843" s="390" t="s">
        <v>9317</v>
      </c>
      <c r="D843" s="386">
        <v>12790.543090277777</v>
      </c>
      <c r="E843" s="387"/>
    </row>
    <row r="844" spans="2:5" ht="13.5" customHeight="1">
      <c r="B844" s="336" t="s">
        <v>2525</v>
      </c>
      <c r="C844" s="388" t="s">
        <v>4230</v>
      </c>
      <c r="D844" s="386">
        <v>12805.269467592592</v>
      </c>
      <c r="E844" s="387"/>
    </row>
    <row r="845" spans="2:5" ht="13.5" customHeight="1">
      <c r="B845" s="336" t="s">
        <v>262</v>
      </c>
      <c r="C845" s="388" t="s">
        <v>7010</v>
      </c>
      <c r="D845" s="386">
        <v>12820.03361111111</v>
      </c>
      <c r="E845" s="387"/>
    </row>
    <row r="846" spans="2:5" ht="13.5" customHeight="1">
      <c r="B846" s="336" t="s">
        <v>2526</v>
      </c>
      <c r="C846" s="388" t="s">
        <v>4232</v>
      </c>
      <c r="D846" s="386">
        <v>12834.869212962962</v>
      </c>
      <c r="E846" s="387"/>
    </row>
    <row r="847" spans="2:5" ht="13.5" customHeight="1">
      <c r="B847" s="336" t="s">
        <v>263</v>
      </c>
      <c r="C847" s="388" t="s">
        <v>7011</v>
      </c>
      <c r="D847" s="386">
        <v>12849.798425925925</v>
      </c>
      <c r="E847" s="387"/>
    </row>
    <row r="848" spans="2:5" ht="13.5" customHeight="1">
      <c r="B848" s="336" t="s">
        <v>2527</v>
      </c>
      <c r="C848" s="389" t="s">
        <v>4234</v>
      </c>
      <c r="D848" s="386">
        <v>12864.84542824074</v>
      </c>
      <c r="E848" s="387"/>
    </row>
    <row r="849" spans="2:5" ht="13.5" customHeight="1">
      <c r="B849" s="336" t="s">
        <v>264</v>
      </c>
      <c r="C849" s="388" t="s">
        <v>7012</v>
      </c>
      <c r="D849" s="386">
        <v>12880.018032407406</v>
      </c>
      <c r="E849" s="387"/>
    </row>
    <row r="850" spans="2:5" ht="13.5" customHeight="1">
      <c r="B850" s="336" t="s">
        <v>2528</v>
      </c>
      <c r="C850" s="388" t="s">
        <v>4236</v>
      </c>
      <c r="D850" s="386">
        <v>12895.326331018518</v>
      </c>
      <c r="E850" s="387"/>
    </row>
    <row r="851" spans="2:5" ht="13.5" customHeight="1">
      <c r="B851" s="336" t="s">
        <v>265</v>
      </c>
      <c r="C851" s="388" t="s">
        <v>7013</v>
      </c>
      <c r="D851" s="386">
        <v>12910.75829861111</v>
      </c>
      <c r="E851" s="387"/>
    </row>
    <row r="852" spans="2:5" ht="13.5" customHeight="1">
      <c r="B852" s="336" t="s">
        <v>2529</v>
      </c>
      <c r="C852" s="388" t="s">
        <v>4238</v>
      </c>
      <c r="D852" s="386">
        <v>12926.308912037037</v>
      </c>
      <c r="E852" s="387"/>
    </row>
    <row r="853" spans="2:5" ht="13.5" customHeight="1">
      <c r="B853" s="336" t="s">
        <v>266</v>
      </c>
      <c r="C853" s="388" t="s">
        <v>7014</v>
      </c>
      <c r="D853" s="386">
        <v>12941.945474537037</v>
      </c>
      <c r="E853" s="387"/>
    </row>
    <row r="854" spans="2:5" ht="13.5" customHeight="1">
      <c r="B854" s="336" t="s">
        <v>2530</v>
      </c>
      <c r="C854" s="389" t="s">
        <v>4240</v>
      </c>
      <c r="D854" s="386">
        <v>12957.65119212963</v>
      </c>
      <c r="E854" s="387"/>
    </row>
    <row r="855" spans="2:5" ht="13.5" customHeight="1">
      <c r="B855" s="336" t="s">
        <v>267</v>
      </c>
      <c r="C855" s="388" t="s">
        <v>7015</v>
      </c>
      <c r="D855" s="386">
        <v>12973.37855324074</v>
      </c>
      <c r="E855" s="387"/>
    </row>
    <row r="856" spans="2:5" ht="13.5" customHeight="1">
      <c r="B856" s="336" t="s">
        <v>2531</v>
      </c>
      <c r="C856" s="388" t="s">
        <v>4242</v>
      </c>
      <c r="D856" s="386">
        <v>12989.105937499999</v>
      </c>
      <c r="E856" s="387"/>
    </row>
    <row r="857" spans="2:5" ht="13.5" customHeight="1">
      <c r="B857" s="336" t="s">
        <v>268</v>
      </c>
      <c r="C857" s="388" t="s">
        <v>7016</v>
      </c>
      <c r="D857" s="386">
        <v>13004.782870370369</v>
      </c>
      <c r="E857" s="387"/>
    </row>
    <row r="858" spans="2:5" ht="13.5" customHeight="1">
      <c r="B858" s="336" t="s">
        <v>5007</v>
      </c>
      <c r="C858" s="388" t="s">
        <v>4276</v>
      </c>
      <c r="D858" s="386">
        <v>13020.391516203703</v>
      </c>
      <c r="E858" s="387"/>
    </row>
    <row r="859" spans="2:5" ht="13.5" customHeight="1">
      <c r="B859" s="336" t="s">
        <v>269</v>
      </c>
      <c r="C859" s="388" t="s">
        <v>7017</v>
      </c>
      <c r="D859" s="386">
        <v>13035.891481481482</v>
      </c>
      <c r="E859" s="387"/>
    </row>
    <row r="860" spans="2:5" ht="13.5" customHeight="1">
      <c r="B860" s="336" t="s">
        <v>5008</v>
      </c>
      <c r="C860" s="389" t="s">
        <v>4278</v>
      </c>
      <c r="D860" s="386">
        <v>13051.276319444443</v>
      </c>
      <c r="E860" s="387"/>
    </row>
    <row r="861" spans="2:5" ht="13.5" customHeight="1">
      <c r="B861" s="336" t="s">
        <v>270</v>
      </c>
      <c r="C861" s="388" t="s">
        <v>7018</v>
      </c>
      <c r="D861" s="386">
        <v>13066.524456018518</v>
      </c>
      <c r="E861" s="387"/>
    </row>
    <row r="862" spans="2:5" ht="13.5" customHeight="1">
      <c r="B862" s="336" t="s">
        <v>5009</v>
      </c>
      <c r="C862" s="388" t="s">
        <v>4280</v>
      </c>
      <c r="D862" s="386">
        <v>13081.644953703702</v>
      </c>
      <c r="E862" s="387"/>
    </row>
    <row r="863" spans="2:5" ht="13.5" customHeight="1">
      <c r="B863" s="336" t="s">
        <v>271</v>
      </c>
      <c r="C863" s="388" t="s">
        <v>7019</v>
      </c>
      <c r="D863" s="386">
        <v>13096.636747685185</v>
      </c>
      <c r="E863" s="387"/>
    </row>
    <row r="864" spans="2:5" ht="13.5" customHeight="1">
      <c r="B864" s="336" t="s">
        <v>655</v>
      </c>
      <c r="C864" s="388" t="s">
        <v>4282</v>
      </c>
      <c r="D864" s="386">
        <v>13111.524143518518</v>
      </c>
      <c r="E864" s="387"/>
    </row>
    <row r="865" spans="2:5" ht="13.5" customHeight="1">
      <c r="B865" s="336" t="s">
        <v>272</v>
      </c>
      <c r="C865" s="388" t="s">
        <v>7020</v>
      </c>
      <c r="D865" s="386">
        <v>13126.322337962962</v>
      </c>
      <c r="E865" s="387"/>
    </row>
    <row r="866" spans="2:5" ht="13.5" customHeight="1">
      <c r="B866" s="336" t="s">
        <v>656</v>
      </c>
      <c r="C866" s="389" t="s">
        <v>4284</v>
      </c>
      <c r="D866" s="386">
        <v>13141.066921296295</v>
      </c>
      <c r="E866" s="387"/>
    </row>
    <row r="867" spans="2:5" ht="13.5" customHeight="1">
      <c r="B867" s="336" t="s">
        <v>273</v>
      </c>
      <c r="C867" s="390" t="s">
        <v>9317</v>
      </c>
      <c r="D867" s="386">
        <v>13155.782013888887</v>
      </c>
      <c r="E867" s="387"/>
    </row>
    <row r="868" spans="2:5" ht="13.5" customHeight="1">
      <c r="B868" s="336" t="s">
        <v>657</v>
      </c>
      <c r="C868" s="388" t="s">
        <v>4230</v>
      </c>
      <c r="D868" s="386">
        <v>13170.508090277777</v>
      </c>
      <c r="E868" s="387"/>
    </row>
    <row r="869" spans="2:5" ht="13.5" customHeight="1">
      <c r="B869" s="336" t="s">
        <v>274</v>
      </c>
      <c r="C869" s="388" t="s">
        <v>7010</v>
      </c>
      <c r="D869" s="386">
        <v>13185.270127314814</v>
      </c>
      <c r="E869" s="387"/>
    </row>
    <row r="870" spans="2:5" ht="13.5" customHeight="1">
      <c r="B870" s="336" t="s">
        <v>658</v>
      </c>
      <c r="C870" s="388" t="s">
        <v>4232</v>
      </c>
      <c r="D870" s="386">
        <v>13200.105925925925</v>
      </c>
      <c r="E870" s="387"/>
    </row>
    <row r="871" spans="2:5" ht="13.5" customHeight="1">
      <c r="B871" s="336" t="s">
        <v>275</v>
      </c>
      <c r="C871" s="388" t="s">
        <v>7011</v>
      </c>
      <c r="D871" s="386">
        <v>13215.03392361111</v>
      </c>
      <c r="E871" s="387"/>
    </row>
    <row r="872" spans="2:5" ht="13.5" customHeight="1">
      <c r="B872" s="336" t="s">
        <v>659</v>
      </c>
      <c r="C872" s="389" t="s">
        <v>4234</v>
      </c>
      <c r="D872" s="386">
        <v>13230.081435185184</v>
      </c>
      <c r="E872" s="387"/>
    </row>
    <row r="873" spans="2:5" ht="13.5" customHeight="1">
      <c r="B873" s="336" t="s">
        <v>276</v>
      </c>
      <c r="C873" s="388" t="s">
        <v>7012</v>
      </c>
      <c r="D873" s="386">
        <v>13245.254374999999</v>
      </c>
      <c r="E873" s="387"/>
    </row>
    <row r="874" spans="2:5" ht="13.5" customHeight="1">
      <c r="B874" s="336" t="s">
        <v>660</v>
      </c>
      <c r="C874" s="388" t="s">
        <v>4236</v>
      </c>
      <c r="D874" s="386">
        <v>13260.562731481481</v>
      </c>
      <c r="E874" s="387"/>
    </row>
    <row r="875" spans="2:5" ht="13.5" customHeight="1">
      <c r="B875" s="336" t="s">
        <v>277</v>
      </c>
      <c r="C875" s="388" t="s">
        <v>7013</v>
      </c>
      <c r="D875" s="386">
        <v>13275.997152777778</v>
      </c>
      <c r="E875" s="387"/>
    </row>
    <row r="876" spans="2:5" ht="13.5" customHeight="1">
      <c r="B876" s="336" t="s">
        <v>661</v>
      </c>
      <c r="C876" s="388" t="s">
        <v>4238</v>
      </c>
      <c r="D876" s="386">
        <v>13291.54636574074</v>
      </c>
      <c r="E876" s="387"/>
    </row>
    <row r="877" spans="2:5" ht="13.5" customHeight="1">
      <c r="B877" s="336" t="s">
        <v>278</v>
      </c>
      <c r="C877" s="388" t="s">
        <v>7014</v>
      </c>
      <c r="D877" s="386">
        <v>13307.187696759258</v>
      </c>
      <c r="E877" s="387"/>
    </row>
    <row r="878" spans="2:5" ht="13.5" customHeight="1">
      <c r="B878" s="336" t="s">
        <v>662</v>
      </c>
      <c r="C878" s="389" t="s">
        <v>4240</v>
      </c>
      <c r="D878" s="386">
        <v>13322.889837962963</v>
      </c>
      <c r="E878" s="387"/>
    </row>
    <row r="879" spans="2:5" ht="13.5" customHeight="1">
      <c r="B879" s="336" t="s">
        <v>279</v>
      </c>
      <c r="C879" s="388" t="s">
        <v>7015</v>
      </c>
      <c r="D879" s="386">
        <v>13338.623749999999</v>
      </c>
      <c r="E879" s="387"/>
    </row>
    <row r="880" spans="2:5" ht="13.5" customHeight="1">
      <c r="B880" s="336" t="s">
        <v>1443</v>
      </c>
      <c r="C880" s="388" t="s">
        <v>4242</v>
      </c>
      <c r="D880" s="386">
        <v>13354.345625</v>
      </c>
      <c r="E880" s="387"/>
    </row>
    <row r="881" spans="2:5" ht="13.5" customHeight="1">
      <c r="B881" s="336" t="s">
        <v>280</v>
      </c>
      <c r="C881" s="388" t="s">
        <v>7016</v>
      </c>
      <c r="D881" s="386">
        <v>13370.029837962962</v>
      </c>
      <c r="E881" s="387"/>
    </row>
    <row r="882" spans="2:5" ht="13.5" customHeight="1">
      <c r="B882" s="336" t="s">
        <v>1444</v>
      </c>
      <c r="C882" s="388" t="s">
        <v>4276</v>
      </c>
      <c r="D882" s="386">
        <v>13385.632118055555</v>
      </c>
      <c r="E882" s="387"/>
    </row>
    <row r="883" spans="2:5" ht="13.5" customHeight="1">
      <c r="B883" s="336" t="s">
        <v>6403</v>
      </c>
      <c r="C883" s="388" t="s">
        <v>7017</v>
      </c>
      <c r="D883" s="386">
        <v>13401.139178240741</v>
      </c>
      <c r="E883" s="387"/>
    </row>
    <row r="884" spans="2:5" ht="13.5" customHeight="1">
      <c r="B884" s="336" t="s">
        <v>1445</v>
      </c>
      <c r="C884" s="389" t="s">
        <v>4278</v>
      </c>
      <c r="D884" s="386">
        <v>13416.517893518518</v>
      </c>
      <c r="E884" s="387"/>
    </row>
    <row r="885" spans="2:5" ht="13.5" customHeight="1">
      <c r="B885" s="336" t="s">
        <v>6404</v>
      </c>
      <c r="C885" s="388" t="s">
        <v>7018</v>
      </c>
      <c r="D885" s="386">
        <v>13431.772523148147</v>
      </c>
      <c r="E885" s="387"/>
    </row>
    <row r="886" spans="2:5" ht="13.5" customHeight="1">
      <c r="B886" s="336" t="s">
        <v>1446</v>
      </c>
      <c r="C886" s="388" t="s">
        <v>4280</v>
      </c>
      <c r="D886" s="386">
        <v>13446.887488425926</v>
      </c>
      <c r="E886" s="387"/>
    </row>
    <row r="887" spans="2:5" ht="13.5" customHeight="1">
      <c r="B887" s="336" t="s">
        <v>8716</v>
      </c>
      <c r="C887" s="388" t="s">
        <v>7019</v>
      </c>
      <c r="D887" s="386">
        <v>13461.885150462962</v>
      </c>
      <c r="E887" s="387"/>
    </row>
    <row r="888" spans="2:5" ht="13.5" customHeight="1">
      <c r="B888" s="336" t="s">
        <v>1447</v>
      </c>
      <c r="C888" s="388" t="s">
        <v>4282</v>
      </c>
      <c r="D888" s="386">
        <v>13476.767291666665</v>
      </c>
      <c r="E888" s="387"/>
    </row>
    <row r="889" spans="2:5" ht="13.5" customHeight="1">
      <c r="B889" s="336" t="s">
        <v>8717</v>
      </c>
      <c r="C889" s="388" t="s">
        <v>7020</v>
      </c>
      <c r="D889" s="386">
        <v>13491.570856481481</v>
      </c>
      <c r="E889" s="387"/>
    </row>
    <row r="890" spans="2:5" ht="13.5" customHeight="1">
      <c r="B890" s="336" t="s">
        <v>1448</v>
      </c>
      <c r="C890" s="389" t="s">
        <v>4284</v>
      </c>
      <c r="D890" s="386">
        <v>13506.309988425925</v>
      </c>
      <c r="E890" s="387"/>
    </row>
    <row r="891" spans="2:5" ht="13.5" customHeight="1">
      <c r="B891" s="336" t="s">
        <v>8718</v>
      </c>
      <c r="C891" s="390" t="s">
        <v>9317</v>
      </c>
      <c r="D891" s="386">
        <v>13521.030115740739</v>
      </c>
      <c r="E891" s="387"/>
    </row>
    <row r="892" spans="2:5" ht="13.5" customHeight="1">
      <c r="B892" s="336" t="s">
        <v>1449</v>
      </c>
      <c r="C892" s="388" t="s">
        <v>4230</v>
      </c>
      <c r="D892" s="386">
        <v>13535.750428240741</v>
      </c>
      <c r="E892" s="387"/>
    </row>
    <row r="893" spans="2:5" ht="13.5" customHeight="1">
      <c r="B893" s="336" t="s">
        <v>8719</v>
      </c>
      <c r="C893" s="388" t="s">
        <v>7010</v>
      </c>
      <c r="D893" s="386">
        <v>13550.517453703704</v>
      </c>
      <c r="E893" s="387"/>
    </row>
    <row r="894" spans="2:5" ht="13.5" customHeight="1">
      <c r="B894" s="336" t="s">
        <v>1450</v>
      </c>
      <c r="C894" s="388" t="s">
        <v>4232</v>
      </c>
      <c r="D894" s="386">
        <v>13565.347488425925</v>
      </c>
      <c r="E894" s="387"/>
    </row>
    <row r="895" spans="2:5" ht="13.5" customHeight="1">
      <c r="B895" s="336" t="s">
        <v>8720</v>
      </c>
      <c r="C895" s="388" t="s">
        <v>7011</v>
      </c>
      <c r="D895" s="386">
        <v>13580.280613425924</v>
      </c>
      <c r="E895" s="387"/>
    </row>
    <row r="896" spans="2:5" ht="13.5" customHeight="1">
      <c r="B896" s="336" t="s">
        <v>1785</v>
      </c>
      <c r="C896" s="389" t="s">
        <v>4234</v>
      </c>
      <c r="D896" s="386">
        <v>13595.32287037037</v>
      </c>
      <c r="E896" s="387"/>
    </row>
    <row r="897" spans="2:5" ht="13.5" customHeight="1">
      <c r="B897" s="336" t="s">
        <v>8721</v>
      </c>
      <c r="C897" s="388" t="s">
        <v>7012</v>
      </c>
      <c r="D897" s="386">
        <v>13610.500844907407</v>
      </c>
      <c r="E897" s="387"/>
    </row>
    <row r="898" spans="2:5" ht="13.5" customHeight="1">
      <c r="B898" s="336" t="s">
        <v>1786</v>
      </c>
      <c r="C898" s="388" t="s">
        <v>4236</v>
      </c>
      <c r="D898" s="386">
        <v>13625.804918981481</v>
      </c>
      <c r="E898" s="387"/>
    </row>
    <row r="899" spans="2:5" ht="13.5" customHeight="1">
      <c r="B899" s="336" t="s">
        <v>6411</v>
      </c>
      <c r="C899" s="388" t="s">
        <v>7013</v>
      </c>
      <c r="D899" s="386">
        <v>13641.243321759259</v>
      </c>
      <c r="E899" s="387"/>
    </row>
    <row r="900" spans="2:5" ht="13.5" customHeight="1">
      <c r="B900" s="336" t="s">
        <v>1787</v>
      </c>
      <c r="C900" s="388" t="s">
        <v>4238</v>
      </c>
      <c r="D900" s="386">
        <v>13656.789560185185</v>
      </c>
      <c r="E900" s="387"/>
    </row>
    <row r="901" spans="2:5" ht="13.5" customHeight="1">
      <c r="B901" s="336" t="s">
        <v>6412</v>
      </c>
      <c r="C901" s="388" t="s">
        <v>7014</v>
      </c>
      <c r="D901" s="386">
        <v>13672.432407407407</v>
      </c>
      <c r="E901" s="387"/>
    </row>
    <row r="902" spans="2:5" ht="13.5" customHeight="1">
      <c r="B902" s="336" t="s">
        <v>1788</v>
      </c>
      <c r="C902" s="389" t="s">
        <v>4240</v>
      </c>
      <c r="D902" s="386">
        <v>13688.133321759258</v>
      </c>
      <c r="E902" s="387"/>
    </row>
    <row r="903" spans="2:5" ht="13.5" customHeight="1">
      <c r="B903" s="336" t="s">
        <v>6413</v>
      </c>
      <c r="C903" s="388" t="s">
        <v>7015</v>
      </c>
      <c r="D903" s="386">
        <v>13703.865393518518</v>
      </c>
      <c r="E903" s="387"/>
    </row>
    <row r="904" spans="2:5" ht="13.5" customHeight="1">
      <c r="B904" s="336" t="s">
        <v>5387</v>
      </c>
      <c r="C904" s="388" t="s">
        <v>4242</v>
      </c>
      <c r="D904" s="386">
        <v>13719.58829861111</v>
      </c>
      <c r="E904" s="387"/>
    </row>
    <row r="905" spans="2:5" ht="13.5" customHeight="1">
      <c r="B905" s="336" t="s">
        <v>6414</v>
      </c>
      <c r="C905" s="388" t="s">
        <v>7016</v>
      </c>
      <c r="D905" s="386">
        <v>13735.267835648148</v>
      </c>
      <c r="E905" s="387"/>
    </row>
    <row r="906" spans="2:5" ht="13.5" customHeight="1">
      <c r="B906" s="336" t="s">
        <v>5388</v>
      </c>
      <c r="C906" s="388" t="s">
        <v>4276</v>
      </c>
      <c r="D906" s="386">
        <v>13750.873530092593</v>
      </c>
      <c r="E906" s="387"/>
    </row>
    <row r="907" spans="2:5" ht="13.5" customHeight="1">
      <c r="B907" s="336" t="s">
        <v>6415</v>
      </c>
      <c r="C907" s="388" t="s">
        <v>7017</v>
      </c>
      <c r="D907" s="386">
        <v>13766.374641203704</v>
      </c>
      <c r="E907" s="387"/>
    </row>
    <row r="908" spans="2:5" ht="13.5" customHeight="1">
      <c r="B908" s="336" t="s">
        <v>5389</v>
      </c>
      <c r="C908" s="389" t="s">
        <v>4278</v>
      </c>
      <c r="D908" s="386">
        <v>13781.758819444443</v>
      </c>
      <c r="E908" s="387"/>
    </row>
    <row r="909" spans="2:5" ht="13.5" customHeight="1">
      <c r="B909" s="336" t="s">
        <v>6416</v>
      </c>
      <c r="C909" s="388" t="s">
        <v>7018</v>
      </c>
      <c r="D909" s="386">
        <v>13797.007546296296</v>
      </c>
      <c r="E909" s="387"/>
    </row>
    <row r="910" spans="2:5" ht="13.5" customHeight="1">
      <c r="B910" s="336" t="s">
        <v>5390</v>
      </c>
      <c r="C910" s="388" t="s">
        <v>4280</v>
      </c>
      <c r="D910" s="386">
        <v>13812.129386574074</v>
      </c>
      <c r="E910" s="387"/>
    </row>
    <row r="911" spans="2:5" ht="13.5" customHeight="1">
      <c r="B911" s="336" t="s">
        <v>6417</v>
      </c>
      <c r="C911" s="388" t="s">
        <v>7019</v>
      </c>
      <c r="D911" s="386">
        <v>13827.121678240741</v>
      </c>
      <c r="E911" s="387"/>
    </row>
    <row r="912" spans="2:5" ht="13.5" customHeight="1">
      <c r="B912" s="336" t="s">
        <v>5391</v>
      </c>
      <c r="C912" s="388" t="s">
        <v>4282</v>
      </c>
      <c r="D912" s="386">
        <v>13842.011354166667</v>
      </c>
      <c r="E912" s="387"/>
    </row>
    <row r="913" spans="2:5" ht="13.5" customHeight="1">
      <c r="B913" s="336" t="s">
        <v>6418</v>
      </c>
      <c r="C913" s="388" t="s">
        <v>7020</v>
      </c>
      <c r="D913" s="386">
        <v>13856.809884259259</v>
      </c>
      <c r="E913" s="387"/>
    </row>
    <row r="914" spans="2:5" ht="13.5" customHeight="1">
      <c r="B914" s="336" t="s">
        <v>5392</v>
      </c>
      <c r="C914" s="389" t="s">
        <v>4284</v>
      </c>
      <c r="D914" s="386">
        <v>13871.556620370369</v>
      </c>
      <c r="E914" s="387"/>
    </row>
    <row r="915" spans="2:5" ht="13.5" customHeight="1">
      <c r="B915" s="336" t="s">
        <v>6419</v>
      </c>
      <c r="C915" s="390" t="s">
        <v>9317</v>
      </c>
      <c r="D915" s="386">
        <v>13886.271574074073</v>
      </c>
      <c r="E915" s="387"/>
    </row>
    <row r="916" spans="2:5" ht="13.5" customHeight="1">
      <c r="B916" s="336" t="s">
        <v>5393</v>
      </c>
      <c r="C916" s="388" t="s">
        <v>4230</v>
      </c>
      <c r="D916" s="386">
        <v>13900.999016203703</v>
      </c>
      <c r="E916" s="387"/>
    </row>
    <row r="917" spans="2:5" ht="13.5" customHeight="1">
      <c r="B917" s="336" t="s">
        <v>6420</v>
      </c>
      <c r="C917" s="388" t="s">
        <v>7010</v>
      </c>
      <c r="D917" s="386">
        <v>13915.760231481481</v>
      </c>
      <c r="E917" s="387"/>
    </row>
    <row r="918" spans="2:5" ht="13.5" customHeight="1">
      <c r="B918" s="336" t="s">
        <v>5394</v>
      </c>
      <c r="C918" s="388" t="s">
        <v>4232</v>
      </c>
      <c r="D918" s="386">
        <v>13930.596724537036</v>
      </c>
      <c r="E918" s="387"/>
    </row>
    <row r="919" spans="2:5" ht="13.5" customHeight="1">
      <c r="B919" s="336" t="s">
        <v>6421</v>
      </c>
      <c r="C919" s="388" t="s">
        <v>7011</v>
      </c>
      <c r="D919" s="386">
        <v>13945.523159722221</v>
      </c>
      <c r="E919" s="387"/>
    </row>
    <row r="920" spans="2:5" ht="13.5" customHeight="1">
      <c r="B920" s="336" t="s">
        <v>5395</v>
      </c>
      <c r="C920" s="389" t="s">
        <v>4234</v>
      </c>
      <c r="D920" s="386">
        <v>13960.571342592591</v>
      </c>
      <c r="E920" s="387"/>
    </row>
    <row r="921" spans="2:5" ht="13.5" customHeight="1">
      <c r="B921" s="336" t="s">
        <v>7211</v>
      </c>
      <c r="C921" s="388" t="s">
        <v>7012</v>
      </c>
      <c r="D921" s="386">
        <v>13975.741875</v>
      </c>
      <c r="E921" s="387"/>
    </row>
    <row r="922" spans="2:5" ht="13.5" customHeight="1">
      <c r="B922" s="336" t="s">
        <v>5396</v>
      </c>
      <c r="C922" s="388" t="s">
        <v>4236</v>
      </c>
      <c r="D922" s="386">
        <v>13991.051782407407</v>
      </c>
      <c r="E922" s="387"/>
    </row>
    <row r="923" spans="2:5" ht="13.5" customHeight="1">
      <c r="B923" s="336" t="s">
        <v>7212</v>
      </c>
      <c r="C923" s="388" t="s">
        <v>7013</v>
      </c>
      <c r="D923" s="386">
        <v>14006.482696759258</v>
      </c>
      <c r="E923" s="387"/>
    </row>
    <row r="924" spans="2:5" ht="13.5" customHeight="1">
      <c r="B924" s="336" t="s">
        <v>5397</v>
      </c>
      <c r="C924" s="388" t="s">
        <v>4238</v>
      </c>
      <c r="D924" s="386">
        <v>14022.034814814815</v>
      </c>
      <c r="E924" s="387"/>
    </row>
    <row r="925" spans="2:5" ht="13.5" customHeight="1">
      <c r="B925" s="336" t="s">
        <v>1226</v>
      </c>
      <c r="C925" s="388" t="s">
        <v>7014</v>
      </c>
      <c r="D925" s="386">
        <v>14037.671157407407</v>
      </c>
      <c r="E925" s="387"/>
    </row>
    <row r="926" spans="2:5" ht="13.5" customHeight="1">
      <c r="B926" s="336" t="s">
        <v>5398</v>
      </c>
      <c r="C926" s="389" t="s">
        <v>4240</v>
      </c>
      <c r="D926" s="386">
        <v>14053.377280092593</v>
      </c>
      <c r="E926" s="387"/>
    </row>
    <row r="927" spans="2:5" ht="13.5" customHeight="1">
      <c r="B927" s="336" t="s">
        <v>2014</v>
      </c>
      <c r="C927" s="388" t="s">
        <v>7015</v>
      </c>
      <c r="D927" s="386">
        <v>14069.104861111111</v>
      </c>
      <c r="E927" s="387"/>
    </row>
    <row r="928" spans="2:5" ht="13.5" customHeight="1">
      <c r="B928" s="336" t="s">
        <v>5399</v>
      </c>
      <c r="C928" s="388" t="s">
        <v>4242</v>
      </c>
      <c r="D928" s="386">
        <v>14084.831076388888</v>
      </c>
      <c r="E928" s="387"/>
    </row>
    <row r="929" spans="2:5" ht="13.5" customHeight="1">
      <c r="B929" s="336" t="s">
        <v>2015</v>
      </c>
      <c r="C929" s="388" t="s">
        <v>7016</v>
      </c>
      <c r="D929" s="386">
        <v>14100.508645833334</v>
      </c>
      <c r="E929" s="387"/>
    </row>
    <row r="930" spans="2:5" ht="13.5" customHeight="1">
      <c r="B930" s="336" t="s">
        <v>5400</v>
      </c>
      <c r="C930" s="388" t="s">
        <v>4276</v>
      </c>
      <c r="D930" s="386">
        <v>14116.11517361111</v>
      </c>
      <c r="E930" s="387"/>
    </row>
    <row r="931" spans="2:5" ht="13.5" customHeight="1">
      <c r="B931" s="336" t="s">
        <v>2016</v>
      </c>
      <c r="C931" s="388" t="s">
        <v>7017</v>
      </c>
      <c r="D931" s="386">
        <v>14131.616747685184</v>
      </c>
      <c r="E931" s="387"/>
    </row>
    <row r="932" spans="2:5" ht="13.5" customHeight="1">
      <c r="B932" s="336" t="s">
        <v>5401</v>
      </c>
      <c r="C932" s="389" t="s">
        <v>4278</v>
      </c>
      <c r="D932" s="386">
        <v>14146.999814814813</v>
      </c>
      <c r="E932" s="387"/>
    </row>
    <row r="933" spans="2:5" ht="13.5" customHeight="1">
      <c r="B933" s="336" t="s">
        <v>2017</v>
      </c>
      <c r="C933" s="388" t="s">
        <v>7018</v>
      </c>
      <c r="D933" s="386">
        <v>14162.25099537037</v>
      </c>
      <c r="E933" s="387"/>
    </row>
    <row r="934" spans="2:5" ht="13.5" customHeight="1">
      <c r="B934" s="336" t="s">
        <v>5402</v>
      </c>
      <c r="C934" s="388" t="s">
        <v>4280</v>
      </c>
      <c r="D934" s="386">
        <v>14177.370787037036</v>
      </c>
      <c r="E934" s="387"/>
    </row>
    <row r="935" spans="2:5" ht="13.5" customHeight="1">
      <c r="B935" s="336" t="s">
        <v>2018</v>
      </c>
      <c r="C935" s="388" t="s">
        <v>7019</v>
      </c>
      <c r="D935" s="386">
        <v>14192.366782407407</v>
      </c>
      <c r="E935" s="387"/>
    </row>
    <row r="936" spans="2:5" ht="13.5" customHeight="1">
      <c r="B936" s="336" t="s">
        <v>5486</v>
      </c>
      <c r="C936" s="388" t="s">
        <v>4282</v>
      </c>
      <c r="D936" s="386">
        <v>14207.254131944444</v>
      </c>
      <c r="E936" s="387"/>
    </row>
    <row r="937" spans="2:5" ht="13.5" customHeight="1">
      <c r="B937" s="336" t="s">
        <v>2019</v>
      </c>
      <c r="C937" s="388" t="s">
        <v>7020</v>
      </c>
      <c r="D937" s="386">
        <v>14222.05667824074</v>
      </c>
      <c r="E937" s="387"/>
    </row>
    <row r="938" spans="2:5" ht="13.5" customHeight="1">
      <c r="B938" s="336" t="s">
        <v>5487</v>
      </c>
      <c r="C938" s="389" t="s">
        <v>4284</v>
      </c>
      <c r="D938" s="386">
        <v>14236.800787037037</v>
      </c>
      <c r="E938" s="387"/>
    </row>
    <row r="939" spans="2:5" ht="13.5" customHeight="1">
      <c r="B939" s="336" t="s">
        <v>2020</v>
      </c>
      <c r="C939" s="390" t="s">
        <v>9317</v>
      </c>
      <c r="D939" s="386">
        <v>14251.519270833332</v>
      </c>
      <c r="E939" s="387"/>
    </row>
    <row r="940" spans="2:5" ht="13.5" customHeight="1">
      <c r="B940" s="336" t="s">
        <v>5488</v>
      </c>
      <c r="C940" s="388" t="s">
        <v>4230</v>
      </c>
      <c r="D940" s="386">
        <v>14266.243506944444</v>
      </c>
      <c r="E940" s="387"/>
    </row>
    <row r="941" spans="2:5" ht="13.5" customHeight="1">
      <c r="B941" s="336" t="s">
        <v>2021</v>
      </c>
      <c r="C941" s="388" t="s">
        <v>7010</v>
      </c>
      <c r="D941" s="386">
        <v>14281.007361111111</v>
      </c>
      <c r="E941" s="387"/>
    </row>
    <row r="942" spans="2:5" ht="13.5" customHeight="1">
      <c r="B942" s="336" t="s">
        <v>5489</v>
      </c>
      <c r="C942" s="388" t="s">
        <v>4232</v>
      </c>
      <c r="D942" s="386">
        <v>14295.839756944444</v>
      </c>
      <c r="E942" s="387"/>
    </row>
    <row r="943" spans="2:5" ht="13.5" customHeight="1">
      <c r="B943" s="336" t="s">
        <v>2022</v>
      </c>
      <c r="C943" s="388" t="s">
        <v>7011</v>
      </c>
      <c r="D943" s="386">
        <v>14310.768229166666</v>
      </c>
      <c r="E943" s="387"/>
    </row>
    <row r="944" spans="2:5" ht="13.5" customHeight="1">
      <c r="B944" s="336" t="s">
        <v>5490</v>
      </c>
      <c r="C944" s="389" t="s">
        <v>4234</v>
      </c>
      <c r="D944" s="386">
        <v>14325.811249999999</v>
      </c>
      <c r="E944" s="387"/>
    </row>
    <row r="945" spans="2:5" ht="13.5" customHeight="1">
      <c r="B945" s="336" t="s">
        <v>2023</v>
      </c>
      <c r="C945" s="388" t="s">
        <v>7012</v>
      </c>
      <c r="D945" s="386">
        <v>14340.984201388888</v>
      </c>
      <c r="E945" s="387"/>
    </row>
    <row r="946" spans="2:5" ht="13.5" customHeight="1">
      <c r="B946" s="336" t="s">
        <v>5491</v>
      </c>
      <c r="C946" s="388" t="s">
        <v>4236</v>
      </c>
      <c r="D946" s="386">
        <v>14356.287974537036</v>
      </c>
      <c r="E946" s="387"/>
    </row>
    <row r="947" spans="2:5" ht="13.5" customHeight="1">
      <c r="B947" s="336" t="s">
        <v>2024</v>
      </c>
      <c r="C947" s="388" t="s">
        <v>7013</v>
      </c>
      <c r="D947" s="386">
        <v>14371.722847222221</v>
      </c>
      <c r="E947" s="387"/>
    </row>
    <row r="948" spans="2:5" ht="13.5" customHeight="1">
      <c r="B948" s="336" t="s">
        <v>1287</v>
      </c>
      <c r="C948" s="388" t="s">
        <v>4238</v>
      </c>
      <c r="D948" s="386">
        <v>14387.268310185185</v>
      </c>
      <c r="E948" s="387"/>
    </row>
    <row r="949" spans="2:5" ht="13.5" customHeight="1">
      <c r="B949" s="336" t="s">
        <v>482</v>
      </c>
      <c r="C949" s="388" t="s">
        <v>7014</v>
      </c>
      <c r="D949" s="386">
        <v>14402.910833333333</v>
      </c>
      <c r="E949" s="387"/>
    </row>
    <row r="950" spans="2:5" ht="13.5" customHeight="1">
      <c r="B950" s="336" t="s">
        <v>1288</v>
      </c>
      <c r="C950" s="389" t="s">
        <v>4240</v>
      </c>
      <c r="D950" s="386">
        <v>14418.610567129628</v>
      </c>
      <c r="E950" s="387"/>
    </row>
    <row r="951" spans="2:5" ht="13.5" customHeight="1">
      <c r="B951" s="336" t="s">
        <v>483</v>
      </c>
      <c r="C951" s="388" t="s">
        <v>7015</v>
      </c>
      <c r="D951" s="386">
        <v>14434.3459375</v>
      </c>
      <c r="E951" s="387"/>
    </row>
    <row r="952" spans="2:5" ht="13.5" customHeight="1">
      <c r="B952" s="336" t="s">
        <v>1289</v>
      </c>
      <c r="C952" s="388" t="s">
        <v>4242</v>
      </c>
      <c r="D952" s="386">
        <v>14450.066828703702</v>
      </c>
      <c r="E952" s="387"/>
    </row>
    <row r="953" spans="2:5" ht="13.5" customHeight="1">
      <c r="B953" s="336" t="s">
        <v>484</v>
      </c>
      <c r="C953" s="388" t="s">
        <v>7016</v>
      </c>
      <c r="D953" s="386">
        <v>14465.752152777777</v>
      </c>
      <c r="E953" s="387"/>
    </row>
    <row r="954" spans="2:5" ht="13.5" customHeight="1">
      <c r="B954" s="336" t="s">
        <v>1290</v>
      </c>
      <c r="C954" s="388" t="s">
        <v>4276</v>
      </c>
      <c r="D954" s="386">
        <v>14481.354722222222</v>
      </c>
      <c r="E954" s="387"/>
    </row>
    <row r="955" spans="2:5" ht="13.5" customHeight="1">
      <c r="B955" s="336" t="s">
        <v>485</v>
      </c>
      <c r="C955" s="388" t="s">
        <v>7017</v>
      </c>
      <c r="D955" s="386">
        <v>14496.862395833332</v>
      </c>
      <c r="E955" s="387"/>
    </row>
    <row r="956" spans="2:5" ht="13.5" customHeight="1">
      <c r="B956" s="336" t="s">
        <v>1291</v>
      </c>
      <c r="C956" s="389" t="s">
        <v>4278</v>
      </c>
      <c r="D956" s="386">
        <v>14512.242534722222</v>
      </c>
      <c r="E956" s="387"/>
    </row>
    <row r="957" spans="2:5" ht="13.5" customHeight="1">
      <c r="B957" s="336" t="s">
        <v>2101</v>
      </c>
      <c r="C957" s="388" t="s">
        <v>7018</v>
      </c>
      <c r="D957" s="386">
        <v>14527.497650462963</v>
      </c>
      <c r="E957" s="387"/>
    </row>
    <row r="958" spans="2:5" ht="13.5" customHeight="1">
      <c r="B958" s="336" t="s">
        <v>1292</v>
      </c>
      <c r="C958" s="388" t="s">
        <v>4280</v>
      </c>
      <c r="D958" s="386">
        <v>14542.615046296296</v>
      </c>
      <c r="E958" s="387"/>
    </row>
    <row r="959" spans="2:5" ht="13.5" customHeight="1">
      <c r="B959" s="336" t="s">
        <v>2966</v>
      </c>
      <c r="C959" s="388" t="s">
        <v>7019</v>
      </c>
      <c r="D959" s="386">
        <v>14557.613425925925</v>
      </c>
      <c r="E959" s="387"/>
    </row>
    <row r="960" spans="2:5" ht="13.5" customHeight="1">
      <c r="B960" s="336" t="s">
        <v>1293</v>
      </c>
      <c r="C960" s="388" t="s">
        <v>4282</v>
      </c>
      <c r="D960" s="386">
        <v>14572.498645833333</v>
      </c>
      <c r="E960" s="387"/>
    </row>
    <row r="961" spans="2:5" ht="13.5" customHeight="1">
      <c r="B961" s="336" t="s">
        <v>5413</v>
      </c>
      <c r="C961" s="388" t="s">
        <v>7020</v>
      </c>
      <c r="D961" s="386">
        <v>14587.303113425925</v>
      </c>
      <c r="E961" s="387"/>
    </row>
    <row r="962" spans="2:5" ht="13.5" customHeight="1">
      <c r="B962" s="336" t="s">
        <v>1294</v>
      </c>
      <c r="C962" s="389" t="s">
        <v>4284</v>
      </c>
      <c r="D962" s="386">
        <v>14602.045347222222</v>
      </c>
      <c r="E962" s="387"/>
    </row>
    <row r="963" spans="2:5" ht="13.5" customHeight="1">
      <c r="B963" s="336" t="s">
        <v>5414</v>
      </c>
      <c r="C963" s="390" t="s">
        <v>9317</v>
      </c>
      <c r="D963" s="386">
        <v>14616.766018518518</v>
      </c>
      <c r="E963" s="387"/>
    </row>
    <row r="964" spans="2:5" ht="13.5" customHeight="1">
      <c r="B964" s="336" t="s">
        <v>1295</v>
      </c>
      <c r="C964" s="388" t="s">
        <v>4230</v>
      </c>
      <c r="D964" s="386">
        <v>14631.488576388889</v>
      </c>
      <c r="E964" s="387"/>
    </row>
    <row r="965" spans="2:5" ht="13.5" customHeight="1">
      <c r="B965" s="336" t="s">
        <v>5415</v>
      </c>
      <c r="C965" s="388" t="s">
        <v>7010</v>
      </c>
      <c r="D965" s="386">
        <v>14646.254953703703</v>
      </c>
      <c r="E965" s="387"/>
    </row>
    <row r="966" spans="2:5" ht="13.5" customHeight="1">
      <c r="B966" s="336" t="s">
        <v>1296</v>
      </c>
      <c r="C966" s="388" t="s">
        <v>4232</v>
      </c>
      <c r="D966" s="386">
        <v>14661.085763888888</v>
      </c>
      <c r="E966" s="387"/>
    </row>
    <row r="967" spans="2:5" ht="13.5" customHeight="1">
      <c r="B967" s="336" t="s">
        <v>5416</v>
      </c>
      <c r="C967" s="388" t="s">
        <v>7011</v>
      </c>
      <c r="D967" s="386">
        <v>14676.01650462963</v>
      </c>
      <c r="E967" s="387"/>
    </row>
    <row r="968" spans="2:5" ht="13.5" customHeight="1">
      <c r="B968" s="336" t="s">
        <v>1297</v>
      </c>
      <c r="C968" s="389" t="s">
        <v>4234</v>
      </c>
      <c r="D968" s="386">
        <v>14691.058101851851</v>
      </c>
      <c r="E968" s="387"/>
    </row>
    <row r="969" spans="2:5" ht="13.5" customHeight="1">
      <c r="B969" s="336" t="s">
        <v>5417</v>
      </c>
      <c r="C969" s="388" t="s">
        <v>7012</v>
      </c>
      <c r="D969" s="386">
        <v>14706.232199074073</v>
      </c>
      <c r="E969" s="387"/>
    </row>
    <row r="970" spans="2:5" ht="13.5" customHeight="1">
      <c r="B970" s="336" t="s">
        <v>1298</v>
      </c>
      <c r="C970" s="388" t="s">
        <v>4236</v>
      </c>
      <c r="D970" s="386">
        <v>14721.535266203704</v>
      </c>
      <c r="E970" s="387"/>
    </row>
    <row r="971" spans="2:5" ht="13.5" customHeight="1">
      <c r="B971" s="336" t="s">
        <v>5418</v>
      </c>
      <c r="C971" s="388" t="s">
        <v>7013</v>
      </c>
      <c r="D971" s="386">
        <v>14736.969409722222</v>
      </c>
      <c r="E971" s="387"/>
    </row>
    <row r="972" spans="2:5" ht="13.5" customHeight="1">
      <c r="B972" s="336" t="s">
        <v>1299</v>
      </c>
      <c r="C972" s="388" t="s">
        <v>4238</v>
      </c>
      <c r="D972" s="386">
        <v>14752.515868055554</v>
      </c>
      <c r="E972" s="387"/>
    </row>
    <row r="973" spans="2:5" ht="13.5" customHeight="1">
      <c r="B973" s="336" t="s">
        <v>5419</v>
      </c>
      <c r="C973" s="388" t="s">
        <v>7014</v>
      </c>
      <c r="D973" s="386">
        <v>14768.15542824074</v>
      </c>
      <c r="E973" s="387"/>
    </row>
    <row r="974" spans="2:5" ht="13.5" customHeight="1">
      <c r="B974" s="336" t="s">
        <v>2054</v>
      </c>
      <c r="C974" s="389" t="s">
        <v>4240</v>
      </c>
      <c r="D974" s="386">
        <v>14783.858622685184</v>
      </c>
      <c r="E974" s="387"/>
    </row>
    <row r="975" spans="2:5" ht="13.5" customHeight="1">
      <c r="B975" s="336" t="s">
        <v>5420</v>
      </c>
      <c r="C975" s="388" t="s">
        <v>7015</v>
      </c>
      <c r="D975" s="386">
        <v>14799.588946759259</v>
      </c>
      <c r="E975" s="387"/>
    </row>
    <row r="976" spans="2:5" ht="13.5" customHeight="1">
      <c r="B976" s="336" t="s">
        <v>2055</v>
      </c>
      <c r="C976" s="388" t="s">
        <v>4242</v>
      </c>
      <c r="D976" s="386">
        <v>14815.315405092591</v>
      </c>
      <c r="E976" s="387"/>
    </row>
    <row r="977" spans="2:5" ht="13.5" customHeight="1">
      <c r="B977" s="336" t="s">
        <v>5421</v>
      </c>
      <c r="C977" s="388" t="s">
        <v>7016</v>
      </c>
      <c r="D977" s="386">
        <v>14830.994201388889</v>
      </c>
      <c r="E977" s="387"/>
    </row>
    <row r="978" spans="2:5" ht="13.5" customHeight="1">
      <c r="B978" s="336" t="s">
        <v>2056</v>
      </c>
      <c r="C978" s="388" t="s">
        <v>4276</v>
      </c>
      <c r="D978" s="386">
        <v>14846.603148148148</v>
      </c>
      <c r="E978" s="387"/>
    </row>
    <row r="979" spans="2:5" ht="13.5" customHeight="1">
      <c r="B979" s="336" t="s">
        <v>5422</v>
      </c>
      <c r="C979" s="388" t="s">
        <v>7017</v>
      </c>
      <c r="D979" s="386">
        <v>14862.103576388889</v>
      </c>
      <c r="E979" s="387"/>
    </row>
    <row r="980" spans="2:5" ht="13.5" customHeight="1">
      <c r="B980" s="336" t="s">
        <v>2057</v>
      </c>
      <c r="C980" s="389" t="s">
        <v>4278</v>
      </c>
      <c r="D980" s="386">
        <v>14877.489756944444</v>
      </c>
      <c r="E980" s="387"/>
    </row>
    <row r="981" spans="2:5" ht="13.5" customHeight="1">
      <c r="B981" s="336" t="s">
        <v>5423</v>
      </c>
      <c r="C981" s="388" t="s">
        <v>7018</v>
      </c>
      <c r="D981" s="386">
        <v>14892.737546296295</v>
      </c>
      <c r="E981" s="387"/>
    </row>
    <row r="982" spans="2:5" ht="13.5" customHeight="1">
      <c r="B982" s="336" t="s">
        <v>2058</v>
      </c>
      <c r="C982" s="388" t="s">
        <v>4280</v>
      </c>
      <c r="D982" s="386">
        <v>14907.860324074074</v>
      </c>
      <c r="E982" s="387"/>
    </row>
    <row r="983" spans="2:5" ht="13.5" customHeight="1">
      <c r="B983" s="336" t="s">
        <v>5424</v>
      </c>
      <c r="C983" s="388" t="s">
        <v>7019</v>
      </c>
      <c r="D983" s="386">
        <v>14922.851689814814</v>
      </c>
      <c r="E983" s="387"/>
    </row>
    <row r="984" spans="2:5" ht="13.5" customHeight="1">
      <c r="B984" s="336" t="s">
        <v>2059</v>
      </c>
      <c r="C984" s="388" t="s">
        <v>4282</v>
      </c>
      <c r="D984" s="386">
        <v>14937.742048611111</v>
      </c>
      <c r="E984" s="387"/>
    </row>
    <row r="985" spans="2:5" ht="13.5" customHeight="1">
      <c r="B985" s="336" t="s">
        <v>5425</v>
      </c>
      <c r="C985" s="388" t="s">
        <v>7020</v>
      </c>
      <c r="D985" s="386">
        <v>14952.54</v>
      </c>
      <c r="E985" s="387"/>
    </row>
    <row r="986" spans="2:5" ht="13.5" customHeight="1">
      <c r="B986" s="336" t="s">
        <v>2060</v>
      </c>
      <c r="C986" s="389" t="s">
        <v>4284</v>
      </c>
      <c r="D986" s="386">
        <v>14967.287754629629</v>
      </c>
      <c r="E986" s="387"/>
    </row>
    <row r="987" spans="2:5" ht="13.5" customHeight="1">
      <c r="B987" s="336" t="s">
        <v>5426</v>
      </c>
      <c r="C987" s="390" t="s">
        <v>9317</v>
      </c>
      <c r="D987" s="386">
        <v>14982.00255787037</v>
      </c>
      <c r="E987" s="387"/>
    </row>
    <row r="988" spans="2:5" ht="13.5" customHeight="1">
      <c r="B988" s="336" t="s">
        <v>2061</v>
      </c>
      <c r="C988" s="388" t="s">
        <v>4230</v>
      </c>
      <c r="D988" s="386">
        <v>14996.731412037036</v>
      </c>
      <c r="E988" s="387"/>
    </row>
    <row r="989" spans="2:5" ht="13.5" customHeight="1">
      <c r="B989" s="336" t="s">
        <v>5427</v>
      </c>
      <c r="C989" s="388" t="s">
        <v>7010</v>
      </c>
      <c r="D989" s="386">
        <v>15011.492662037037</v>
      </c>
      <c r="E989" s="387"/>
    </row>
    <row r="990" spans="2:5" ht="13.5" customHeight="1">
      <c r="B990" s="336" t="s">
        <v>2062</v>
      </c>
      <c r="C990" s="388" t="s">
        <v>4232</v>
      </c>
      <c r="D990" s="386">
        <v>15026.330567129629</v>
      </c>
      <c r="E990" s="387"/>
    </row>
    <row r="991" spans="2:5" ht="13.5" customHeight="1">
      <c r="B991" s="336" t="s">
        <v>5428</v>
      </c>
      <c r="C991" s="388" t="s">
        <v>7011</v>
      </c>
      <c r="D991" s="386">
        <v>15041.25681712963</v>
      </c>
      <c r="E991" s="387"/>
    </row>
    <row r="992" spans="2:5" ht="13.5" customHeight="1">
      <c r="B992" s="336" t="s">
        <v>1703</v>
      </c>
      <c r="C992" s="389" t="s">
        <v>4234</v>
      </c>
      <c r="D992" s="386">
        <v>15056.305752314815</v>
      </c>
      <c r="E992" s="387"/>
    </row>
    <row r="993" spans="2:5" ht="13.5" customHeight="1">
      <c r="B993" s="336" t="s">
        <v>5429</v>
      </c>
      <c r="C993" s="388" t="s">
        <v>7012</v>
      </c>
      <c r="D993" s="386">
        <v>15071.47568287037</v>
      </c>
      <c r="E993" s="387"/>
    </row>
    <row r="994" spans="2:5" ht="13.5" customHeight="1">
      <c r="B994" s="336" t="s">
        <v>1704</v>
      </c>
      <c r="C994" s="388" t="s">
        <v>4236</v>
      </c>
      <c r="D994" s="386">
        <v>15086.78517361111</v>
      </c>
      <c r="E994" s="387"/>
    </row>
    <row r="995" spans="2:5" ht="13.5" customHeight="1">
      <c r="B995" s="336" t="s">
        <v>5430</v>
      </c>
      <c r="C995" s="388" t="s">
        <v>7013</v>
      </c>
      <c r="D995" s="386">
        <v>15102.215335648147</v>
      </c>
      <c r="E995" s="387"/>
    </row>
    <row r="996" spans="2:5" ht="13.5" customHeight="1">
      <c r="B996" s="336" t="s">
        <v>1705</v>
      </c>
      <c r="C996" s="388" t="s">
        <v>4238</v>
      </c>
      <c r="D996" s="386">
        <v>15117.76591435185</v>
      </c>
      <c r="E996" s="387"/>
    </row>
    <row r="997" spans="2:5" ht="13.5" customHeight="1">
      <c r="B997" s="336" t="s">
        <v>5431</v>
      </c>
      <c r="C997" s="388" t="s">
        <v>7014</v>
      </c>
      <c r="D997" s="386">
        <v>15133.4021875</v>
      </c>
      <c r="E997" s="387"/>
    </row>
    <row r="998" spans="2:5" ht="13.5" customHeight="1">
      <c r="B998" s="336" t="s">
        <v>3597</v>
      </c>
      <c r="C998" s="389" t="s">
        <v>4240</v>
      </c>
      <c r="D998" s="386">
        <v>15149.106284722222</v>
      </c>
      <c r="E998" s="387"/>
    </row>
    <row r="999" spans="2:5" ht="13.5" customHeight="1">
      <c r="B999" s="336" t="s">
        <v>5432</v>
      </c>
      <c r="C999" s="388" t="s">
        <v>7015</v>
      </c>
      <c r="D999" s="386">
        <v>15164.835277777776</v>
      </c>
      <c r="E999" s="387"/>
    </row>
    <row r="1000" spans="2:5" ht="13.5" customHeight="1">
      <c r="B1000" s="336" t="s">
        <v>3598</v>
      </c>
      <c r="C1000" s="388" t="s">
        <v>4242</v>
      </c>
      <c r="D1000" s="386">
        <v>15180.559641203703</v>
      </c>
      <c r="E1000" s="387"/>
    </row>
    <row r="1001" spans="2:5" ht="13.5" customHeight="1">
      <c r="B1001" s="336" t="s">
        <v>5433</v>
      </c>
      <c r="C1001" s="388" t="s">
        <v>7016</v>
      </c>
      <c r="D1001" s="386">
        <v>15196.240023148148</v>
      </c>
      <c r="E1001" s="387"/>
    </row>
    <row r="1002" spans="2:5" ht="13.5" customHeight="1">
      <c r="B1002" s="336" t="s">
        <v>5543</v>
      </c>
      <c r="C1002" s="388" t="s">
        <v>4276</v>
      </c>
      <c r="D1002" s="386">
        <v>15211.844953703703</v>
      </c>
      <c r="E1002" s="387"/>
    </row>
    <row r="1003" spans="2:5" ht="13.5" customHeight="1">
      <c r="B1003" s="336" t="s">
        <v>5434</v>
      </c>
      <c r="C1003" s="388" t="s">
        <v>7017</v>
      </c>
      <c r="D1003" s="386">
        <v>15227.3496875</v>
      </c>
      <c r="E1003" s="387"/>
    </row>
    <row r="1004" spans="2:5" ht="13.5" customHeight="1">
      <c r="B1004" s="336" t="s">
        <v>5544</v>
      </c>
      <c r="C1004" s="389" t="s">
        <v>4278</v>
      </c>
      <c r="D1004" s="386">
        <v>15242.730949074074</v>
      </c>
      <c r="E1004" s="387"/>
    </row>
    <row r="1005" spans="2:5" ht="13.5" customHeight="1">
      <c r="B1005" s="336" t="s">
        <v>5435</v>
      </c>
      <c r="C1005" s="388" t="s">
        <v>7018</v>
      </c>
      <c r="D1005" s="386">
        <v>15257.984641203702</v>
      </c>
      <c r="E1005" s="387"/>
    </row>
    <row r="1006" spans="2:5" ht="13.5" customHeight="1">
      <c r="B1006" s="336" t="s">
        <v>5545</v>
      </c>
      <c r="C1006" s="388" t="s">
        <v>4280</v>
      </c>
      <c r="D1006" s="386">
        <v>15273.102060185185</v>
      </c>
      <c r="E1006" s="387"/>
    </row>
    <row r="1007" spans="2:5" ht="13.5" customHeight="1">
      <c r="B1007" s="336" t="s">
        <v>5436</v>
      </c>
      <c r="C1007" s="388" t="s">
        <v>7019</v>
      </c>
      <c r="D1007" s="386">
        <v>15288.099791666666</v>
      </c>
      <c r="E1007" s="387"/>
    </row>
    <row r="1008" spans="2:5" ht="13.5" customHeight="1">
      <c r="B1008" s="336" t="s">
        <v>5546</v>
      </c>
      <c r="C1008" s="388" t="s">
        <v>4282</v>
      </c>
      <c r="D1008" s="386">
        <v>15302.984525462962</v>
      </c>
      <c r="E1008" s="387"/>
    </row>
    <row r="1009" spans="2:5" ht="13.5" customHeight="1">
      <c r="B1009" s="336" t="s">
        <v>5437</v>
      </c>
      <c r="C1009" s="388" t="s">
        <v>7020</v>
      </c>
      <c r="D1009" s="386">
        <v>15317.788773148148</v>
      </c>
      <c r="E1009" s="387"/>
    </row>
    <row r="1010" spans="2:5" ht="13.5" customHeight="1">
      <c r="B1010" s="336" t="s">
        <v>6299</v>
      </c>
      <c r="C1010" s="389" t="s">
        <v>4284</v>
      </c>
      <c r="D1010" s="386">
        <v>15332.530717592592</v>
      </c>
      <c r="E1010" s="387"/>
    </row>
    <row r="1011" spans="2:5" ht="13.5" customHeight="1">
      <c r="B1011" s="336" t="s">
        <v>5438</v>
      </c>
      <c r="C1011" s="390" t="s">
        <v>9317</v>
      </c>
      <c r="D1011" s="386">
        <v>15347.251620370369</v>
      </c>
      <c r="E1011" s="387"/>
    </row>
    <row r="1012" spans="2:5" ht="13.5" customHeight="1">
      <c r="B1012" s="336" t="s">
        <v>6300</v>
      </c>
      <c r="C1012" s="388" t="s">
        <v>4230</v>
      </c>
      <c r="D1012" s="386">
        <v>15361.974618055556</v>
      </c>
      <c r="E1012" s="387"/>
    </row>
    <row r="1013" spans="2:5" ht="13.5" customHeight="1">
      <c r="B1013" s="336" t="s">
        <v>5439</v>
      </c>
      <c r="C1013" s="388" t="s">
        <v>7010</v>
      </c>
      <c r="D1013" s="386">
        <v>15376.741851851852</v>
      </c>
      <c r="E1013" s="387"/>
    </row>
    <row r="1014" spans="2:5" ht="13.5" customHeight="1">
      <c r="B1014" s="336" t="s">
        <v>6301</v>
      </c>
      <c r="C1014" s="388" t="s">
        <v>4232</v>
      </c>
      <c r="D1014" s="386">
        <v>15391.573761574073</v>
      </c>
      <c r="E1014" s="387"/>
    </row>
    <row r="1015" spans="2:5" ht="13.5" customHeight="1">
      <c r="B1015" s="336" t="s">
        <v>5403</v>
      </c>
      <c r="C1015" s="388" t="s">
        <v>7011</v>
      </c>
      <c r="D1015" s="386">
        <v>15406.506018518518</v>
      </c>
      <c r="E1015" s="387"/>
    </row>
    <row r="1016" spans="2:5" ht="13.5" customHeight="1">
      <c r="B1016" s="336" t="s">
        <v>6302</v>
      </c>
      <c r="C1016" s="389" t="s">
        <v>4234</v>
      </c>
      <c r="D1016" s="386">
        <v>15421.548495370369</v>
      </c>
      <c r="E1016" s="387"/>
    </row>
    <row r="1017" spans="2:5" ht="13.5" customHeight="1">
      <c r="B1017" s="336" t="s">
        <v>5404</v>
      </c>
      <c r="C1017" s="388" t="s">
        <v>7012</v>
      </c>
      <c r="D1017" s="386">
        <v>15436.72449074074</v>
      </c>
      <c r="E1017" s="387"/>
    </row>
    <row r="1018" spans="2:5" ht="13.5" customHeight="1">
      <c r="B1018" s="336" t="s">
        <v>6303</v>
      </c>
      <c r="C1018" s="388" t="s">
        <v>4236</v>
      </c>
      <c r="D1018" s="386">
        <v>15452.02679398148</v>
      </c>
      <c r="E1018" s="387"/>
    </row>
    <row r="1019" spans="2:5" ht="13.5" customHeight="1">
      <c r="B1019" s="336" t="s">
        <v>5405</v>
      </c>
      <c r="C1019" s="388" t="s">
        <v>7013</v>
      </c>
      <c r="D1019" s="386">
        <v>15467.462939814814</v>
      </c>
      <c r="E1019" s="387"/>
    </row>
    <row r="1020" spans="2:5" ht="13.5" customHeight="1">
      <c r="B1020" s="336" t="s">
        <v>6304</v>
      </c>
      <c r="C1020" s="388" t="s">
        <v>4238</v>
      </c>
      <c r="D1020" s="386">
        <v>15483.005787037036</v>
      </c>
      <c r="E1020" s="387"/>
    </row>
    <row r="1021" spans="2:5" ht="13.5" customHeight="1">
      <c r="B1021" s="336" t="s">
        <v>5406</v>
      </c>
      <c r="C1021" s="388" t="s">
        <v>7014</v>
      </c>
      <c r="D1021" s="386">
        <v>15498.647453703703</v>
      </c>
      <c r="E1021" s="387"/>
    </row>
    <row r="1022" spans="2:5" ht="13.5" customHeight="1">
      <c r="B1022" s="336" t="s">
        <v>6305</v>
      </c>
      <c r="C1022" s="389" t="s">
        <v>4240</v>
      </c>
      <c r="D1022" s="386">
        <v>15514.344282407406</v>
      </c>
      <c r="E1022" s="387"/>
    </row>
    <row r="1023" spans="2:5" ht="13.5" customHeight="1">
      <c r="B1023" s="336" t="s">
        <v>5407</v>
      </c>
      <c r="C1023" s="388" t="s">
        <v>7015</v>
      </c>
      <c r="D1023" s="386">
        <v>15530.077361111111</v>
      </c>
      <c r="E1023" s="387"/>
    </row>
    <row r="1024" spans="2:5" ht="13.5" customHeight="1">
      <c r="B1024" s="336" t="s">
        <v>6306</v>
      </c>
      <c r="C1024" s="388" t="s">
        <v>4242</v>
      </c>
      <c r="D1024" s="386">
        <v>15545.796435185184</v>
      </c>
      <c r="E1024" s="387"/>
    </row>
    <row r="1025" spans="2:5" ht="13.5" customHeight="1">
      <c r="B1025" s="336" t="s">
        <v>5408</v>
      </c>
      <c r="C1025" s="388" t="s">
        <v>7016</v>
      </c>
      <c r="D1025" s="386">
        <v>15561.479178240741</v>
      </c>
      <c r="E1025" s="387"/>
    </row>
    <row r="1026" spans="2:5" ht="13.5" customHeight="1">
      <c r="B1026" s="336" t="s">
        <v>6307</v>
      </c>
      <c r="C1026" s="388" t="s">
        <v>4276</v>
      </c>
      <c r="D1026" s="386">
        <v>15577.081898148148</v>
      </c>
      <c r="E1026" s="387"/>
    </row>
    <row r="1027" spans="2:5" ht="13.5" customHeight="1">
      <c r="B1027" s="336" t="s">
        <v>5409</v>
      </c>
      <c r="C1027" s="388" t="s">
        <v>7017</v>
      </c>
      <c r="D1027" s="386">
        <v>15592.587581018517</v>
      </c>
      <c r="E1027" s="387"/>
    </row>
    <row r="1028" spans="2:5" ht="13.5" customHeight="1">
      <c r="B1028" s="336" t="s">
        <v>6308</v>
      </c>
      <c r="C1028" s="389" t="s">
        <v>4278</v>
      </c>
      <c r="D1028" s="386">
        <v>15607.969675925926</v>
      </c>
      <c r="E1028" s="387"/>
    </row>
    <row r="1029" spans="2:5" ht="13.5" customHeight="1">
      <c r="B1029" s="336" t="s">
        <v>5410</v>
      </c>
      <c r="C1029" s="388" t="s">
        <v>7018</v>
      </c>
      <c r="D1029" s="386">
        <v>15623.223449074074</v>
      </c>
      <c r="E1029" s="387"/>
    </row>
    <row r="1030" spans="2:5" ht="13.5" customHeight="1">
      <c r="B1030" s="336" t="s">
        <v>6309</v>
      </c>
      <c r="C1030" s="388" t="s">
        <v>4280</v>
      </c>
      <c r="D1030" s="386">
        <v>15638.343761574073</v>
      </c>
      <c r="E1030" s="387"/>
    </row>
    <row r="1031" spans="2:5" ht="13.5" customHeight="1">
      <c r="B1031" s="336" t="s">
        <v>5411</v>
      </c>
      <c r="C1031" s="388" t="s">
        <v>7019</v>
      </c>
      <c r="D1031" s="386">
        <v>15653.340983796295</v>
      </c>
      <c r="E1031" s="387"/>
    </row>
    <row r="1032" spans="2:5" ht="13.5" customHeight="1">
      <c r="B1032" s="336" t="s">
        <v>6310</v>
      </c>
      <c r="C1032" s="388" t="s">
        <v>4282</v>
      </c>
      <c r="D1032" s="386">
        <v>15668.229212962962</v>
      </c>
      <c r="E1032" s="387"/>
    </row>
    <row r="1033" spans="2:5" ht="13.5" customHeight="1">
      <c r="B1033" s="336" t="s">
        <v>5412</v>
      </c>
      <c r="C1033" s="388" t="s">
        <v>7020</v>
      </c>
      <c r="D1033" s="386">
        <v>15683.032280092591</v>
      </c>
      <c r="E1033" s="387"/>
    </row>
    <row r="1034" spans="2:5" ht="13.5" customHeight="1">
      <c r="B1034" s="336" t="s">
        <v>6311</v>
      </c>
      <c r="C1034" s="389" t="s">
        <v>4284</v>
      </c>
      <c r="D1034" s="386">
        <v>15697.777222222221</v>
      </c>
      <c r="E1034" s="387"/>
    </row>
    <row r="1035" spans="2:5" ht="13.5" customHeight="1">
      <c r="B1035" s="336" t="s">
        <v>1742</v>
      </c>
      <c r="C1035" s="390" t="s">
        <v>9317</v>
      </c>
      <c r="D1035" s="386">
        <v>15712.496215277777</v>
      </c>
      <c r="E1035" s="387"/>
    </row>
    <row r="1036" spans="2:5" ht="13.5" customHeight="1">
      <c r="B1036" s="336" t="s">
        <v>6312</v>
      </c>
      <c r="C1036" s="388" t="s">
        <v>4230</v>
      </c>
      <c r="D1036" s="386">
        <v>15727.221296296295</v>
      </c>
      <c r="E1036" s="387"/>
    </row>
    <row r="1037" spans="2:5" ht="13.5" customHeight="1">
      <c r="B1037" s="336" t="s">
        <v>3780</v>
      </c>
      <c r="C1037" s="388" t="s">
        <v>7010</v>
      </c>
      <c r="D1037" s="386">
        <v>15741.986006944444</v>
      </c>
      <c r="E1037" s="387"/>
    </row>
    <row r="1038" spans="2:5" ht="13.5" customHeight="1">
      <c r="B1038" s="336" t="s">
        <v>6313</v>
      </c>
      <c r="C1038" s="388" t="s">
        <v>4232</v>
      </c>
      <c r="D1038" s="386">
        <v>15756.819502314815</v>
      </c>
      <c r="E1038" s="387"/>
    </row>
    <row r="1039" spans="2:5" ht="13.5" customHeight="1">
      <c r="B1039" s="336" t="s">
        <v>3781</v>
      </c>
      <c r="C1039" s="388" t="s">
        <v>7011</v>
      </c>
      <c r="D1039" s="386">
        <v>15771.748761574074</v>
      </c>
      <c r="E1039" s="387"/>
    </row>
    <row r="1040" spans="2:5" ht="13.5" customHeight="1">
      <c r="B1040" s="336" t="s">
        <v>6399</v>
      </c>
      <c r="C1040" s="389" t="s">
        <v>4234</v>
      </c>
      <c r="D1040" s="386">
        <v>15786.793333333333</v>
      </c>
      <c r="E1040" s="387"/>
    </row>
    <row r="1041" spans="2:5" ht="13.5" customHeight="1">
      <c r="B1041" s="336" t="s">
        <v>3782</v>
      </c>
      <c r="C1041" s="388" t="s">
        <v>7012</v>
      </c>
      <c r="D1041" s="386">
        <v>15801.965844907407</v>
      </c>
      <c r="E1041" s="387"/>
    </row>
    <row r="1042" spans="2:5" ht="13.5" customHeight="1">
      <c r="B1042" s="336" t="s">
        <v>6400</v>
      </c>
      <c r="C1042" s="388" t="s">
        <v>4236</v>
      </c>
      <c r="D1042" s="386">
        <v>15817.271724537037</v>
      </c>
      <c r="E1042" s="387"/>
    </row>
    <row r="1043" spans="2:5" ht="13.5" customHeight="1">
      <c r="B1043" s="336" t="s">
        <v>3783</v>
      </c>
      <c r="C1043" s="388" t="s">
        <v>7013</v>
      </c>
      <c r="D1043" s="386">
        <v>15832.703530092593</v>
      </c>
      <c r="E1043" s="387"/>
    </row>
    <row r="1044" spans="2:5" ht="13.5" customHeight="1">
      <c r="B1044" s="336" t="s">
        <v>6401</v>
      </c>
      <c r="C1044" s="388" t="s">
        <v>4238</v>
      </c>
      <c r="D1044" s="386">
        <v>15848.251863425925</v>
      </c>
      <c r="E1044" s="387"/>
    </row>
    <row r="1045" spans="2:5" ht="13.5" customHeight="1">
      <c r="B1045" s="336" t="s">
        <v>2349</v>
      </c>
      <c r="C1045" s="388" t="s">
        <v>7014</v>
      </c>
      <c r="D1045" s="386">
        <v>15863.887997685184</v>
      </c>
      <c r="E1045" s="387"/>
    </row>
    <row r="1046" spans="2:5" ht="13.5" customHeight="1">
      <c r="B1046" s="336" t="s">
        <v>6444</v>
      </c>
      <c r="C1046" s="389" t="s">
        <v>4240</v>
      </c>
      <c r="D1046" s="386">
        <v>15879.591701388888</v>
      </c>
      <c r="E1046" s="387"/>
    </row>
    <row r="1047" spans="2:5" ht="13.5" customHeight="1">
      <c r="B1047" s="336" t="s">
        <v>2350</v>
      </c>
      <c r="C1047" s="388" t="s">
        <v>7015</v>
      </c>
      <c r="D1047" s="386">
        <v>15895.318287037036</v>
      </c>
      <c r="E1047" s="387"/>
    </row>
    <row r="1048" spans="2:5" ht="13.5" customHeight="1">
      <c r="B1048" s="336" t="s">
        <v>6445</v>
      </c>
      <c r="C1048" s="388" t="s">
        <v>4242</v>
      </c>
      <c r="D1048" s="386">
        <v>15911.044421296296</v>
      </c>
      <c r="E1048" s="387"/>
    </row>
    <row r="1049" spans="2:5" ht="13.5" customHeight="1">
      <c r="B1049" s="336" t="s">
        <v>5242</v>
      </c>
      <c r="C1049" s="388" t="s">
        <v>7016</v>
      </c>
      <c r="D1049" s="386">
        <v>15926.720648148148</v>
      </c>
      <c r="E1049" s="387"/>
    </row>
    <row r="1050" spans="2:5" ht="13.5" customHeight="1">
      <c r="B1050" s="336" t="s">
        <v>6446</v>
      </c>
      <c r="C1050" s="388" t="s">
        <v>4276</v>
      </c>
      <c r="D1050" s="386">
        <v>15942.329432870371</v>
      </c>
      <c r="E1050" s="387"/>
    </row>
    <row r="1051" spans="2:5" ht="13.5" customHeight="1">
      <c r="B1051" s="336" t="s">
        <v>5243</v>
      </c>
      <c r="C1051" s="388" t="s">
        <v>7017</v>
      </c>
      <c r="D1051" s="386">
        <v>15957.829444444444</v>
      </c>
      <c r="E1051" s="387"/>
    </row>
    <row r="1052" spans="2:5" ht="13.5" customHeight="1">
      <c r="B1052" s="336" t="s">
        <v>6447</v>
      </c>
      <c r="C1052" s="389" t="s">
        <v>4278</v>
      </c>
      <c r="D1052" s="386">
        <v>15973.216087962963</v>
      </c>
      <c r="E1052" s="387"/>
    </row>
    <row r="1053" spans="2:5" ht="13.5" customHeight="1">
      <c r="B1053" s="336" t="s">
        <v>5244</v>
      </c>
      <c r="C1053" s="388" t="s">
        <v>7018</v>
      </c>
      <c r="D1053" s="386">
        <v>15988.465266203702</v>
      </c>
      <c r="E1053" s="387"/>
    </row>
    <row r="1054" spans="2:5" ht="13.5" customHeight="1">
      <c r="B1054" s="336" t="s">
        <v>4243</v>
      </c>
      <c r="C1054" s="388" t="s">
        <v>4280</v>
      </c>
      <c r="D1054" s="386">
        <v>16003.588819444443</v>
      </c>
      <c r="E1054" s="387"/>
    </row>
    <row r="1055" spans="2:5" ht="13.5" customHeight="1">
      <c r="B1055" s="336" t="s">
        <v>3205</v>
      </c>
      <c r="C1055" s="388" t="s">
        <v>7019</v>
      </c>
      <c r="D1055" s="386">
        <v>16018.582210648148</v>
      </c>
      <c r="E1055" s="387"/>
    </row>
    <row r="1056" spans="2:5" ht="13.5" customHeight="1">
      <c r="B1056" s="336" t="s">
        <v>4244</v>
      </c>
      <c r="C1056" s="388" t="s">
        <v>4282</v>
      </c>
      <c r="D1056" s="386">
        <v>16033.472974537037</v>
      </c>
      <c r="E1056" s="387"/>
    </row>
    <row r="1057" spans="2:5" ht="13.5" customHeight="1">
      <c r="B1057" s="336" t="s">
        <v>3206</v>
      </c>
      <c r="C1057" s="388" t="s">
        <v>7020</v>
      </c>
      <c r="D1057" s="386">
        <v>16048.272511574074</v>
      </c>
      <c r="E1057" s="387"/>
    </row>
    <row r="1058" spans="2:5" ht="13.5" customHeight="1">
      <c r="B1058" s="336" t="s">
        <v>1000</v>
      </c>
      <c r="C1058" s="389" t="s">
        <v>4284</v>
      </c>
      <c r="D1058" s="386">
        <v>16063.019826388889</v>
      </c>
      <c r="E1058" s="387"/>
    </row>
    <row r="1059" spans="2:5" ht="13.5" customHeight="1">
      <c r="B1059" s="336" t="s">
        <v>3207</v>
      </c>
      <c r="C1059" s="390" t="s">
        <v>9317</v>
      </c>
      <c r="D1059" s="386">
        <v>16077.735300925926</v>
      </c>
      <c r="E1059" s="387"/>
    </row>
    <row r="1060" spans="2:5" ht="13.5" customHeight="1">
      <c r="B1060" s="336" t="s">
        <v>1001</v>
      </c>
      <c r="C1060" s="388" t="s">
        <v>4230</v>
      </c>
      <c r="D1060" s="386">
        <v>16092.462893518517</v>
      </c>
      <c r="E1060" s="387"/>
    </row>
    <row r="1061" spans="2:5" ht="13.5" customHeight="1">
      <c r="B1061" s="336" t="s">
        <v>3208</v>
      </c>
      <c r="C1061" s="388" t="s">
        <v>7010</v>
      </c>
      <c r="D1061" s="386">
        <v>16107.224050925925</v>
      </c>
      <c r="E1061" s="387"/>
    </row>
    <row r="1062" spans="2:5" ht="13.5" customHeight="1">
      <c r="B1062" s="336" t="s">
        <v>7315</v>
      </c>
      <c r="C1062" s="388" t="s">
        <v>4232</v>
      </c>
      <c r="D1062" s="386">
        <v>16122.060185185184</v>
      </c>
      <c r="E1062" s="387"/>
    </row>
    <row r="1063" spans="2:5" ht="13.5" customHeight="1">
      <c r="B1063" s="336" t="s">
        <v>3209</v>
      </c>
      <c r="C1063" s="388" t="s">
        <v>7011</v>
      </c>
      <c r="D1063" s="386">
        <v>16136.986261574073</v>
      </c>
      <c r="E1063" s="387"/>
    </row>
    <row r="1064" spans="2:5" ht="13.5" customHeight="1">
      <c r="B1064" s="336" t="s">
        <v>7316</v>
      </c>
      <c r="C1064" s="389" t="s">
        <v>4234</v>
      </c>
      <c r="D1064" s="386">
        <v>16152.033414351852</v>
      </c>
      <c r="E1064" s="387"/>
    </row>
    <row r="1065" spans="2:5" ht="13.5" customHeight="1">
      <c r="B1065" s="336" t="s">
        <v>6021</v>
      </c>
      <c r="C1065" s="388" t="s">
        <v>7012</v>
      </c>
      <c r="D1065" s="386">
        <v>16167.203912037037</v>
      </c>
      <c r="E1065" s="387"/>
    </row>
    <row r="1066" spans="2:5" ht="13.5" customHeight="1">
      <c r="B1066" s="336" t="s">
        <v>5255</v>
      </c>
      <c r="C1066" s="388" t="s">
        <v>4236</v>
      </c>
      <c r="D1066" s="386">
        <v>16182.511921296296</v>
      </c>
      <c r="E1066" s="387"/>
    </row>
    <row r="1067" spans="2:5" ht="13.5" customHeight="1">
      <c r="B1067" s="336" t="s">
        <v>6022</v>
      </c>
      <c r="C1067" s="388" t="s">
        <v>7013</v>
      </c>
      <c r="D1067" s="386">
        <v>16197.943865740741</v>
      </c>
      <c r="E1067" s="387"/>
    </row>
    <row r="1068" spans="2:5" ht="13.5" customHeight="1">
      <c r="B1068" s="336" t="s">
        <v>5256</v>
      </c>
      <c r="C1068" s="388" t="s">
        <v>4238</v>
      </c>
      <c r="D1068" s="386">
        <v>16213.493148148147</v>
      </c>
      <c r="E1068" s="387"/>
    </row>
    <row r="1069" spans="2:5" ht="13.5" customHeight="1">
      <c r="B1069" s="336" t="s">
        <v>6023</v>
      </c>
      <c r="C1069" s="388" t="s">
        <v>7014</v>
      </c>
      <c r="D1069" s="386">
        <v>16229.132222222222</v>
      </c>
      <c r="E1069" s="387"/>
    </row>
    <row r="1070" spans="2:5" ht="13.5" customHeight="1">
      <c r="B1070" s="336" t="s">
        <v>5257</v>
      </c>
      <c r="C1070" s="389" t="s">
        <v>4240</v>
      </c>
      <c r="D1070" s="386">
        <v>16244.834687499999</v>
      </c>
      <c r="E1070" s="387"/>
    </row>
    <row r="1071" spans="2:5" ht="13.5" customHeight="1">
      <c r="B1071" s="336" t="s">
        <v>6024</v>
      </c>
      <c r="C1071" s="388" t="s">
        <v>7015</v>
      </c>
      <c r="D1071" s="386">
        <v>16260.5665625</v>
      </c>
      <c r="E1071" s="387"/>
    </row>
    <row r="1072" spans="2:5" ht="13.5" customHeight="1">
      <c r="B1072" s="336" t="s">
        <v>4539</v>
      </c>
      <c r="C1072" s="388" t="s">
        <v>4242</v>
      </c>
      <c r="D1072" s="386">
        <v>16276.28866898148</v>
      </c>
      <c r="E1072" s="387"/>
    </row>
    <row r="1073" spans="2:5" ht="13.5" customHeight="1">
      <c r="B1073" s="336" t="s">
        <v>6025</v>
      </c>
      <c r="C1073" s="388" t="s">
        <v>7016</v>
      </c>
      <c r="D1073" s="386">
        <v>16291.971238425926</v>
      </c>
      <c r="E1073" s="387"/>
    </row>
    <row r="1074" spans="2:5" ht="13.5" customHeight="1">
      <c r="B1074" s="336" t="s">
        <v>1986</v>
      </c>
      <c r="C1074" s="388" t="s">
        <v>4276</v>
      </c>
      <c r="D1074" s="386">
        <v>16307.573645833332</v>
      </c>
      <c r="E1074" s="387"/>
    </row>
    <row r="1075" spans="2:5" ht="13.5" customHeight="1">
      <c r="B1075" s="336" t="s">
        <v>6026</v>
      </c>
      <c r="C1075" s="388" t="s">
        <v>7017</v>
      </c>
      <c r="D1075" s="386">
        <v>16323.079895833333</v>
      </c>
      <c r="E1075" s="387"/>
    </row>
    <row r="1076" spans="2:5" ht="13.5" customHeight="1">
      <c r="B1076" s="336" t="s">
        <v>1987</v>
      </c>
      <c r="C1076" s="389" t="s">
        <v>4278</v>
      </c>
      <c r="D1076" s="386">
        <v>16338.459085648148</v>
      </c>
      <c r="E1076" s="387"/>
    </row>
    <row r="1077" spans="2:5" ht="13.5" customHeight="1">
      <c r="B1077" s="336" t="s">
        <v>6027</v>
      </c>
      <c r="C1077" s="388" t="s">
        <v>7018</v>
      </c>
      <c r="D1077" s="386">
        <v>16353.714097222222</v>
      </c>
      <c r="E1077" s="387"/>
    </row>
    <row r="1078" spans="2:5" ht="13.5" customHeight="1">
      <c r="B1078" s="336" t="s">
        <v>1988</v>
      </c>
      <c r="C1078" s="388" t="s">
        <v>4280</v>
      </c>
      <c r="D1078" s="386">
        <v>16368.830266203702</v>
      </c>
      <c r="E1078" s="387"/>
    </row>
    <row r="1079" spans="2:5" ht="13.5" customHeight="1">
      <c r="B1079" s="336" t="s">
        <v>6028</v>
      </c>
      <c r="C1079" s="388" t="s">
        <v>7019</v>
      </c>
      <c r="D1079" s="386">
        <v>16383.829432870371</v>
      </c>
      <c r="E1079" s="387"/>
    </row>
    <row r="1080" spans="2:5" ht="13.5" customHeight="1">
      <c r="B1080" s="336" t="s">
        <v>1989</v>
      </c>
      <c r="C1080" s="388" t="s">
        <v>4282</v>
      </c>
      <c r="D1080" s="386">
        <v>16398.713425925926</v>
      </c>
      <c r="E1080" s="387"/>
    </row>
    <row r="1081" spans="2:5" ht="13.5" customHeight="1">
      <c r="B1081" s="336" t="s">
        <v>6029</v>
      </c>
      <c r="C1081" s="388" t="s">
        <v>7020</v>
      </c>
      <c r="D1081" s="386">
        <v>16413.519039351853</v>
      </c>
      <c r="E1081" s="387"/>
    </row>
    <row r="1082" spans="2:5" ht="13.5" customHeight="1">
      <c r="B1082" s="336" t="s">
        <v>1990</v>
      </c>
      <c r="C1082" s="389" t="s">
        <v>4284</v>
      </c>
      <c r="D1082" s="386">
        <v>16428.260127314818</v>
      </c>
      <c r="E1082" s="387"/>
    </row>
    <row r="1083" spans="2:5" ht="13.5" customHeight="1">
      <c r="B1083" s="336" t="s">
        <v>6030</v>
      </c>
      <c r="C1083" s="390" t="s">
        <v>9317</v>
      </c>
      <c r="D1083" s="386">
        <v>16442.982025462963</v>
      </c>
      <c r="E1083" s="387"/>
    </row>
    <row r="1084" spans="2:5" ht="13.5" customHeight="1">
      <c r="B1084" s="336" t="s">
        <v>1991</v>
      </c>
      <c r="C1084" s="388" t="s">
        <v>4230</v>
      </c>
      <c r="D1084" s="386">
        <v>16457.703668981481</v>
      </c>
      <c r="E1084" s="387"/>
    </row>
    <row r="1085" spans="2:5" ht="13.5" customHeight="1">
      <c r="B1085" s="336" t="s">
        <v>6031</v>
      </c>
      <c r="C1085" s="388" t="s">
        <v>7010</v>
      </c>
      <c r="D1085" s="386">
        <v>16472.471516203706</v>
      </c>
      <c r="E1085" s="387"/>
    </row>
    <row r="1086" spans="2:5" ht="13.5" customHeight="1">
      <c r="B1086" s="336" t="s">
        <v>1992</v>
      </c>
      <c r="C1086" s="388" t="s">
        <v>4232</v>
      </c>
      <c r="D1086" s="386">
        <v>16487.301770833335</v>
      </c>
      <c r="E1086" s="387"/>
    </row>
    <row r="1087" spans="2:5" ht="13.5" customHeight="1">
      <c r="B1087" s="336" t="s">
        <v>6032</v>
      </c>
      <c r="C1087" s="388" t="s">
        <v>7011</v>
      </c>
      <c r="D1087" s="386">
        <v>16502.234548611112</v>
      </c>
      <c r="E1087" s="387"/>
    </row>
    <row r="1088" spans="2:5" ht="13.5" customHeight="1">
      <c r="B1088" s="336" t="s">
        <v>1993</v>
      </c>
      <c r="C1088" s="389" t="s">
        <v>4234</v>
      </c>
      <c r="D1088" s="386">
        <v>16517.275787037037</v>
      </c>
      <c r="E1088" s="387"/>
    </row>
    <row r="1089" spans="2:5" ht="13.5" customHeight="1">
      <c r="B1089" s="336" t="s">
        <v>6033</v>
      </c>
      <c r="C1089" s="388" t="s">
        <v>7012</v>
      </c>
      <c r="D1089" s="386">
        <v>16532.452627314815</v>
      </c>
      <c r="E1089" s="387"/>
    </row>
    <row r="1090" spans="2:5" ht="13.5" customHeight="1">
      <c r="B1090" s="336" t="s">
        <v>1994</v>
      </c>
      <c r="C1090" s="388" t="s">
        <v>4236</v>
      </c>
      <c r="D1090" s="386">
        <v>16547.754837962962</v>
      </c>
      <c r="E1090" s="387"/>
    </row>
    <row r="1091" spans="2:5" ht="13.5" customHeight="1">
      <c r="B1091" s="336" t="s">
        <v>6034</v>
      </c>
      <c r="C1091" s="388" t="s">
        <v>7013</v>
      </c>
      <c r="D1091" s="386">
        <v>16563.192141203705</v>
      </c>
      <c r="E1091" s="387"/>
    </row>
    <row r="1092" spans="2:5" ht="13.5" customHeight="1">
      <c r="B1092" s="336" t="s">
        <v>1995</v>
      </c>
      <c r="C1092" s="388" t="s">
        <v>4238</v>
      </c>
      <c r="D1092" s="386">
        <v>16578.736296296298</v>
      </c>
      <c r="E1092" s="387"/>
    </row>
    <row r="1093" spans="2:5" ht="13.5" customHeight="1">
      <c r="B1093" s="336" t="s">
        <v>6035</v>
      </c>
      <c r="C1093" s="388" t="s">
        <v>7014</v>
      </c>
      <c r="D1093" s="386">
        <v>16594.378761574077</v>
      </c>
      <c r="E1093" s="387"/>
    </row>
    <row r="1094" spans="2:5" ht="13.5" customHeight="1">
      <c r="B1094" s="336" t="s">
        <v>1996</v>
      </c>
      <c r="C1094" s="389" t="s">
        <v>4240</v>
      </c>
      <c r="D1094" s="386">
        <v>16610.07777777778</v>
      </c>
      <c r="E1094" s="387"/>
    </row>
    <row r="1095" spans="2:5" ht="13.5" customHeight="1">
      <c r="B1095" s="336" t="s">
        <v>6036</v>
      </c>
      <c r="C1095" s="388" t="s">
        <v>7015</v>
      </c>
      <c r="D1095" s="386">
        <v>16625.810312500002</v>
      </c>
      <c r="E1095" s="387"/>
    </row>
    <row r="1096" spans="2:5" ht="13.5" customHeight="1">
      <c r="B1096" s="336" t="s">
        <v>2929</v>
      </c>
      <c r="C1096" s="388" t="s">
        <v>4242</v>
      </c>
      <c r="D1096" s="386">
        <v>16641.531504629631</v>
      </c>
      <c r="E1096" s="387"/>
    </row>
    <row r="1097" spans="2:5" ht="13.5" customHeight="1">
      <c r="B1097" s="336" t="s">
        <v>6037</v>
      </c>
      <c r="C1097" s="388" t="s">
        <v>7016</v>
      </c>
      <c r="D1097" s="386">
        <v>16657.21193287037</v>
      </c>
      <c r="E1097" s="387"/>
    </row>
    <row r="1098" spans="2:5" ht="13.5" customHeight="1">
      <c r="B1098" s="336" t="s">
        <v>2930</v>
      </c>
      <c r="C1098" s="388" t="s">
        <v>4276</v>
      </c>
      <c r="D1098" s="386">
        <v>16672.816041666669</v>
      </c>
      <c r="E1098" s="387"/>
    </row>
    <row r="1099" spans="2:5" ht="13.5" customHeight="1">
      <c r="B1099" s="336" t="s">
        <v>6038</v>
      </c>
      <c r="C1099" s="388" t="s">
        <v>7017</v>
      </c>
      <c r="D1099" s="386">
        <v>16688.318032407409</v>
      </c>
      <c r="E1099" s="387"/>
    </row>
    <row r="1100" spans="2:5" ht="13.5" customHeight="1">
      <c r="B1100" s="336" t="s">
        <v>2931</v>
      </c>
      <c r="C1100" s="389" t="s">
        <v>4278</v>
      </c>
      <c r="D1100" s="386">
        <v>16703.700844907409</v>
      </c>
      <c r="E1100" s="387"/>
    </row>
    <row r="1101" spans="2:5" ht="13.5" customHeight="1">
      <c r="B1101" s="336" t="s">
        <v>6039</v>
      </c>
      <c r="C1101" s="388" t="s">
        <v>7018</v>
      </c>
      <c r="D1101" s="386">
        <v>16718.950520833336</v>
      </c>
      <c r="E1101" s="387"/>
    </row>
    <row r="1102" spans="2:5" ht="13.5" customHeight="1">
      <c r="B1102" s="336" t="s">
        <v>2932</v>
      </c>
      <c r="C1102" s="388" t="s">
        <v>4280</v>
      </c>
      <c r="D1102" s="386">
        <v>16734.071516203705</v>
      </c>
      <c r="E1102" s="387"/>
    </row>
    <row r="1103" spans="2:5" ht="13.5" customHeight="1">
      <c r="B1103" s="336" t="s">
        <v>6040</v>
      </c>
      <c r="C1103" s="388" t="s">
        <v>7019</v>
      </c>
      <c r="D1103" s="386">
        <v>16749.065138888891</v>
      </c>
      <c r="E1103" s="387"/>
    </row>
    <row r="1104" spans="2:5" ht="13.5" customHeight="1">
      <c r="B1104" s="336" t="s">
        <v>2933</v>
      </c>
      <c r="C1104" s="388" t="s">
        <v>4282</v>
      </c>
      <c r="D1104" s="386">
        <v>16763.954699074075</v>
      </c>
      <c r="E1104" s="387"/>
    </row>
    <row r="1105" spans="2:5" ht="13.5" customHeight="1">
      <c r="B1105" s="336" t="s">
        <v>4791</v>
      </c>
      <c r="C1105" s="388" t="s">
        <v>7020</v>
      </c>
      <c r="D1105" s="386">
        <v>16778.755150462963</v>
      </c>
      <c r="E1105" s="387"/>
    </row>
    <row r="1106" spans="2:5" ht="13.5" customHeight="1">
      <c r="B1106" s="336" t="s">
        <v>2934</v>
      </c>
      <c r="C1106" s="389" t="s">
        <v>4284</v>
      </c>
      <c r="D1106" s="386">
        <v>16793.502326388891</v>
      </c>
      <c r="E1106" s="387"/>
    </row>
    <row r="1107" spans="2:5" ht="13.5" customHeight="1">
      <c r="B1107" s="336" t="s">
        <v>4792</v>
      </c>
      <c r="C1107" s="390" t="s">
        <v>9317</v>
      </c>
      <c r="D1107" s="386">
        <v>16808.219548611112</v>
      </c>
      <c r="E1107" s="387"/>
    </row>
    <row r="1108" spans="2:5" ht="13.5" customHeight="1">
      <c r="B1108" s="336" t="s">
        <v>2935</v>
      </c>
      <c r="C1108" s="388" t="s">
        <v>4230</v>
      </c>
      <c r="D1108" s="386">
        <v>16822.947523148148</v>
      </c>
      <c r="E1108" s="387"/>
    </row>
    <row r="1109" spans="2:5" ht="13.5" customHeight="1">
      <c r="B1109" s="336" t="s">
        <v>2835</v>
      </c>
      <c r="C1109" s="388" t="s">
        <v>7010</v>
      </c>
      <c r="D1109" s="386">
        <v>16837.710833333334</v>
      </c>
      <c r="E1109" s="387"/>
    </row>
    <row r="1110" spans="2:5" ht="13.5" customHeight="1">
      <c r="B1110" s="336" t="s">
        <v>2936</v>
      </c>
      <c r="C1110" s="388" t="s">
        <v>4232</v>
      </c>
      <c r="D1110" s="386">
        <v>16852.547349537039</v>
      </c>
      <c r="E1110" s="387"/>
    </row>
    <row r="1111" spans="2:5" ht="13.5" customHeight="1">
      <c r="B1111" s="336" t="s">
        <v>2836</v>
      </c>
      <c r="C1111" s="388" t="s">
        <v>7011</v>
      </c>
      <c r="D1111" s="386">
        <v>16867.475104166668</v>
      </c>
      <c r="E1111" s="387"/>
    </row>
    <row r="1112" spans="2:5" ht="13.5" customHeight="1">
      <c r="B1112" s="336" t="s">
        <v>2937</v>
      </c>
      <c r="C1112" s="389" t="s">
        <v>4234</v>
      </c>
      <c r="D1112" s="386">
        <v>16882.522418981483</v>
      </c>
      <c r="E1112" s="387"/>
    </row>
    <row r="1113" spans="2:5" ht="13.5" customHeight="1">
      <c r="B1113" s="336" t="s">
        <v>2837</v>
      </c>
      <c r="C1113" s="388" t="s">
        <v>7012</v>
      </c>
      <c r="D1113" s="386">
        <v>16897.693159722225</v>
      </c>
      <c r="E1113" s="387"/>
    </row>
    <row r="1114" spans="2:5" ht="13.5" customHeight="1">
      <c r="B1114" s="336" t="s">
        <v>2938</v>
      </c>
      <c r="C1114" s="388" t="s">
        <v>4236</v>
      </c>
      <c r="D1114" s="386">
        <v>16913.001423611113</v>
      </c>
      <c r="E1114" s="387"/>
    </row>
    <row r="1115" spans="2:5" ht="13.5" customHeight="1">
      <c r="B1115" s="336" t="s">
        <v>2838</v>
      </c>
      <c r="C1115" s="388" t="s">
        <v>7013</v>
      </c>
      <c r="D1115" s="386">
        <v>16928.431620370371</v>
      </c>
      <c r="E1115" s="387"/>
    </row>
    <row r="1116" spans="2:5" ht="13.5" customHeight="1">
      <c r="B1116" s="336" t="s">
        <v>2939</v>
      </c>
      <c r="C1116" s="388" t="s">
        <v>4238</v>
      </c>
      <c r="D1116" s="386">
        <v>16943.98203703704</v>
      </c>
      <c r="E1116" s="387"/>
    </row>
    <row r="1117" spans="2:5" ht="13.5" customHeight="1">
      <c r="B1117" s="336" t="s">
        <v>2839</v>
      </c>
      <c r="C1117" s="388" t="s">
        <v>7014</v>
      </c>
      <c r="D1117" s="386">
        <v>16959.617268518519</v>
      </c>
      <c r="E1117" s="387"/>
    </row>
    <row r="1118" spans="2:5" ht="13.5" customHeight="1">
      <c r="B1118" s="336" t="s">
        <v>3861</v>
      </c>
      <c r="C1118" s="389" t="s">
        <v>4240</v>
      </c>
      <c r="D1118" s="386">
        <v>16975.322523148148</v>
      </c>
      <c r="E1118" s="387"/>
    </row>
    <row r="1119" spans="2:5" ht="13.5" customHeight="1">
      <c r="B1119" s="336" t="s">
        <v>5240</v>
      </c>
      <c r="C1119" s="388" t="s">
        <v>7015</v>
      </c>
      <c r="D1119" s="386">
        <v>16991.049120370371</v>
      </c>
      <c r="E1119" s="387"/>
    </row>
    <row r="1120" spans="2:5" ht="13.5" customHeight="1">
      <c r="B1120" s="336" t="s">
        <v>3862</v>
      </c>
      <c r="C1120" s="388" t="s">
        <v>4242</v>
      </c>
      <c r="D1120" s="386">
        <v>17006.775636574075</v>
      </c>
      <c r="E1120" s="387"/>
    </row>
    <row r="1121" spans="2:5" ht="13.5" customHeight="1">
      <c r="B1121" s="336" t="s">
        <v>5241</v>
      </c>
      <c r="C1121" s="388" t="s">
        <v>7016</v>
      </c>
      <c r="D1121" s="386">
        <v>17022.452407407407</v>
      </c>
      <c r="E1121" s="387"/>
    </row>
    <row r="1122" spans="2:5" ht="13.5" customHeight="1">
      <c r="B1122" s="336" t="s">
        <v>3863</v>
      </c>
      <c r="C1122" s="388" t="s">
        <v>4276</v>
      </c>
      <c r="D1122" s="386">
        <v>17038.060023148148</v>
      </c>
      <c r="E1122" s="387"/>
    </row>
    <row r="1123" spans="2:5" ht="13.5" customHeight="1">
      <c r="B1123" s="336" t="s">
        <v>2222</v>
      </c>
      <c r="C1123" s="388" t="s">
        <v>7017</v>
      </c>
      <c r="D1123" s="386">
        <v>17053.560682870371</v>
      </c>
      <c r="E1123" s="387"/>
    </row>
    <row r="1124" spans="2:5" ht="13.5" customHeight="1">
      <c r="B1124" s="336" t="s">
        <v>3864</v>
      </c>
      <c r="C1124" s="389" t="s">
        <v>4278</v>
      </c>
      <c r="D1124" s="386">
        <v>17068.944988425927</v>
      </c>
      <c r="E1124" s="387"/>
    </row>
    <row r="1125" spans="2:5" ht="13.5" customHeight="1">
      <c r="B1125" s="336" t="s">
        <v>2223</v>
      </c>
      <c r="C1125" s="388" t="s">
        <v>7018</v>
      </c>
      <c r="D1125" s="386">
        <v>17084.194930555557</v>
      </c>
      <c r="E1125" s="387"/>
    </row>
    <row r="1126" spans="2:5" ht="13.5" customHeight="1">
      <c r="B1126" s="336" t="s">
        <v>3865</v>
      </c>
      <c r="C1126" s="388" t="s">
        <v>4280</v>
      </c>
      <c r="D1126" s="386">
        <v>17099.315752314815</v>
      </c>
      <c r="E1126" s="387"/>
    </row>
    <row r="1127" spans="2:5" ht="13.5" customHeight="1">
      <c r="B1127" s="336" t="s">
        <v>2224</v>
      </c>
      <c r="C1127" s="388" t="s">
        <v>7019</v>
      </c>
      <c r="D1127" s="386">
        <v>17114.310289351852</v>
      </c>
      <c r="E1127" s="387"/>
    </row>
    <row r="1128" spans="2:5" ht="13.5" customHeight="1">
      <c r="B1128" s="336" t="s">
        <v>3866</v>
      </c>
      <c r="C1128" s="388" t="s">
        <v>4282</v>
      </c>
      <c r="D1128" s="386">
        <v>17129.198587962965</v>
      </c>
      <c r="E1128" s="387"/>
    </row>
    <row r="1129" spans="2:5" ht="13.5" customHeight="1">
      <c r="B1129" s="336" t="s">
        <v>4314</v>
      </c>
      <c r="C1129" s="388" t="s">
        <v>7020</v>
      </c>
      <c r="D1129" s="386">
        <v>17143.999791666669</v>
      </c>
      <c r="E1129" s="387"/>
    </row>
    <row r="1130" spans="2:5" ht="13.5" customHeight="1">
      <c r="B1130" s="336" t="s">
        <v>3867</v>
      </c>
      <c r="C1130" s="389" t="s">
        <v>4284</v>
      </c>
      <c r="D1130" s="386">
        <v>17158.745115740741</v>
      </c>
      <c r="E1130" s="387"/>
    </row>
    <row r="1131" spans="2:5" ht="13.5" customHeight="1">
      <c r="B1131" s="336" t="s">
        <v>4324</v>
      </c>
      <c r="C1131" s="390" t="s">
        <v>9317</v>
      </c>
      <c r="D1131" s="386">
        <v>17173.46261574074</v>
      </c>
      <c r="E1131" s="387"/>
    </row>
    <row r="1132" spans="2:5" ht="13.5" customHeight="1">
      <c r="B1132" s="336" t="s">
        <v>3868</v>
      </c>
      <c r="C1132" s="388" t="s">
        <v>4230</v>
      </c>
      <c r="D1132" s="386">
        <v>17188.188483796297</v>
      </c>
      <c r="E1132" s="387"/>
    </row>
    <row r="1133" spans="2:5" ht="13.5" customHeight="1">
      <c r="B1133" s="336" t="s">
        <v>4325</v>
      </c>
      <c r="C1133" s="388" t="s">
        <v>7010</v>
      </c>
      <c r="D1133" s="386">
        <v>17202.951736111114</v>
      </c>
      <c r="E1133" s="387"/>
    </row>
    <row r="1134" spans="2:5" ht="13.5" customHeight="1">
      <c r="B1134" s="336" t="s">
        <v>3869</v>
      </c>
      <c r="C1134" s="388" t="s">
        <v>4232</v>
      </c>
      <c r="D1134" s="386">
        <v>17217.786006944447</v>
      </c>
      <c r="E1134" s="387"/>
    </row>
    <row r="1135" spans="2:5" ht="13.5" customHeight="1">
      <c r="B1135" s="336" t="s">
        <v>4326</v>
      </c>
      <c r="C1135" s="388" t="s">
        <v>7011</v>
      </c>
      <c r="D1135" s="386">
        <v>17232.713923611111</v>
      </c>
      <c r="E1135" s="387"/>
    </row>
    <row r="1136" spans="2:5" ht="13.5" customHeight="1">
      <c r="B1136" s="336" t="s">
        <v>3870</v>
      </c>
      <c r="C1136" s="389" t="s">
        <v>4234</v>
      </c>
      <c r="D1136" s="386">
        <v>17247.758634259262</v>
      </c>
      <c r="E1136" s="387"/>
    </row>
    <row r="1137" spans="2:5" ht="13.5" customHeight="1">
      <c r="B1137" s="336" t="s">
        <v>1942</v>
      </c>
      <c r="C1137" s="388" t="s">
        <v>7012</v>
      </c>
      <c r="D1137" s="386">
        <v>17262.930590277778</v>
      </c>
      <c r="E1137" s="387"/>
    </row>
    <row r="1138" spans="2:5" ht="13.5" customHeight="1">
      <c r="B1138" s="336" t="s">
        <v>3871</v>
      </c>
      <c r="C1138" s="388" t="s">
        <v>4236</v>
      </c>
      <c r="D1138" s="386">
        <v>17278.235462962963</v>
      </c>
      <c r="E1138" s="387"/>
    </row>
    <row r="1139" spans="2:5" ht="13.5" customHeight="1">
      <c r="B1139" s="336" t="s">
        <v>1943</v>
      </c>
      <c r="C1139" s="388" t="s">
        <v>7013</v>
      </c>
      <c r="D1139" s="386">
        <v>17293.668692129631</v>
      </c>
      <c r="E1139" s="387"/>
    </row>
    <row r="1140" spans="2:5" ht="13.5" customHeight="1">
      <c r="B1140" s="336" t="s">
        <v>3872</v>
      </c>
      <c r="C1140" s="388" t="s">
        <v>4238</v>
      </c>
      <c r="D1140" s="386">
        <v>17309.214525462965</v>
      </c>
      <c r="E1140" s="387"/>
    </row>
    <row r="1141" spans="2:5" ht="13.5" customHeight="1">
      <c r="B1141" s="336" t="s">
        <v>1944</v>
      </c>
      <c r="C1141" s="388" t="s">
        <v>7014</v>
      </c>
      <c r="D1141" s="386">
        <v>17324.855127314815</v>
      </c>
      <c r="E1141" s="387"/>
    </row>
    <row r="1142" spans="2:5" ht="13.5" customHeight="1">
      <c r="B1142" s="336" t="s">
        <v>3873</v>
      </c>
      <c r="C1142" s="389" t="s">
        <v>4240</v>
      </c>
      <c r="D1142" s="386">
        <v>17340.554837962965</v>
      </c>
      <c r="E1142" s="387"/>
    </row>
    <row r="1143" spans="2:5" ht="13.5" customHeight="1">
      <c r="B1143" s="336" t="s">
        <v>1945</v>
      </c>
      <c r="C1143" s="388" t="s">
        <v>7015</v>
      </c>
      <c r="D1143" s="386">
        <v>17356.288865740742</v>
      </c>
      <c r="E1143" s="387"/>
    </row>
    <row r="1144" spans="2:5" ht="13.5" customHeight="1">
      <c r="B1144" s="336" t="s">
        <v>3874</v>
      </c>
      <c r="C1144" s="388" t="s">
        <v>4242</v>
      </c>
      <c r="D1144" s="386">
        <v>17372.00980324074</v>
      </c>
      <c r="E1144" s="387"/>
    </row>
    <row r="1145" spans="2:5" ht="13.5" customHeight="1">
      <c r="B1145" s="336" t="s">
        <v>1946</v>
      </c>
      <c r="C1145" s="388" t="s">
        <v>7016</v>
      </c>
      <c r="D1145" s="386">
        <v>17387.69494212963</v>
      </c>
      <c r="E1145" s="387"/>
    </row>
    <row r="1146" spans="2:5" ht="13.5" customHeight="1">
      <c r="B1146" s="336" t="s">
        <v>3875</v>
      </c>
      <c r="C1146" s="388" t="s">
        <v>4276</v>
      </c>
      <c r="D1146" s="386">
        <v>17403.297743055558</v>
      </c>
      <c r="E1146" s="387"/>
    </row>
    <row r="1147" spans="2:5" ht="13.5" customHeight="1">
      <c r="B1147" s="336" t="s">
        <v>1947</v>
      </c>
      <c r="C1147" s="388" t="s">
        <v>7017</v>
      </c>
      <c r="D1147" s="386">
        <v>17418.806203703705</v>
      </c>
      <c r="E1147" s="387"/>
    </row>
    <row r="1148" spans="2:5" ht="13.5" customHeight="1">
      <c r="B1148" s="336" t="s">
        <v>3876</v>
      </c>
      <c r="C1148" s="389" t="s">
        <v>4278</v>
      </c>
      <c r="D1148" s="386">
        <v>17434.186435185187</v>
      </c>
      <c r="E1148" s="387"/>
    </row>
    <row r="1149" spans="2:5" ht="13.5" customHeight="1">
      <c r="B1149" s="336" t="s">
        <v>1948</v>
      </c>
      <c r="C1149" s="388" t="s">
        <v>7018</v>
      </c>
      <c r="D1149" s="386">
        <v>17449.442546296297</v>
      </c>
      <c r="E1149" s="387"/>
    </row>
    <row r="1150" spans="2:5" ht="13.5" customHeight="1">
      <c r="B1150" s="336" t="s">
        <v>3877</v>
      </c>
      <c r="C1150" s="388" t="s">
        <v>4280</v>
      </c>
      <c r="D1150" s="386">
        <v>17464.559467592593</v>
      </c>
      <c r="E1150" s="387"/>
    </row>
    <row r="1151" spans="2:5" ht="13.5" customHeight="1">
      <c r="B1151" s="336" t="s">
        <v>1949</v>
      </c>
      <c r="C1151" s="388" t="s">
        <v>7019</v>
      </c>
      <c r="D1151" s="386">
        <v>17479.5584375</v>
      </c>
      <c r="E1151" s="387"/>
    </row>
    <row r="1152" spans="2:5" ht="13.5" customHeight="1">
      <c r="B1152" s="336" t="s">
        <v>3878</v>
      </c>
      <c r="C1152" s="388" t="s">
        <v>4282</v>
      </c>
      <c r="D1152" s="386">
        <v>17494.442500000001</v>
      </c>
      <c r="E1152" s="387"/>
    </row>
    <row r="1153" spans="2:5" ht="13.5" customHeight="1">
      <c r="B1153" s="336" t="s">
        <v>1950</v>
      </c>
      <c r="C1153" s="388" t="s">
        <v>7020</v>
      </c>
      <c r="D1153" s="386">
        <v>17509.247048611112</v>
      </c>
      <c r="E1153" s="387"/>
    </row>
    <row r="1154" spans="2:5" ht="13.5" customHeight="1">
      <c r="B1154" s="336" t="s">
        <v>3879</v>
      </c>
      <c r="C1154" s="389" t="s">
        <v>4284</v>
      </c>
      <c r="D1154" s="386">
        <v>17523.987696759261</v>
      </c>
      <c r="E1154" s="387"/>
    </row>
    <row r="1155" spans="2:5" ht="13.5" customHeight="1">
      <c r="B1155" s="336" t="s">
        <v>1951</v>
      </c>
      <c r="C1155" s="390" t="s">
        <v>9317</v>
      </c>
      <c r="D1155" s="386">
        <v>17538.708240740743</v>
      </c>
      <c r="E1155" s="387"/>
    </row>
    <row r="1156" spans="2:5" ht="13.5" customHeight="1">
      <c r="B1156" s="336" t="s">
        <v>893</v>
      </c>
      <c r="C1156" s="388" t="s">
        <v>4230</v>
      </c>
      <c r="D1156" s="386">
        <v>17553.429282407407</v>
      </c>
      <c r="E1156" s="387"/>
    </row>
    <row r="1157" spans="2:5" ht="13.5" customHeight="1">
      <c r="B1157" s="336" t="s">
        <v>1952</v>
      </c>
      <c r="C1157" s="388" t="s">
        <v>7010</v>
      </c>
      <c r="D1157" s="386">
        <v>17568.195787037039</v>
      </c>
      <c r="E1157" s="387"/>
    </row>
    <row r="1158" spans="2:5" ht="13.5" customHeight="1">
      <c r="B1158" s="336" t="s">
        <v>894</v>
      </c>
      <c r="C1158" s="388" t="s">
        <v>4232</v>
      </c>
      <c r="D1158" s="386">
        <v>17583.02550925926</v>
      </c>
      <c r="E1158" s="387"/>
    </row>
    <row r="1159" spans="2:5" ht="13.5" customHeight="1">
      <c r="B1159" s="336" t="s">
        <v>1953</v>
      </c>
      <c r="C1159" s="388" t="s">
        <v>7011</v>
      </c>
      <c r="D1159" s="386">
        <v>17597.956944444446</v>
      </c>
      <c r="E1159" s="387"/>
    </row>
    <row r="1160" spans="2:5" ht="13.5" customHeight="1">
      <c r="B1160" s="336" t="s">
        <v>895</v>
      </c>
      <c r="C1160" s="389" t="s">
        <v>4234</v>
      </c>
      <c r="D1160" s="386">
        <v>17612.997881944444</v>
      </c>
      <c r="E1160" s="387"/>
    </row>
    <row r="1161" spans="2:5" ht="13.5" customHeight="1">
      <c r="B1161" s="336" t="s">
        <v>1954</v>
      </c>
      <c r="C1161" s="388" t="s">
        <v>7012</v>
      </c>
      <c r="D1161" s="386">
        <v>17628.173182870371</v>
      </c>
      <c r="E1161" s="387"/>
    </row>
    <row r="1162" spans="2:5" ht="13.5" customHeight="1">
      <c r="B1162" s="336" t="s">
        <v>896</v>
      </c>
      <c r="C1162" s="388" t="s">
        <v>4236</v>
      </c>
      <c r="D1162" s="386">
        <v>17643.475636574076</v>
      </c>
      <c r="E1162" s="387"/>
    </row>
    <row r="1163" spans="2:5" ht="13.5" customHeight="1">
      <c r="B1163" s="336" t="s">
        <v>1955</v>
      </c>
      <c r="C1163" s="388" t="s">
        <v>7013</v>
      </c>
      <c r="D1163" s="386">
        <v>17658.911157407409</v>
      </c>
      <c r="E1163" s="387"/>
    </row>
    <row r="1164" spans="2:5" ht="13.5" customHeight="1">
      <c r="B1164" s="336" t="s">
        <v>897</v>
      </c>
      <c r="C1164" s="388" t="s">
        <v>4238</v>
      </c>
      <c r="D1164" s="386">
        <v>17674.456585648149</v>
      </c>
      <c r="E1164" s="387"/>
    </row>
    <row r="1165" spans="2:5" ht="13.5" customHeight="1">
      <c r="B1165" s="336" t="s">
        <v>1956</v>
      </c>
      <c r="C1165" s="388" t="s">
        <v>7014</v>
      </c>
      <c r="D1165" s="386">
        <v>17690.097291666669</v>
      </c>
      <c r="E1165" s="387"/>
    </row>
    <row r="1166" spans="2:5" ht="13.5" customHeight="1">
      <c r="B1166" s="336" t="s">
        <v>898</v>
      </c>
      <c r="C1166" s="389" t="s">
        <v>4240</v>
      </c>
      <c r="D1166" s="386">
        <v>17705.798981481483</v>
      </c>
      <c r="E1166" s="387"/>
    </row>
    <row r="1167" spans="2:5" ht="13.5" customHeight="1">
      <c r="B1167" s="336" t="s">
        <v>1957</v>
      </c>
      <c r="C1167" s="388" t="s">
        <v>7015</v>
      </c>
      <c r="D1167" s="386">
        <v>17721.530231481483</v>
      </c>
      <c r="E1167" s="387"/>
    </row>
    <row r="1168" spans="2:5" ht="13.5" customHeight="1">
      <c r="B1168" s="336" t="s">
        <v>899</v>
      </c>
      <c r="C1168" s="388" t="s">
        <v>4242</v>
      </c>
      <c r="D1168" s="386">
        <v>17737.255300925928</v>
      </c>
      <c r="E1168" s="387"/>
    </row>
    <row r="1169" spans="2:5" ht="13.5" customHeight="1">
      <c r="B1169" s="336" t="s">
        <v>1958</v>
      </c>
      <c r="C1169" s="388" t="s">
        <v>7016</v>
      </c>
      <c r="D1169" s="386">
        <v>17752.935092592594</v>
      </c>
      <c r="E1169" s="387"/>
    </row>
    <row r="1170" spans="2:5" ht="13.5" customHeight="1">
      <c r="B1170" s="336" t="s">
        <v>900</v>
      </c>
      <c r="C1170" s="388" t="s">
        <v>4276</v>
      </c>
      <c r="D1170" s="386">
        <v>17768.5434375</v>
      </c>
      <c r="E1170" s="387"/>
    </row>
    <row r="1171" spans="2:5" ht="13.5" customHeight="1">
      <c r="B1171" s="336" t="s">
        <v>1959</v>
      </c>
      <c r="C1171" s="388" t="s">
        <v>7017</v>
      </c>
      <c r="D1171" s="386">
        <v>17784.045150462964</v>
      </c>
      <c r="E1171" s="387"/>
    </row>
    <row r="1172" spans="2:5" ht="13.5" customHeight="1">
      <c r="B1172" s="336" t="s">
        <v>901</v>
      </c>
      <c r="C1172" s="389" t="s">
        <v>4278</v>
      </c>
      <c r="D1172" s="386">
        <v>17799.431574074075</v>
      </c>
      <c r="E1172" s="387"/>
    </row>
    <row r="1173" spans="2:5" ht="13.5" customHeight="1">
      <c r="B1173" s="336" t="s">
        <v>1960</v>
      </c>
      <c r="C1173" s="388" t="s">
        <v>7018</v>
      </c>
      <c r="D1173" s="386">
        <v>17814.680694444447</v>
      </c>
      <c r="E1173" s="387"/>
    </row>
    <row r="1174" spans="2:5" ht="13.5" customHeight="1">
      <c r="B1174" s="336" t="s">
        <v>902</v>
      </c>
      <c r="C1174" s="388" t="s">
        <v>4280</v>
      </c>
      <c r="D1174" s="386">
        <v>17829.803981481484</v>
      </c>
      <c r="E1174" s="387"/>
    </row>
    <row r="1175" spans="2:5" ht="13.5" customHeight="1">
      <c r="B1175" s="336" t="s">
        <v>1961</v>
      </c>
      <c r="C1175" s="388" t="s">
        <v>7019</v>
      </c>
      <c r="D1175" s="386">
        <v>17844.796157407407</v>
      </c>
      <c r="E1175" s="387"/>
    </row>
    <row r="1176" spans="2:5" ht="13.5" customHeight="1">
      <c r="B1176" s="336" t="s">
        <v>903</v>
      </c>
      <c r="C1176" s="388" t="s">
        <v>4282</v>
      </c>
      <c r="D1176" s="386">
        <v>17859.686550925926</v>
      </c>
      <c r="E1176" s="387"/>
    </row>
    <row r="1177" spans="2:5" ht="13.5" customHeight="1">
      <c r="B1177" s="336" t="s">
        <v>1962</v>
      </c>
      <c r="C1177" s="388" t="s">
        <v>7020</v>
      </c>
      <c r="D1177" s="386">
        <v>17874.484444444446</v>
      </c>
      <c r="E1177" s="387"/>
    </row>
    <row r="1178" spans="2:5" ht="13.5" customHeight="1">
      <c r="B1178" s="336" t="s">
        <v>6515</v>
      </c>
      <c r="C1178" s="389" t="s">
        <v>4284</v>
      </c>
      <c r="D1178" s="386">
        <v>17889.23133101852</v>
      </c>
      <c r="E1178" s="387"/>
    </row>
    <row r="1179" spans="2:5" ht="13.5" customHeight="1">
      <c r="B1179" s="336" t="s">
        <v>4378</v>
      </c>
      <c r="C1179" s="390" t="s">
        <v>9317</v>
      </c>
      <c r="D1179" s="386">
        <v>17903.945219907408</v>
      </c>
      <c r="E1179" s="387"/>
    </row>
    <row r="1180" spans="2:5" ht="13.5" customHeight="1">
      <c r="B1180" s="336" t="s">
        <v>4753</v>
      </c>
      <c r="C1180" s="388" t="s">
        <v>4230</v>
      </c>
      <c r="D1180" s="386">
        <v>17918.672500000001</v>
      </c>
      <c r="E1180" s="387"/>
    </row>
    <row r="1181" spans="2:5" ht="13.5" customHeight="1">
      <c r="B1181" s="336" t="s">
        <v>4379</v>
      </c>
      <c r="C1181" s="388" t="s">
        <v>7010</v>
      </c>
      <c r="D1181" s="386">
        <v>17933.432418981483</v>
      </c>
      <c r="E1181" s="387"/>
    </row>
    <row r="1182" spans="2:5" ht="13.5" customHeight="1">
      <c r="B1182" s="336" t="s">
        <v>4754</v>
      </c>
      <c r="C1182" s="388" t="s">
        <v>4232</v>
      </c>
      <c r="D1182" s="386">
        <v>17948.268645833334</v>
      </c>
      <c r="E1182" s="387"/>
    </row>
    <row r="1183" spans="2:5" ht="13.5" customHeight="1">
      <c r="B1183" s="336" t="s">
        <v>4380</v>
      </c>
      <c r="C1183" s="388" t="s">
        <v>7011</v>
      </c>
      <c r="D1183" s="386">
        <v>17963.193750000002</v>
      </c>
      <c r="E1183" s="387"/>
    </row>
    <row r="1184" spans="2:5" ht="13.5" customHeight="1">
      <c r="B1184" s="336" t="s">
        <v>4755</v>
      </c>
      <c r="C1184" s="389" t="s">
        <v>4234</v>
      </c>
      <c r="D1184" s="386">
        <v>17978.241608796299</v>
      </c>
      <c r="E1184" s="387"/>
    </row>
    <row r="1185" spans="2:5" ht="13.5" customHeight="1">
      <c r="B1185" s="336" t="s">
        <v>4381</v>
      </c>
      <c r="C1185" s="388" t="s">
        <v>7012</v>
      </c>
      <c r="D1185" s="386">
        <v>17993.410983796297</v>
      </c>
      <c r="E1185" s="387"/>
    </row>
    <row r="1186" spans="2:5" ht="13.5" customHeight="1">
      <c r="B1186" s="336" t="s">
        <v>4756</v>
      </c>
      <c r="C1186" s="388" t="s">
        <v>4236</v>
      </c>
      <c r="D1186" s="386">
        <v>18008.720416666667</v>
      </c>
      <c r="E1186" s="387"/>
    </row>
    <row r="1187" spans="2:5" ht="13.5" customHeight="1">
      <c r="B1187" s="336" t="s">
        <v>2517</v>
      </c>
      <c r="C1187" s="388" t="s">
        <v>7013</v>
      </c>
      <c r="D1187" s="386">
        <v>18024.150486111113</v>
      </c>
      <c r="E1187" s="387"/>
    </row>
    <row r="1188" spans="2:5" ht="13.5" customHeight="1">
      <c r="B1188" s="336" t="s">
        <v>4757</v>
      </c>
      <c r="C1188" s="388" t="s">
        <v>4238</v>
      </c>
      <c r="D1188" s="386">
        <v>18039.701909722222</v>
      </c>
      <c r="E1188" s="387"/>
    </row>
    <row r="1189" spans="2:5" ht="13.5" customHeight="1">
      <c r="B1189" s="336" t="s">
        <v>2518</v>
      </c>
      <c r="C1189" s="388" t="s">
        <v>7014</v>
      </c>
      <c r="D1189" s="386">
        <v>18055.33803240741</v>
      </c>
      <c r="E1189" s="387"/>
    </row>
    <row r="1190" spans="2:5" ht="13.5" customHeight="1">
      <c r="B1190" s="336" t="s">
        <v>1423</v>
      </c>
      <c r="C1190" s="389" t="s">
        <v>4240</v>
      </c>
      <c r="D1190" s="386">
        <v>18071.0434375</v>
      </c>
      <c r="E1190" s="387"/>
    </row>
    <row r="1191" spans="2:5" ht="13.5" customHeight="1">
      <c r="B1191" s="336" t="s">
        <v>2519</v>
      </c>
      <c r="C1191" s="388" t="s">
        <v>7015</v>
      </c>
      <c r="D1191" s="386">
        <v>18086.771770833333</v>
      </c>
      <c r="E1191" s="387"/>
    </row>
    <row r="1192" spans="2:5" ht="13.5" customHeight="1">
      <c r="B1192" s="336" t="s">
        <v>1424</v>
      </c>
      <c r="C1192" s="388" t="s">
        <v>4242</v>
      </c>
      <c r="D1192" s="386">
        <v>18102.497557870371</v>
      </c>
      <c r="E1192" s="387"/>
    </row>
    <row r="1193" spans="2:5" ht="13.5" customHeight="1">
      <c r="B1193" s="336" t="s">
        <v>2520</v>
      </c>
      <c r="C1193" s="388" t="s">
        <v>7016</v>
      </c>
      <c r="D1193" s="386">
        <v>18118.176944444447</v>
      </c>
      <c r="E1193" s="387"/>
    </row>
    <row r="1194" spans="2:5" ht="13.5" customHeight="1">
      <c r="B1194" s="336" t="s">
        <v>1425</v>
      </c>
      <c r="C1194" s="388" t="s">
        <v>4276</v>
      </c>
      <c r="D1194" s="386">
        <v>18133.783449074075</v>
      </c>
      <c r="E1194" s="387"/>
    </row>
    <row r="1195" spans="2:5" ht="13.5" customHeight="1">
      <c r="B1195" s="336" t="s">
        <v>1439</v>
      </c>
      <c r="C1195" s="388" t="s">
        <v>7017</v>
      </c>
      <c r="D1195" s="386">
        <v>18149.287418981483</v>
      </c>
      <c r="E1195" s="387"/>
    </row>
    <row r="1196" spans="2:5" ht="13.5" customHeight="1">
      <c r="B1196" s="336" t="s">
        <v>1426</v>
      </c>
      <c r="C1196" s="389" t="s">
        <v>4278</v>
      </c>
      <c r="D1196" s="386">
        <v>18164.670555555556</v>
      </c>
      <c r="E1196" s="387"/>
    </row>
    <row r="1197" spans="2:5" ht="13.5" customHeight="1">
      <c r="B1197" s="336" t="s">
        <v>1440</v>
      </c>
      <c r="C1197" s="388" t="s">
        <v>7018</v>
      </c>
      <c r="D1197" s="386">
        <v>18179.923981481483</v>
      </c>
      <c r="E1197" s="387"/>
    </row>
    <row r="1198" spans="2:5" ht="13.5" customHeight="1">
      <c r="B1198" s="336" t="s">
        <v>1427</v>
      </c>
      <c r="C1198" s="388" t="s">
        <v>4280</v>
      </c>
      <c r="D1198" s="386">
        <v>18195.04346064815</v>
      </c>
      <c r="E1198" s="387"/>
    </row>
    <row r="1199" spans="2:5" ht="13.5" customHeight="1">
      <c r="B1199" s="336" t="s">
        <v>1441</v>
      </c>
      <c r="C1199" s="388" t="s">
        <v>7019</v>
      </c>
      <c r="D1199" s="386">
        <v>18210.041111111113</v>
      </c>
      <c r="E1199" s="387"/>
    </row>
    <row r="1200" spans="2:5" ht="13.5" customHeight="1">
      <c r="B1200" s="336" t="s">
        <v>1428</v>
      </c>
      <c r="C1200" s="388" t="s">
        <v>4282</v>
      </c>
      <c r="D1200" s="386">
        <v>18224.92761574074</v>
      </c>
      <c r="E1200" s="387"/>
    </row>
    <row r="1201" spans="2:5" ht="13.5" customHeight="1">
      <c r="B1201" s="336" t="s">
        <v>1442</v>
      </c>
      <c r="C1201" s="388" t="s">
        <v>7020</v>
      </c>
      <c r="D1201" s="386">
        <v>18239.731296296297</v>
      </c>
      <c r="E1201" s="387"/>
    </row>
    <row r="1202" spans="2:5" ht="13.5" customHeight="1">
      <c r="B1202" s="336" t="s">
        <v>1429</v>
      </c>
      <c r="C1202" s="389" t="s">
        <v>4284</v>
      </c>
      <c r="D1202" s="386">
        <v>18254.474189814817</v>
      </c>
      <c r="E1202" s="387"/>
    </row>
    <row r="1203" spans="2:5" ht="13.5" customHeight="1">
      <c r="B1203" s="336" t="s">
        <v>1769</v>
      </c>
      <c r="C1203" s="390" t="s">
        <v>9317</v>
      </c>
      <c r="D1203" s="386">
        <v>18269.193506944444</v>
      </c>
      <c r="E1203" s="387"/>
    </row>
    <row r="1204" spans="2:5" ht="13.5" customHeight="1">
      <c r="B1204" s="336" t="s">
        <v>1430</v>
      </c>
      <c r="C1204" s="388" t="s">
        <v>4230</v>
      </c>
      <c r="D1204" s="386">
        <v>18283.916365740741</v>
      </c>
      <c r="E1204" s="387"/>
    </row>
    <row r="1205" spans="2:5" ht="13.5" customHeight="1">
      <c r="B1205" s="336" t="s">
        <v>1770</v>
      </c>
      <c r="C1205" s="388" t="s">
        <v>7010</v>
      </c>
      <c r="D1205" s="386">
        <v>18298.680972222224</v>
      </c>
      <c r="E1205" s="387"/>
    </row>
    <row r="1206" spans="2:5" ht="13.5" customHeight="1">
      <c r="B1206" s="336" t="s">
        <v>1431</v>
      </c>
      <c r="C1206" s="388" t="s">
        <v>4232</v>
      </c>
      <c r="D1206" s="386">
        <v>18313.511886574077</v>
      </c>
      <c r="E1206" s="387"/>
    </row>
    <row r="1207" spans="2:5" ht="13.5" customHeight="1">
      <c r="B1207" s="336" t="s">
        <v>1771</v>
      </c>
      <c r="C1207" s="388" t="s">
        <v>7011</v>
      </c>
      <c r="D1207" s="386">
        <v>18328.441006944446</v>
      </c>
      <c r="E1207" s="387"/>
    </row>
    <row r="1208" spans="2:5" ht="13.5" customHeight="1">
      <c r="B1208" s="336" t="s">
        <v>1432</v>
      </c>
      <c r="C1208" s="389" t="s">
        <v>4234</v>
      </c>
      <c r="D1208" s="386">
        <v>18343.482349537036</v>
      </c>
      <c r="E1208" s="387"/>
    </row>
    <row r="1209" spans="2:5" ht="13.5" customHeight="1">
      <c r="B1209" s="336" t="s">
        <v>1772</v>
      </c>
      <c r="C1209" s="388" t="s">
        <v>7012</v>
      </c>
      <c r="D1209" s="386">
        <v>18358.655624999999</v>
      </c>
      <c r="E1209" s="387"/>
    </row>
    <row r="1210" spans="2:5" ht="13.5" customHeight="1">
      <c r="B1210" s="336" t="s">
        <v>1433</v>
      </c>
      <c r="C1210" s="388" t="s">
        <v>4236</v>
      </c>
      <c r="D1210" s="386">
        <v>18373.957407407408</v>
      </c>
      <c r="E1210" s="387"/>
    </row>
    <row r="1211" spans="2:5" ht="13.5" customHeight="1">
      <c r="B1211" s="336" t="s">
        <v>1773</v>
      </c>
      <c r="C1211" s="388" t="s">
        <v>7013</v>
      </c>
      <c r="D1211" s="386">
        <v>18389.392071759259</v>
      </c>
      <c r="E1211" s="387"/>
    </row>
    <row r="1212" spans="2:5" ht="13.5" customHeight="1">
      <c r="B1212" s="336" t="s">
        <v>1434</v>
      </c>
      <c r="C1212" s="388" t="s">
        <v>4238</v>
      </c>
      <c r="D1212" s="386">
        <v>18404.935335648148</v>
      </c>
      <c r="E1212" s="387"/>
    </row>
    <row r="1213" spans="2:5" ht="13.5" customHeight="1">
      <c r="B1213" s="336" t="s">
        <v>1774</v>
      </c>
      <c r="C1213" s="388" t="s">
        <v>7014</v>
      </c>
      <c r="D1213" s="386">
        <v>18420.577060185187</v>
      </c>
      <c r="E1213" s="387"/>
    </row>
    <row r="1214" spans="2:5" ht="13.5" customHeight="1">
      <c r="B1214" s="336" t="s">
        <v>1435</v>
      </c>
      <c r="C1214" s="389" t="s">
        <v>4240</v>
      </c>
      <c r="D1214" s="386">
        <v>18436.274814814817</v>
      </c>
      <c r="E1214" s="387"/>
    </row>
    <row r="1215" spans="2:5" ht="13.5" customHeight="1">
      <c r="B1215" s="336" t="s">
        <v>1775</v>
      </c>
      <c r="C1215" s="388" t="s">
        <v>7015</v>
      </c>
      <c r="D1215" s="386">
        <v>18452.009062500001</v>
      </c>
      <c r="E1215" s="387"/>
    </row>
    <row r="1216" spans="2:5" ht="13.5" customHeight="1">
      <c r="B1216" s="336" t="s">
        <v>1436</v>
      </c>
      <c r="C1216" s="388" t="s">
        <v>4242</v>
      </c>
      <c r="D1216" s="386">
        <v>18467.728807870371</v>
      </c>
      <c r="E1216" s="387"/>
    </row>
    <row r="1217" spans="2:5" ht="13.5" customHeight="1">
      <c r="B1217" s="336" t="s">
        <v>1776</v>
      </c>
      <c r="C1217" s="388" t="s">
        <v>7016</v>
      </c>
      <c r="D1217" s="386">
        <v>18483.413194444445</v>
      </c>
      <c r="E1217" s="387"/>
    </row>
    <row r="1218" spans="2:5" ht="13.5" customHeight="1">
      <c r="B1218" s="336" t="s">
        <v>9327</v>
      </c>
      <c r="C1218" s="388" t="s">
        <v>4276</v>
      </c>
      <c r="D1218" s="386">
        <v>18499.015983796296</v>
      </c>
      <c r="E1218" s="387"/>
    </row>
    <row r="1219" spans="2:5" ht="13.5" customHeight="1">
      <c r="B1219" s="336" t="s">
        <v>1777</v>
      </c>
      <c r="C1219" s="388" t="s">
        <v>7017</v>
      </c>
      <c r="D1219" s="386">
        <v>18514.523425925927</v>
      </c>
      <c r="E1219" s="387"/>
    </row>
    <row r="1220" spans="2:5" ht="13.5" customHeight="1">
      <c r="B1220" s="336" t="s">
        <v>4531</v>
      </c>
      <c r="C1220" s="389" t="s">
        <v>4278</v>
      </c>
      <c r="D1220" s="386">
        <v>18529.905243055557</v>
      </c>
      <c r="E1220" s="387"/>
    </row>
    <row r="1221" spans="2:5" ht="13.5" customHeight="1">
      <c r="B1221" s="336" t="s">
        <v>1778</v>
      </c>
      <c r="C1221" s="388" t="s">
        <v>7018</v>
      </c>
      <c r="D1221" s="386">
        <v>18545.160925925928</v>
      </c>
      <c r="E1221" s="387"/>
    </row>
    <row r="1222" spans="2:5" ht="13.5" customHeight="1">
      <c r="B1222" s="336" t="s">
        <v>4520</v>
      </c>
      <c r="C1222" s="388" t="s">
        <v>4280</v>
      </c>
      <c r="D1222" s="386">
        <v>18560.280914351853</v>
      </c>
      <c r="E1222" s="387"/>
    </row>
    <row r="1223" spans="2:5" ht="13.5" customHeight="1">
      <c r="B1223" s="336" t="s">
        <v>1779</v>
      </c>
      <c r="C1223" s="388" t="s">
        <v>7019</v>
      </c>
      <c r="D1223" s="386">
        <v>18575.280173611111</v>
      </c>
      <c r="E1223" s="387"/>
    </row>
    <row r="1224" spans="2:5" ht="13.5" customHeight="1">
      <c r="B1224" s="336" t="s">
        <v>4521</v>
      </c>
      <c r="C1224" s="388" t="s">
        <v>4282</v>
      </c>
      <c r="D1224" s="386">
        <v>18590.168078703704</v>
      </c>
      <c r="E1224" s="387"/>
    </row>
    <row r="1225" spans="2:5" ht="13.5" customHeight="1">
      <c r="B1225" s="336" t="s">
        <v>1780</v>
      </c>
      <c r="C1225" s="388" t="s">
        <v>7020</v>
      </c>
      <c r="D1225" s="386">
        <v>18604.973020833335</v>
      </c>
      <c r="E1225" s="387"/>
    </row>
    <row r="1226" spans="2:5" ht="13.5" customHeight="1">
      <c r="B1226" s="336" t="s">
        <v>4522</v>
      </c>
      <c r="C1226" s="389" t="s">
        <v>4284</v>
      </c>
      <c r="D1226" s="386">
        <v>18619.717245370372</v>
      </c>
      <c r="E1226" s="387"/>
    </row>
    <row r="1227" spans="2:5" ht="13.5" customHeight="1">
      <c r="B1227" s="336" t="s">
        <v>1781</v>
      </c>
      <c r="C1227" s="390" t="s">
        <v>9317</v>
      </c>
      <c r="D1227" s="386">
        <v>18634.437453703704</v>
      </c>
      <c r="E1227" s="387"/>
    </row>
    <row r="1228" spans="2:5" ht="13.5" customHeight="1">
      <c r="B1228" s="336" t="s">
        <v>4523</v>
      </c>
      <c r="C1228" s="388" t="s">
        <v>4230</v>
      </c>
      <c r="D1228" s="386">
        <v>18649.160937500001</v>
      </c>
      <c r="E1228" s="387"/>
    </row>
    <row r="1229" spans="2:5" ht="13.5" customHeight="1">
      <c r="B1229" s="336" t="s">
        <v>1782</v>
      </c>
      <c r="C1229" s="388" t="s">
        <v>7010</v>
      </c>
      <c r="D1229" s="386">
        <v>18663.925833333335</v>
      </c>
      <c r="E1229" s="387"/>
    </row>
    <row r="1230" spans="2:5" ht="13.5" customHeight="1">
      <c r="B1230" s="336" t="s">
        <v>4524</v>
      </c>
      <c r="C1230" s="388" t="s">
        <v>4232</v>
      </c>
      <c r="D1230" s="386">
        <v>18678.756655092595</v>
      </c>
      <c r="E1230" s="387"/>
    </row>
    <row r="1231" spans="2:5" ht="13.5" customHeight="1">
      <c r="B1231" s="336" t="s">
        <v>1783</v>
      </c>
      <c r="C1231" s="388" t="s">
        <v>7011</v>
      </c>
      <c r="D1231" s="386">
        <v>18693.685127314817</v>
      </c>
      <c r="E1231" s="387"/>
    </row>
    <row r="1232" spans="2:5" ht="13.5" customHeight="1">
      <c r="B1232" s="336" t="s">
        <v>8958</v>
      </c>
      <c r="C1232" s="389" t="s">
        <v>4234</v>
      </c>
      <c r="D1232" s="386">
        <v>18708.72621527778</v>
      </c>
      <c r="E1232" s="387"/>
    </row>
    <row r="1233" spans="2:5" ht="13.5" customHeight="1">
      <c r="B1233" s="336" t="s">
        <v>1784</v>
      </c>
      <c r="C1233" s="388" t="s">
        <v>7012</v>
      </c>
      <c r="D1233" s="386">
        <v>18723.897581018518</v>
      </c>
      <c r="E1233" s="387"/>
    </row>
    <row r="1234" spans="2:5" ht="13.5" customHeight="1">
      <c r="B1234" s="336" t="s">
        <v>8959</v>
      </c>
      <c r="C1234" s="388" t="s">
        <v>4236</v>
      </c>
      <c r="D1234" s="386">
        <v>18739.200023148151</v>
      </c>
      <c r="E1234" s="387"/>
    </row>
    <row r="1235" spans="2:5" ht="13.5" customHeight="1">
      <c r="B1235" s="336" t="s">
        <v>4661</v>
      </c>
      <c r="C1235" s="388" t="s">
        <v>7013</v>
      </c>
      <c r="D1235" s="386">
        <v>18754.631273148148</v>
      </c>
      <c r="E1235" s="387"/>
    </row>
    <row r="1236" spans="2:5" ht="13.5" customHeight="1">
      <c r="B1236" s="336" t="s">
        <v>8960</v>
      </c>
      <c r="C1236" s="388" t="s">
        <v>4238</v>
      </c>
      <c r="D1236" s="386">
        <v>18770.177256944447</v>
      </c>
      <c r="E1236" s="387"/>
    </row>
    <row r="1237" spans="2:5" ht="13.5" customHeight="1">
      <c r="B1237" s="336" t="s">
        <v>4662</v>
      </c>
      <c r="C1237" s="388" t="s">
        <v>7014</v>
      </c>
      <c r="D1237" s="386">
        <v>18785.814108796298</v>
      </c>
      <c r="E1237" s="387"/>
    </row>
    <row r="1238" spans="2:5" ht="13.5" customHeight="1">
      <c r="B1238" s="336" t="s">
        <v>8961</v>
      </c>
      <c r="C1238" s="389" t="s">
        <v>4240</v>
      </c>
      <c r="D1238" s="386">
        <v>18801.517141203705</v>
      </c>
      <c r="E1238" s="387"/>
    </row>
    <row r="1239" spans="2:5" ht="13.5" customHeight="1">
      <c r="B1239" s="336" t="s">
        <v>4663</v>
      </c>
      <c r="C1239" s="388" t="s">
        <v>7015</v>
      </c>
      <c r="D1239" s="386">
        <v>18817.245543981484</v>
      </c>
      <c r="E1239" s="387"/>
    </row>
    <row r="1240" spans="2:5" ht="13.5" customHeight="1">
      <c r="B1240" s="336" t="s">
        <v>8962</v>
      </c>
      <c r="C1240" s="388" t="s">
        <v>4242</v>
      </c>
      <c r="D1240" s="386">
        <v>18832.972488425927</v>
      </c>
      <c r="E1240" s="387"/>
    </row>
    <row r="1241" spans="2:5" ht="13.5" customHeight="1">
      <c r="B1241" s="336" t="s">
        <v>4664</v>
      </c>
      <c r="C1241" s="388" t="s">
        <v>7016</v>
      </c>
      <c r="D1241" s="386">
        <v>18848.650729166668</v>
      </c>
      <c r="E1241" s="387"/>
    </row>
    <row r="1242" spans="2:5" ht="13.5" customHeight="1">
      <c r="B1242" s="336" t="s">
        <v>8963</v>
      </c>
      <c r="C1242" s="388" t="s">
        <v>4276</v>
      </c>
      <c r="D1242" s="386">
        <v>18864.260983796299</v>
      </c>
      <c r="E1242" s="387"/>
    </row>
    <row r="1243" spans="2:5" ht="13.5" customHeight="1">
      <c r="B1243" s="336" t="s">
        <v>4665</v>
      </c>
      <c r="C1243" s="388" t="s">
        <v>7017</v>
      </c>
      <c r="D1243" s="386">
        <v>18879.762407407408</v>
      </c>
      <c r="E1243" s="387"/>
    </row>
    <row r="1244" spans="2:5" ht="13.5" customHeight="1">
      <c r="B1244" s="336" t="s">
        <v>8964</v>
      </c>
      <c r="C1244" s="389" t="s">
        <v>4278</v>
      </c>
      <c r="D1244" s="386">
        <v>18895.15050925926</v>
      </c>
      <c r="E1244" s="387"/>
    </row>
    <row r="1245" spans="2:5" ht="13.5" customHeight="1">
      <c r="B1245" s="336" t="s">
        <v>4666</v>
      </c>
      <c r="C1245" s="388" t="s">
        <v>7018</v>
      </c>
      <c r="D1245" s="386">
        <v>18910.400300925929</v>
      </c>
      <c r="E1245" s="387"/>
    </row>
    <row r="1246" spans="2:5" ht="13.5" customHeight="1">
      <c r="B1246" s="336" t="s">
        <v>8965</v>
      </c>
      <c r="C1246" s="388" t="s">
        <v>4280</v>
      </c>
      <c r="D1246" s="386">
        <v>18925.525081018521</v>
      </c>
      <c r="E1246" s="387"/>
    </row>
    <row r="1247" spans="2:5" ht="13.5" customHeight="1">
      <c r="B1247" s="336" t="s">
        <v>4667</v>
      </c>
      <c r="C1247" s="388" t="s">
        <v>7019</v>
      </c>
      <c r="D1247" s="386">
        <v>18940.518553240741</v>
      </c>
      <c r="E1247" s="387"/>
    </row>
    <row r="1248" spans="2:5" ht="13.5" customHeight="1">
      <c r="B1248" s="336" t="s">
        <v>8966</v>
      </c>
      <c r="C1248" s="388" t="s">
        <v>4282</v>
      </c>
      <c r="D1248" s="386">
        <v>18955.410416666669</v>
      </c>
      <c r="E1248" s="387"/>
    </row>
    <row r="1249" spans="2:5" ht="13.5" customHeight="1">
      <c r="B1249" s="336" t="s">
        <v>5637</v>
      </c>
      <c r="C1249" s="388" t="s">
        <v>7020</v>
      </c>
      <c r="D1249" s="386">
        <v>18970.209814814814</v>
      </c>
      <c r="E1249" s="387"/>
    </row>
    <row r="1250" spans="2:5" ht="13.5" customHeight="1">
      <c r="B1250" s="336" t="s">
        <v>8967</v>
      </c>
      <c r="C1250" s="389" t="s">
        <v>4284</v>
      </c>
      <c r="D1250" s="386">
        <v>18984.958043981482</v>
      </c>
      <c r="E1250" s="387"/>
    </row>
    <row r="1251" spans="2:5" ht="13.5" customHeight="1">
      <c r="B1251" s="336" t="s">
        <v>5638</v>
      </c>
      <c r="C1251" s="390" t="s">
        <v>9317</v>
      </c>
      <c r="D1251" s="386">
        <v>18999.673101851855</v>
      </c>
      <c r="E1251" s="387"/>
    </row>
    <row r="1252" spans="2:5" ht="13.5" customHeight="1">
      <c r="B1252" s="336" t="s">
        <v>8968</v>
      </c>
      <c r="C1252" s="388" t="s">
        <v>4230</v>
      </c>
      <c r="D1252" s="386">
        <v>19014.401180555556</v>
      </c>
      <c r="E1252" s="387"/>
    </row>
    <row r="1253" spans="2:5" ht="13.5" customHeight="1">
      <c r="B1253" s="336" t="s">
        <v>4908</v>
      </c>
      <c r="C1253" s="388" t="s">
        <v>7010</v>
      </c>
      <c r="D1253" s="386">
        <v>19029.161365740743</v>
      </c>
      <c r="E1253" s="387"/>
    </row>
    <row r="1254" spans="2:5" ht="13.5" customHeight="1">
      <c r="B1254" s="336" t="s">
        <v>8969</v>
      </c>
      <c r="C1254" s="388" t="s">
        <v>4232</v>
      </c>
      <c r="D1254" s="386">
        <v>19043.997256944447</v>
      </c>
      <c r="E1254" s="387"/>
    </row>
    <row r="1255" spans="2:5" ht="13.5" customHeight="1">
      <c r="B1255" s="336" t="s">
        <v>4909</v>
      </c>
      <c r="C1255" s="388" t="s">
        <v>7011</v>
      </c>
      <c r="D1255" s="386">
        <v>19058.921458333334</v>
      </c>
      <c r="E1255" s="387"/>
    </row>
    <row r="1256" spans="2:5" ht="13.5" customHeight="1">
      <c r="B1256" s="336" t="s">
        <v>8970</v>
      </c>
      <c r="C1256" s="389" t="s">
        <v>4234</v>
      </c>
      <c r="D1256" s="386">
        <v>19073.967557870372</v>
      </c>
      <c r="E1256" s="387"/>
    </row>
    <row r="1257" spans="2:5" ht="13.5" customHeight="1">
      <c r="B1257" s="336" t="s">
        <v>4910</v>
      </c>
      <c r="C1257" s="388" t="s">
        <v>7012</v>
      </c>
      <c r="D1257" s="386">
        <v>19089.135231481483</v>
      </c>
      <c r="E1257" s="387"/>
    </row>
    <row r="1258" spans="2:5" ht="13.5" customHeight="1">
      <c r="B1258" s="336" t="s">
        <v>8971</v>
      </c>
      <c r="C1258" s="388" t="s">
        <v>4236</v>
      </c>
      <c r="D1258" s="386">
        <v>19104.441828703704</v>
      </c>
      <c r="E1258" s="387"/>
    </row>
    <row r="1259" spans="2:5" ht="13.5" customHeight="1">
      <c r="B1259" s="336" t="s">
        <v>4911</v>
      </c>
      <c r="C1259" s="388" t="s">
        <v>7013</v>
      </c>
      <c r="D1259" s="386">
        <v>19119.87059027778</v>
      </c>
      <c r="E1259" s="387"/>
    </row>
    <row r="1260" spans="2:5" ht="13.5" customHeight="1">
      <c r="B1260" s="336" t="s">
        <v>8972</v>
      </c>
      <c r="C1260" s="388" t="s">
        <v>4238</v>
      </c>
      <c r="D1260" s="386">
        <v>19135.419027777778</v>
      </c>
      <c r="E1260" s="387"/>
    </row>
    <row r="1261" spans="2:5" ht="13.5" customHeight="1">
      <c r="B1261" s="336" t="s">
        <v>4912</v>
      </c>
      <c r="C1261" s="388" t="s">
        <v>7014</v>
      </c>
      <c r="D1261" s="386">
        <v>19151.055520833335</v>
      </c>
      <c r="E1261" s="387"/>
    </row>
    <row r="1262" spans="2:5" ht="13.5" customHeight="1">
      <c r="B1262" s="336" t="s">
        <v>8973</v>
      </c>
      <c r="C1262" s="389" t="s">
        <v>4240</v>
      </c>
      <c r="D1262" s="386">
        <v>19166.758599537039</v>
      </c>
      <c r="E1262" s="387"/>
    </row>
    <row r="1263" spans="2:5" ht="13.5" customHeight="1">
      <c r="B1263" s="336" t="s">
        <v>4913</v>
      </c>
      <c r="C1263" s="388" t="s">
        <v>7015</v>
      </c>
      <c r="D1263" s="386">
        <v>19182.489375000001</v>
      </c>
      <c r="E1263" s="387"/>
    </row>
    <row r="1264" spans="2:5" ht="13.5" customHeight="1">
      <c r="B1264" s="336" t="s">
        <v>8974</v>
      </c>
      <c r="C1264" s="388" t="s">
        <v>4242</v>
      </c>
      <c r="D1264" s="386">
        <v>19198.21365740741</v>
      </c>
      <c r="E1264" s="387"/>
    </row>
    <row r="1265" spans="2:5" ht="13.5" customHeight="1">
      <c r="B1265" s="336" t="s">
        <v>4914</v>
      </c>
      <c r="C1265" s="388" t="s">
        <v>7016</v>
      </c>
      <c r="D1265" s="386">
        <v>19213.896631944444</v>
      </c>
      <c r="E1265" s="387"/>
    </row>
    <row r="1266" spans="2:5" ht="13.5" customHeight="1">
      <c r="B1266" s="336" t="s">
        <v>8975</v>
      </c>
      <c r="C1266" s="388" t="s">
        <v>4276</v>
      </c>
      <c r="D1266" s="386">
        <v>19229.502002314817</v>
      </c>
      <c r="E1266" s="387"/>
    </row>
    <row r="1267" spans="2:5" ht="13.5" customHeight="1">
      <c r="B1267" s="336" t="s">
        <v>4915</v>
      </c>
      <c r="C1267" s="388" t="s">
        <v>7017</v>
      </c>
      <c r="D1267" s="386">
        <v>19245.009398148148</v>
      </c>
      <c r="E1267" s="387"/>
    </row>
    <row r="1268" spans="2:5" ht="13.5" customHeight="1">
      <c r="B1268" s="336" t="s">
        <v>8976</v>
      </c>
      <c r="C1268" s="389" t="s">
        <v>4278</v>
      </c>
      <c r="D1268" s="386">
        <v>19260.391261574074</v>
      </c>
      <c r="E1268" s="387"/>
    </row>
    <row r="1269" spans="2:5" ht="13.5" customHeight="1">
      <c r="B1269" s="336" t="s">
        <v>4916</v>
      </c>
      <c r="C1269" s="388" t="s">
        <v>7018</v>
      </c>
      <c r="D1269" s="386">
        <v>19275.647303240741</v>
      </c>
      <c r="E1269" s="387"/>
    </row>
    <row r="1270" spans="2:5" ht="13.5" customHeight="1">
      <c r="B1270" s="336" t="s">
        <v>8977</v>
      </c>
      <c r="C1270" s="388" t="s">
        <v>4280</v>
      </c>
      <c r="D1270" s="386">
        <v>19290.765243055557</v>
      </c>
      <c r="E1270" s="387"/>
    </row>
    <row r="1271" spans="2:5" ht="13.5" customHeight="1">
      <c r="B1271" s="336" t="s">
        <v>8900</v>
      </c>
      <c r="C1271" s="388" t="s">
        <v>7019</v>
      </c>
      <c r="D1271" s="386">
        <v>19305.764837962965</v>
      </c>
      <c r="E1271" s="387"/>
    </row>
    <row r="1272" spans="2:5" ht="13.5" customHeight="1">
      <c r="B1272" s="336" t="s">
        <v>8978</v>
      </c>
      <c r="C1272" s="388" t="s">
        <v>4282</v>
      </c>
      <c r="D1272" s="386">
        <v>19320.649710648151</v>
      </c>
      <c r="E1272" s="387"/>
    </row>
    <row r="1273" spans="2:5" ht="13.5" customHeight="1">
      <c r="B1273" s="336" t="s">
        <v>8901</v>
      </c>
      <c r="C1273" s="388" t="s">
        <v>7020</v>
      </c>
      <c r="D1273" s="386">
        <v>19335.455162037037</v>
      </c>
      <c r="E1273" s="387"/>
    </row>
    <row r="1274" spans="2:5" ht="13.5" customHeight="1">
      <c r="B1274" s="336" t="s">
        <v>8979</v>
      </c>
      <c r="C1274" s="389" t="s">
        <v>4284</v>
      </c>
      <c r="D1274" s="386">
        <v>19350.196585648151</v>
      </c>
      <c r="E1274" s="387"/>
    </row>
    <row r="1275" spans="2:5" ht="13.5" customHeight="1">
      <c r="B1275" s="336" t="s">
        <v>8902</v>
      </c>
      <c r="C1275" s="390" t="s">
        <v>9317</v>
      </c>
      <c r="D1275" s="386">
        <v>19364.917916666669</v>
      </c>
      <c r="E1275" s="387"/>
    </row>
    <row r="1276" spans="2:5" ht="13.5" customHeight="1">
      <c r="B1276" s="336" t="s">
        <v>8980</v>
      </c>
      <c r="C1276" s="388" t="s">
        <v>4230</v>
      </c>
      <c r="D1276" s="386">
        <v>19379.639606481483</v>
      </c>
      <c r="E1276" s="387"/>
    </row>
    <row r="1277" spans="2:5" ht="13.5" customHeight="1">
      <c r="B1277" s="336" t="s">
        <v>8903</v>
      </c>
      <c r="C1277" s="388" t="s">
        <v>7010</v>
      </c>
      <c r="D1277" s="386">
        <v>19394.40658564815</v>
      </c>
      <c r="E1277" s="387"/>
    </row>
    <row r="1278" spans="2:5" ht="13.5" customHeight="1">
      <c r="B1278" s="336" t="s">
        <v>8981</v>
      </c>
      <c r="C1278" s="388" t="s">
        <v>4232</v>
      </c>
      <c r="D1278" s="386">
        <v>19409.236562500002</v>
      </c>
      <c r="E1278" s="387"/>
    </row>
    <row r="1279" spans="2:5" ht="13.5" customHeight="1">
      <c r="B1279" s="336" t="s">
        <v>8904</v>
      </c>
      <c r="C1279" s="388" t="s">
        <v>7011</v>
      </c>
      <c r="D1279" s="386">
        <v>19424.168113425927</v>
      </c>
      <c r="E1279" s="387"/>
    </row>
    <row r="1280" spans="2:5" ht="13.5" customHeight="1">
      <c r="B1280" s="336" t="s">
        <v>8982</v>
      </c>
      <c r="C1280" s="389" t="s">
        <v>4234</v>
      </c>
      <c r="D1280" s="386">
        <v>19439.208506944447</v>
      </c>
      <c r="E1280" s="387"/>
    </row>
    <row r="1281" spans="2:5" ht="13.5" customHeight="1">
      <c r="B1281" s="336" t="s">
        <v>8905</v>
      </c>
      <c r="C1281" s="388" t="s">
        <v>7012</v>
      </c>
      <c r="D1281" s="386">
        <v>19454.383680555558</v>
      </c>
      <c r="E1281" s="387"/>
    </row>
    <row r="1282" spans="2:5" ht="13.5" customHeight="1">
      <c r="B1282" s="336" t="s">
        <v>8983</v>
      </c>
      <c r="C1282" s="388" t="s">
        <v>4236</v>
      </c>
      <c r="D1282" s="386">
        <v>19469.684247685185</v>
      </c>
      <c r="E1282" s="387"/>
    </row>
    <row r="1283" spans="2:5" ht="13.5" customHeight="1">
      <c r="B1283" s="336" t="s">
        <v>8906</v>
      </c>
      <c r="C1283" s="388" t="s">
        <v>7013</v>
      </c>
      <c r="D1283" s="386">
        <v>19485.119652777779</v>
      </c>
      <c r="E1283" s="387"/>
    </row>
    <row r="1284" spans="2:5" ht="13.5" customHeight="1">
      <c r="B1284" s="336" t="s">
        <v>921</v>
      </c>
      <c r="C1284" s="388" t="s">
        <v>4238</v>
      </c>
      <c r="D1284" s="386">
        <v>19500.661562500001</v>
      </c>
      <c r="E1284" s="387"/>
    </row>
    <row r="1285" spans="2:5" ht="13.5" customHeight="1">
      <c r="B1285" s="336" t="s">
        <v>8907</v>
      </c>
      <c r="C1285" s="388" t="s">
        <v>7014</v>
      </c>
      <c r="D1285" s="386">
        <v>19516.30269675926</v>
      </c>
      <c r="E1285" s="387"/>
    </row>
    <row r="1286" spans="2:5" ht="13.5" customHeight="1">
      <c r="B1286" s="336" t="s">
        <v>922</v>
      </c>
      <c r="C1286" s="389" t="s">
        <v>4240</v>
      </c>
      <c r="D1286" s="386">
        <v>19531.99965277778</v>
      </c>
      <c r="E1286" s="387"/>
    </row>
    <row r="1287" spans="2:5" ht="13.5" customHeight="1">
      <c r="B1287" s="336" t="s">
        <v>8908</v>
      </c>
      <c r="C1287" s="388" t="s">
        <v>7015</v>
      </c>
      <c r="D1287" s="386">
        <v>19547.732361111113</v>
      </c>
      <c r="E1287" s="387"/>
    </row>
    <row r="1288" spans="2:5" ht="13.5" customHeight="1">
      <c r="B1288" s="336" t="s">
        <v>923</v>
      </c>
      <c r="C1288" s="388" t="s">
        <v>4242</v>
      </c>
      <c r="D1288" s="386">
        <v>19563.452581018519</v>
      </c>
      <c r="E1288" s="387"/>
    </row>
    <row r="1289" spans="2:5" ht="13.5" customHeight="1">
      <c r="B1289" s="336" t="s">
        <v>8909</v>
      </c>
      <c r="C1289" s="388" t="s">
        <v>7016</v>
      </c>
      <c r="D1289" s="386">
        <v>19579.135092592594</v>
      </c>
      <c r="E1289" s="387"/>
    </row>
    <row r="1290" spans="2:5" ht="13.5" customHeight="1">
      <c r="B1290" s="336" t="s">
        <v>924</v>
      </c>
      <c r="C1290" s="388" t="s">
        <v>4276</v>
      </c>
      <c r="D1290" s="386">
        <v>19594.739594907409</v>
      </c>
      <c r="E1290" s="387"/>
    </row>
    <row r="1291" spans="2:5" ht="13.5" customHeight="1">
      <c r="B1291" s="336" t="s">
        <v>8910</v>
      </c>
      <c r="C1291" s="388" t="s">
        <v>7017</v>
      </c>
      <c r="D1291" s="386">
        <v>19610.244976851853</v>
      </c>
      <c r="E1291" s="387"/>
    </row>
    <row r="1292" spans="2:5" ht="13.5" customHeight="1">
      <c r="B1292" s="336" t="s">
        <v>925</v>
      </c>
      <c r="C1292" s="389" t="s">
        <v>4278</v>
      </c>
      <c r="D1292" s="386">
        <v>19625.628946759261</v>
      </c>
      <c r="E1292" s="387"/>
    </row>
    <row r="1293" spans="2:5" ht="13.5" customHeight="1">
      <c r="B1293" s="336" t="s">
        <v>8911</v>
      </c>
      <c r="C1293" s="388" t="s">
        <v>7018</v>
      </c>
      <c r="D1293" s="386">
        <v>19640.882175925926</v>
      </c>
      <c r="E1293" s="387"/>
    </row>
    <row r="1294" spans="2:5" ht="13.5" customHeight="1">
      <c r="B1294" s="336" t="s">
        <v>926</v>
      </c>
      <c r="C1294" s="388" t="s">
        <v>4280</v>
      </c>
      <c r="D1294" s="386">
        <v>19656.004108796296</v>
      </c>
      <c r="E1294" s="387"/>
    </row>
    <row r="1295" spans="2:5" ht="13.5" customHeight="1">
      <c r="B1295" s="336" t="s">
        <v>8664</v>
      </c>
      <c r="C1295" s="388" t="s">
        <v>7019</v>
      </c>
      <c r="D1295" s="386">
        <v>19671.000520833335</v>
      </c>
      <c r="E1295" s="387"/>
    </row>
    <row r="1296" spans="2:5" ht="13.5" customHeight="1">
      <c r="B1296" s="336" t="s">
        <v>927</v>
      </c>
      <c r="C1296" s="388" t="s">
        <v>4282</v>
      </c>
      <c r="D1296" s="386">
        <v>19685.890115740742</v>
      </c>
      <c r="E1296" s="387"/>
    </row>
    <row r="1297" spans="2:5" ht="13.5" customHeight="1">
      <c r="B1297" s="336" t="s">
        <v>6521</v>
      </c>
      <c r="C1297" s="388" t="s">
        <v>7020</v>
      </c>
      <c r="D1297" s="386">
        <v>19700.692233796297</v>
      </c>
      <c r="E1297" s="387"/>
    </row>
    <row r="1298" spans="2:5" ht="13.5" customHeight="1">
      <c r="B1298" s="336" t="s">
        <v>928</v>
      </c>
      <c r="C1298" s="389" t="s">
        <v>4284</v>
      </c>
      <c r="D1298" s="386">
        <v>19715.438402777778</v>
      </c>
      <c r="E1298" s="387"/>
    </row>
    <row r="1299" spans="2:5" ht="13.5" customHeight="1">
      <c r="B1299" s="336" t="s">
        <v>6522</v>
      </c>
      <c r="C1299" s="390" t="s">
        <v>9317</v>
      </c>
      <c r="D1299" s="386">
        <v>19730.156365740742</v>
      </c>
      <c r="E1299" s="387"/>
    </row>
    <row r="1300" spans="2:5" ht="13.5" customHeight="1">
      <c r="B1300" s="336" t="s">
        <v>929</v>
      </c>
      <c r="C1300" s="388" t="s">
        <v>4230</v>
      </c>
      <c r="D1300" s="386">
        <v>19744.882581018519</v>
      </c>
      <c r="E1300" s="387"/>
    </row>
    <row r="1301" spans="2:5" ht="13.5" customHeight="1">
      <c r="B1301" s="336" t="s">
        <v>6523</v>
      </c>
      <c r="C1301" s="388" t="s">
        <v>7010</v>
      </c>
      <c r="D1301" s="386">
        <v>19759.64609953704</v>
      </c>
      <c r="E1301" s="387"/>
    </row>
    <row r="1302" spans="2:5" ht="13.5" customHeight="1">
      <c r="B1302" s="336" t="s">
        <v>930</v>
      </c>
      <c r="C1302" s="388" t="s">
        <v>4232</v>
      </c>
      <c r="D1302" s="386">
        <v>19774.480520833335</v>
      </c>
      <c r="E1302" s="387"/>
    </row>
    <row r="1303" spans="2:5" ht="13.5" customHeight="1">
      <c r="B1303" s="336" t="s">
        <v>6524</v>
      </c>
      <c r="C1303" s="388" t="s">
        <v>7011</v>
      </c>
      <c r="D1303" s="386">
        <v>19789.408275462964</v>
      </c>
      <c r="E1303" s="387"/>
    </row>
    <row r="1304" spans="2:5" ht="13.5" customHeight="1">
      <c r="B1304" s="336" t="s">
        <v>3963</v>
      </c>
      <c r="C1304" s="389" t="s">
        <v>4234</v>
      </c>
      <c r="D1304" s="386">
        <v>19804.453391203704</v>
      </c>
      <c r="E1304" s="387"/>
    </row>
    <row r="1305" spans="2:5" ht="13.5" customHeight="1">
      <c r="B1305" s="336" t="s">
        <v>6525</v>
      </c>
      <c r="C1305" s="388" t="s">
        <v>7012</v>
      </c>
      <c r="D1305" s="386">
        <v>19819.623993055557</v>
      </c>
      <c r="E1305" s="387"/>
    </row>
    <row r="1306" spans="2:5" ht="13.5" customHeight="1">
      <c r="B1306" s="336" t="s">
        <v>3964</v>
      </c>
      <c r="C1306" s="388" t="s">
        <v>4236</v>
      </c>
      <c r="D1306" s="386">
        <v>19834.930034722223</v>
      </c>
      <c r="E1306" s="387"/>
    </row>
    <row r="1307" spans="2:5" ht="13.5" customHeight="1">
      <c r="B1307" s="336" t="s">
        <v>6526</v>
      </c>
      <c r="C1307" s="388" t="s">
        <v>7013</v>
      </c>
      <c r="D1307" s="386">
        <v>19850.359722222223</v>
      </c>
      <c r="E1307" s="387"/>
    </row>
    <row r="1308" spans="2:5" ht="13.5" customHeight="1">
      <c r="B1308" s="336" t="s">
        <v>3965</v>
      </c>
      <c r="C1308" s="388" t="s">
        <v>4238</v>
      </c>
      <c r="D1308" s="386">
        <v>19865.907962962963</v>
      </c>
      <c r="E1308" s="387"/>
    </row>
    <row r="1309" spans="2:5" ht="13.5" customHeight="1">
      <c r="B1309" s="336" t="s">
        <v>6527</v>
      </c>
      <c r="C1309" s="388" t="s">
        <v>7014</v>
      </c>
      <c r="D1309" s="386">
        <v>19881.542291666668</v>
      </c>
      <c r="E1309" s="387"/>
    </row>
    <row r="1310" spans="2:5" ht="13.5" customHeight="1">
      <c r="B1310" s="336" t="s">
        <v>3966</v>
      </c>
      <c r="C1310" s="389" t="s">
        <v>4240</v>
      </c>
      <c r="D1310" s="386">
        <v>19897.245879629631</v>
      </c>
      <c r="E1310" s="387"/>
    </row>
    <row r="1311" spans="2:5" ht="13.5" customHeight="1">
      <c r="B1311" s="336" t="s">
        <v>6528</v>
      </c>
      <c r="C1311" s="388" t="s">
        <v>7015</v>
      </c>
      <c r="D1311" s="386">
        <v>19912.971493055556</v>
      </c>
      <c r="E1311" s="387"/>
    </row>
    <row r="1312" spans="2:5" ht="13.5" customHeight="1">
      <c r="B1312" s="336" t="s">
        <v>3967</v>
      </c>
      <c r="C1312" s="388" t="s">
        <v>4242</v>
      </c>
      <c r="D1312" s="386">
        <v>19928.697650462964</v>
      </c>
      <c r="E1312" s="387"/>
    </row>
    <row r="1313" spans="2:5" ht="13.5" customHeight="1">
      <c r="B1313" s="336" t="s">
        <v>6529</v>
      </c>
      <c r="C1313" s="388" t="s">
        <v>7016</v>
      </c>
      <c r="D1313" s="386">
        <v>19944.374085648149</v>
      </c>
      <c r="E1313" s="387"/>
    </row>
    <row r="1314" spans="2:5" ht="13.5" customHeight="1">
      <c r="B1314" s="336" t="s">
        <v>3968</v>
      </c>
      <c r="C1314" s="388" t="s">
        <v>4276</v>
      </c>
      <c r="D1314" s="386">
        <v>19959.983194444445</v>
      </c>
      <c r="E1314" s="387"/>
    </row>
    <row r="1315" spans="2:5" ht="13.5" customHeight="1">
      <c r="B1315" s="336" t="s">
        <v>6530</v>
      </c>
      <c r="C1315" s="388" t="s">
        <v>7017</v>
      </c>
      <c r="D1315" s="386">
        <v>19975.484571759262</v>
      </c>
      <c r="E1315" s="387"/>
    </row>
    <row r="1316" spans="2:5" ht="13.5" customHeight="1">
      <c r="B1316" s="336" t="s">
        <v>3969</v>
      </c>
      <c r="C1316" s="389" t="s">
        <v>4278</v>
      </c>
      <c r="D1316" s="386">
        <v>19990.871886574074</v>
      </c>
      <c r="E1316" s="387"/>
    </row>
    <row r="1317" spans="2:5" ht="13.5" customHeight="1">
      <c r="B1317" s="336" t="s">
        <v>2847</v>
      </c>
      <c r="C1317" s="388" t="s">
        <v>7018</v>
      </c>
      <c r="D1317" s="386">
        <v>20006.123252314817</v>
      </c>
      <c r="E1317" s="387"/>
    </row>
    <row r="1318" spans="2:5" ht="13.5" customHeight="1">
      <c r="B1318" s="336" t="s">
        <v>973</v>
      </c>
      <c r="C1318" s="388" t="s">
        <v>4280</v>
      </c>
      <c r="D1318" s="386">
        <v>20021.24763888889</v>
      </c>
      <c r="E1318" s="387"/>
    </row>
    <row r="1319" spans="2:5" ht="13.5" customHeight="1">
      <c r="B1319" s="336" t="s">
        <v>6390</v>
      </c>
      <c r="C1319" s="388" t="s">
        <v>7019</v>
      </c>
      <c r="D1319" s="386">
        <v>20036.243391203705</v>
      </c>
      <c r="E1319" s="387"/>
    </row>
    <row r="1320" spans="2:5" ht="13.5" customHeight="1">
      <c r="B1320" s="336" t="s">
        <v>974</v>
      </c>
      <c r="C1320" s="388" t="s">
        <v>4282</v>
      </c>
      <c r="D1320" s="386">
        <v>20051.134699074075</v>
      </c>
      <c r="E1320" s="387"/>
    </row>
    <row r="1321" spans="2:5" ht="13.5" customHeight="1">
      <c r="B1321" s="336" t="s">
        <v>6391</v>
      </c>
      <c r="C1321" s="388" t="s">
        <v>7020</v>
      </c>
      <c r="D1321" s="386">
        <v>20065.936145833333</v>
      </c>
      <c r="E1321" s="387"/>
    </row>
    <row r="1322" spans="2:5" ht="13.5" customHeight="1">
      <c r="B1322" s="336" t="s">
        <v>975</v>
      </c>
      <c r="C1322" s="389" t="s">
        <v>4284</v>
      </c>
      <c r="D1322" s="386">
        <v>20080.683263888892</v>
      </c>
      <c r="E1322" s="387"/>
    </row>
    <row r="1323" spans="2:5" ht="13.5" customHeight="1">
      <c r="B1323" s="336" t="s">
        <v>6392</v>
      </c>
      <c r="C1323" s="390" t="s">
        <v>9317</v>
      </c>
      <c r="D1323" s="386">
        <v>20095.399733796297</v>
      </c>
      <c r="E1323" s="387"/>
    </row>
    <row r="1324" spans="2:5" ht="13.5" customHeight="1">
      <c r="B1324" s="336" t="s">
        <v>976</v>
      </c>
      <c r="C1324" s="388" t="s">
        <v>4230</v>
      </c>
      <c r="D1324" s="386">
        <v>20110.126157407409</v>
      </c>
      <c r="E1324" s="387"/>
    </row>
    <row r="1325" spans="2:5" ht="13.5" customHeight="1">
      <c r="B1325" s="336" t="s">
        <v>6393</v>
      </c>
      <c r="C1325" s="388" t="s">
        <v>7010</v>
      </c>
      <c r="D1325" s="386">
        <v>20124.887326388889</v>
      </c>
      <c r="E1325" s="387"/>
    </row>
    <row r="1326" spans="2:5" ht="13.5" customHeight="1">
      <c r="B1326" s="336" t="s">
        <v>63</v>
      </c>
      <c r="C1326" s="388" t="s">
        <v>4232</v>
      </c>
      <c r="D1326" s="386">
        <v>20139.721365740741</v>
      </c>
      <c r="E1326" s="387"/>
    </row>
    <row r="1327" spans="2:5" ht="13.5" customHeight="1">
      <c r="B1327" s="336" t="s">
        <v>6394</v>
      </c>
      <c r="C1327" s="388" t="s">
        <v>7011</v>
      </c>
      <c r="D1327" s="386">
        <v>20154.646678240741</v>
      </c>
      <c r="E1327" s="387"/>
    </row>
    <row r="1328" spans="2:5" ht="13.5" customHeight="1">
      <c r="B1328" s="336" t="s">
        <v>64</v>
      </c>
      <c r="C1328" s="389" t="s">
        <v>4234</v>
      </c>
      <c r="D1328" s="386">
        <v>20169.691018518519</v>
      </c>
      <c r="E1328" s="387"/>
    </row>
    <row r="1329" spans="2:5" ht="13.5" customHeight="1">
      <c r="B1329" s="336" t="s">
        <v>6395</v>
      </c>
      <c r="C1329" s="388" t="s">
        <v>7012</v>
      </c>
      <c r="D1329" s="386">
        <v>20184.860347222224</v>
      </c>
      <c r="E1329" s="387"/>
    </row>
    <row r="1330" spans="2:5" ht="13.5" customHeight="1">
      <c r="B1330" s="336" t="s">
        <v>65</v>
      </c>
      <c r="C1330" s="388" t="s">
        <v>4236</v>
      </c>
      <c r="D1330" s="386">
        <v>20200.165138888889</v>
      </c>
      <c r="E1330" s="387"/>
    </row>
    <row r="1331" spans="2:5" ht="13.5" customHeight="1">
      <c r="B1331" s="336" t="s">
        <v>6396</v>
      </c>
      <c r="C1331" s="388" t="s">
        <v>7013</v>
      </c>
      <c r="D1331" s="386">
        <v>20215.595960648148</v>
      </c>
      <c r="E1331" s="387"/>
    </row>
    <row r="1332" spans="2:5" ht="13.5" customHeight="1">
      <c r="B1332" s="336" t="s">
        <v>66</v>
      </c>
      <c r="C1332" s="388" t="s">
        <v>4238</v>
      </c>
      <c r="D1332" s="386">
        <v>20231.142002314817</v>
      </c>
      <c r="E1332" s="387"/>
    </row>
    <row r="1333" spans="2:5" ht="13.5" customHeight="1">
      <c r="B1333" s="336" t="s">
        <v>6397</v>
      </c>
      <c r="C1333" s="388" t="s">
        <v>7014</v>
      </c>
      <c r="D1333" s="386">
        <v>20246.780428240741</v>
      </c>
      <c r="E1333" s="387"/>
    </row>
    <row r="1334" spans="2:5" ht="13.5" customHeight="1">
      <c r="B1334" s="336" t="s">
        <v>67</v>
      </c>
      <c r="C1334" s="389" t="s">
        <v>4240</v>
      </c>
      <c r="D1334" s="386">
        <v>20262.480370370373</v>
      </c>
      <c r="E1334" s="387"/>
    </row>
    <row r="1335" spans="2:5" ht="13.5" customHeight="1">
      <c r="B1335" s="336" t="s">
        <v>6398</v>
      </c>
      <c r="C1335" s="388" t="s">
        <v>7015</v>
      </c>
      <c r="D1335" s="386">
        <v>20278.212604166667</v>
      </c>
      <c r="E1335" s="387"/>
    </row>
    <row r="1336" spans="2:5" ht="13.5" customHeight="1">
      <c r="B1336" s="336" t="s">
        <v>8652</v>
      </c>
      <c r="C1336" s="388" t="s">
        <v>4242</v>
      </c>
      <c r="D1336" s="386">
        <v>20293.933703703704</v>
      </c>
      <c r="E1336" s="387"/>
    </row>
    <row r="1337" spans="2:5" ht="13.5" customHeight="1">
      <c r="B1337" s="336" t="s">
        <v>8666</v>
      </c>
      <c r="C1337" s="388" t="s">
        <v>7016</v>
      </c>
      <c r="D1337" s="386">
        <v>20309.617916666666</v>
      </c>
      <c r="E1337" s="387"/>
    </row>
    <row r="1338" spans="2:5" ht="13.5" customHeight="1">
      <c r="B1338" s="336" t="s">
        <v>8653</v>
      </c>
      <c r="C1338" s="388" t="s">
        <v>4276</v>
      </c>
      <c r="D1338" s="386">
        <v>20325.221180555556</v>
      </c>
      <c r="E1338" s="387"/>
    </row>
    <row r="1339" spans="2:5" ht="13.5" customHeight="1">
      <c r="B1339" s="336" t="s">
        <v>8667</v>
      </c>
      <c r="C1339" s="388" t="s">
        <v>7017</v>
      </c>
      <c r="D1339" s="386">
        <v>20340.730092592596</v>
      </c>
      <c r="E1339" s="387"/>
    </row>
    <row r="1340" spans="2:5" ht="13.5" customHeight="1">
      <c r="B1340" s="336" t="s">
        <v>8654</v>
      </c>
      <c r="C1340" s="389" t="s">
        <v>4278</v>
      </c>
      <c r="D1340" s="386">
        <v>20356.111481481483</v>
      </c>
      <c r="E1340" s="387"/>
    </row>
    <row r="1341" spans="2:5" ht="13.5" customHeight="1">
      <c r="B1341" s="336" t="s">
        <v>8668</v>
      </c>
      <c r="C1341" s="388" t="s">
        <v>7018</v>
      </c>
      <c r="D1341" s="386">
        <v>20371.369432870371</v>
      </c>
      <c r="E1341" s="387"/>
    </row>
    <row r="1342" spans="2:5" ht="13.5" customHeight="1">
      <c r="B1342" s="336" t="s">
        <v>8655</v>
      </c>
      <c r="C1342" s="388" t="s">
        <v>4280</v>
      </c>
      <c r="D1342" s="386">
        <v>20386.488125</v>
      </c>
      <c r="E1342" s="387"/>
    </row>
    <row r="1343" spans="2:5" ht="13.5" customHeight="1">
      <c r="B1343" s="336" t="s">
        <v>8669</v>
      </c>
      <c r="C1343" s="388" t="s">
        <v>7019</v>
      </c>
      <c r="D1343" s="386">
        <v>20401.489675925928</v>
      </c>
      <c r="E1343" s="387"/>
    </row>
    <row r="1344" spans="2:5" ht="13.5" customHeight="1">
      <c r="B1344" s="336" t="s">
        <v>8656</v>
      </c>
      <c r="C1344" s="388" t="s">
        <v>4282</v>
      </c>
      <c r="D1344" s="386">
        <v>20416.375532407408</v>
      </c>
      <c r="E1344" s="387"/>
    </row>
    <row r="1345" spans="2:5" ht="13.5" customHeight="1">
      <c r="B1345" s="336" t="s">
        <v>8670</v>
      </c>
      <c r="C1345" s="388" t="s">
        <v>7020</v>
      </c>
      <c r="D1345" s="386">
        <v>20431.182430555556</v>
      </c>
      <c r="E1345" s="387"/>
    </row>
    <row r="1346" spans="2:5" ht="13.5" customHeight="1">
      <c r="B1346" s="336" t="s">
        <v>8657</v>
      </c>
      <c r="C1346" s="389" t="s">
        <v>4284</v>
      </c>
      <c r="D1346" s="386">
        <v>20445.924166666668</v>
      </c>
      <c r="E1346" s="387"/>
    </row>
    <row r="1347" spans="2:5" ht="13.5" customHeight="1">
      <c r="B1347" s="336" t="s">
        <v>8671</v>
      </c>
      <c r="C1347" s="390" t="s">
        <v>9317</v>
      </c>
      <c r="D1347" s="386">
        <v>20460.646018518521</v>
      </c>
      <c r="E1347" s="387"/>
    </row>
    <row r="1348" spans="2:5" ht="13.5" customHeight="1">
      <c r="B1348" s="336" t="s">
        <v>8658</v>
      </c>
      <c r="C1348" s="388" t="s">
        <v>4230</v>
      </c>
      <c r="D1348" s="386">
        <v>20475.366944444446</v>
      </c>
      <c r="E1348" s="387"/>
    </row>
    <row r="1349" spans="2:5" ht="13.5" customHeight="1">
      <c r="B1349" s="336" t="s">
        <v>8672</v>
      </c>
      <c r="C1349" s="388" t="s">
        <v>7010</v>
      </c>
      <c r="D1349" s="386">
        <v>20490.133449074074</v>
      </c>
      <c r="E1349" s="387"/>
    </row>
    <row r="1350" spans="2:5" ht="13.5" customHeight="1">
      <c r="B1350" s="336" t="s">
        <v>8659</v>
      </c>
      <c r="C1350" s="388" t="s">
        <v>4232</v>
      </c>
      <c r="D1350" s="386">
        <v>20504.961817129632</v>
      </c>
      <c r="E1350" s="387"/>
    </row>
    <row r="1351" spans="2:5" ht="13.5" customHeight="1">
      <c r="B1351" s="336" t="s">
        <v>8673</v>
      </c>
      <c r="C1351" s="388" t="s">
        <v>7011</v>
      </c>
      <c r="D1351" s="386">
        <v>20519.892280092594</v>
      </c>
      <c r="E1351" s="387"/>
    </row>
    <row r="1352" spans="2:5" ht="13.5" customHeight="1">
      <c r="B1352" s="336" t="s">
        <v>8660</v>
      </c>
      <c r="C1352" s="389" t="s">
        <v>4234</v>
      </c>
      <c r="D1352" s="386">
        <v>20534.931087962963</v>
      </c>
      <c r="E1352" s="387"/>
    </row>
    <row r="1353" spans="2:5" ht="13.5" customHeight="1">
      <c r="B1353" s="336" t="s">
        <v>8674</v>
      </c>
      <c r="C1353" s="388" t="s">
        <v>7012</v>
      </c>
      <c r="D1353" s="386">
        <v>20550.105243055557</v>
      </c>
      <c r="E1353" s="387"/>
    </row>
    <row r="1354" spans="2:5" ht="13.5" customHeight="1">
      <c r="B1354" s="336" t="s">
        <v>8661</v>
      </c>
      <c r="C1354" s="388" t="s">
        <v>4236</v>
      </c>
      <c r="D1354" s="386">
        <v>20565.405416666668</v>
      </c>
      <c r="E1354" s="387"/>
    </row>
    <row r="1355" spans="2:5" ht="13.5" customHeight="1">
      <c r="B1355" s="336" t="s">
        <v>8675</v>
      </c>
      <c r="C1355" s="388" t="s">
        <v>7013</v>
      </c>
      <c r="D1355" s="386">
        <v>20580.840381944447</v>
      </c>
      <c r="E1355" s="387"/>
    </row>
    <row r="1356" spans="2:5" ht="13.5" customHeight="1">
      <c r="B1356" s="336" t="s">
        <v>8662</v>
      </c>
      <c r="C1356" s="388" t="s">
        <v>4238</v>
      </c>
      <c r="D1356" s="386">
        <v>20596.383819444447</v>
      </c>
      <c r="E1356" s="387"/>
    </row>
    <row r="1357" spans="2:5" ht="13.5" customHeight="1">
      <c r="B1357" s="336" t="s">
        <v>8676</v>
      </c>
      <c r="C1357" s="388" t="s">
        <v>7014</v>
      </c>
      <c r="D1357" s="386">
        <v>20612.024872685186</v>
      </c>
      <c r="E1357" s="387"/>
    </row>
    <row r="1358" spans="2:5" ht="13.5" customHeight="1">
      <c r="B1358" s="336" t="s">
        <v>8663</v>
      </c>
      <c r="C1358" s="389" t="s">
        <v>4240</v>
      </c>
      <c r="D1358" s="386">
        <v>20627.72488425926</v>
      </c>
      <c r="E1358" s="387"/>
    </row>
    <row r="1359" spans="2:5" ht="13.5" customHeight="1">
      <c r="B1359" s="336" t="s">
        <v>8677</v>
      </c>
      <c r="C1359" s="388" t="s">
        <v>7015</v>
      </c>
      <c r="D1359" s="386">
        <v>20643.457071759261</v>
      </c>
      <c r="E1359" s="387"/>
    </row>
    <row r="1360" spans="2:5" ht="13.5" customHeight="1">
      <c r="B1360" s="336" t="s">
        <v>1105</v>
      </c>
      <c r="C1360" s="388" t="s">
        <v>4242</v>
      </c>
      <c r="D1360" s="386">
        <v>20659.180648148151</v>
      </c>
      <c r="E1360" s="387"/>
    </row>
    <row r="1361" spans="2:5" ht="13.5" customHeight="1">
      <c r="B1361" s="336" t="s">
        <v>5510</v>
      </c>
      <c r="C1361" s="388" t="s">
        <v>7016</v>
      </c>
      <c r="D1361" s="386">
        <v>20674.861516203706</v>
      </c>
      <c r="E1361" s="387"/>
    </row>
    <row r="1362" spans="2:5" ht="13.5" customHeight="1">
      <c r="B1362" s="336" t="s">
        <v>1106</v>
      </c>
      <c r="C1362" s="388" t="s">
        <v>4276</v>
      </c>
      <c r="D1362" s="386">
        <v>20690.468703703704</v>
      </c>
      <c r="E1362" s="387"/>
    </row>
    <row r="1363" spans="2:5" ht="13.5" customHeight="1">
      <c r="B1363" s="336" t="s">
        <v>5511</v>
      </c>
      <c r="C1363" s="388" t="s">
        <v>7017</v>
      </c>
      <c r="D1363" s="386">
        <v>20705.971631944445</v>
      </c>
      <c r="E1363" s="387"/>
    </row>
    <row r="1364" spans="2:5" ht="13.5" customHeight="1">
      <c r="B1364" s="336" t="s">
        <v>1107</v>
      </c>
      <c r="C1364" s="389" t="s">
        <v>4278</v>
      </c>
      <c r="D1364" s="386">
        <v>20721.357615740741</v>
      </c>
      <c r="E1364" s="387"/>
    </row>
    <row r="1365" spans="2:5" ht="13.5" customHeight="1">
      <c r="B1365" s="336" t="s">
        <v>5512</v>
      </c>
      <c r="C1365" s="388" t="s">
        <v>7018</v>
      </c>
      <c r="D1365" s="386">
        <v>20736.60832175926</v>
      </c>
      <c r="E1365" s="387"/>
    </row>
    <row r="1366" spans="2:5" ht="13.5" customHeight="1">
      <c r="B1366" s="336" t="s">
        <v>4534</v>
      </c>
      <c r="C1366" s="388" t="s">
        <v>4280</v>
      </c>
      <c r="D1366" s="386">
        <v>20751.732106481482</v>
      </c>
      <c r="E1366" s="387"/>
    </row>
    <row r="1367" spans="2:5" ht="13.5" customHeight="1">
      <c r="B1367" s="336" t="s">
        <v>5513</v>
      </c>
      <c r="C1367" s="388" t="s">
        <v>7019</v>
      </c>
      <c r="D1367" s="386">
        <v>20766.726446759261</v>
      </c>
      <c r="E1367" s="387"/>
    </row>
    <row r="1368" spans="2:5" ht="13.5" customHeight="1">
      <c r="B1368" s="336" t="s">
        <v>4535</v>
      </c>
      <c r="C1368" s="388" t="s">
        <v>4282</v>
      </c>
      <c r="D1368" s="386">
        <v>20781.618009259262</v>
      </c>
      <c r="E1368" s="387"/>
    </row>
    <row r="1369" spans="2:5" ht="13.5" customHeight="1">
      <c r="B1369" s="336" t="s">
        <v>5514</v>
      </c>
      <c r="C1369" s="388" t="s">
        <v>7020</v>
      </c>
      <c r="D1369" s="386">
        <v>20796.418298611112</v>
      </c>
      <c r="E1369" s="387"/>
    </row>
    <row r="1370" spans="2:5" ht="13.5" customHeight="1">
      <c r="B1370" s="336" t="s">
        <v>4536</v>
      </c>
      <c r="C1370" s="389" t="s">
        <v>4284</v>
      </c>
      <c r="D1370" s="386">
        <v>20811.166400462964</v>
      </c>
      <c r="E1370" s="387"/>
    </row>
    <row r="1371" spans="2:5" ht="13.5" customHeight="1">
      <c r="B1371" s="336" t="s">
        <v>5515</v>
      </c>
      <c r="C1371" s="390" t="s">
        <v>9317</v>
      </c>
      <c r="D1371" s="386">
        <v>20825.882337962965</v>
      </c>
      <c r="E1371" s="387"/>
    </row>
    <row r="1372" spans="2:5" ht="13.5" customHeight="1">
      <c r="B1372" s="336" t="s">
        <v>4537</v>
      </c>
      <c r="C1372" s="388" t="s">
        <v>4230</v>
      </c>
      <c r="D1372" s="386">
        <v>20840.610138888889</v>
      </c>
      <c r="E1372" s="387"/>
    </row>
    <row r="1373" spans="2:5" ht="13.5" customHeight="1">
      <c r="B1373" s="336" t="s">
        <v>5516</v>
      </c>
      <c r="C1373" s="388" t="s">
        <v>7010</v>
      </c>
      <c r="D1373" s="386">
        <v>20855.371180555558</v>
      </c>
      <c r="E1373" s="387"/>
    </row>
    <row r="1374" spans="2:5" ht="13.5" customHeight="1">
      <c r="B1374" s="336" t="s">
        <v>5882</v>
      </c>
      <c r="C1374" s="388" t="s">
        <v>4232</v>
      </c>
      <c r="D1374" s="386">
        <v>20870.206782407407</v>
      </c>
      <c r="E1374" s="387"/>
    </row>
    <row r="1375" spans="2:5" ht="13.5" customHeight="1">
      <c r="B1375" s="336" t="s">
        <v>5517</v>
      </c>
      <c r="C1375" s="388" t="s">
        <v>7011</v>
      </c>
      <c r="D1375" s="386">
        <v>20885.131793981483</v>
      </c>
      <c r="E1375" s="387"/>
    </row>
    <row r="1376" spans="2:5" ht="13.5" customHeight="1">
      <c r="B1376" s="336" t="s">
        <v>5883</v>
      </c>
      <c r="C1376" s="389" t="s">
        <v>4234</v>
      </c>
      <c r="D1376" s="386">
        <v>20900.17800925926</v>
      </c>
      <c r="E1376" s="387"/>
    </row>
    <row r="1377" spans="2:5" ht="13.5" customHeight="1">
      <c r="B1377" s="336" t="s">
        <v>5518</v>
      </c>
      <c r="C1377" s="388" t="s">
        <v>7012</v>
      </c>
      <c r="D1377" s="386">
        <v>20915.346296296299</v>
      </c>
      <c r="E1377" s="387"/>
    </row>
    <row r="1378" spans="2:5" ht="13.5" customHeight="1">
      <c r="B1378" s="336" t="s">
        <v>5884</v>
      </c>
      <c r="C1378" s="388" t="s">
        <v>4236</v>
      </c>
      <c r="D1378" s="386">
        <v>20930.653750000001</v>
      </c>
      <c r="E1378" s="387"/>
    </row>
    <row r="1379" spans="2:5" ht="13.5" customHeight="1">
      <c r="B1379" s="336" t="s">
        <v>5519</v>
      </c>
      <c r="C1379" s="388" t="s">
        <v>7013</v>
      </c>
      <c r="D1379" s="386">
        <v>20946.082349537039</v>
      </c>
      <c r="E1379" s="387"/>
    </row>
    <row r="1380" spans="2:5" ht="13.5" customHeight="1">
      <c r="B1380" s="336" t="s">
        <v>5885</v>
      </c>
      <c r="C1380" s="388" t="s">
        <v>4238</v>
      </c>
      <c r="D1380" s="386">
        <v>20961.63246527778</v>
      </c>
      <c r="E1380" s="387"/>
    </row>
    <row r="1381" spans="2:5" ht="13.5" customHeight="1">
      <c r="B1381" s="336" t="s">
        <v>5520</v>
      </c>
      <c r="C1381" s="388" t="s">
        <v>7014</v>
      </c>
      <c r="D1381" s="386">
        <v>20977.26732638889</v>
      </c>
      <c r="E1381" s="387"/>
    </row>
    <row r="1382" spans="2:5" ht="13.5" customHeight="1">
      <c r="B1382" s="336" t="s">
        <v>5886</v>
      </c>
      <c r="C1382" s="389" t="s">
        <v>4240</v>
      </c>
      <c r="D1382" s="386">
        <v>20992.972673611112</v>
      </c>
      <c r="E1382" s="387"/>
    </row>
    <row r="1383" spans="2:5" ht="13.5" customHeight="1">
      <c r="B1383" s="336" t="s">
        <v>5521</v>
      </c>
      <c r="C1383" s="388" t="s">
        <v>7015</v>
      </c>
      <c r="D1383" s="386">
        <v>21008.700138888889</v>
      </c>
      <c r="E1383" s="387"/>
    </row>
    <row r="1384" spans="2:5" ht="13.5" customHeight="1">
      <c r="B1384" s="336" t="s">
        <v>5887</v>
      </c>
      <c r="C1384" s="388" t="s">
        <v>4242</v>
      </c>
      <c r="D1384" s="386">
        <v>21024.426967592593</v>
      </c>
      <c r="E1384" s="387"/>
    </row>
    <row r="1385" spans="2:5" ht="13.5" customHeight="1">
      <c r="B1385" s="336" t="s">
        <v>5522</v>
      </c>
      <c r="C1385" s="388" t="s">
        <v>7016</v>
      </c>
      <c r="D1385" s="386">
        <v>21040.105601851854</v>
      </c>
      <c r="E1385" s="387"/>
    </row>
    <row r="1386" spans="2:5" ht="13.5" customHeight="1">
      <c r="B1386" s="336" t="s">
        <v>5888</v>
      </c>
      <c r="C1386" s="388" t="s">
        <v>4276</v>
      </c>
      <c r="D1386" s="386">
        <v>21055.71363425926</v>
      </c>
      <c r="E1386" s="387"/>
    </row>
    <row r="1387" spans="2:5" ht="13.5" customHeight="1">
      <c r="B1387" s="336" t="s">
        <v>5523</v>
      </c>
      <c r="C1387" s="388" t="s">
        <v>7017</v>
      </c>
      <c r="D1387" s="386">
        <v>21071.216712962963</v>
      </c>
      <c r="E1387" s="387"/>
    </row>
    <row r="1388" spans="2:5" ht="13.5" customHeight="1">
      <c r="B1388" s="336" t="s">
        <v>5889</v>
      </c>
      <c r="C1388" s="389" t="s">
        <v>4278</v>
      </c>
      <c r="D1388" s="386">
        <v>21086.601388888888</v>
      </c>
      <c r="E1388" s="387"/>
    </row>
    <row r="1389" spans="2:5" ht="13.5" customHeight="1">
      <c r="B1389" s="336" t="s">
        <v>7415</v>
      </c>
      <c r="C1389" s="388" t="s">
        <v>7018</v>
      </c>
      <c r="D1389" s="386">
        <v>21101.853900462964</v>
      </c>
      <c r="E1389" s="387"/>
    </row>
    <row r="1390" spans="2:5" ht="13.5" customHeight="1">
      <c r="B1390" s="336" t="s">
        <v>5890</v>
      </c>
      <c r="C1390" s="388" t="s">
        <v>4280</v>
      </c>
      <c r="D1390" s="386">
        <v>21116.974988425925</v>
      </c>
      <c r="E1390" s="387"/>
    </row>
    <row r="1391" spans="2:5" ht="13.5" customHeight="1">
      <c r="B1391" s="336" t="s">
        <v>7416</v>
      </c>
      <c r="C1391" s="388" t="s">
        <v>7019</v>
      </c>
      <c r="D1391" s="386">
        <v>21131.971990740742</v>
      </c>
      <c r="E1391" s="387"/>
    </row>
    <row r="1392" spans="2:5" ht="13.5" customHeight="1">
      <c r="B1392" s="336" t="s">
        <v>5891</v>
      </c>
      <c r="C1392" s="388" t="s">
        <v>4282</v>
      </c>
      <c r="D1392" s="386">
        <v>21146.860381944447</v>
      </c>
      <c r="E1392" s="387"/>
    </row>
    <row r="1393" spans="2:5" ht="13.5" customHeight="1">
      <c r="B1393" s="336" t="s">
        <v>7417</v>
      </c>
      <c r="C1393" s="388" t="s">
        <v>7020</v>
      </c>
      <c r="D1393" s="386">
        <v>21161.663807870373</v>
      </c>
      <c r="E1393" s="387"/>
    </row>
    <row r="1394" spans="2:5" ht="13.5" customHeight="1">
      <c r="B1394" s="336" t="s">
        <v>5892</v>
      </c>
      <c r="C1394" s="389" t="s">
        <v>4284</v>
      </c>
      <c r="D1394" s="386">
        <v>21176.408888888891</v>
      </c>
      <c r="E1394" s="387"/>
    </row>
    <row r="1395" spans="2:5" ht="13.5" customHeight="1">
      <c r="B1395" s="336" t="s">
        <v>7418</v>
      </c>
      <c r="C1395" s="390" t="s">
        <v>9317</v>
      </c>
      <c r="D1395" s="386">
        <v>21191.128148148149</v>
      </c>
      <c r="E1395" s="387"/>
    </row>
    <row r="1396" spans="2:5" ht="13.5" customHeight="1">
      <c r="B1396" s="336" t="s">
        <v>5893</v>
      </c>
      <c r="C1396" s="388" t="s">
        <v>4230</v>
      </c>
      <c r="D1396" s="386">
        <v>21205.853182870371</v>
      </c>
      <c r="E1396" s="387"/>
    </row>
    <row r="1397" spans="2:5" ht="13.5" customHeight="1">
      <c r="B1397" s="336" t="s">
        <v>7419</v>
      </c>
      <c r="C1397" s="388" t="s">
        <v>7010</v>
      </c>
      <c r="D1397" s="386">
        <v>21220.617488425927</v>
      </c>
      <c r="E1397" s="387"/>
    </row>
    <row r="1398" spans="2:5" ht="13.5" customHeight="1">
      <c r="B1398" s="336" t="s">
        <v>5894</v>
      </c>
      <c r="C1398" s="388" t="s">
        <v>4232</v>
      </c>
      <c r="D1398" s="386">
        <v>21235.450092592593</v>
      </c>
      <c r="E1398" s="387"/>
    </row>
    <row r="1399" spans="2:5" ht="13.5" customHeight="1">
      <c r="B1399" s="336" t="s">
        <v>7420</v>
      </c>
      <c r="C1399" s="388" t="s">
        <v>7011</v>
      </c>
      <c r="D1399" s="386">
        <v>21250.378159722222</v>
      </c>
      <c r="E1399" s="387"/>
    </row>
    <row r="1400" spans="2:5" ht="13.5" customHeight="1">
      <c r="B1400" s="336" t="s">
        <v>5895</v>
      </c>
      <c r="C1400" s="389" t="s">
        <v>4234</v>
      </c>
      <c r="D1400" s="386">
        <v>21265.420312500002</v>
      </c>
      <c r="E1400" s="387"/>
    </row>
    <row r="1401" spans="2:5" ht="13.5" customHeight="1">
      <c r="B1401" s="336" t="s">
        <v>7421</v>
      </c>
      <c r="C1401" s="388" t="s">
        <v>7012</v>
      </c>
      <c r="D1401" s="386">
        <v>21280.591666666667</v>
      </c>
      <c r="E1401" s="387"/>
    </row>
    <row r="1402" spans="2:5" ht="13.5" customHeight="1">
      <c r="B1402" s="336" t="s">
        <v>5896</v>
      </c>
      <c r="C1402" s="388" t="s">
        <v>4236</v>
      </c>
      <c r="D1402" s="386">
        <v>21295.89340277778</v>
      </c>
      <c r="E1402" s="387"/>
    </row>
    <row r="1403" spans="2:5" ht="13.5" customHeight="1">
      <c r="B1403" s="336" t="s">
        <v>7422</v>
      </c>
      <c r="C1403" s="388" t="s">
        <v>7013</v>
      </c>
      <c r="D1403" s="386">
        <v>21311.325729166667</v>
      </c>
      <c r="E1403" s="387"/>
    </row>
    <row r="1404" spans="2:5" ht="13.5" customHeight="1">
      <c r="B1404" s="336" t="s">
        <v>5897</v>
      </c>
      <c r="C1404" s="388" t="s">
        <v>4238</v>
      </c>
      <c r="D1404" s="386">
        <v>21326.86857638889</v>
      </c>
      <c r="E1404" s="387"/>
    </row>
    <row r="1405" spans="2:5" ht="13.5" customHeight="1">
      <c r="B1405" s="336" t="s">
        <v>7423</v>
      </c>
      <c r="C1405" s="388" t="s">
        <v>7014</v>
      </c>
      <c r="D1405" s="386">
        <v>21342.508460648151</v>
      </c>
      <c r="E1405" s="387"/>
    </row>
    <row r="1406" spans="2:5" ht="13.5" customHeight="1">
      <c r="B1406" s="336" t="s">
        <v>5898</v>
      </c>
      <c r="C1406" s="389" t="s">
        <v>4240</v>
      </c>
      <c r="D1406" s="386">
        <v>21358.206041666668</v>
      </c>
      <c r="E1406" s="387"/>
    </row>
    <row r="1407" spans="2:5" ht="13.5" customHeight="1">
      <c r="B1407" s="336" t="s">
        <v>7424</v>
      </c>
      <c r="C1407" s="388" t="s">
        <v>7015</v>
      </c>
      <c r="D1407" s="386">
        <v>21373.939791666668</v>
      </c>
      <c r="E1407" s="387"/>
    </row>
    <row r="1408" spans="2:5" ht="13.5" customHeight="1">
      <c r="B1408" s="336" t="s">
        <v>5899</v>
      </c>
      <c r="C1408" s="388" t="s">
        <v>4242</v>
      </c>
      <c r="D1408" s="386">
        <v>21389.659837962965</v>
      </c>
      <c r="E1408" s="387"/>
    </row>
    <row r="1409" spans="2:5" ht="13.5" customHeight="1">
      <c r="B1409" s="336" t="s">
        <v>7425</v>
      </c>
      <c r="C1409" s="388" t="s">
        <v>7016</v>
      </c>
      <c r="D1409" s="386">
        <v>21405.345115740743</v>
      </c>
      <c r="E1409" s="387"/>
    </row>
    <row r="1410" spans="2:5" ht="13.5" customHeight="1">
      <c r="B1410" s="336" t="s">
        <v>5900</v>
      </c>
      <c r="C1410" s="388" t="s">
        <v>4276</v>
      </c>
      <c r="D1410" s="386">
        <v>21420.948368055557</v>
      </c>
      <c r="E1410" s="387"/>
    </row>
    <row r="1411" spans="2:5" ht="13.5" customHeight="1">
      <c r="B1411" s="336" t="s">
        <v>7426</v>
      </c>
      <c r="C1411" s="388" t="s">
        <v>7017</v>
      </c>
      <c r="D1411" s="386">
        <v>21436.457418981481</v>
      </c>
      <c r="E1411" s="387"/>
    </row>
    <row r="1412" spans="2:5" ht="13.5" customHeight="1">
      <c r="B1412" s="336" t="s">
        <v>6335</v>
      </c>
      <c r="C1412" s="389" t="s">
        <v>4278</v>
      </c>
      <c r="D1412" s="386">
        <v>21451.839305555557</v>
      </c>
      <c r="E1412" s="387"/>
    </row>
    <row r="1413" spans="2:5" ht="13.5" customHeight="1">
      <c r="B1413" s="336" t="s">
        <v>2102</v>
      </c>
      <c r="C1413" s="388" t="s">
        <v>7018</v>
      </c>
      <c r="D1413" s="386">
        <v>21467.096516203706</v>
      </c>
      <c r="E1413" s="387"/>
    </row>
    <row r="1414" spans="2:5" ht="13.5" customHeight="1">
      <c r="B1414" s="336" t="s">
        <v>6336</v>
      </c>
      <c r="C1414" s="388" t="s">
        <v>4280</v>
      </c>
      <c r="D1414" s="386">
        <v>21482.215983796297</v>
      </c>
      <c r="E1414" s="387"/>
    </row>
    <row r="1415" spans="2:5" ht="13.5" customHeight="1">
      <c r="B1415" s="336" t="s">
        <v>2103</v>
      </c>
      <c r="C1415" s="388" t="s">
        <v>7019</v>
      </c>
      <c r="D1415" s="386">
        <v>21497.216423611113</v>
      </c>
      <c r="E1415" s="387"/>
    </row>
    <row r="1416" spans="2:5" ht="13.5" customHeight="1">
      <c r="B1416" s="336" t="s">
        <v>6337</v>
      </c>
      <c r="C1416" s="388" t="s">
        <v>4282</v>
      </c>
      <c r="D1416" s="386">
        <v>21512.103368055556</v>
      </c>
      <c r="E1416" s="387"/>
    </row>
    <row r="1417" spans="2:5" ht="13.5" customHeight="1">
      <c r="B1417" s="336" t="s">
        <v>2104</v>
      </c>
      <c r="C1417" s="388" t="s">
        <v>7020</v>
      </c>
      <c r="D1417" s="386">
        <v>21526.909305555557</v>
      </c>
      <c r="E1417" s="387"/>
    </row>
    <row r="1418" spans="2:5" ht="13.5" customHeight="1">
      <c r="B1418" s="336" t="s">
        <v>6338</v>
      </c>
      <c r="C1418" s="389" t="s">
        <v>4284</v>
      </c>
      <c r="D1418" s="386">
        <v>21541.65252314815</v>
      </c>
      <c r="E1418" s="387"/>
    </row>
    <row r="1419" spans="2:5" ht="13.5" customHeight="1">
      <c r="B1419" s="336" t="s">
        <v>2105</v>
      </c>
      <c r="C1419" s="390" t="s">
        <v>9317</v>
      </c>
      <c r="D1419" s="386">
        <v>21556.373819444445</v>
      </c>
      <c r="E1419" s="387"/>
    </row>
    <row r="1420" spans="2:5" ht="13.5" customHeight="1">
      <c r="B1420" s="336" t="s">
        <v>6339</v>
      </c>
      <c r="C1420" s="388" t="s">
        <v>4230</v>
      </c>
      <c r="D1420" s="386">
        <v>21571.09650462963</v>
      </c>
      <c r="E1420" s="387"/>
    </row>
    <row r="1421" spans="2:5" ht="13.5" customHeight="1">
      <c r="B1421" s="336" t="s">
        <v>2106</v>
      </c>
      <c r="C1421" s="388" t="s">
        <v>7010</v>
      </c>
      <c r="D1421" s="386">
        <v>21585.862685185188</v>
      </c>
      <c r="E1421" s="387"/>
    </row>
    <row r="1422" spans="2:5" ht="13.5" customHeight="1">
      <c r="B1422" s="336" t="s">
        <v>6340</v>
      </c>
      <c r="C1422" s="388" t="s">
        <v>4232</v>
      </c>
      <c r="D1422" s="386">
        <v>21600.692858796298</v>
      </c>
      <c r="E1422" s="387"/>
    </row>
    <row r="1423" spans="2:5" ht="13.5" customHeight="1">
      <c r="B1423" s="336" t="s">
        <v>2107</v>
      </c>
      <c r="C1423" s="388" t="s">
        <v>7011</v>
      </c>
      <c r="D1423" s="386">
        <v>21615.622673611113</v>
      </c>
      <c r="E1423" s="387"/>
    </row>
    <row r="1424" spans="2:5" ht="13.5" customHeight="1">
      <c r="B1424" s="336" t="s">
        <v>6341</v>
      </c>
      <c r="C1424" s="389" t="s">
        <v>4234</v>
      </c>
      <c r="D1424" s="386">
        <v>21630.662916666668</v>
      </c>
      <c r="E1424" s="387"/>
    </row>
    <row r="1425" spans="2:5" ht="13.5" customHeight="1">
      <c r="B1425" s="336" t="s">
        <v>2108</v>
      </c>
      <c r="C1425" s="388" t="s">
        <v>7012</v>
      </c>
      <c r="D1425" s="386">
        <v>21645.835405092595</v>
      </c>
      <c r="E1425" s="387"/>
    </row>
    <row r="1426" spans="2:5" ht="13.5" customHeight="1">
      <c r="B1426" s="336" t="s">
        <v>6342</v>
      </c>
      <c r="C1426" s="388" t="s">
        <v>4236</v>
      </c>
      <c r="D1426" s="386">
        <v>21661.136423611111</v>
      </c>
      <c r="E1426" s="387"/>
    </row>
    <row r="1427" spans="2:5" ht="13.5" customHeight="1">
      <c r="B1427" s="336" t="s">
        <v>2109</v>
      </c>
      <c r="C1427" s="388" t="s">
        <v>7013</v>
      </c>
      <c r="D1427" s="386">
        <v>21676.568391203706</v>
      </c>
      <c r="E1427" s="387"/>
    </row>
    <row r="1428" spans="2:5" ht="13.5" customHeight="1">
      <c r="B1428" s="336" t="s">
        <v>6343</v>
      </c>
      <c r="C1428" s="388" t="s">
        <v>4238</v>
      </c>
      <c r="D1428" s="386">
        <v>21692.112430555557</v>
      </c>
      <c r="E1428" s="387"/>
    </row>
    <row r="1429" spans="2:5" ht="13.5" customHeight="1">
      <c r="B1429" s="336" t="s">
        <v>2110</v>
      </c>
      <c r="C1429" s="388" t="s">
        <v>7014</v>
      </c>
      <c r="D1429" s="386">
        <v>21707.749803240742</v>
      </c>
      <c r="E1429" s="387"/>
    </row>
    <row r="1430" spans="2:5" ht="13.5" customHeight="1">
      <c r="B1430" s="336" t="s">
        <v>6344</v>
      </c>
      <c r="C1430" s="389" t="s">
        <v>4240</v>
      </c>
      <c r="D1430" s="386">
        <v>21723.45105324074</v>
      </c>
      <c r="E1430" s="387"/>
    </row>
    <row r="1431" spans="2:5" ht="13.5" customHeight="1">
      <c r="B1431" s="336" t="s">
        <v>2111</v>
      </c>
      <c r="C1431" s="388" t="s">
        <v>7015</v>
      </c>
      <c r="D1431" s="386">
        <v>21739.180266203704</v>
      </c>
      <c r="E1431" s="387"/>
    </row>
    <row r="1432" spans="2:5" ht="13.5" customHeight="1">
      <c r="B1432" s="336" t="s">
        <v>6345</v>
      </c>
      <c r="C1432" s="388" t="s">
        <v>4242</v>
      </c>
      <c r="D1432" s="386">
        <v>21754.906388888889</v>
      </c>
      <c r="E1432" s="387"/>
    </row>
    <row r="1433" spans="2:5" ht="13.5" customHeight="1">
      <c r="B1433" s="336" t="s">
        <v>2112</v>
      </c>
      <c r="C1433" s="388" t="s">
        <v>7016</v>
      </c>
      <c r="D1433" s="386">
        <v>21770.585995370373</v>
      </c>
      <c r="E1433" s="387"/>
    </row>
    <row r="1434" spans="2:5" ht="13.5" customHeight="1">
      <c r="B1434" s="336" t="s">
        <v>6346</v>
      </c>
      <c r="C1434" s="388" t="s">
        <v>4276</v>
      </c>
      <c r="D1434" s="386">
        <v>21786.196689814817</v>
      </c>
      <c r="E1434" s="387"/>
    </row>
    <row r="1435" spans="2:5" ht="13.5" customHeight="1">
      <c r="B1435" s="336" t="s">
        <v>2113</v>
      </c>
      <c r="C1435" s="388" t="s">
        <v>7017</v>
      </c>
      <c r="D1435" s="386">
        <v>21801.69974537037</v>
      </c>
      <c r="E1435" s="387"/>
    </row>
    <row r="1436" spans="2:5" ht="13.5" customHeight="1">
      <c r="B1436" s="336" t="s">
        <v>6347</v>
      </c>
      <c r="C1436" s="389" t="s">
        <v>4278</v>
      </c>
      <c r="D1436" s="386">
        <v>21817.08900462963</v>
      </c>
      <c r="E1436" s="387"/>
    </row>
    <row r="1437" spans="2:5" ht="13.5" customHeight="1">
      <c r="B1437" s="336" t="s">
        <v>2114</v>
      </c>
      <c r="C1437" s="388" t="s">
        <v>7018</v>
      </c>
      <c r="D1437" s="386">
        <v>21832.340046296296</v>
      </c>
      <c r="E1437" s="387"/>
    </row>
    <row r="1438" spans="2:5" ht="13.5" customHeight="1">
      <c r="B1438" s="336" t="s">
        <v>6348</v>
      </c>
      <c r="C1438" s="388" t="s">
        <v>4280</v>
      </c>
      <c r="D1438" s="386">
        <v>21847.465833333335</v>
      </c>
      <c r="E1438" s="387"/>
    </row>
    <row r="1439" spans="2:5" ht="13.5" customHeight="1">
      <c r="B1439" s="336" t="s">
        <v>2115</v>
      </c>
      <c r="C1439" s="388" t="s">
        <v>7019</v>
      </c>
      <c r="D1439" s="386">
        <v>21862.459699074076</v>
      </c>
      <c r="E1439" s="387"/>
    </row>
    <row r="1440" spans="2:5" ht="13.5" customHeight="1">
      <c r="B1440" s="336" t="s">
        <v>6349</v>
      </c>
      <c r="C1440" s="388" t="s">
        <v>4282</v>
      </c>
      <c r="D1440" s="386">
        <v>21877.351851851854</v>
      </c>
      <c r="E1440" s="387"/>
    </row>
    <row r="1441" spans="2:5" ht="13.5" customHeight="1">
      <c r="B1441" s="336" t="s">
        <v>2116</v>
      </c>
      <c r="C1441" s="388" t="s">
        <v>7020</v>
      </c>
      <c r="D1441" s="386">
        <v>21892.150752314818</v>
      </c>
      <c r="E1441" s="387"/>
    </row>
    <row r="1442" spans="2:5" ht="13.5" customHeight="1">
      <c r="B1442" s="336" t="s">
        <v>5477</v>
      </c>
      <c r="C1442" s="389" t="s">
        <v>4284</v>
      </c>
      <c r="D1442" s="386">
        <v>21906.898599537039</v>
      </c>
      <c r="E1442" s="387"/>
    </row>
    <row r="1443" spans="2:5" ht="13.5" customHeight="1">
      <c r="B1443" s="336" t="s">
        <v>2117</v>
      </c>
      <c r="C1443" s="390" t="s">
        <v>9317</v>
      </c>
      <c r="D1443" s="386">
        <v>21921.612673611111</v>
      </c>
      <c r="E1443" s="387"/>
    </row>
    <row r="1444" spans="2:5" ht="13.5" customHeight="1">
      <c r="B1444" s="336" t="s">
        <v>5478</v>
      </c>
      <c r="C1444" s="388" t="s">
        <v>4230</v>
      </c>
      <c r="D1444" s="386">
        <v>21936.340092592593</v>
      </c>
      <c r="E1444" s="387"/>
    </row>
    <row r="1445" spans="2:5" ht="13.5" customHeight="1">
      <c r="B1445" s="336" t="s">
        <v>2118</v>
      </c>
      <c r="C1445" s="388" t="s">
        <v>7010</v>
      </c>
      <c r="D1445" s="386">
        <v>21951.099293981482</v>
      </c>
      <c r="E1445" s="387"/>
    </row>
    <row r="1446" spans="2:5" ht="13.5" customHeight="1">
      <c r="B1446" s="336" t="s">
        <v>5479</v>
      </c>
      <c r="C1446" s="388" t="s">
        <v>4232</v>
      </c>
      <c r="D1446" s="386">
        <v>21965.934733796297</v>
      </c>
      <c r="E1446" s="387"/>
    </row>
    <row r="1447" spans="2:5" ht="13.5" customHeight="1">
      <c r="B1447" s="336" t="s">
        <v>2119</v>
      </c>
      <c r="C1447" s="388" t="s">
        <v>7011</v>
      </c>
      <c r="D1447" s="386">
        <v>21980.858275462964</v>
      </c>
      <c r="E1447" s="387"/>
    </row>
    <row r="1448" spans="2:5" ht="13.5" customHeight="1">
      <c r="B1448" s="336" t="s">
        <v>5480</v>
      </c>
      <c r="C1448" s="389" t="s">
        <v>4234</v>
      </c>
      <c r="D1448" s="386">
        <v>21995.904444444444</v>
      </c>
      <c r="E1448" s="387"/>
    </row>
    <row r="1449" spans="2:5" ht="13.5" customHeight="1">
      <c r="B1449" s="336" t="s">
        <v>2120</v>
      </c>
      <c r="C1449" s="388" t="s">
        <v>7012</v>
      </c>
      <c r="D1449" s="386">
        <v>22011.07172453704</v>
      </c>
      <c r="E1449" s="387"/>
    </row>
    <row r="1450" spans="2:5" ht="13.5" customHeight="1">
      <c r="B1450" s="336" t="s">
        <v>5481</v>
      </c>
      <c r="C1450" s="388" t="s">
        <v>4236</v>
      </c>
      <c r="D1450" s="386">
        <v>22026.378888888888</v>
      </c>
      <c r="E1450" s="387"/>
    </row>
    <row r="1451" spans="2:5" ht="13.5" customHeight="1">
      <c r="B1451" s="336" t="s">
        <v>2121</v>
      </c>
      <c r="C1451" s="388" t="s">
        <v>7013</v>
      </c>
      <c r="D1451" s="386">
        <v>22041.80709490741</v>
      </c>
      <c r="E1451" s="387"/>
    </row>
    <row r="1452" spans="2:5" ht="13.5" customHeight="1">
      <c r="B1452" s="336" t="s">
        <v>5482</v>
      </c>
      <c r="C1452" s="388" t="s">
        <v>4238</v>
      </c>
      <c r="D1452" s="386">
        <v>22057.356354166666</v>
      </c>
      <c r="E1452" s="387"/>
    </row>
    <row r="1453" spans="2:5" ht="13.5" customHeight="1">
      <c r="B1453" s="336" t="s">
        <v>2122</v>
      </c>
      <c r="C1453" s="388" t="s">
        <v>7014</v>
      </c>
      <c r="D1453" s="386">
        <v>22072.99184027778</v>
      </c>
      <c r="E1453" s="387"/>
    </row>
    <row r="1454" spans="2:5" ht="13.5" customHeight="1">
      <c r="B1454" s="336" t="s">
        <v>5483</v>
      </c>
      <c r="C1454" s="389" t="s">
        <v>4240</v>
      </c>
      <c r="D1454" s="386">
        <v>22088.695902777778</v>
      </c>
      <c r="E1454" s="387"/>
    </row>
    <row r="1455" spans="2:5" ht="13.5" customHeight="1">
      <c r="B1455" s="336" t="s">
        <v>2123</v>
      </c>
      <c r="C1455" s="388" t="s">
        <v>7015</v>
      </c>
      <c r="D1455" s="386">
        <v>22104.425405092596</v>
      </c>
      <c r="E1455" s="387"/>
    </row>
    <row r="1456" spans="2:5" ht="13.5" customHeight="1">
      <c r="B1456" s="336" t="s">
        <v>5484</v>
      </c>
      <c r="C1456" s="388" t="s">
        <v>4242</v>
      </c>
      <c r="D1456" s="386">
        <v>22120.151053240741</v>
      </c>
      <c r="E1456" s="387"/>
    </row>
    <row r="1457" spans="2:5" ht="13.5" customHeight="1">
      <c r="B1457" s="336" t="s">
        <v>2124</v>
      </c>
      <c r="C1457" s="388" t="s">
        <v>7016</v>
      </c>
      <c r="D1457" s="386">
        <v>22135.833171296297</v>
      </c>
      <c r="E1457" s="387"/>
    </row>
    <row r="1458" spans="2:5" ht="13.5" customHeight="1">
      <c r="B1458" s="336" t="s">
        <v>5485</v>
      </c>
      <c r="C1458" s="388" t="s">
        <v>4276</v>
      </c>
      <c r="D1458" s="386">
        <v>22151.440532407407</v>
      </c>
      <c r="E1458" s="387"/>
    </row>
    <row r="1459" spans="2:5" ht="13.5" customHeight="1">
      <c r="B1459" s="336" t="s">
        <v>2125</v>
      </c>
      <c r="C1459" s="388" t="s">
        <v>7017</v>
      </c>
      <c r="D1459" s="386">
        <v>22166.947974537037</v>
      </c>
      <c r="E1459" s="387"/>
    </row>
    <row r="1460" spans="2:5" ht="13.5" customHeight="1">
      <c r="B1460" s="336" t="s">
        <v>9329</v>
      </c>
      <c r="C1460" s="389" t="s">
        <v>4278</v>
      </c>
      <c r="D1460" s="386">
        <v>22182.332314814816</v>
      </c>
      <c r="E1460" s="387"/>
    </row>
    <row r="1461" spans="2:5" ht="13.5" customHeight="1">
      <c r="B1461" s="336" t="s">
        <v>2126</v>
      </c>
      <c r="C1461" s="388" t="s">
        <v>7018</v>
      </c>
      <c r="D1461" s="386">
        <v>22197.58900462963</v>
      </c>
      <c r="E1461" s="387"/>
    </row>
    <row r="1462" spans="2:5" ht="13.5" customHeight="1">
      <c r="B1462" s="336" t="s">
        <v>446</v>
      </c>
      <c r="C1462" s="388" t="s">
        <v>4280</v>
      </c>
      <c r="D1462" s="386">
        <v>22212.709328703706</v>
      </c>
      <c r="E1462" s="387"/>
    </row>
    <row r="1463" spans="2:5" ht="13.5" customHeight="1">
      <c r="B1463" s="336" t="s">
        <v>2127</v>
      </c>
      <c r="C1463" s="388" t="s">
        <v>7019</v>
      </c>
      <c r="D1463" s="386">
        <v>22227.709409722225</v>
      </c>
      <c r="E1463" s="387"/>
    </row>
    <row r="1464" spans="2:5" ht="13.5" customHeight="1">
      <c r="B1464" s="336" t="s">
        <v>447</v>
      </c>
      <c r="C1464" s="388" t="s">
        <v>4282</v>
      </c>
      <c r="D1464" s="386">
        <v>22242.595891203706</v>
      </c>
      <c r="E1464" s="387"/>
    </row>
    <row r="1465" spans="2:5" ht="13.5" customHeight="1">
      <c r="B1465" s="336" t="s">
        <v>2128</v>
      </c>
      <c r="C1465" s="388" t="s">
        <v>7020</v>
      </c>
      <c r="D1465" s="386">
        <v>22257.400949074075</v>
      </c>
      <c r="E1465" s="387"/>
    </row>
    <row r="1466" spans="2:5" ht="13.5" customHeight="1">
      <c r="B1466" s="336" t="s">
        <v>448</v>
      </c>
      <c r="C1466" s="389" t="s">
        <v>4284</v>
      </c>
      <c r="D1466" s="386">
        <v>22272.142881944445</v>
      </c>
      <c r="E1466" s="387"/>
    </row>
    <row r="1467" spans="2:5" ht="13.5" customHeight="1">
      <c r="B1467" s="336" t="s">
        <v>2129</v>
      </c>
      <c r="C1467" s="390" t="s">
        <v>9317</v>
      </c>
      <c r="D1467" s="386">
        <v>22286.86275462963</v>
      </c>
      <c r="E1467" s="387"/>
    </row>
    <row r="1468" spans="2:5" ht="13.5" customHeight="1">
      <c r="B1468" s="336" t="s">
        <v>449</v>
      </c>
      <c r="C1468" s="388" t="s">
        <v>4230</v>
      </c>
      <c r="D1468" s="386">
        <v>22301.584027777779</v>
      </c>
      <c r="E1468" s="387"/>
    </row>
    <row r="1469" spans="2:5" ht="13.5" customHeight="1">
      <c r="B1469" s="336" t="s">
        <v>8184</v>
      </c>
      <c r="C1469" s="388" t="s">
        <v>7010</v>
      </c>
      <c r="D1469" s="386">
        <v>22316.34883101852</v>
      </c>
      <c r="E1469" s="387"/>
    </row>
    <row r="1470" spans="2:5" ht="13.5" customHeight="1">
      <c r="B1470" s="336" t="s">
        <v>450</v>
      </c>
      <c r="C1470" s="388" t="s">
        <v>4232</v>
      </c>
      <c r="D1470" s="386">
        <v>22331.17800925926</v>
      </c>
      <c r="E1470" s="387"/>
    </row>
    <row r="1471" spans="2:5" ht="13.5" customHeight="1">
      <c r="B1471" s="336" t="s">
        <v>8185</v>
      </c>
      <c r="C1471" s="388" t="s">
        <v>7011</v>
      </c>
      <c r="D1471" s="386">
        <v>22346.107361111113</v>
      </c>
      <c r="E1471" s="387"/>
    </row>
    <row r="1472" spans="2:5" ht="13.5" customHeight="1">
      <c r="B1472" s="336" t="s">
        <v>451</v>
      </c>
      <c r="C1472" s="389" t="s">
        <v>4234</v>
      </c>
      <c r="D1472" s="386">
        <v>22361.147210648149</v>
      </c>
      <c r="E1472" s="387"/>
    </row>
    <row r="1473" spans="2:5" ht="13.5" customHeight="1">
      <c r="B1473" s="336" t="s">
        <v>8186</v>
      </c>
      <c r="C1473" s="388" t="s">
        <v>7012</v>
      </c>
      <c r="D1473" s="386">
        <v>22376.320879629631</v>
      </c>
      <c r="E1473" s="387"/>
    </row>
    <row r="1474" spans="2:5" ht="13.5" customHeight="1">
      <c r="B1474" s="336" t="s">
        <v>452</v>
      </c>
      <c r="C1474" s="388" t="s">
        <v>4236</v>
      </c>
      <c r="D1474" s="386">
        <v>22391.621469907408</v>
      </c>
      <c r="E1474" s="387"/>
    </row>
    <row r="1475" spans="2:5" ht="13.5" customHeight="1">
      <c r="B1475" s="336" t="s">
        <v>8187</v>
      </c>
      <c r="C1475" s="388" t="s">
        <v>7013</v>
      </c>
      <c r="D1475" s="386">
        <v>22407.05641203704</v>
      </c>
      <c r="E1475" s="387"/>
    </row>
    <row r="1476" spans="2:5" ht="13.5" customHeight="1">
      <c r="B1476" s="336" t="s">
        <v>453</v>
      </c>
      <c r="C1476" s="388" t="s">
        <v>4238</v>
      </c>
      <c r="D1476" s="386">
        <v>22422.598692129632</v>
      </c>
      <c r="E1476" s="387"/>
    </row>
    <row r="1477" spans="2:5" ht="13.5" customHeight="1">
      <c r="B1477" s="336" t="s">
        <v>8188</v>
      </c>
      <c r="C1477" s="388" t="s">
        <v>7014</v>
      </c>
      <c r="D1477" s="386">
        <v>22438.240277777779</v>
      </c>
      <c r="E1477" s="387"/>
    </row>
    <row r="1478" spans="2:5" ht="13.5" customHeight="1">
      <c r="B1478" s="336" t="s">
        <v>454</v>
      </c>
      <c r="C1478" s="389" t="s">
        <v>4240</v>
      </c>
      <c r="D1478" s="386">
        <v>22453.937442129631</v>
      </c>
      <c r="E1478" s="387"/>
    </row>
    <row r="1479" spans="2:5" ht="13.5" customHeight="1">
      <c r="B1479" s="336" t="s">
        <v>8189</v>
      </c>
      <c r="C1479" s="388" t="s">
        <v>7015</v>
      </c>
      <c r="D1479" s="386">
        <v>22469.67121527778</v>
      </c>
      <c r="E1479" s="387"/>
    </row>
    <row r="1480" spans="2:5" ht="13.5" customHeight="1">
      <c r="B1480" s="336" t="s">
        <v>1082</v>
      </c>
      <c r="C1480" s="388" t="s">
        <v>4242</v>
      </c>
      <c r="D1480" s="386">
        <v>22485.391238425927</v>
      </c>
      <c r="E1480" s="387"/>
    </row>
    <row r="1481" spans="2:5" ht="13.5" customHeight="1">
      <c r="B1481" s="336" t="s">
        <v>8190</v>
      </c>
      <c r="C1481" s="388" t="s">
        <v>7016</v>
      </c>
      <c r="D1481" s="386">
        <v>22501.075300925928</v>
      </c>
      <c r="E1481" s="387"/>
    </row>
    <row r="1482" spans="2:5" ht="13.5" customHeight="1">
      <c r="B1482" s="336" t="s">
        <v>1083</v>
      </c>
      <c r="C1482" s="388" t="s">
        <v>4276</v>
      </c>
      <c r="D1482" s="386">
        <v>22516.679490740742</v>
      </c>
      <c r="E1482" s="387"/>
    </row>
    <row r="1483" spans="2:5" ht="13.5" customHeight="1">
      <c r="B1483" s="336" t="s">
        <v>8191</v>
      </c>
      <c r="C1483" s="388" t="s">
        <v>7017</v>
      </c>
      <c r="D1483" s="386">
        <v>22532.187025462965</v>
      </c>
      <c r="E1483" s="387"/>
    </row>
    <row r="1484" spans="2:5" ht="13.5" customHeight="1">
      <c r="B1484" s="336" t="s">
        <v>1084</v>
      </c>
      <c r="C1484" s="389" t="s">
        <v>4278</v>
      </c>
      <c r="D1484" s="386">
        <v>22547.571030092593</v>
      </c>
      <c r="E1484" s="387"/>
    </row>
    <row r="1485" spans="2:5" ht="13.5" customHeight="1">
      <c r="B1485" s="336" t="s">
        <v>8192</v>
      </c>
      <c r="C1485" s="388" t="s">
        <v>7018</v>
      </c>
      <c r="D1485" s="386">
        <v>22562.826956018518</v>
      </c>
      <c r="E1485" s="387"/>
    </row>
    <row r="1486" spans="2:5" ht="13.5" customHeight="1">
      <c r="B1486" s="336" t="s">
        <v>1085</v>
      </c>
      <c r="C1486" s="388" t="s">
        <v>4280</v>
      </c>
      <c r="D1486" s="386">
        <v>22577.949270833335</v>
      </c>
      <c r="E1486" s="387"/>
    </row>
    <row r="1487" spans="2:5" ht="13.5" customHeight="1">
      <c r="B1487" s="336" t="s">
        <v>8193</v>
      </c>
      <c r="C1487" s="388" t="s">
        <v>7019</v>
      </c>
      <c r="D1487" s="386">
        <v>22592.948495370372</v>
      </c>
      <c r="E1487" s="387"/>
    </row>
    <row r="1488" spans="2:5" ht="13.5" customHeight="1">
      <c r="B1488" s="336" t="s">
        <v>1086</v>
      </c>
      <c r="C1488" s="388" t="s">
        <v>4282</v>
      </c>
      <c r="D1488" s="386">
        <v>22607.83832175926</v>
      </c>
      <c r="E1488" s="387"/>
    </row>
    <row r="1489" spans="2:5" ht="13.5" customHeight="1">
      <c r="B1489" s="336" t="s">
        <v>8194</v>
      </c>
      <c r="C1489" s="388" t="s">
        <v>7020</v>
      </c>
      <c r="D1489" s="386">
        <v>22622.642685185187</v>
      </c>
      <c r="E1489" s="387"/>
    </row>
    <row r="1490" spans="2:5" ht="13.5" customHeight="1">
      <c r="B1490" s="336" t="s">
        <v>1087</v>
      </c>
      <c r="C1490" s="389" t="s">
        <v>4284</v>
      </c>
      <c r="D1490" s="386">
        <v>22637.388240740744</v>
      </c>
      <c r="E1490" s="387"/>
    </row>
    <row r="1491" spans="2:5" ht="13.5" customHeight="1">
      <c r="B1491" s="336" t="s">
        <v>8837</v>
      </c>
      <c r="C1491" s="390" t="s">
        <v>9317</v>
      </c>
      <c r="D1491" s="386">
        <v>22652.107349537036</v>
      </c>
      <c r="E1491" s="387"/>
    </row>
    <row r="1492" spans="2:5" ht="13.5" customHeight="1">
      <c r="B1492" s="336" t="s">
        <v>2848</v>
      </c>
      <c r="C1492" s="388" t="s">
        <v>4230</v>
      </c>
      <c r="D1492" s="386">
        <v>22666.831724537038</v>
      </c>
      <c r="E1492" s="387"/>
    </row>
    <row r="1493" spans="2:5" ht="13.5" customHeight="1">
      <c r="B1493" s="336" t="s">
        <v>8838</v>
      </c>
      <c r="C1493" s="388" t="s">
        <v>7010</v>
      </c>
      <c r="D1493" s="386">
        <v>22681.595173611113</v>
      </c>
      <c r="E1493" s="387"/>
    </row>
    <row r="1494" spans="2:5" ht="13.5" customHeight="1">
      <c r="B1494" s="336" t="s">
        <v>2849</v>
      </c>
      <c r="C1494" s="388" t="s">
        <v>4232</v>
      </c>
      <c r="D1494" s="386">
        <v>22696.426666666666</v>
      </c>
      <c r="E1494" s="387"/>
    </row>
    <row r="1495" spans="2:5" ht="13.5" customHeight="1">
      <c r="B1495" s="336" t="s">
        <v>8839</v>
      </c>
      <c r="C1495" s="388" t="s">
        <v>7011</v>
      </c>
      <c r="D1495" s="386">
        <v>22711.353564814817</v>
      </c>
      <c r="E1495" s="387"/>
    </row>
    <row r="1496" spans="2:5" ht="13.5" customHeight="1">
      <c r="B1496" s="336" t="s">
        <v>2850</v>
      </c>
      <c r="C1496" s="389" t="s">
        <v>4234</v>
      </c>
      <c r="D1496" s="386">
        <v>22726.395347222224</v>
      </c>
      <c r="E1496" s="387"/>
    </row>
    <row r="1497" spans="2:5" ht="13.5" customHeight="1">
      <c r="B1497" s="336" t="s">
        <v>8840</v>
      </c>
      <c r="C1497" s="388" t="s">
        <v>7012</v>
      </c>
      <c r="D1497" s="386">
        <v>22741.565138888891</v>
      </c>
      <c r="E1497" s="387"/>
    </row>
    <row r="1498" spans="2:5" ht="13.5" customHeight="1">
      <c r="B1498" s="336" t="s">
        <v>2851</v>
      </c>
      <c r="C1498" s="388" t="s">
        <v>4236</v>
      </c>
      <c r="D1498" s="386">
        <v>22756.868368055555</v>
      </c>
      <c r="E1498" s="387"/>
    </row>
    <row r="1499" spans="2:5" ht="13.5" customHeight="1">
      <c r="B1499" s="336" t="s">
        <v>8841</v>
      </c>
      <c r="C1499" s="388" t="s">
        <v>7013</v>
      </c>
      <c r="D1499" s="386">
        <v>22772.298078703705</v>
      </c>
      <c r="E1499" s="387"/>
    </row>
    <row r="1500" spans="2:5" ht="13.5" customHeight="1">
      <c r="B1500" s="336" t="s">
        <v>2852</v>
      </c>
      <c r="C1500" s="388" t="s">
        <v>4238</v>
      </c>
      <c r="D1500" s="386">
        <v>22787.84476851852</v>
      </c>
      <c r="E1500" s="387"/>
    </row>
    <row r="1501" spans="2:5" ht="13.5" customHeight="1">
      <c r="B1501" s="336" t="s">
        <v>8842</v>
      </c>
      <c r="C1501" s="388" t="s">
        <v>7014</v>
      </c>
      <c r="D1501" s="386">
        <v>22803.480057870373</v>
      </c>
      <c r="E1501" s="387"/>
    </row>
    <row r="1502" spans="2:5" ht="13.5" customHeight="1">
      <c r="B1502" s="336" t="s">
        <v>9259</v>
      </c>
      <c r="C1502" s="389" t="s">
        <v>4240</v>
      </c>
      <c r="D1502" s="386">
        <v>22819.183472222223</v>
      </c>
      <c r="E1502" s="387"/>
    </row>
    <row r="1503" spans="2:5" ht="13.5" customHeight="1">
      <c r="B1503" s="336" t="s">
        <v>8843</v>
      </c>
      <c r="C1503" s="388" t="s">
        <v>7015</v>
      </c>
      <c r="D1503" s="386">
        <v>22834.910439814816</v>
      </c>
      <c r="E1503" s="387"/>
    </row>
    <row r="1504" spans="2:5" ht="13.5" customHeight="1">
      <c r="B1504" s="336" t="s">
        <v>9260</v>
      </c>
      <c r="C1504" s="388" t="s">
        <v>4242</v>
      </c>
      <c r="D1504" s="386">
        <v>22850.637407407408</v>
      </c>
      <c r="E1504" s="387"/>
    </row>
    <row r="1505" spans="2:5" ht="13.5" customHeight="1">
      <c r="B1505" s="336" t="s">
        <v>8844</v>
      </c>
      <c r="C1505" s="388" t="s">
        <v>7016</v>
      </c>
      <c r="D1505" s="386">
        <v>22866.314918981483</v>
      </c>
      <c r="E1505" s="387"/>
    </row>
    <row r="1506" spans="2:5" ht="13.5" customHeight="1">
      <c r="B1506" s="336" t="s">
        <v>9261</v>
      </c>
      <c r="C1506" s="388" t="s">
        <v>4276</v>
      </c>
      <c r="D1506" s="386">
        <v>22881.925358796296</v>
      </c>
      <c r="E1506" s="387"/>
    </row>
    <row r="1507" spans="2:5" ht="13.5" customHeight="1">
      <c r="B1507" s="336" t="s">
        <v>8845</v>
      </c>
      <c r="C1507" s="388" t="s">
        <v>7017</v>
      </c>
      <c r="D1507" s="386">
        <v>22897.427361111113</v>
      </c>
      <c r="E1507" s="387"/>
    </row>
    <row r="1508" spans="2:5" ht="13.5" customHeight="1">
      <c r="B1508" s="336" t="s">
        <v>9262</v>
      </c>
      <c r="C1508" s="389" t="s">
        <v>4278</v>
      </c>
      <c r="D1508" s="386">
        <v>22912.816400462965</v>
      </c>
      <c r="E1508" s="387"/>
    </row>
    <row r="1509" spans="2:5" ht="13.5" customHeight="1">
      <c r="B1509" s="336" t="s">
        <v>8846</v>
      </c>
      <c r="C1509" s="388" t="s">
        <v>7018</v>
      </c>
      <c r="D1509" s="386">
        <v>22928.068206018521</v>
      </c>
      <c r="E1509" s="387"/>
    </row>
    <row r="1510" spans="2:5" ht="13.5" customHeight="1">
      <c r="B1510" s="336" t="s">
        <v>9263</v>
      </c>
      <c r="C1510" s="388" t="s">
        <v>4280</v>
      </c>
      <c r="D1510" s="386">
        <v>22943.194641203703</v>
      </c>
      <c r="E1510" s="387"/>
    </row>
    <row r="1511" spans="2:5" ht="13.5" customHeight="1">
      <c r="B1511" s="336" t="s">
        <v>8847</v>
      </c>
      <c r="C1511" s="388" t="s">
        <v>7019</v>
      </c>
      <c r="D1511" s="386">
        <v>22958.19087962963</v>
      </c>
      <c r="E1511" s="387"/>
    </row>
    <row r="1512" spans="2:5" ht="13.5" customHeight="1">
      <c r="B1512" s="336" t="s">
        <v>9264</v>
      </c>
      <c r="C1512" s="388" t="s">
        <v>4282</v>
      </c>
      <c r="D1512" s="386">
        <v>22973.084375000002</v>
      </c>
      <c r="E1512" s="387"/>
    </row>
    <row r="1513" spans="2:5" ht="13.5" customHeight="1">
      <c r="B1513" s="336" t="s">
        <v>2036</v>
      </c>
      <c r="C1513" s="388" t="s">
        <v>7020</v>
      </c>
      <c r="D1513" s="386">
        <v>22987.886168981484</v>
      </c>
      <c r="E1513" s="387"/>
    </row>
    <row r="1514" spans="2:5" ht="13.5" customHeight="1">
      <c r="B1514" s="336" t="s">
        <v>9265</v>
      </c>
      <c r="C1514" s="389" t="s">
        <v>4284</v>
      </c>
      <c r="D1514" s="386">
        <v>23002.635150462964</v>
      </c>
      <c r="E1514" s="387"/>
    </row>
    <row r="1515" spans="2:5" ht="13.5" customHeight="1">
      <c r="B1515" s="336" t="s">
        <v>3785</v>
      </c>
      <c r="C1515" s="390" t="s">
        <v>9317</v>
      </c>
      <c r="D1515" s="386">
        <v>23017.351377314815</v>
      </c>
      <c r="E1515" s="387"/>
    </row>
    <row r="1516" spans="2:5" ht="13.5" customHeight="1">
      <c r="B1516" s="336" t="s">
        <v>9266</v>
      </c>
      <c r="C1516" s="388" t="s">
        <v>4230</v>
      </c>
      <c r="D1516" s="386">
        <v>23032.078773148151</v>
      </c>
      <c r="E1516" s="387"/>
    </row>
    <row r="1517" spans="2:5" ht="13.5" customHeight="1">
      <c r="B1517" s="336" t="s">
        <v>3786</v>
      </c>
      <c r="C1517" s="388" t="s">
        <v>7010</v>
      </c>
      <c r="D1517" s="386">
        <v>23046.83863425926</v>
      </c>
      <c r="E1517" s="387"/>
    </row>
    <row r="1518" spans="2:5" ht="13.5" customHeight="1">
      <c r="B1518" s="336" t="s">
        <v>9267</v>
      </c>
      <c r="C1518" s="388" t="s">
        <v>4232</v>
      </c>
      <c r="D1518" s="386">
        <v>23061.672511574074</v>
      </c>
      <c r="E1518" s="387"/>
    </row>
    <row r="1519" spans="2:5" ht="13.5" customHeight="1">
      <c r="B1519" s="336" t="s">
        <v>3787</v>
      </c>
      <c r="C1519" s="388" t="s">
        <v>7011</v>
      </c>
      <c r="D1519" s="386">
        <v>23076.595335648148</v>
      </c>
      <c r="E1519" s="387"/>
    </row>
    <row r="1520" spans="2:5" ht="13.5" customHeight="1">
      <c r="B1520" s="336" t="s">
        <v>9268</v>
      </c>
      <c r="C1520" s="389" t="s">
        <v>4234</v>
      </c>
      <c r="D1520" s="386">
        <v>23091.638611111113</v>
      </c>
      <c r="E1520" s="387"/>
    </row>
    <row r="1521" spans="2:5" ht="13.5" customHeight="1">
      <c r="B1521" s="336" t="s">
        <v>5341</v>
      </c>
      <c r="C1521" s="388" t="s">
        <v>7012</v>
      </c>
      <c r="D1521" s="386">
        <v>23106.804699074077</v>
      </c>
      <c r="E1521" s="387"/>
    </row>
    <row r="1522" spans="2:5" ht="13.5" customHeight="1">
      <c r="B1522" s="336" t="s">
        <v>9269</v>
      </c>
      <c r="C1522" s="388" t="s">
        <v>4236</v>
      </c>
      <c r="D1522" s="386">
        <v>23122.10832175926</v>
      </c>
      <c r="E1522" s="387"/>
    </row>
    <row r="1523" spans="2:5" ht="13.5" customHeight="1">
      <c r="B1523" s="336" t="s">
        <v>5342</v>
      </c>
      <c r="C1523" s="388" t="s">
        <v>7013</v>
      </c>
      <c r="D1523" s="386">
        <v>23137.536030092593</v>
      </c>
      <c r="E1523" s="387"/>
    </row>
    <row r="1524" spans="2:5" ht="13.5" customHeight="1">
      <c r="B1524" s="336" t="s">
        <v>857</v>
      </c>
      <c r="C1524" s="388" t="s">
        <v>4238</v>
      </c>
      <c r="D1524" s="386">
        <v>23153.08184027778</v>
      </c>
      <c r="E1524" s="387"/>
    </row>
    <row r="1525" spans="2:5" ht="13.5" customHeight="1">
      <c r="B1525" s="336" t="s">
        <v>5343</v>
      </c>
      <c r="C1525" s="388" t="s">
        <v>7014</v>
      </c>
      <c r="D1525" s="386">
        <v>23168.718240740742</v>
      </c>
      <c r="E1525" s="387"/>
    </row>
    <row r="1526" spans="2:5" ht="13.5" customHeight="1">
      <c r="B1526" s="336" t="s">
        <v>858</v>
      </c>
      <c r="C1526" s="389" t="s">
        <v>4240</v>
      </c>
      <c r="D1526" s="386">
        <v>23184.419386574074</v>
      </c>
      <c r="E1526" s="387"/>
    </row>
    <row r="1527" spans="2:5" ht="13.5" customHeight="1">
      <c r="B1527" s="336" t="s">
        <v>5344</v>
      </c>
      <c r="C1527" s="388" t="s">
        <v>7015</v>
      </c>
      <c r="D1527" s="386">
        <v>23200.151064814818</v>
      </c>
      <c r="E1527" s="387"/>
    </row>
    <row r="1528" spans="2:5" ht="13.5" customHeight="1">
      <c r="B1528" s="336" t="s">
        <v>859</v>
      </c>
      <c r="C1528" s="388" t="s">
        <v>4242</v>
      </c>
      <c r="D1528" s="386">
        <v>23215.874398148149</v>
      </c>
      <c r="E1528" s="387"/>
    </row>
    <row r="1529" spans="2:5" ht="13.5" customHeight="1">
      <c r="B1529" s="336" t="s">
        <v>5345</v>
      </c>
      <c r="C1529" s="388" t="s">
        <v>7016</v>
      </c>
      <c r="D1529" s="386">
        <v>23231.55916666667</v>
      </c>
      <c r="E1529" s="387"/>
    </row>
    <row r="1530" spans="2:5" ht="13.5" customHeight="1">
      <c r="B1530" s="336" t="s">
        <v>860</v>
      </c>
      <c r="C1530" s="388" t="s">
        <v>4276</v>
      </c>
      <c r="D1530" s="386">
        <v>23247.164756944447</v>
      </c>
      <c r="E1530" s="387"/>
    </row>
    <row r="1531" spans="2:5" ht="13.5" customHeight="1">
      <c r="B1531" s="336" t="s">
        <v>5346</v>
      </c>
      <c r="C1531" s="388" t="s">
        <v>7017</v>
      </c>
      <c r="D1531" s="386">
        <v>23262.674641203706</v>
      </c>
      <c r="E1531" s="387"/>
    </row>
    <row r="1532" spans="2:5" ht="13.5" customHeight="1">
      <c r="B1532" s="336" t="s">
        <v>861</v>
      </c>
      <c r="C1532" s="389" t="s">
        <v>4278</v>
      </c>
      <c r="D1532" s="386">
        <v>23278.057812500003</v>
      </c>
      <c r="E1532" s="387"/>
    </row>
    <row r="1533" spans="2:5" ht="13.5" customHeight="1">
      <c r="B1533" s="336" t="s">
        <v>5347</v>
      </c>
      <c r="C1533" s="388" t="s">
        <v>7018</v>
      </c>
      <c r="D1533" s="386">
        <v>23293.316736111112</v>
      </c>
      <c r="E1533" s="387"/>
    </row>
    <row r="1534" spans="2:5" ht="13.5" customHeight="1">
      <c r="B1534" s="336" t="s">
        <v>862</v>
      </c>
      <c r="C1534" s="388" t="s">
        <v>4280</v>
      </c>
      <c r="D1534" s="386">
        <v>23308.436631944445</v>
      </c>
      <c r="E1534" s="387"/>
    </row>
    <row r="1535" spans="2:5" ht="13.5" customHeight="1">
      <c r="B1535" s="336" t="s">
        <v>5348</v>
      </c>
      <c r="C1535" s="388" t="s">
        <v>7019</v>
      </c>
      <c r="D1535" s="386">
        <v>23323.439085648148</v>
      </c>
      <c r="E1535" s="387"/>
    </row>
    <row r="1536" spans="2:5" ht="13.5" customHeight="1">
      <c r="B1536" s="336" t="s">
        <v>863</v>
      </c>
      <c r="C1536" s="388" t="s">
        <v>4282</v>
      </c>
      <c r="D1536" s="386">
        <v>23338.325856481482</v>
      </c>
      <c r="E1536" s="387"/>
    </row>
    <row r="1537" spans="2:5" ht="13.5" customHeight="1">
      <c r="B1537" s="336" t="s">
        <v>5349</v>
      </c>
      <c r="C1537" s="388" t="s">
        <v>7020</v>
      </c>
      <c r="D1537" s="386">
        <v>23353.133587962966</v>
      </c>
      <c r="E1537" s="387"/>
    </row>
    <row r="1538" spans="2:5" ht="13.5" customHeight="1">
      <c r="B1538" s="336" t="s">
        <v>2195</v>
      </c>
      <c r="C1538" s="389" t="s">
        <v>4284</v>
      </c>
      <c r="D1538" s="386">
        <v>23367.876087962963</v>
      </c>
      <c r="E1538" s="387"/>
    </row>
    <row r="1539" spans="2:5" ht="13.5" customHeight="1">
      <c r="B1539" s="336" t="s">
        <v>5100</v>
      </c>
      <c r="C1539" s="390" t="s">
        <v>9317</v>
      </c>
      <c r="D1539" s="386">
        <v>23382.598587962962</v>
      </c>
      <c r="E1539" s="387"/>
    </row>
    <row r="1540" spans="2:5" ht="13.5" customHeight="1">
      <c r="B1540" s="336" t="s">
        <v>2196</v>
      </c>
      <c r="C1540" s="388" t="s">
        <v>4230</v>
      </c>
      <c r="D1540" s="386">
        <v>23397.319930555557</v>
      </c>
      <c r="E1540" s="387"/>
    </row>
    <row r="1541" spans="2:5" ht="13.5" customHeight="1">
      <c r="B1541" s="336" t="s">
        <v>5101</v>
      </c>
      <c r="C1541" s="388" t="s">
        <v>7010</v>
      </c>
      <c r="D1541" s="386">
        <v>23412.086516203704</v>
      </c>
      <c r="E1541" s="387"/>
    </row>
    <row r="1542" spans="2:5" ht="13.5" customHeight="1">
      <c r="B1542" s="336" t="s">
        <v>2197</v>
      </c>
      <c r="C1542" s="388" t="s">
        <v>4232</v>
      </c>
      <c r="D1542" s="386">
        <v>23426.914594907408</v>
      </c>
      <c r="E1542" s="387"/>
    </row>
    <row r="1543" spans="2:5" ht="13.5" customHeight="1">
      <c r="B1543" s="336" t="s">
        <v>5102</v>
      </c>
      <c r="C1543" s="388" t="s">
        <v>7011</v>
      </c>
      <c r="D1543" s="386">
        <v>23441.844282407408</v>
      </c>
      <c r="E1543" s="387"/>
    </row>
    <row r="1544" spans="2:5" ht="13.5" customHeight="1">
      <c r="B1544" s="336" t="s">
        <v>2198</v>
      </c>
      <c r="C1544" s="389" t="s">
        <v>4234</v>
      </c>
      <c r="D1544" s="386">
        <v>23456.881724537037</v>
      </c>
      <c r="E1544" s="387"/>
    </row>
    <row r="1545" spans="2:5" ht="13.5" customHeight="1">
      <c r="B1545" s="336" t="s">
        <v>5103</v>
      </c>
      <c r="C1545" s="388" t="s">
        <v>7012</v>
      </c>
      <c r="D1545" s="386">
        <v>23472.054282407407</v>
      </c>
      <c r="E1545" s="387"/>
    </row>
    <row r="1546" spans="2:5" ht="13.5" customHeight="1">
      <c r="B1546" s="336" t="s">
        <v>2199</v>
      </c>
      <c r="C1546" s="388" t="s">
        <v>4236</v>
      </c>
      <c r="D1546" s="386">
        <v>23487.352083333335</v>
      </c>
      <c r="E1546" s="387"/>
    </row>
    <row r="1547" spans="2:5" ht="13.5" customHeight="1">
      <c r="B1547" s="336" t="s">
        <v>5104</v>
      </c>
      <c r="C1547" s="388" t="s">
        <v>7013</v>
      </c>
      <c r="D1547" s="386">
        <v>23502.785289351854</v>
      </c>
      <c r="E1547" s="387"/>
    </row>
    <row r="1548" spans="2:5" ht="13.5" customHeight="1">
      <c r="B1548" s="336" t="s">
        <v>2200</v>
      </c>
      <c r="C1548" s="388" t="s">
        <v>4238</v>
      </c>
      <c r="D1548" s="386">
        <v>23518.326006944444</v>
      </c>
      <c r="E1548" s="387"/>
    </row>
    <row r="1549" spans="2:5" ht="13.5" customHeight="1">
      <c r="B1549" s="336" t="s">
        <v>5105</v>
      </c>
      <c r="C1549" s="388" t="s">
        <v>7014</v>
      </c>
      <c r="D1549" s="386">
        <v>23533.966168981482</v>
      </c>
      <c r="E1549" s="387"/>
    </row>
    <row r="1550" spans="2:5" ht="13.5" customHeight="1">
      <c r="B1550" s="336" t="s">
        <v>2201</v>
      </c>
      <c r="C1550" s="389" t="s">
        <v>4240</v>
      </c>
      <c r="D1550" s="386">
        <v>23549.664097222223</v>
      </c>
      <c r="E1550" s="387"/>
    </row>
    <row r="1551" spans="2:5" ht="13.5" customHeight="1">
      <c r="B1551" s="336" t="s">
        <v>5106</v>
      </c>
      <c r="C1551" s="388" t="s">
        <v>7015</v>
      </c>
      <c r="D1551" s="386">
        <v>23565.397048611114</v>
      </c>
      <c r="E1551" s="387"/>
    </row>
    <row r="1552" spans="2:5" ht="13.5" customHeight="1">
      <c r="B1552" s="336" t="s">
        <v>2202</v>
      </c>
      <c r="C1552" s="388" t="s">
        <v>4242</v>
      </c>
      <c r="D1552" s="386">
        <v>23581.119803240741</v>
      </c>
      <c r="E1552" s="387"/>
    </row>
    <row r="1553" spans="2:5" ht="13.5" customHeight="1">
      <c r="B1553" s="336" t="s">
        <v>5107</v>
      </c>
      <c r="C1553" s="388" t="s">
        <v>7016</v>
      </c>
      <c r="D1553" s="386">
        <v>23596.80300925926</v>
      </c>
      <c r="E1553" s="387"/>
    </row>
    <row r="1554" spans="2:5" ht="13.5" customHeight="1">
      <c r="B1554" s="336" t="s">
        <v>2203</v>
      </c>
      <c r="C1554" s="388" t="s">
        <v>4276</v>
      </c>
      <c r="D1554" s="386">
        <v>23612.410486111112</v>
      </c>
      <c r="E1554" s="387"/>
    </row>
    <row r="1555" spans="2:5" ht="13.5" customHeight="1">
      <c r="B1555" s="336" t="s">
        <v>5108</v>
      </c>
      <c r="C1555" s="388" t="s">
        <v>7017</v>
      </c>
      <c r="D1555" s="386">
        <v>23627.916377314818</v>
      </c>
      <c r="E1555" s="387"/>
    </row>
    <row r="1556" spans="2:5" ht="13.5" customHeight="1">
      <c r="B1556" s="336" t="s">
        <v>2204</v>
      </c>
      <c r="C1556" s="389" t="s">
        <v>4278</v>
      </c>
      <c r="D1556" s="386">
        <v>23643.30303240741</v>
      </c>
      <c r="E1556" s="387"/>
    </row>
    <row r="1557" spans="2:5" ht="13.5" customHeight="1">
      <c r="B1557" s="336" t="s">
        <v>5109</v>
      </c>
      <c r="C1557" s="388" t="s">
        <v>7018</v>
      </c>
      <c r="D1557" s="386">
        <v>23658.556423611113</v>
      </c>
      <c r="E1557" s="387"/>
    </row>
    <row r="1558" spans="2:5" ht="13.5" customHeight="1">
      <c r="B1558" s="336" t="s">
        <v>6146</v>
      </c>
      <c r="C1558" s="388" t="s">
        <v>4280</v>
      </c>
      <c r="D1558" s="386">
        <v>23673.680601851855</v>
      </c>
      <c r="E1558" s="387"/>
    </row>
    <row r="1559" spans="2:5" ht="13.5" customHeight="1">
      <c r="B1559" s="336" t="s">
        <v>5110</v>
      </c>
      <c r="C1559" s="388" t="s">
        <v>7019</v>
      </c>
      <c r="D1559" s="386">
        <v>23688.676898148151</v>
      </c>
      <c r="E1559" s="387"/>
    </row>
    <row r="1560" spans="2:5" ht="13.5" customHeight="1">
      <c r="B1560" s="336" t="s">
        <v>6147</v>
      </c>
      <c r="C1560" s="388" t="s">
        <v>4282</v>
      </c>
      <c r="D1560" s="386">
        <v>23703.568333333336</v>
      </c>
      <c r="E1560" s="387"/>
    </row>
    <row r="1561" spans="2:5" ht="13.5" customHeight="1">
      <c r="B1561" s="336" t="s">
        <v>5111</v>
      </c>
      <c r="C1561" s="388" t="s">
        <v>7020</v>
      </c>
      <c r="D1561" s="386">
        <v>23718.37</v>
      </c>
      <c r="E1561" s="387"/>
    </row>
    <row r="1562" spans="2:5" ht="13.5" customHeight="1">
      <c r="B1562" s="336" t="s">
        <v>6148</v>
      </c>
      <c r="C1562" s="389" t="s">
        <v>4284</v>
      </c>
      <c r="D1562" s="386">
        <v>23733.117557870373</v>
      </c>
      <c r="E1562" s="387"/>
    </row>
    <row r="1563" spans="2:5" ht="13.5" customHeight="1">
      <c r="B1563" s="336" t="s">
        <v>5112</v>
      </c>
      <c r="C1563" s="390" t="s">
        <v>9317</v>
      </c>
      <c r="D1563" s="386">
        <v>23747.834548611114</v>
      </c>
      <c r="E1563" s="387"/>
    </row>
    <row r="1564" spans="2:5" ht="13.5" customHeight="1">
      <c r="B1564" s="336" t="s">
        <v>6149</v>
      </c>
      <c r="C1564" s="388" t="s">
        <v>4230</v>
      </c>
      <c r="D1564" s="386">
        <v>23762.561550925926</v>
      </c>
      <c r="E1564" s="387"/>
    </row>
    <row r="1565" spans="2:5" ht="13.5" customHeight="1">
      <c r="B1565" s="336" t="s">
        <v>5113</v>
      </c>
      <c r="C1565" s="388" t="s">
        <v>7010</v>
      </c>
      <c r="D1565" s="386">
        <v>23777.323425925926</v>
      </c>
      <c r="E1565" s="387"/>
    </row>
    <row r="1566" spans="2:5" ht="13.5" customHeight="1">
      <c r="B1566" s="336" t="s">
        <v>6150</v>
      </c>
      <c r="C1566" s="388" t="s">
        <v>4232</v>
      </c>
      <c r="D1566" s="386">
        <v>23792.157962962963</v>
      </c>
      <c r="E1566" s="387"/>
    </row>
    <row r="1567" spans="2:5" ht="13.5" customHeight="1">
      <c r="B1567" s="336" t="s">
        <v>5114</v>
      </c>
      <c r="C1567" s="388" t="s">
        <v>7011</v>
      </c>
      <c r="D1567" s="386">
        <v>23807.083437500001</v>
      </c>
      <c r="E1567" s="387"/>
    </row>
    <row r="1568" spans="2:5" ht="13.5" customHeight="1">
      <c r="B1568" s="336" t="s">
        <v>6151</v>
      </c>
      <c r="C1568" s="389" t="s">
        <v>4234</v>
      </c>
      <c r="D1568" s="386">
        <v>23822.128113425926</v>
      </c>
      <c r="E1568" s="387"/>
    </row>
    <row r="1569" spans="2:5" ht="13.5" customHeight="1">
      <c r="B1569" s="336" t="s">
        <v>5115</v>
      </c>
      <c r="C1569" s="388" t="s">
        <v>7012</v>
      </c>
      <c r="D1569" s="386">
        <v>23837.296122685188</v>
      </c>
      <c r="E1569" s="387"/>
    </row>
    <row r="1570" spans="2:5" ht="13.5" customHeight="1">
      <c r="B1570" s="336" t="s">
        <v>6152</v>
      </c>
      <c r="C1570" s="388" t="s">
        <v>4236</v>
      </c>
      <c r="D1570" s="386">
        <v>23852.601493055558</v>
      </c>
      <c r="E1570" s="387"/>
    </row>
    <row r="1571" spans="2:5" ht="13.5" customHeight="1">
      <c r="B1571" s="336" t="s">
        <v>104</v>
      </c>
      <c r="C1571" s="388" t="s">
        <v>7013</v>
      </c>
      <c r="D1571" s="386">
        <v>23868.028900462963</v>
      </c>
      <c r="E1571" s="387"/>
    </row>
    <row r="1572" spans="2:5" ht="13.5" customHeight="1">
      <c r="B1572" s="336" t="s">
        <v>6153</v>
      </c>
      <c r="C1572" s="388" t="s">
        <v>4238</v>
      </c>
      <c r="D1572" s="386">
        <v>23883.576701388891</v>
      </c>
      <c r="E1572" s="387"/>
    </row>
    <row r="1573" spans="2:5" ht="13.5" customHeight="1">
      <c r="B1573" s="336" t="s">
        <v>105</v>
      </c>
      <c r="C1573" s="388" t="s">
        <v>7014</v>
      </c>
      <c r="D1573" s="386">
        <v>23899.209791666668</v>
      </c>
      <c r="E1573" s="387"/>
    </row>
    <row r="1574" spans="2:5" ht="13.5" customHeight="1">
      <c r="B1574" s="336" t="s">
        <v>6154</v>
      </c>
      <c r="C1574" s="389" t="s">
        <v>4240</v>
      </c>
      <c r="D1574" s="386">
        <v>23914.913530092595</v>
      </c>
      <c r="E1574" s="387"/>
    </row>
    <row r="1575" spans="2:5" ht="13.5" customHeight="1">
      <c r="B1575" s="336" t="s">
        <v>106</v>
      </c>
      <c r="C1575" s="388" t="s">
        <v>7015</v>
      </c>
      <c r="D1575" s="386">
        <v>23930.639479166668</v>
      </c>
      <c r="E1575" s="387"/>
    </row>
    <row r="1576" spans="2:5" ht="13.5" customHeight="1">
      <c r="B1576" s="336" t="s">
        <v>6155</v>
      </c>
      <c r="C1576" s="388" t="s">
        <v>4242</v>
      </c>
      <c r="D1576" s="386">
        <v>23946.366365740741</v>
      </c>
      <c r="E1576" s="387"/>
    </row>
    <row r="1577" spans="2:5" ht="13.5" customHeight="1">
      <c r="B1577" s="336" t="s">
        <v>107</v>
      </c>
      <c r="C1577" s="388" t="s">
        <v>7016</v>
      </c>
      <c r="D1577" s="386">
        <v>23962.044479166667</v>
      </c>
      <c r="E1577" s="387"/>
    </row>
    <row r="1578" spans="2:5" ht="13.5" customHeight="1">
      <c r="B1578" s="336" t="s">
        <v>6156</v>
      </c>
      <c r="C1578" s="388" t="s">
        <v>4276</v>
      </c>
      <c r="D1578" s="386">
        <v>23977.654444444444</v>
      </c>
      <c r="E1578" s="387"/>
    </row>
    <row r="1579" spans="2:5" ht="13.5" customHeight="1">
      <c r="B1579" s="336" t="s">
        <v>108</v>
      </c>
      <c r="C1579" s="388" t="s">
        <v>7017</v>
      </c>
      <c r="D1579" s="386">
        <v>23993.158032407409</v>
      </c>
      <c r="E1579" s="387"/>
    </row>
    <row r="1580" spans="2:5" ht="13.5" customHeight="1">
      <c r="B1580" s="336" t="s">
        <v>6157</v>
      </c>
      <c r="C1580" s="389" t="s">
        <v>4278</v>
      </c>
      <c r="D1580" s="386">
        <v>24008.545775462964</v>
      </c>
      <c r="E1580" s="387"/>
    </row>
    <row r="1581" spans="2:5" ht="13.5" customHeight="1">
      <c r="B1581" s="336" t="s">
        <v>109</v>
      </c>
      <c r="C1581" s="388" t="s">
        <v>7018</v>
      </c>
      <c r="D1581" s="386">
        <v>24023.799166666668</v>
      </c>
      <c r="E1581" s="387"/>
    </row>
    <row r="1582" spans="2:5" ht="13.5" customHeight="1">
      <c r="B1582" s="336" t="s">
        <v>6158</v>
      </c>
      <c r="C1582" s="388" t="s">
        <v>4280</v>
      </c>
      <c r="D1582" s="386">
        <v>24038.923379629632</v>
      </c>
      <c r="E1582" s="387"/>
    </row>
    <row r="1583" spans="2:5" ht="13.5" customHeight="1">
      <c r="B1583" s="336" t="s">
        <v>110</v>
      </c>
      <c r="C1583" s="388" t="s">
        <v>7019</v>
      </c>
      <c r="D1583" s="386">
        <v>24053.92082175926</v>
      </c>
      <c r="E1583" s="387"/>
    </row>
    <row r="1584" spans="2:5" ht="13.5" customHeight="1">
      <c r="B1584" s="336" t="s">
        <v>6159</v>
      </c>
      <c r="C1584" s="388" t="s">
        <v>4282</v>
      </c>
      <c r="D1584" s="386">
        <v>24068.811620370372</v>
      </c>
      <c r="E1584" s="387"/>
    </row>
    <row r="1585" spans="2:5" ht="13.5" customHeight="1">
      <c r="B1585" s="336" t="s">
        <v>111</v>
      </c>
      <c r="C1585" s="388" t="s">
        <v>7020</v>
      </c>
      <c r="D1585" s="386">
        <v>24083.614629629632</v>
      </c>
      <c r="E1585" s="387"/>
    </row>
    <row r="1586" spans="2:5" ht="13.5" customHeight="1">
      <c r="B1586" s="336" t="s">
        <v>6160</v>
      </c>
      <c r="C1586" s="389" t="s">
        <v>4284</v>
      </c>
      <c r="D1586" s="386">
        <v>24098.361215277779</v>
      </c>
      <c r="E1586" s="387"/>
    </row>
    <row r="1587" spans="2:5" ht="13.5" customHeight="1">
      <c r="B1587" s="336" t="s">
        <v>112</v>
      </c>
      <c r="C1587" s="390" t="s">
        <v>9317</v>
      </c>
      <c r="D1587" s="386">
        <v>24113.079259259259</v>
      </c>
      <c r="E1587" s="387"/>
    </row>
    <row r="1588" spans="2:5" ht="13.5" customHeight="1">
      <c r="B1588" s="336" t="s">
        <v>6161</v>
      </c>
      <c r="C1588" s="388" t="s">
        <v>4230</v>
      </c>
      <c r="D1588" s="386">
        <v>24127.805150462966</v>
      </c>
      <c r="E1588" s="387"/>
    </row>
    <row r="1589" spans="2:5" ht="13.5" customHeight="1">
      <c r="B1589" s="336" t="s">
        <v>113</v>
      </c>
      <c r="C1589" s="388" t="s">
        <v>7010</v>
      </c>
      <c r="D1589" s="386">
        <v>24142.567743055555</v>
      </c>
      <c r="E1589" s="387"/>
    </row>
    <row r="1590" spans="2:5" ht="13.5" customHeight="1">
      <c r="B1590" s="336" t="s">
        <v>6162</v>
      </c>
      <c r="C1590" s="388" t="s">
        <v>4232</v>
      </c>
      <c r="D1590" s="386">
        <v>24157.400902777779</v>
      </c>
      <c r="E1590" s="387"/>
    </row>
    <row r="1591" spans="2:5" ht="13.5" customHeight="1">
      <c r="B1591" s="336" t="s">
        <v>114</v>
      </c>
      <c r="C1591" s="388" t="s">
        <v>7011</v>
      </c>
      <c r="D1591" s="386">
        <v>24172.32709490741</v>
      </c>
      <c r="E1591" s="387"/>
    </row>
    <row r="1592" spans="2:5" ht="13.5" customHeight="1">
      <c r="B1592" s="336" t="s">
        <v>6163</v>
      </c>
      <c r="C1592" s="389" t="s">
        <v>4234</v>
      </c>
      <c r="D1592" s="386">
        <v>24187.369699074075</v>
      </c>
      <c r="E1592" s="387"/>
    </row>
    <row r="1593" spans="2:5" ht="13.5" customHeight="1">
      <c r="B1593" s="336" t="s">
        <v>3050</v>
      </c>
      <c r="C1593" s="388" t="s">
        <v>7012</v>
      </c>
      <c r="D1593" s="386">
        <v>24202.539027777781</v>
      </c>
      <c r="E1593" s="387"/>
    </row>
    <row r="1594" spans="2:5" ht="13.5" customHeight="1">
      <c r="B1594" s="336" t="s">
        <v>6164</v>
      </c>
      <c r="C1594" s="388" t="s">
        <v>4236</v>
      </c>
      <c r="D1594" s="386">
        <v>24217.841053240743</v>
      </c>
      <c r="E1594" s="387"/>
    </row>
    <row r="1595" spans="2:5" ht="13.5" customHeight="1">
      <c r="B1595" s="336" t="s">
        <v>3051</v>
      </c>
      <c r="C1595" s="388" t="s">
        <v>7013</v>
      </c>
      <c r="D1595" s="386">
        <v>24233.27107638889</v>
      </c>
      <c r="E1595" s="387"/>
    </row>
    <row r="1596" spans="2:5" ht="13.5" customHeight="1">
      <c r="B1596" s="336" t="s">
        <v>8198</v>
      </c>
      <c r="C1596" s="388" t="s">
        <v>4238</v>
      </c>
      <c r="D1596" s="386">
        <v>24248.813761574074</v>
      </c>
      <c r="E1596" s="387"/>
    </row>
    <row r="1597" spans="2:5" ht="13.5" customHeight="1">
      <c r="B1597" s="336" t="s">
        <v>3052</v>
      </c>
      <c r="C1597" s="388" t="s">
        <v>7014</v>
      </c>
      <c r="D1597" s="386">
        <v>24264.451180555556</v>
      </c>
      <c r="E1597" s="387"/>
    </row>
    <row r="1598" spans="2:5" ht="13.5" customHeight="1">
      <c r="B1598" s="336" t="s">
        <v>8199</v>
      </c>
      <c r="C1598" s="389" t="s">
        <v>4240</v>
      </c>
      <c r="D1598" s="386">
        <v>24280.148136574076</v>
      </c>
      <c r="E1598" s="387"/>
    </row>
    <row r="1599" spans="2:5" ht="13.5" customHeight="1">
      <c r="B1599" s="336" t="s">
        <v>3053</v>
      </c>
      <c r="C1599" s="388" t="s">
        <v>7015</v>
      </c>
      <c r="D1599" s="386">
        <v>24295.879814814816</v>
      </c>
      <c r="E1599" s="387"/>
    </row>
    <row r="1600" spans="2:5" ht="13.5" customHeight="1">
      <c r="B1600" s="336" t="s">
        <v>7514</v>
      </c>
      <c r="C1600" s="388" t="s">
        <v>4242</v>
      </c>
      <c r="D1600" s="386">
        <v>24311.599259259259</v>
      </c>
      <c r="E1600" s="387"/>
    </row>
    <row r="1601" spans="2:5" ht="13.5" customHeight="1">
      <c r="B1601" s="336" t="s">
        <v>3054</v>
      </c>
      <c r="C1601" s="388" t="s">
        <v>7016</v>
      </c>
      <c r="D1601" s="386">
        <v>24327.283773148149</v>
      </c>
      <c r="E1601" s="387"/>
    </row>
    <row r="1602" spans="2:5" ht="13.5" customHeight="1">
      <c r="B1602" s="336" t="s">
        <v>7515</v>
      </c>
      <c r="C1602" s="388" t="s">
        <v>4276</v>
      </c>
      <c r="D1602" s="386">
        <v>24342.887083333335</v>
      </c>
      <c r="E1602" s="387"/>
    </row>
    <row r="1603" spans="2:5" ht="13.5" customHeight="1">
      <c r="B1603" s="336" t="s">
        <v>3055</v>
      </c>
      <c r="C1603" s="388" t="s">
        <v>7017</v>
      </c>
      <c r="D1603" s="386">
        <v>24358.397141203706</v>
      </c>
      <c r="E1603" s="387"/>
    </row>
    <row r="1604" spans="2:5" ht="13.5" customHeight="1">
      <c r="B1604" s="336" t="s">
        <v>7516</v>
      </c>
      <c r="C1604" s="389" t="s">
        <v>4278</v>
      </c>
      <c r="D1604" s="386">
        <v>24373.779976851853</v>
      </c>
      <c r="E1604" s="387"/>
    </row>
    <row r="1605" spans="2:5" ht="13.5" customHeight="1">
      <c r="B1605" s="336" t="s">
        <v>3056</v>
      </c>
      <c r="C1605" s="388" t="s">
        <v>7018</v>
      </c>
      <c r="D1605" s="386">
        <v>24389.039525462966</v>
      </c>
      <c r="E1605" s="387"/>
    </row>
    <row r="1606" spans="2:5" ht="13.5" customHeight="1">
      <c r="B1606" s="336" t="s">
        <v>7517</v>
      </c>
      <c r="C1606" s="388" t="s">
        <v>4280</v>
      </c>
      <c r="D1606" s="386">
        <v>24404.160347222223</v>
      </c>
      <c r="E1606" s="387"/>
    </row>
    <row r="1607" spans="2:5" ht="13.5" customHeight="1">
      <c r="B1607" s="336" t="s">
        <v>3057</v>
      </c>
      <c r="C1607" s="388" t="s">
        <v>7019</v>
      </c>
      <c r="D1607" s="386">
        <v>24419.163449074076</v>
      </c>
      <c r="E1607" s="387"/>
    </row>
    <row r="1608" spans="2:5" ht="13.5" customHeight="1">
      <c r="B1608" s="336" t="s">
        <v>7518</v>
      </c>
      <c r="C1608" s="388" t="s">
        <v>4282</v>
      </c>
      <c r="D1608" s="386">
        <v>24434.051400462966</v>
      </c>
      <c r="E1608" s="387"/>
    </row>
    <row r="1609" spans="2:5" ht="13.5" customHeight="1">
      <c r="B1609" s="336" t="s">
        <v>3058</v>
      </c>
      <c r="C1609" s="388" t="s">
        <v>7020</v>
      </c>
      <c r="D1609" s="386">
        <v>24448.859386574077</v>
      </c>
      <c r="E1609" s="387"/>
    </row>
    <row r="1610" spans="2:5" ht="13.5" customHeight="1">
      <c r="B1610" s="336" t="s">
        <v>7519</v>
      </c>
      <c r="C1610" s="389" t="s">
        <v>4284</v>
      </c>
      <c r="D1610" s="386">
        <v>24463.602650462963</v>
      </c>
      <c r="E1610" s="387"/>
    </row>
    <row r="1611" spans="2:5" ht="13.5" customHeight="1">
      <c r="B1611" s="336" t="s">
        <v>3059</v>
      </c>
      <c r="C1611" s="390" t="s">
        <v>9317</v>
      </c>
      <c r="D1611" s="386">
        <v>24478.324907407408</v>
      </c>
      <c r="E1611" s="387"/>
    </row>
    <row r="1612" spans="2:5" ht="13.5" customHeight="1">
      <c r="B1612" s="336" t="s">
        <v>7520</v>
      </c>
      <c r="C1612" s="388" t="s">
        <v>4230</v>
      </c>
      <c r="D1612" s="386">
        <v>24493.046608796296</v>
      </c>
      <c r="E1612" s="387"/>
    </row>
    <row r="1613" spans="2:5" ht="13.5" customHeight="1">
      <c r="B1613" s="336" t="s">
        <v>3060</v>
      </c>
      <c r="C1613" s="388" t="s">
        <v>7010</v>
      </c>
      <c r="D1613" s="386">
        <v>24507.812800925927</v>
      </c>
      <c r="E1613" s="387"/>
    </row>
    <row r="1614" spans="2:5" ht="13.5" customHeight="1">
      <c r="B1614" s="336" t="s">
        <v>7521</v>
      </c>
      <c r="C1614" s="388" t="s">
        <v>4232</v>
      </c>
      <c r="D1614" s="386">
        <v>24522.641238425927</v>
      </c>
      <c r="E1614" s="387"/>
    </row>
    <row r="1615" spans="2:5" ht="13.5" customHeight="1">
      <c r="B1615" s="336" t="s">
        <v>1666</v>
      </c>
      <c r="C1615" s="388" t="s">
        <v>7011</v>
      </c>
      <c r="D1615" s="386">
        <v>24537.57064814815</v>
      </c>
      <c r="E1615" s="387"/>
    </row>
    <row r="1616" spans="2:5" ht="13.5" customHeight="1">
      <c r="B1616" s="336" t="s">
        <v>7522</v>
      </c>
      <c r="C1616" s="389" t="s">
        <v>4234</v>
      </c>
      <c r="D1616" s="386">
        <v>24552.608865740742</v>
      </c>
      <c r="E1616" s="387"/>
    </row>
    <row r="1617" spans="2:5" ht="13.5" customHeight="1">
      <c r="B1617" s="336" t="s">
        <v>1667</v>
      </c>
      <c r="C1617" s="388" t="s">
        <v>7012</v>
      </c>
      <c r="D1617" s="386">
        <v>24567.781076388888</v>
      </c>
      <c r="E1617" s="387"/>
    </row>
    <row r="1618" spans="2:5" ht="13.5" customHeight="1">
      <c r="B1618" s="336" t="s">
        <v>7523</v>
      </c>
      <c r="C1618" s="388" t="s">
        <v>4236</v>
      </c>
      <c r="D1618" s="386">
        <v>24583.080092592594</v>
      </c>
      <c r="E1618" s="387"/>
    </row>
    <row r="1619" spans="2:5" ht="13.5" customHeight="1">
      <c r="B1619" s="336" t="s">
        <v>1668</v>
      </c>
      <c r="C1619" s="388" t="s">
        <v>7013</v>
      </c>
      <c r="D1619" s="386">
        <v>24598.512175925927</v>
      </c>
      <c r="E1619" s="387"/>
    </row>
    <row r="1620" spans="2:5" ht="13.5" customHeight="1">
      <c r="B1620" s="336" t="s">
        <v>7524</v>
      </c>
      <c r="C1620" s="388" t="s">
        <v>4238</v>
      </c>
      <c r="D1620" s="386">
        <v>24614.054178240742</v>
      </c>
      <c r="E1620" s="387"/>
    </row>
    <row r="1621" spans="2:5" ht="13.5" customHeight="1">
      <c r="B1621" s="336" t="s">
        <v>1669</v>
      </c>
      <c r="C1621" s="388" t="s">
        <v>7014</v>
      </c>
      <c r="D1621" s="386">
        <v>24629.691875</v>
      </c>
      <c r="E1621" s="387"/>
    </row>
    <row r="1622" spans="2:5" ht="13.5" customHeight="1">
      <c r="B1622" s="336" t="s">
        <v>7525</v>
      </c>
      <c r="C1622" s="389" t="s">
        <v>4240</v>
      </c>
      <c r="D1622" s="386">
        <v>24645.390925925927</v>
      </c>
      <c r="E1622" s="387"/>
    </row>
    <row r="1623" spans="2:5" ht="13.5" customHeight="1">
      <c r="B1623" s="336" t="s">
        <v>1670</v>
      </c>
      <c r="C1623" s="388" t="s">
        <v>7015</v>
      </c>
      <c r="D1623" s="386">
        <v>24661.120381944445</v>
      </c>
      <c r="E1623" s="387"/>
    </row>
    <row r="1624" spans="2:5" ht="13.5" customHeight="1">
      <c r="B1624" s="336" t="s">
        <v>8702</v>
      </c>
      <c r="C1624" s="388" t="s">
        <v>4242</v>
      </c>
      <c r="D1624" s="386">
        <v>24676.844351851854</v>
      </c>
      <c r="E1624" s="387"/>
    </row>
    <row r="1625" spans="2:5" ht="13.5" customHeight="1">
      <c r="B1625" s="336" t="s">
        <v>1671</v>
      </c>
      <c r="C1625" s="388" t="s">
        <v>7016</v>
      </c>
      <c r="D1625" s="386">
        <v>24692.524178240743</v>
      </c>
      <c r="E1625" s="387"/>
    </row>
    <row r="1626" spans="2:5" ht="13.5" customHeight="1">
      <c r="B1626" s="336" t="s">
        <v>8703</v>
      </c>
      <c r="C1626" s="388" t="s">
        <v>4276</v>
      </c>
      <c r="D1626" s="386">
        <v>24708.133425925927</v>
      </c>
      <c r="E1626" s="387"/>
    </row>
    <row r="1627" spans="2:5" ht="13.5" customHeight="1">
      <c r="B1627" s="336" t="s">
        <v>1672</v>
      </c>
      <c r="C1627" s="388" t="s">
        <v>7017</v>
      </c>
      <c r="D1627" s="386">
        <v>24723.637083333335</v>
      </c>
      <c r="E1627" s="387"/>
    </row>
    <row r="1628" spans="2:5" ht="13.5" customHeight="1">
      <c r="B1628" s="336" t="s">
        <v>8704</v>
      </c>
      <c r="C1628" s="389" t="s">
        <v>4278</v>
      </c>
      <c r="D1628" s="386">
        <v>24739.02613425926</v>
      </c>
      <c r="E1628" s="387"/>
    </row>
    <row r="1629" spans="2:5" ht="13.5" customHeight="1">
      <c r="B1629" s="336" t="s">
        <v>1673</v>
      </c>
      <c r="C1629" s="388" t="s">
        <v>7018</v>
      </c>
      <c r="D1629" s="386">
        <v>24754.27851851852</v>
      </c>
      <c r="E1629" s="387"/>
    </row>
    <row r="1630" spans="2:5" ht="13.5" customHeight="1">
      <c r="B1630" s="336" t="s">
        <v>8705</v>
      </c>
      <c r="C1630" s="388" t="s">
        <v>4280</v>
      </c>
      <c r="D1630" s="386">
        <v>24769.405300925926</v>
      </c>
      <c r="E1630" s="387"/>
    </row>
    <row r="1631" spans="2:5" ht="13.5" customHeight="1">
      <c r="B1631" s="336" t="s">
        <v>191</v>
      </c>
      <c r="C1631" s="388" t="s">
        <v>7019</v>
      </c>
      <c r="D1631" s="386">
        <v>24784.401053240741</v>
      </c>
      <c r="E1631" s="387"/>
    </row>
    <row r="1632" spans="2:5" ht="13.5" customHeight="1">
      <c r="B1632" s="336" t="s">
        <v>8706</v>
      </c>
      <c r="C1632" s="388" t="s">
        <v>4282</v>
      </c>
      <c r="D1632" s="386">
        <v>24799.294733796298</v>
      </c>
      <c r="E1632" s="387"/>
    </row>
    <row r="1633" spans="2:5" ht="13.5" customHeight="1">
      <c r="B1633" s="336" t="s">
        <v>192</v>
      </c>
      <c r="C1633" s="388" t="s">
        <v>7020</v>
      </c>
      <c r="D1633" s="386">
        <v>24814.095462962963</v>
      </c>
      <c r="E1633" s="387"/>
    </row>
    <row r="1634" spans="2:5" ht="13.5" customHeight="1">
      <c r="B1634" s="336" t="s">
        <v>8707</v>
      </c>
      <c r="C1634" s="389" t="s">
        <v>4284</v>
      </c>
      <c r="D1634" s="386">
        <v>24828.844467592593</v>
      </c>
      <c r="E1634" s="387"/>
    </row>
    <row r="1635" spans="2:5" ht="13.5" customHeight="1">
      <c r="B1635" s="336" t="s">
        <v>193</v>
      </c>
      <c r="C1635" s="390" t="s">
        <v>9317</v>
      </c>
      <c r="D1635" s="386">
        <v>24843.559652777778</v>
      </c>
      <c r="E1635" s="387"/>
    </row>
    <row r="1636" spans="2:5" ht="13.5" customHeight="1">
      <c r="B1636" s="336" t="s">
        <v>8708</v>
      </c>
      <c r="C1636" s="388" t="s">
        <v>4230</v>
      </c>
      <c r="D1636" s="386">
        <v>24858.287233796298</v>
      </c>
      <c r="E1636" s="387"/>
    </row>
    <row r="1637" spans="2:5" ht="13.5" customHeight="1">
      <c r="B1637" s="336" t="s">
        <v>194</v>
      </c>
      <c r="C1637" s="388" t="s">
        <v>7010</v>
      </c>
      <c r="D1637" s="386">
        <v>24873.046481481484</v>
      </c>
      <c r="E1637" s="387"/>
    </row>
    <row r="1638" spans="2:5" ht="13.5" customHeight="1">
      <c r="B1638" s="336" t="s">
        <v>8709</v>
      </c>
      <c r="C1638" s="388" t="s">
        <v>4232</v>
      </c>
      <c r="D1638" s="386">
        <v>24887.881018518521</v>
      </c>
      <c r="E1638" s="387"/>
    </row>
    <row r="1639" spans="2:5" ht="13.5" customHeight="1">
      <c r="B1639" s="336" t="s">
        <v>195</v>
      </c>
      <c r="C1639" s="388" t="s">
        <v>7011</v>
      </c>
      <c r="D1639" s="386">
        <v>24902.80363425926</v>
      </c>
      <c r="E1639" s="387"/>
    </row>
    <row r="1640" spans="2:5" ht="13.5" customHeight="1">
      <c r="B1640" s="336" t="s">
        <v>8710</v>
      </c>
      <c r="C1640" s="389" t="s">
        <v>4234</v>
      </c>
      <c r="D1640" s="386">
        <v>24917.848310185185</v>
      </c>
      <c r="E1640" s="387"/>
    </row>
    <row r="1641" spans="2:5" ht="13.5" customHeight="1">
      <c r="B1641" s="336" t="s">
        <v>196</v>
      </c>
      <c r="C1641" s="388" t="s">
        <v>7012</v>
      </c>
      <c r="D1641" s="386">
        <v>24933.014178240741</v>
      </c>
      <c r="E1641" s="387"/>
    </row>
    <row r="1642" spans="2:5" ht="13.5" customHeight="1">
      <c r="B1642" s="336" t="s">
        <v>4772</v>
      </c>
      <c r="C1642" s="388" t="s">
        <v>4236</v>
      </c>
      <c r="D1642" s="386">
        <v>24948.320046296296</v>
      </c>
      <c r="E1642" s="387"/>
    </row>
    <row r="1643" spans="2:5" ht="13.5" customHeight="1">
      <c r="B1643" s="336" t="s">
        <v>197</v>
      </c>
      <c r="C1643" s="388" t="s">
        <v>7013</v>
      </c>
      <c r="D1643" s="386">
        <v>24963.746828703705</v>
      </c>
      <c r="E1643" s="387"/>
    </row>
    <row r="1644" spans="2:5" ht="13.5" customHeight="1">
      <c r="B1644" s="336" t="s">
        <v>4773</v>
      </c>
      <c r="C1644" s="388" t="s">
        <v>4238</v>
      </c>
      <c r="D1644" s="386">
        <v>24979.295578703706</v>
      </c>
      <c r="E1644" s="387"/>
    </row>
    <row r="1645" spans="2:5" ht="13.5" customHeight="1">
      <c r="B1645" s="336" t="s">
        <v>198</v>
      </c>
      <c r="C1645" s="388" t="s">
        <v>7014</v>
      </c>
      <c r="D1645" s="386">
        <v>24994.929733796296</v>
      </c>
      <c r="E1645" s="387"/>
    </row>
    <row r="1646" spans="2:5" ht="13.5" customHeight="1">
      <c r="B1646" s="336" t="s">
        <v>4774</v>
      </c>
      <c r="C1646" s="389" t="s">
        <v>4240</v>
      </c>
      <c r="D1646" s="386">
        <v>25010.634108796297</v>
      </c>
      <c r="E1646" s="387"/>
    </row>
    <row r="1647" spans="2:5" ht="13.5" customHeight="1">
      <c r="B1647" s="336" t="s">
        <v>199</v>
      </c>
      <c r="C1647" s="388" t="s">
        <v>7015</v>
      </c>
      <c r="D1647" s="386">
        <v>25026.36215277778</v>
      </c>
      <c r="E1647" s="387"/>
    </row>
    <row r="1648" spans="2:5" ht="13.5" customHeight="1">
      <c r="B1648" s="336" t="s">
        <v>2864</v>
      </c>
      <c r="C1648" s="388" t="s">
        <v>4242</v>
      </c>
      <c r="D1648" s="386">
        <v>25042.088495370372</v>
      </c>
      <c r="E1648" s="387"/>
    </row>
    <row r="1649" spans="2:5" ht="13.5" customHeight="1">
      <c r="B1649" s="336" t="s">
        <v>200</v>
      </c>
      <c r="C1649" s="388" t="s">
        <v>7016</v>
      </c>
      <c r="D1649" s="386">
        <v>25057.768888888892</v>
      </c>
      <c r="E1649" s="387"/>
    </row>
    <row r="1650" spans="2:5" ht="13.5" customHeight="1">
      <c r="B1650" s="336" t="s">
        <v>2865</v>
      </c>
      <c r="C1650" s="388" t="s">
        <v>4276</v>
      </c>
      <c r="D1650" s="386">
        <v>25073.377002314817</v>
      </c>
      <c r="E1650" s="387"/>
    </row>
    <row r="1651" spans="2:5" ht="13.5" customHeight="1">
      <c r="B1651" s="336" t="s">
        <v>4533</v>
      </c>
      <c r="C1651" s="388" t="s">
        <v>7017</v>
      </c>
      <c r="D1651" s="386">
        <v>25088.882766203704</v>
      </c>
      <c r="E1651" s="387"/>
    </row>
    <row r="1652" spans="2:5" ht="13.5" customHeight="1">
      <c r="B1652" s="336" t="s">
        <v>2866</v>
      </c>
      <c r="C1652" s="389" t="s">
        <v>4278</v>
      </c>
      <c r="D1652" s="386">
        <v>25104.268043981483</v>
      </c>
      <c r="E1652" s="387"/>
    </row>
    <row r="1653" spans="2:5" ht="13.5" customHeight="1">
      <c r="B1653" s="336" t="s">
        <v>1065</v>
      </c>
      <c r="C1653" s="388" t="s">
        <v>7018</v>
      </c>
      <c r="D1653" s="386">
        <v>25119.523634259262</v>
      </c>
      <c r="E1653" s="387"/>
    </row>
    <row r="1654" spans="2:5" ht="13.5" customHeight="1">
      <c r="B1654" s="336" t="s">
        <v>2867</v>
      </c>
      <c r="C1654" s="388" t="s">
        <v>4280</v>
      </c>
      <c r="D1654" s="386">
        <v>25134.645416666666</v>
      </c>
      <c r="E1654" s="387"/>
    </row>
    <row r="1655" spans="2:5" ht="13.5" customHeight="1">
      <c r="B1655" s="336" t="s">
        <v>1066</v>
      </c>
      <c r="C1655" s="388" t="s">
        <v>7019</v>
      </c>
      <c r="D1655" s="386">
        <v>25149.645185185185</v>
      </c>
      <c r="E1655" s="387"/>
    </row>
    <row r="1656" spans="2:5" ht="13.5" customHeight="1">
      <c r="B1656" s="336" t="s">
        <v>2868</v>
      </c>
      <c r="C1656" s="388" t="s">
        <v>4282</v>
      </c>
      <c r="D1656" s="386">
        <v>25164.533726851852</v>
      </c>
      <c r="E1656" s="387"/>
    </row>
    <row r="1657" spans="2:5" ht="13.5" customHeight="1">
      <c r="B1657" s="336" t="s">
        <v>1067</v>
      </c>
      <c r="C1657" s="388" t="s">
        <v>7020</v>
      </c>
      <c r="D1657" s="386">
        <v>25179.33902777778</v>
      </c>
      <c r="E1657" s="387"/>
    </row>
    <row r="1658" spans="2:5" ht="13.5" customHeight="1">
      <c r="B1658" s="336" t="s">
        <v>2869</v>
      </c>
      <c r="C1658" s="389" t="s">
        <v>4284</v>
      </c>
      <c r="D1658" s="386">
        <v>25194.083217592593</v>
      </c>
      <c r="E1658" s="387"/>
    </row>
    <row r="1659" spans="2:5" ht="13.5" customHeight="1">
      <c r="B1659" s="336" t="s">
        <v>1068</v>
      </c>
      <c r="C1659" s="390" t="s">
        <v>9317</v>
      </c>
      <c r="D1659" s="386">
        <v>25208.803275462964</v>
      </c>
      <c r="E1659" s="387"/>
    </row>
    <row r="1660" spans="2:5" ht="13.5" customHeight="1">
      <c r="B1660" s="336" t="s">
        <v>2870</v>
      </c>
      <c r="C1660" s="388" t="s">
        <v>4230</v>
      </c>
      <c r="D1660" s="386">
        <v>25223.526435185187</v>
      </c>
      <c r="E1660" s="387"/>
    </row>
    <row r="1661" spans="2:5" ht="13.5" customHeight="1">
      <c r="B1661" s="336" t="s">
        <v>1069</v>
      </c>
      <c r="C1661" s="388" t="s">
        <v>7010</v>
      </c>
      <c r="D1661" s="386">
        <v>25238.290717592594</v>
      </c>
      <c r="E1661" s="387"/>
    </row>
    <row r="1662" spans="2:5" ht="13.5" customHeight="1">
      <c r="B1662" s="336" t="s">
        <v>2871</v>
      </c>
      <c r="C1662" s="388" t="s">
        <v>4232</v>
      </c>
      <c r="D1662" s="386">
        <v>25253.120925925927</v>
      </c>
      <c r="E1662" s="387"/>
    </row>
    <row r="1663" spans="2:5" ht="13.5" customHeight="1">
      <c r="B1663" s="336" t="s">
        <v>1070</v>
      </c>
      <c r="C1663" s="388" t="s">
        <v>7011</v>
      </c>
      <c r="D1663" s="386">
        <v>25268.048784722225</v>
      </c>
      <c r="E1663" s="387"/>
    </row>
    <row r="1664" spans="2:5" ht="13.5" customHeight="1">
      <c r="B1664" s="336" t="s">
        <v>2872</v>
      </c>
      <c r="C1664" s="389" t="s">
        <v>4234</v>
      </c>
      <c r="D1664" s="386">
        <v>25283.088645833333</v>
      </c>
      <c r="E1664" s="387"/>
    </row>
    <row r="1665" spans="2:5" ht="13.5" customHeight="1">
      <c r="B1665" s="336" t="s">
        <v>1071</v>
      </c>
      <c r="C1665" s="388" t="s">
        <v>7012</v>
      </c>
      <c r="D1665" s="386">
        <v>25298.260104166668</v>
      </c>
      <c r="E1665" s="387"/>
    </row>
    <row r="1666" spans="2:5" ht="13.5" customHeight="1">
      <c r="B1666" s="336" t="s">
        <v>1888</v>
      </c>
      <c r="C1666" s="388" t="s">
        <v>4236</v>
      </c>
      <c r="D1666" s="386">
        <v>25313.560069444447</v>
      </c>
      <c r="E1666" s="387"/>
    </row>
    <row r="1667" spans="2:5" ht="13.5" customHeight="1">
      <c r="B1667" s="336" t="s">
        <v>1072</v>
      </c>
      <c r="C1667" s="388" t="s">
        <v>7013</v>
      </c>
      <c r="D1667" s="386">
        <v>25328.992835648151</v>
      </c>
      <c r="E1667" s="387"/>
    </row>
    <row r="1668" spans="2:5" ht="13.5" customHeight="1">
      <c r="B1668" s="336" t="s">
        <v>1889</v>
      </c>
      <c r="C1668" s="388" t="s">
        <v>4238</v>
      </c>
      <c r="D1668" s="386">
        <v>25344.534456018519</v>
      </c>
      <c r="E1668" s="387"/>
    </row>
    <row r="1669" spans="2:5" ht="13.5" customHeight="1">
      <c r="B1669" s="336" t="s">
        <v>1073</v>
      </c>
      <c r="C1669" s="388" t="s">
        <v>7014</v>
      </c>
      <c r="D1669" s="386">
        <v>25360.174745370372</v>
      </c>
      <c r="E1669" s="387"/>
    </row>
    <row r="1670" spans="2:5" ht="13.5" customHeight="1">
      <c r="B1670" s="336" t="s">
        <v>1890</v>
      </c>
      <c r="C1670" s="389" t="s">
        <v>4240</v>
      </c>
      <c r="D1670" s="386">
        <v>25375.871516203704</v>
      </c>
      <c r="E1670" s="387"/>
    </row>
    <row r="1671" spans="2:5" ht="13.5" customHeight="1">
      <c r="B1671" s="336" t="s">
        <v>1074</v>
      </c>
      <c r="C1671" s="388" t="s">
        <v>7015</v>
      </c>
      <c r="D1671" s="386">
        <v>25391.605231481484</v>
      </c>
      <c r="E1671" s="387"/>
    </row>
    <row r="1672" spans="2:5" ht="13.5" customHeight="1">
      <c r="B1672" s="336" t="s">
        <v>1891</v>
      </c>
      <c r="C1672" s="388" t="s">
        <v>4242</v>
      </c>
      <c r="D1672" s="386">
        <v>25407.324918981481</v>
      </c>
      <c r="E1672" s="387"/>
    </row>
    <row r="1673" spans="2:5" ht="13.5" customHeight="1">
      <c r="B1673" s="336" t="s">
        <v>1075</v>
      </c>
      <c r="C1673" s="388" t="s">
        <v>7016</v>
      </c>
      <c r="D1673" s="386">
        <v>25423.009745370371</v>
      </c>
      <c r="E1673" s="387"/>
    </row>
    <row r="1674" spans="2:5" ht="13.5" customHeight="1">
      <c r="B1674" s="336" t="s">
        <v>3736</v>
      </c>
      <c r="C1674" s="388" t="s">
        <v>4276</v>
      </c>
      <c r="D1674" s="386">
        <v>25438.613263888888</v>
      </c>
      <c r="E1674" s="387"/>
    </row>
    <row r="1675" spans="2:5" ht="13.5" customHeight="1">
      <c r="B1675" s="336" t="s">
        <v>1076</v>
      </c>
      <c r="C1675" s="388" t="s">
        <v>7017</v>
      </c>
      <c r="D1675" s="386">
        <v>25454.121747685185</v>
      </c>
      <c r="E1675" s="387"/>
    </row>
    <row r="1676" spans="2:5" ht="13.5" customHeight="1">
      <c r="B1676" s="336" t="s">
        <v>3737</v>
      </c>
      <c r="C1676" s="389" t="s">
        <v>4278</v>
      </c>
      <c r="D1676" s="386">
        <v>25469.504594907408</v>
      </c>
      <c r="E1676" s="387"/>
    </row>
    <row r="1677" spans="2:5" ht="13.5" customHeight="1">
      <c r="B1677" s="336" t="s">
        <v>1077</v>
      </c>
      <c r="C1677" s="388" t="s">
        <v>7018</v>
      </c>
      <c r="D1677" s="386">
        <v>25484.761423611111</v>
      </c>
      <c r="E1677" s="387"/>
    </row>
    <row r="1678" spans="2:5" ht="13.5" customHeight="1">
      <c r="B1678" s="336" t="s">
        <v>3738</v>
      </c>
      <c r="C1678" s="388" t="s">
        <v>4280</v>
      </c>
      <c r="D1678" s="386">
        <v>25499.882395833334</v>
      </c>
      <c r="E1678" s="387"/>
    </row>
    <row r="1679" spans="2:5" ht="13.5" customHeight="1">
      <c r="B1679" s="336" t="s">
        <v>1078</v>
      </c>
      <c r="C1679" s="388" t="s">
        <v>7019</v>
      </c>
      <c r="D1679" s="386">
        <v>25514.882650462965</v>
      </c>
      <c r="E1679" s="387"/>
    </row>
    <row r="1680" spans="2:5" ht="13.5" customHeight="1">
      <c r="B1680" s="336" t="s">
        <v>3739</v>
      </c>
      <c r="C1680" s="388" t="s">
        <v>4282</v>
      </c>
      <c r="D1680" s="386">
        <v>25529.771331018521</v>
      </c>
      <c r="E1680" s="387"/>
    </row>
    <row r="1681" spans="2:5" ht="13.5" customHeight="1">
      <c r="B1681" s="336" t="s">
        <v>1079</v>
      </c>
      <c r="C1681" s="388" t="s">
        <v>7020</v>
      </c>
      <c r="D1681" s="386">
        <v>25544.57707175926</v>
      </c>
      <c r="E1681" s="387"/>
    </row>
    <row r="1682" spans="2:5" ht="13.5" customHeight="1">
      <c r="B1682" s="336" t="s">
        <v>3740</v>
      </c>
      <c r="C1682" s="389" t="s">
        <v>4284</v>
      </c>
      <c r="D1682" s="386">
        <v>25559.321863425928</v>
      </c>
      <c r="E1682" s="387"/>
    </row>
    <row r="1683" spans="2:5" ht="13.5" customHeight="1">
      <c r="B1683" s="336" t="s">
        <v>1080</v>
      </c>
      <c r="C1683" s="390" t="s">
        <v>9317</v>
      </c>
      <c r="D1683" s="386">
        <v>25574.042650462965</v>
      </c>
      <c r="E1683" s="387"/>
    </row>
    <row r="1684" spans="2:5" ht="13.5" customHeight="1">
      <c r="B1684" s="336" t="s">
        <v>3741</v>
      </c>
      <c r="C1684" s="388" t="s">
        <v>4230</v>
      </c>
      <c r="D1684" s="386">
        <v>25588.766435185185</v>
      </c>
      <c r="E1684" s="387"/>
    </row>
    <row r="1685" spans="2:5" ht="13.5" customHeight="1">
      <c r="B1685" s="336" t="s">
        <v>4814</v>
      </c>
      <c r="C1685" s="388" t="s">
        <v>7010</v>
      </c>
      <c r="D1685" s="386">
        <v>25603.531539351854</v>
      </c>
      <c r="E1685" s="387"/>
    </row>
    <row r="1686" spans="2:5" ht="13.5" customHeight="1">
      <c r="B1686" s="336" t="s">
        <v>3742</v>
      </c>
      <c r="C1686" s="388" t="s">
        <v>4232</v>
      </c>
      <c r="D1686" s="386">
        <v>25618.362175925926</v>
      </c>
      <c r="E1686" s="387"/>
    </row>
    <row r="1687" spans="2:5" ht="13.5" customHeight="1">
      <c r="B1687" s="336" t="s">
        <v>4815</v>
      </c>
      <c r="C1687" s="388" t="s">
        <v>7011</v>
      </c>
      <c r="D1687" s="386">
        <v>25633.290266203705</v>
      </c>
      <c r="E1687" s="387"/>
    </row>
    <row r="1688" spans="2:5" ht="13.5" customHeight="1">
      <c r="B1688" s="336" t="s">
        <v>3743</v>
      </c>
      <c r="C1688" s="389" t="s">
        <v>4234</v>
      </c>
      <c r="D1688" s="386">
        <v>25648.33050925926</v>
      </c>
      <c r="E1688" s="387"/>
    </row>
    <row r="1689" spans="2:5" ht="13.5" customHeight="1">
      <c r="B1689" s="336" t="s">
        <v>4816</v>
      </c>
      <c r="C1689" s="388" t="s">
        <v>7012</v>
      </c>
      <c r="D1689" s="386">
        <v>25663.500810185185</v>
      </c>
      <c r="E1689" s="387"/>
    </row>
    <row r="1690" spans="2:5" ht="13.5" customHeight="1">
      <c r="B1690" s="336" t="s">
        <v>3744</v>
      </c>
      <c r="C1690" s="388" t="s">
        <v>4236</v>
      </c>
      <c r="D1690" s="386">
        <v>25678.801793981482</v>
      </c>
      <c r="E1690" s="387"/>
    </row>
    <row r="1691" spans="2:5" ht="13.5" customHeight="1">
      <c r="B1691" s="336" t="s">
        <v>4817</v>
      </c>
      <c r="C1691" s="388" t="s">
        <v>7013</v>
      </c>
      <c r="D1691" s="386">
        <v>25694.231539351855</v>
      </c>
      <c r="E1691" s="387"/>
    </row>
    <row r="1692" spans="2:5" ht="13.5" customHeight="1">
      <c r="B1692" s="336" t="s">
        <v>3745</v>
      </c>
      <c r="C1692" s="388" t="s">
        <v>4238</v>
      </c>
      <c r="D1692" s="386">
        <v>25709.775810185187</v>
      </c>
      <c r="E1692" s="387"/>
    </row>
    <row r="1693" spans="2:5" ht="13.5" customHeight="1">
      <c r="B1693" s="336" t="s">
        <v>4818</v>
      </c>
      <c r="C1693" s="388" t="s">
        <v>7014</v>
      </c>
      <c r="D1693" s="386">
        <v>25725.411192129632</v>
      </c>
      <c r="E1693" s="387"/>
    </row>
    <row r="1694" spans="2:5" ht="13.5" customHeight="1">
      <c r="B1694" s="336" t="s">
        <v>5448</v>
      </c>
      <c r="C1694" s="389" t="s">
        <v>4240</v>
      </c>
      <c r="D1694" s="386">
        <v>25741.112905092596</v>
      </c>
      <c r="E1694" s="387"/>
    </row>
    <row r="1695" spans="2:5" ht="13.5" customHeight="1">
      <c r="B1695" s="336" t="s">
        <v>4819</v>
      </c>
      <c r="C1695" s="388" t="s">
        <v>7015</v>
      </c>
      <c r="D1695" s="386">
        <v>25756.840486111112</v>
      </c>
      <c r="E1695" s="387"/>
    </row>
    <row r="1696" spans="2:5" ht="13.5" customHeight="1">
      <c r="B1696" s="336" t="s">
        <v>5449</v>
      </c>
      <c r="C1696" s="388" t="s">
        <v>4242</v>
      </c>
      <c r="D1696" s="386">
        <v>25772.567002314816</v>
      </c>
      <c r="E1696" s="387"/>
    </row>
    <row r="1697" spans="2:5" ht="13.5" customHeight="1">
      <c r="B1697" s="336" t="s">
        <v>4820</v>
      </c>
      <c r="C1697" s="388" t="s">
        <v>7016</v>
      </c>
      <c r="D1697" s="386">
        <v>25788.245486111111</v>
      </c>
      <c r="E1697" s="387"/>
    </row>
    <row r="1698" spans="2:5" ht="13.5" customHeight="1">
      <c r="B1698" s="336" t="s">
        <v>5450</v>
      </c>
      <c r="C1698" s="388" t="s">
        <v>4276</v>
      </c>
      <c r="D1698" s="386">
        <v>25803.856493055559</v>
      </c>
      <c r="E1698" s="387"/>
    </row>
    <row r="1699" spans="2:5" ht="13.5" customHeight="1">
      <c r="B1699" s="336" t="s">
        <v>4821</v>
      </c>
      <c r="C1699" s="388" t="s">
        <v>7017</v>
      </c>
      <c r="D1699" s="386">
        <v>25819.359224537038</v>
      </c>
      <c r="E1699" s="387"/>
    </row>
    <row r="1700" spans="2:5" ht="13.5" customHeight="1">
      <c r="B1700" s="336" t="s">
        <v>5451</v>
      </c>
      <c r="C1700" s="389" t="s">
        <v>4278</v>
      </c>
      <c r="D1700" s="386">
        <v>25834.749074074076</v>
      </c>
      <c r="E1700" s="387"/>
    </row>
    <row r="1701" spans="2:5" ht="13.5" customHeight="1">
      <c r="B1701" s="336" t="s">
        <v>4822</v>
      </c>
      <c r="C1701" s="388" t="s">
        <v>7018</v>
      </c>
      <c r="D1701" s="386">
        <v>25850.000856481482</v>
      </c>
      <c r="E1701" s="387"/>
    </row>
    <row r="1702" spans="2:5" ht="13.5" customHeight="1">
      <c r="B1702" s="336" t="s">
        <v>5452</v>
      </c>
      <c r="C1702" s="388" t="s">
        <v>4280</v>
      </c>
      <c r="D1702" s="386">
        <v>25865.12775462963</v>
      </c>
      <c r="E1702" s="387"/>
    </row>
    <row r="1703" spans="2:5" ht="13.5" customHeight="1">
      <c r="B1703" s="336" t="s">
        <v>4823</v>
      </c>
      <c r="C1703" s="388" t="s">
        <v>7019</v>
      </c>
      <c r="D1703" s="386">
        <v>25880.123182870371</v>
      </c>
      <c r="E1703" s="387"/>
    </row>
    <row r="1704" spans="2:5" ht="13.5" customHeight="1">
      <c r="B1704" s="336" t="s">
        <v>5453</v>
      </c>
      <c r="C1704" s="388" t="s">
        <v>4282</v>
      </c>
      <c r="D1704" s="386">
        <v>25895.016736111113</v>
      </c>
      <c r="E1704" s="387"/>
    </row>
    <row r="1705" spans="2:5" ht="13.5" customHeight="1">
      <c r="B1705" s="336" t="s">
        <v>4824</v>
      </c>
      <c r="C1705" s="388" t="s">
        <v>7020</v>
      </c>
      <c r="D1705" s="386">
        <v>25909.817303240743</v>
      </c>
      <c r="E1705" s="387"/>
    </row>
    <row r="1706" spans="2:5" ht="13.5" customHeight="1">
      <c r="B1706" s="336" t="s">
        <v>5454</v>
      </c>
      <c r="C1706" s="389" t="s">
        <v>4284</v>
      </c>
      <c r="D1706" s="386">
        <v>25924.566192129631</v>
      </c>
      <c r="E1706" s="387"/>
    </row>
    <row r="1707" spans="2:5" ht="13.5" customHeight="1">
      <c r="B1707" s="336" t="s">
        <v>4825</v>
      </c>
      <c r="C1707" s="390" t="s">
        <v>9317</v>
      </c>
      <c r="D1707" s="386">
        <v>25939.281238425927</v>
      </c>
      <c r="E1707" s="387"/>
    </row>
    <row r="1708" spans="2:5" ht="13.5" customHeight="1">
      <c r="B1708" s="336" t="s">
        <v>5455</v>
      </c>
      <c r="C1708" s="388" t="s">
        <v>4230</v>
      </c>
      <c r="D1708" s="386">
        <v>25954.008726851855</v>
      </c>
      <c r="E1708" s="387"/>
    </row>
    <row r="1709" spans="2:5" ht="13.5" customHeight="1">
      <c r="B1709" s="336" t="s">
        <v>4826</v>
      </c>
      <c r="C1709" s="388" t="s">
        <v>7010</v>
      </c>
      <c r="D1709" s="386">
        <v>25968.76771990741</v>
      </c>
      <c r="E1709" s="387"/>
    </row>
    <row r="1710" spans="2:5" ht="13.5" customHeight="1">
      <c r="B1710" s="336" t="s">
        <v>5456</v>
      </c>
      <c r="C1710" s="388" t="s">
        <v>4232</v>
      </c>
      <c r="D1710" s="386">
        <v>25983.601979166669</v>
      </c>
      <c r="E1710" s="387"/>
    </row>
    <row r="1711" spans="2:5" ht="13.5" customHeight="1">
      <c r="B1711" s="336" t="s">
        <v>4827</v>
      </c>
      <c r="C1711" s="388" t="s">
        <v>7011</v>
      </c>
      <c r="D1711" s="386">
        <v>25998.524131944447</v>
      </c>
      <c r="E1711" s="387"/>
    </row>
    <row r="1712" spans="2:5" ht="13.5" customHeight="1">
      <c r="B1712" s="336" t="s">
        <v>5457</v>
      </c>
      <c r="C1712" s="389" t="s">
        <v>4234</v>
      </c>
      <c r="D1712" s="386">
        <v>26013.56797453704</v>
      </c>
      <c r="E1712" s="387"/>
    </row>
    <row r="1713" spans="2:5" ht="13.5" customHeight="1">
      <c r="B1713" s="336" t="s">
        <v>4828</v>
      </c>
      <c r="C1713" s="388" t="s">
        <v>7012</v>
      </c>
      <c r="D1713" s="386">
        <v>26028.733194444445</v>
      </c>
      <c r="E1713" s="387"/>
    </row>
    <row r="1714" spans="2:5" ht="13.5" customHeight="1">
      <c r="B1714" s="336" t="s">
        <v>5458</v>
      </c>
      <c r="C1714" s="388" t="s">
        <v>4236</v>
      </c>
      <c r="D1714" s="386">
        <v>26044.037349537037</v>
      </c>
      <c r="E1714" s="387"/>
    </row>
    <row r="1715" spans="2:5" ht="13.5" customHeight="1">
      <c r="B1715" s="336" t="s">
        <v>4829</v>
      </c>
      <c r="C1715" s="388" t="s">
        <v>7013</v>
      </c>
      <c r="D1715" s="386">
        <v>26059.463680555556</v>
      </c>
      <c r="E1715" s="387"/>
    </row>
    <row r="1716" spans="2:5" ht="13.5" customHeight="1">
      <c r="B1716" s="336" t="s">
        <v>5459</v>
      </c>
      <c r="C1716" s="388" t="s">
        <v>4238</v>
      </c>
      <c r="D1716" s="386">
        <v>26075.009988425929</v>
      </c>
      <c r="E1716" s="387"/>
    </row>
    <row r="1717" spans="2:5" ht="13.5" customHeight="1">
      <c r="B1717" s="336" t="s">
        <v>4830</v>
      </c>
      <c r="C1717" s="388" t="s">
        <v>7014</v>
      </c>
      <c r="D1717" s="386">
        <v>26090.644641203704</v>
      </c>
      <c r="E1717" s="387"/>
    </row>
    <row r="1718" spans="2:5" ht="13.5" customHeight="1">
      <c r="B1718" s="336" t="s">
        <v>5460</v>
      </c>
      <c r="C1718" s="389" t="s">
        <v>4240</v>
      </c>
      <c r="D1718" s="386">
        <v>26106.346585648149</v>
      </c>
      <c r="E1718" s="387"/>
    </row>
    <row r="1719" spans="2:5" ht="13.5" customHeight="1">
      <c r="B1719" s="336" t="s">
        <v>4831</v>
      </c>
      <c r="C1719" s="388" t="s">
        <v>7015</v>
      </c>
      <c r="D1719" s="386">
        <v>26122.076828703706</v>
      </c>
      <c r="E1719" s="387"/>
    </row>
    <row r="1720" spans="2:5" ht="13.5" customHeight="1">
      <c r="B1720" s="336" t="s">
        <v>5461</v>
      </c>
      <c r="C1720" s="388" t="s">
        <v>4242</v>
      </c>
      <c r="D1720" s="386">
        <v>26137.801631944447</v>
      </c>
      <c r="E1720" s="387"/>
    </row>
    <row r="1721" spans="2:5" ht="13.5" customHeight="1">
      <c r="B1721" s="336" t="s">
        <v>4832</v>
      </c>
      <c r="C1721" s="388" t="s">
        <v>7016</v>
      </c>
      <c r="D1721" s="386">
        <v>26153.485891203705</v>
      </c>
      <c r="E1721" s="387"/>
    </row>
    <row r="1722" spans="2:5" ht="13.5" customHeight="1">
      <c r="B1722" s="336" t="s">
        <v>5462</v>
      </c>
      <c r="C1722" s="388" t="s">
        <v>4276</v>
      </c>
      <c r="D1722" s="386">
        <v>26169.093576388888</v>
      </c>
      <c r="E1722" s="387"/>
    </row>
    <row r="1723" spans="2:5" ht="13.5" customHeight="1">
      <c r="B1723" s="336" t="s">
        <v>4833</v>
      </c>
      <c r="C1723" s="388" t="s">
        <v>7017</v>
      </c>
      <c r="D1723" s="386">
        <v>26184.603842592594</v>
      </c>
      <c r="E1723" s="387"/>
    </row>
    <row r="1724" spans="2:5" ht="13.5" customHeight="1">
      <c r="B1724" s="336" t="s">
        <v>5463</v>
      </c>
      <c r="C1724" s="389" t="s">
        <v>4278</v>
      </c>
      <c r="D1724" s="386">
        <v>26199.989097222224</v>
      </c>
      <c r="E1724" s="387"/>
    </row>
    <row r="1725" spans="2:5" ht="13.5" customHeight="1">
      <c r="B1725" s="336" t="s">
        <v>4834</v>
      </c>
      <c r="C1725" s="388" t="s">
        <v>7018</v>
      </c>
      <c r="D1725" s="386">
        <v>26215.248564814818</v>
      </c>
      <c r="E1725" s="387"/>
    </row>
    <row r="1726" spans="2:5" ht="13.5" customHeight="1">
      <c r="B1726" s="336" t="s">
        <v>5464</v>
      </c>
      <c r="C1726" s="388" t="s">
        <v>4280</v>
      </c>
      <c r="D1726" s="386">
        <v>26230.369826388891</v>
      </c>
      <c r="E1726" s="387"/>
    </row>
    <row r="1727" spans="2:5" ht="13.5" customHeight="1">
      <c r="B1727" s="336" t="s">
        <v>4835</v>
      </c>
      <c r="C1727" s="388" t="s">
        <v>7019</v>
      </c>
      <c r="D1727" s="386">
        <v>26245.372199074074</v>
      </c>
      <c r="E1727" s="387"/>
    </row>
    <row r="1728" spans="2:5" ht="13.5" customHeight="1">
      <c r="B1728" s="336" t="s">
        <v>5465</v>
      </c>
      <c r="C1728" s="388" t="s">
        <v>4282</v>
      </c>
      <c r="D1728" s="386">
        <v>26260.259259259259</v>
      </c>
      <c r="E1728" s="387"/>
    </row>
    <row r="1729" spans="2:5" ht="13.5" customHeight="1">
      <c r="B1729" s="336" t="s">
        <v>4836</v>
      </c>
      <c r="C1729" s="388" t="s">
        <v>7020</v>
      </c>
      <c r="D1729" s="386">
        <v>26275.066006944446</v>
      </c>
      <c r="E1729" s="387"/>
    </row>
    <row r="1730" spans="2:5" ht="13.5" customHeight="1">
      <c r="B1730" s="336" t="s">
        <v>5466</v>
      </c>
      <c r="C1730" s="389" t="s">
        <v>4284</v>
      </c>
      <c r="D1730" s="386">
        <v>26289.807870370372</v>
      </c>
      <c r="E1730" s="387"/>
    </row>
    <row r="1731" spans="2:5" ht="13.5" customHeight="1">
      <c r="B1731" s="336" t="s">
        <v>4837</v>
      </c>
      <c r="C1731" s="390" t="s">
        <v>9317</v>
      </c>
      <c r="D1731" s="386">
        <v>26304.528657407409</v>
      </c>
      <c r="E1731" s="387"/>
    </row>
    <row r="1732" spans="2:5" ht="13.5" customHeight="1">
      <c r="B1732" s="336" t="s">
        <v>5467</v>
      </c>
      <c r="C1732" s="388" t="s">
        <v>4230</v>
      </c>
      <c r="D1732" s="386">
        <v>26319.24896990741</v>
      </c>
      <c r="E1732" s="387"/>
    </row>
    <row r="1733" spans="2:5" ht="13.5" customHeight="1">
      <c r="B1733" s="336" t="s">
        <v>4838</v>
      </c>
      <c r="C1733" s="388" t="s">
        <v>7010</v>
      </c>
      <c r="D1733" s="386">
        <v>26334.013715277779</v>
      </c>
      <c r="E1733" s="387"/>
    </row>
    <row r="1734" spans="2:5" ht="13.5" customHeight="1">
      <c r="B1734" s="336" t="s">
        <v>5468</v>
      </c>
      <c r="C1734" s="388" t="s">
        <v>4232</v>
      </c>
      <c r="D1734" s="386">
        <v>26348.840902777778</v>
      </c>
      <c r="E1734" s="387"/>
    </row>
    <row r="1735" spans="2:5" ht="13.5" customHeight="1">
      <c r="B1735" s="336" t="s">
        <v>4839</v>
      </c>
      <c r="C1735" s="388" t="s">
        <v>7011</v>
      </c>
      <c r="D1735" s="386">
        <v>26363.769166666669</v>
      </c>
      <c r="E1735" s="387"/>
    </row>
    <row r="1736" spans="2:5" ht="13.5" customHeight="1">
      <c r="B1736" s="336" t="s">
        <v>5469</v>
      </c>
      <c r="C1736" s="389" t="s">
        <v>4234</v>
      </c>
      <c r="D1736" s="386">
        <v>26378.806192129632</v>
      </c>
      <c r="E1736" s="387"/>
    </row>
    <row r="1737" spans="2:5" ht="13.5" customHeight="1">
      <c r="B1737" s="336" t="s">
        <v>4840</v>
      </c>
      <c r="C1737" s="388" t="s">
        <v>7012</v>
      </c>
      <c r="D1737" s="386">
        <v>26393.978043981482</v>
      </c>
      <c r="E1737" s="387"/>
    </row>
    <row r="1738" spans="2:5" ht="13.5" customHeight="1">
      <c r="B1738" s="336" t="s">
        <v>1794</v>
      </c>
      <c r="C1738" s="388" t="s">
        <v>4236</v>
      </c>
      <c r="D1738" s="386">
        <v>26409.275752314818</v>
      </c>
      <c r="E1738" s="387"/>
    </row>
    <row r="1739" spans="2:5" ht="13.5" customHeight="1">
      <c r="B1739" s="336" t="s">
        <v>4841</v>
      </c>
      <c r="C1739" s="388" t="s">
        <v>7013</v>
      </c>
      <c r="D1739" s="386">
        <v>26424.708912037036</v>
      </c>
      <c r="E1739" s="387"/>
    </row>
    <row r="1740" spans="2:5" ht="13.5" customHeight="1">
      <c r="B1740" s="336" t="s">
        <v>1795</v>
      </c>
      <c r="C1740" s="388" t="s">
        <v>4238</v>
      </c>
      <c r="D1740" s="386">
        <v>26440.249398148149</v>
      </c>
      <c r="E1740" s="387"/>
    </row>
    <row r="1741" spans="2:5" ht="13.5" customHeight="1">
      <c r="B1741" s="336" t="s">
        <v>3595</v>
      </c>
      <c r="C1741" s="388" t="s">
        <v>7014</v>
      </c>
      <c r="D1741" s="386">
        <v>26455.890023148149</v>
      </c>
      <c r="E1741" s="387"/>
    </row>
    <row r="1742" spans="2:5" ht="13.5" customHeight="1">
      <c r="B1742" s="336" t="s">
        <v>1751</v>
      </c>
      <c r="C1742" s="389" t="s">
        <v>4240</v>
      </c>
      <c r="D1742" s="386">
        <v>26471.58732638889</v>
      </c>
      <c r="E1742" s="387"/>
    </row>
    <row r="1743" spans="2:5" ht="13.5" customHeight="1">
      <c r="B1743" s="336" t="s">
        <v>3596</v>
      </c>
      <c r="C1743" s="388" t="s">
        <v>7015</v>
      </c>
      <c r="D1743" s="386">
        <v>26487.321261574074</v>
      </c>
      <c r="E1743" s="387"/>
    </row>
    <row r="1744" spans="2:5" ht="13.5" customHeight="1">
      <c r="B1744" s="336" t="s">
        <v>1752</v>
      </c>
      <c r="C1744" s="388" t="s">
        <v>4242</v>
      </c>
      <c r="D1744" s="386">
        <v>26503.043275462966</v>
      </c>
      <c r="E1744" s="387"/>
    </row>
    <row r="1745" spans="2:5" ht="13.5" customHeight="1">
      <c r="B1745" s="336" t="s">
        <v>4652</v>
      </c>
      <c r="C1745" s="388" t="s">
        <v>7016</v>
      </c>
      <c r="D1745" s="386">
        <v>26518.728206018521</v>
      </c>
      <c r="E1745" s="387"/>
    </row>
    <row r="1746" spans="2:5" ht="13.5" customHeight="1">
      <c r="B1746" s="336" t="s">
        <v>1753</v>
      </c>
      <c r="C1746" s="388" t="s">
        <v>4276</v>
      </c>
      <c r="D1746" s="386">
        <v>26534.335381944446</v>
      </c>
      <c r="E1746" s="387"/>
    </row>
    <row r="1747" spans="2:5" ht="13.5" customHeight="1">
      <c r="B1747" s="336" t="s">
        <v>4653</v>
      </c>
      <c r="C1747" s="388" t="s">
        <v>7017</v>
      </c>
      <c r="D1747" s="386">
        <v>26549.843796296296</v>
      </c>
      <c r="E1747" s="387"/>
    </row>
    <row r="1748" spans="2:5" ht="13.5" customHeight="1">
      <c r="B1748" s="336" t="s">
        <v>1754</v>
      </c>
      <c r="C1748" s="389" t="s">
        <v>4278</v>
      </c>
      <c r="D1748" s="386">
        <v>26565.230740740742</v>
      </c>
      <c r="E1748" s="387"/>
    </row>
    <row r="1749" spans="2:5" ht="13.5" customHeight="1">
      <c r="B1749" s="336" t="s">
        <v>4654</v>
      </c>
      <c r="C1749" s="388" t="s">
        <v>7018</v>
      </c>
      <c r="D1749" s="386">
        <v>26580.487002314818</v>
      </c>
      <c r="E1749" s="387"/>
    </row>
    <row r="1750" spans="2:5" ht="13.5" customHeight="1">
      <c r="B1750" s="336" t="s">
        <v>1755</v>
      </c>
      <c r="C1750" s="388" t="s">
        <v>4280</v>
      </c>
      <c r="D1750" s="386">
        <v>26595.611550925929</v>
      </c>
      <c r="E1750" s="387"/>
    </row>
    <row r="1751" spans="2:5" ht="13.5" customHeight="1">
      <c r="B1751" s="336" t="s">
        <v>4655</v>
      </c>
      <c r="C1751" s="388" t="s">
        <v>7019</v>
      </c>
      <c r="D1751" s="386">
        <v>26610.610254629632</v>
      </c>
      <c r="E1751" s="387"/>
    </row>
    <row r="1752" spans="2:5" ht="13.5" customHeight="1">
      <c r="B1752" s="336" t="s">
        <v>1756</v>
      </c>
      <c r="C1752" s="388" t="s">
        <v>4282</v>
      </c>
      <c r="D1752" s="386">
        <v>26625.501377314817</v>
      </c>
      <c r="E1752" s="387"/>
    </row>
    <row r="1753" spans="2:5" ht="13.5" customHeight="1">
      <c r="B1753" s="336" t="s">
        <v>4656</v>
      </c>
      <c r="C1753" s="388" t="s">
        <v>7020</v>
      </c>
      <c r="D1753" s="386">
        <v>26640.304351851853</v>
      </c>
      <c r="E1753" s="387"/>
    </row>
    <row r="1754" spans="2:5" ht="13.5" customHeight="1">
      <c r="B1754" s="336" t="s">
        <v>328</v>
      </c>
      <c r="C1754" s="389" t="s">
        <v>4284</v>
      </c>
      <c r="D1754" s="386">
        <v>26655.050381944446</v>
      </c>
      <c r="E1754" s="387"/>
    </row>
    <row r="1755" spans="2:5" ht="13.5" customHeight="1">
      <c r="B1755" s="336" t="s">
        <v>4657</v>
      </c>
      <c r="C1755" s="390" t="s">
        <v>9317</v>
      </c>
      <c r="D1755" s="386">
        <v>26669.767407407409</v>
      </c>
      <c r="E1755" s="387"/>
    </row>
    <row r="1756" spans="2:5" ht="13.5" customHeight="1">
      <c r="B1756" s="336" t="s">
        <v>329</v>
      </c>
      <c r="C1756" s="388" t="s">
        <v>4230</v>
      </c>
      <c r="D1756" s="386">
        <v>26684.491724537038</v>
      </c>
      <c r="E1756" s="387"/>
    </row>
    <row r="1757" spans="2:5" ht="13.5" customHeight="1">
      <c r="B1757" s="336" t="s">
        <v>3731</v>
      </c>
      <c r="C1757" s="388" t="s">
        <v>7010</v>
      </c>
      <c r="D1757" s="386">
        <v>26699.252731481483</v>
      </c>
      <c r="E1757" s="387"/>
    </row>
    <row r="1758" spans="2:5" ht="13.5" customHeight="1">
      <c r="B1758" s="336" t="s">
        <v>330</v>
      </c>
      <c r="C1758" s="388" t="s">
        <v>4232</v>
      </c>
      <c r="D1758" s="386">
        <v>26714.084004629633</v>
      </c>
      <c r="E1758" s="387"/>
    </row>
    <row r="1759" spans="2:5" ht="13.5" customHeight="1">
      <c r="B1759" s="336" t="s">
        <v>3687</v>
      </c>
      <c r="C1759" s="388" t="s">
        <v>7011</v>
      </c>
      <c r="D1759" s="386">
        <v>26729.008449074074</v>
      </c>
      <c r="E1759" s="387"/>
    </row>
    <row r="1760" spans="2:5" ht="13.5" customHeight="1">
      <c r="B1760" s="336" t="s">
        <v>331</v>
      </c>
      <c r="C1760" s="389" t="s">
        <v>4234</v>
      </c>
      <c r="D1760" s="386">
        <v>26744.050115740742</v>
      </c>
      <c r="E1760" s="387"/>
    </row>
    <row r="1761" spans="2:5" ht="13.5" customHeight="1">
      <c r="B1761" s="336" t="s">
        <v>3480</v>
      </c>
      <c r="C1761" s="388" t="s">
        <v>7012</v>
      </c>
      <c r="D1761" s="386">
        <v>26759.217638888891</v>
      </c>
      <c r="E1761" s="387"/>
    </row>
    <row r="1762" spans="2:5" ht="13.5" customHeight="1">
      <c r="B1762" s="336" t="s">
        <v>332</v>
      </c>
      <c r="C1762" s="388" t="s">
        <v>4236</v>
      </c>
      <c r="D1762" s="386">
        <v>26774.520949074074</v>
      </c>
      <c r="E1762" s="387"/>
    </row>
    <row r="1763" spans="2:5" ht="13.5" customHeight="1">
      <c r="B1763" s="336" t="s">
        <v>1743</v>
      </c>
      <c r="C1763" s="388" t="s">
        <v>7013</v>
      </c>
      <c r="D1763" s="386">
        <v>26789.94871527778</v>
      </c>
      <c r="E1763" s="387"/>
    </row>
    <row r="1764" spans="2:5" ht="13.5" customHeight="1">
      <c r="B1764" s="336" t="s">
        <v>333</v>
      </c>
      <c r="C1764" s="388" t="s">
        <v>4238</v>
      </c>
      <c r="D1764" s="386">
        <v>26805.495682870373</v>
      </c>
      <c r="E1764" s="387"/>
    </row>
    <row r="1765" spans="2:5" ht="13.5" customHeight="1">
      <c r="B1765" s="336" t="s">
        <v>290</v>
      </c>
      <c r="C1765" s="388" t="s">
        <v>7014</v>
      </c>
      <c r="D1765" s="386">
        <v>26821.129641203705</v>
      </c>
      <c r="E1765" s="387"/>
    </row>
    <row r="1766" spans="2:5" ht="13.5" customHeight="1">
      <c r="B1766" s="336" t="s">
        <v>334</v>
      </c>
      <c r="C1766" s="389" t="s">
        <v>4240</v>
      </c>
      <c r="D1766" s="386">
        <v>26836.833587962963</v>
      </c>
      <c r="E1766" s="387"/>
    </row>
    <row r="1767" spans="2:5" ht="13.5" customHeight="1">
      <c r="B1767" s="336" t="s">
        <v>291</v>
      </c>
      <c r="C1767" s="388" t="s">
        <v>7015</v>
      </c>
      <c r="D1767" s="386">
        <v>26852.560347222225</v>
      </c>
      <c r="E1767" s="387"/>
    </row>
    <row r="1768" spans="2:5" ht="13.5" customHeight="1">
      <c r="B1768" s="336" t="s">
        <v>335</v>
      </c>
      <c r="C1768" s="388" t="s">
        <v>4242</v>
      </c>
      <c r="D1768" s="386">
        <v>26868.288229166668</v>
      </c>
      <c r="E1768" s="387"/>
    </row>
    <row r="1769" spans="2:5" ht="13.5" customHeight="1">
      <c r="B1769" s="336" t="s">
        <v>292</v>
      </c>
      <c r="C1769" s="388" t="s">
        <v>7016</v>
      </c>
      <c r="D1769" s="386">
        <v>26883.966863425929</v>
      </c>
      <c r="E1769" s="387"/>
    </row>
    <row r="1770" spans="2:5" ht="13.5" customHeight="1">
      <c r="B1770" s="336" t="s">
        <v>336</v>
      </c>
      <c r="C1770" s="388" t="s">
        <v>4276</v>
      </c>
      <c r="D1770" s="386">
        <v>26899.578553240743</v>
      </c>
      <c r="E1770" s="387"/>
    </row>
    <row r="1771" spans="2:5" ht="13.5" customHeight="1">
      <c r="B1771" s="336" t="s">
        <v>293</v>
      </c>
      <c r="C1771" s="388" t="s">
        <v>7017</v>
      </c>
      <c r="D1771" s="386">
        <v>26915.082650462966</v>
      </c>
      <c r="E1771" s="387"/>
    </row>
    <row r="1772" spans="2:5" ht="13.5" customHeight="1">
      <c r="B1772" s="336" t="s">
        <v>337</v>
      </c>
      <c r="C1772" s="389" t="s">
        <v>4278</v>
      </c>
      <c r="D1772" s="386">
        <v>26930.47283564815</v>
      </c>
      <c r="E1772" s="387"/>
    </row>
    <row r="1773" spans="2:5" ht="13.5" customHeight="1">
      <c r="B1773" s="336" t="s">
        <v>294</v>
      </c>
      <c r="C1773" s="388" t="s">
        <v>7018</v>
      </c>
      <c r="D1773" s="386">
        <v>26945.726932870373</v>
      </c>
      <c r="E1773" s="387"/>
    </row>
    <row r="1774" spans="2:5" ht="13.5" customHeight="1">
      <c r="B1774" s="336" t="s">
        <v>338</v>
      </c>
      <c r="C1774" s="388" t="s">
        <v>4280</v>
      </c>
      <c r="D1774" s="386">
        <v>26960.854016203706</v>
      </c>
      <c r="E1774" s="387"/>
    </row>
    <row r="1775" spans="2:5" ht="13.5" customHeight="1">
      <c r="B1775" s="336" t="s">
        <v>5996</v>
      </c>
      <c r="C1775" s="388" t="s">
        <v>7019</v>
      </c>
      <c r="D1775" s="386">
        <v>26975.852141203704</v>
      </c>
      <c r="E1775" s="387"/>
    </row>
    <row r="1776" spans="2:5" ht="13.5" customHeight="1">
      <c r="B1776" s="336" t="s">
        <v>339</v>
      </c>
      <c r="C1776" s="388" t="s">
        <v>4282</v>
      </c>
      <c r="D1776" s="386">
        <v>26990.74559027778</v>
      </c>
      <c r="E1776" s="387"/>
    </row>
    <row r="1777" spans="2:5" ht="13.5" customHeight="1">
      <c r="B1777" s="336" t="s">
        <v>5997</v>
      </c>
      <c r="C1777" s="388" t="s">
        <v>7020</v>
      </c>
      <c r="D1777" s="386">
        <v>27005.548645833336</v>
      </c>
      <c r="E1777" s="387"/>
    </row>
    <row r="1778" spans="2:5" ht="13.5" customHeight="1">
      <c r="B1778" s="336" t="s">
        <v>340</v>
      </c>
      <c r="C1778" s="389" t="s">
        <v>4284</v>
      </c>
      <c r="D1778" s="386">
        <v>27020.296921296296</v>
      </c>
      <c r="E1778" s="387"/>
    </row>
    <row r="1779" spans="2:5" ht="13.5" customHeight="1">
      <c r="B1779" s="336" t="s">
        <v>5998</v>
      </c>
      <c r="C1779" s="390" t="s">
        <v>9317</v>
      </c>
      <c r="D1779" s="386">
        <v>27035.013807870371</v>
      </c>
      <c r="E1779" s="387"/>
    </row>
    <row r="1780" spans="2:5" ht="13.5" customHeight="1">
      <c r="B1780" s="336" t="s">
        <v>341</v>
      </c>
      <c r="C1780" s="388" t="s">
        <v>4230</v>
      </c>
      <c r="D1780" s="386">
        <v>27049.739988425928</v>
      </c>
      <c r="E1780" s="387"/>
    </row>
    <row r="1781" spans="2:5" ht="13.5" customHeight="1">
      <c r="B1781" s="336" t="s">
        <v>5999</v>
      </c>
      <c r="C1781" s="388" t="s">
        <v>7010</v>
      </c>
      <c r="D1781" s="386">
        <v>27064.500011574077</v>
      </c>
      <c r="E1781" s="387"/>
    </row>
    <row r="1782" spans="2:5" ht="13.5" customHeight="1">
      <c r="B1782" s="336" t="s">
        <v>342</v>
      </c>
      <c r="C1782" s="388" t="s">
        <v>4232</v>
      </c>
      <c r="D1782" s="386">
        <v>27079.332199074077</v>
      </c>
      <c r="E1782" s="387"/>
    </row>
    <row r="1783" spans="2:5" ht="13.5" customHeight="1">
      <c r="B1783" s="336" t="s">
        <v>6000</v>
      </c>
      <c r="C1783" s="388" t="s">
        <v>7011</v>
      </c>
      <c r="D1783" s="386">
        <v>27094.254803240743</v>
      </c>
      <c r="E1783" s="387"/>
    </row>
    <row r="1784" spans="2:5" ht="13.5" customHeight="1">
      <c r="B1784" s="336" t="s">
        <v>7480</v>
      </c>
      <c r="C1784" s="389" t="s">
        <v>4234</v>
      </c>
      <c r="D1784" s="386">
        <v>27109.295937500003</v>
      </c>
      <c r="E1784" s="387"/>
    </row>
    <row r="1785" spans="2:5" ht="13.5" customHeight="1">
      <c r="B1785" s="336" t="s">
        <v>6001</v>
      </c>
      <c r="C1785" s="388" t="s">
        <v>7012</v>
      </c>
      <c r="D1785" s="386">
        <v>27124.461550925927</v>
      </c>
      <c r="E1785" s="387"/>
    </row>
    <row r="1786" spans="2:5" ht="13.5" customHeight="1">
      <c r="B1786" s="336" t="s">
        <v>7481</v>
      </c>
      <c r="C1786" s="388" t="s">
        <v>4236</v>
      </c>
      <c r="D1786" s="386">
        <v>27139.762627314816</v>
      </c>
      <c r="E1786" s="387"/>
    </row>
    <row r="1787" spans="2:5" ht="13.5" customHeight="1">
      <c r="B1787" s="336" t="s">
        <v>6002</v>
      </c>
      <c r="C1787" s="388" t="s">
        <v>7013</v>
      </c>
      <c r="D1787" s="386">
        <v>27155.189826388891</v>
      </c>
      <c r="E1787" s="387"/>
    </row>
    <row r="1788" spans="2:5" ht="13.5" customHeight="1">
      <c r="B1788" s="336" t="s">
        <v>374</v>
      </c>
      <c r="C1788" s="388" t="s">
        <v>4238</v>
      </c>
      <c r="D1788" s="386">
        <v>27170.732881944445</v>
      </c>
      <c r="E1788" s="387"/>
    </row>
    <row r="1789" spans="2:5" ht="13.5" customHeight="1">
      <c r="B1789" s="336" t="s">
        <v>4776</v>
      </c>
      <c r="C1789" s="388" t="s">
        <v>7014</v>
      </c>
      <c r="D1789" s="386">
        <v>27186.368923611113</v>
      </c>
      <c r="E1789" s="387"/>
    </row>
    <row r="1790" spans="2:5" ht="13.5" customHeight="1">
      <c r="B1790" s="336" t="s">
        <v>375</v>
      </c>
      <c r="C1790" s="389" t="s">
        <v>4240</v>
      </c>
      <c r="D1790" s="386">
        <v>27202.067511574074</v>
      </c>
      <c r="E1790" s="387"/>
    </row>
    <row r="1791" spans="2:5" ht="13.5" customHeight="1">
      <c r="B1791" s="336" t="s">
        <v>4777</v>
      </c>
      <c r="C1791" s="388" t="s">
        <v>7015</v>
      </c>
      <c r="D1791" s="386">
        <v>27217.799201388891</v>
      </c>
      <c r="E1791" s="387"/>
    </row>
    <row r="1792" spans="2:5" ht="13.5" customHeight="1">
      <c r="B1792" s="336" t="s">
        <v>376</v>
      </c>
      <c r="C1792" s="388" t="s">
        <v>4242</v>
      </c>
      <c r="D1792" s="386">
        <v>27233.52078703704</v>
      </c>
      <c r="E1792" s="387"/>
    </row>
    <row r="1793" spans="2:5" ht="13.5" customHeight="1">
      <c r="B1793" s="336" t="s">
        <v>4778</v>
      </c>
      <c r="C1793" s="388" t="s">
        <v>7016</v>
      </c>
      <c r="D1793" s="386">
        <v>27249.206203703707</v>
      </c>
      <c r="E1793" s="387"/>
    </row>
    <row r="1794" spans="2:5" ht="13.5" customHeight="1">
      <c r="B1794" s="336" t="s">
        <v>377</v>
      </c>
      <c r="C1794" s="388" t="s">
        <v>4276</v>
      </c>
      <c r="D1794" s="386">
        <v>27264.811458333334</v>
      </c>
      <c r="E1794" s="387"/>
    </row>
    <row r="1795" spans="2:5" ht="13.5" customHeight="1">
      <c r="B1795" s="336" t="s">
        <v>4779</v>
      </c>
      <c r="C1795" s="388" t="s">
        <v>7017</v>
      </c>
      <c r="D1795" s="386">
        <v>27280.322893518518</v>
      </c>
      <c r="E1795" s="387"/>
    </row>
    <row r="1796" spans="2:5" ht="13.5" customHeight="1">
      <c r="B1796" s="336" t="s">
        <v>1255</v>
      </c>
      <c r="C1796" s="389" t="s">
        <v>4278</v>
      </c>
      <c r="D1796" s="386">
        <v>27295.707291666669</v>
      </c>
      <c r="E1796" s="387"/>
    </row>
    <row r="1797" spans="2:5" ht="13.5" customHeight="1">
      <c r="B1797" s="336" t="s">
        <v>1404</v>
      </c>
      <c r="C1797" s="388" t="s">
        <v>7018</v>
      </c>
      <c r="D1797" s="386">
        <v>27310.968564814815</v>
      </c>
      <c r="E1797" s="387"/>
    </row>
    <row r="1798" spans="2:5" ht="13.5" customHeight="1">
      <c r="B1798" s="336" t="s">
        <v>1256</v>
      </c>
      <c r="C1798" s="388" t="s">
        <v>4280</v>
      </c>
      <c r="D1798" s="386">
        <v>27326.090752314816</v>
      </c>
      <c r="E1798" s="387"/>
    </row>
    <row r="1799" spans="2:5" ht="13.5" customHeight="1">
      <c r="B1799" s="336" t="s">
        <v>1405</v>
      </c>
      <c r="C1799" s="388" t="s">
        <v>7019</v>
      </c>
      <c r="D1799" s="386">
        <v>27341.095775462964</v>
      </c>
      <c r="E1799" s="387"/>
    </row>
    <row r="1800" spans="2:5" ht="13.5" customHeight="1">
      <c r="B1800" s="336" t="s">
        <v>1257</v>
      </c>
      <c r="C1800" s="388" t="s">
        <v>4282</v>
      </c>
      <c r="D1800" s="386">
        <v>27355.984872685185</v>
      </c>
      <c r="E1800" s="387"/>
    </row>
    <row r="1801" spans="2:5" ht="13.5" customHeight="1">
      <c r="B1801" s="336" t="s">
        <v>1406</v>
      </c>
      <c r="C1801" s="388" t="s">
        <v>7020</v>
      </c>
      <c r="D1801" s="386">
        <v>27370.794594907409</v>
      </c>
      <c r="E1801" s="387"/>
    </row>
    <row r="1802" spans="2:5" ht="13.5" customHeight="1">
      <c r="B1802" s="336" t="s">
        <v>1258</v>
      </c>
      <c r="C1802" s="389" t="s">
        <v>4284</v>
      </c>
      <c r="D1802" s="386">
        <v>27385.538530092595</v>
      </c>
      <c r="E1802" s="387"/>
    </row>
    <row r="1803" spans="2:5" ht="13.5" customHeight="1">
      <c r="B1803" s="336" t="s">
        <v>1407</v>
      </c>
      <c r="C1803" s="390" t="s">
        <v>9317</v>
      </c>
      <c r="D1803" s="386">
        <v>27400.261805555558</v>
      </c>
      <c r="E1803" s="387"/>
    </row>
    <row r="1804" spans="2:5" ht="13.5" customHeight="1">
      <c r="B1804" s="336" t="s">
        <v>1259</v>
      </c>
      <c r="C1804" s="388" t="s">
        <v>4230</v>
      </c>
      <c r="D1804" s="386">
        <v>27414.983217592595</v>
      </c>
      <c r="E1804" s="387"/>
    </row>
    <row r="1805" spans="2:5" ht="13.5" customHeight="1">
      <c r="B1805" s="336" t="s">
        <v>1408</v>
      </c>
      <c r="C1805" s="388" t="s">
        <v>7010</v>
      </c>
      <c r="D1805" s="386">
        <v>27429.749212962965</v>
      </c>
      <c r="E1805" s="387"/>
    </row>
    <row r="1806" spans="2:5" ht="13.5" customHeight="1">
      <c r="B1806" s="336" t="s">
        <v>1260</v>
      </c>
      <c r="C1806" s="388" t="s">
        <v>4232</v>
      </c>
      <c r="D1806" s="386">
        <v>27444.57605324074</v>
      </c>
      <c r="E1806" s="387"/>
    </row>
    <row r="1807" spans="2:5" ht="13.5" customHeight="1">
      <c r="B1807" s="336" t="s">
        <v>1409</v>
      </c>
      <c r="C1807" s="388" t="s">
        <v>7011</v>
      </c>
      <c r="D1807" s="386">
        <v>27459.503981481481</v>
      </c>
      <c r="E1807" s="387"/>
    </row>
    <row r="1808" spans="2:5" ht="13.5" customHeight="1">
      <c r="B1808" s="336" t="s">
        <v>1261</v>
      </c>
      <c r="C1808" s="389" t="s">
        <v>4234</v>
      </c>
      <c r="D1808" s="386">
        <v>27474.539363425927</v>
      </c>
      <c r="E1808" s="387"/>
    </row>
    <row r="1809" spans="2:5" ht="13.5" customHeight="1">
      <c r="B1809" s="336" t="s">
        <v>1410</v>
      </c>
      <c r="C1809" s="388" t="s">
        <v>7012</v>
      </c>
      <c r="D1809" s="386">
        <v>27489.709432870372</v>
      </c>
      <c r="E1809" s="387"/>
    </row>
    <row r="1810" spans="2:5" ht="13.5" customHeight="1">
      <c r="B1810" s="336" t="s">
        <v>1262</v>
      </c>
      <c r="C1810" s="388" t="s">
        <v>4236</v>
      </c>
      <c r="D1810" s="386">
        <v>27505.005046296297</v>
      </c>
      <c r="E1810" s="387"/>
    </row>
    <row r="1811" spans="2:5" ht="13.5" customHeight="1">
      <c r="B1811" s="336" t="s">
        <v>1411</v>
      </c>
      <c r="C1811" s="388" t="s">
        <v>7013</v>
      </c>
      <c r="D1811" s="386">
        <v>27520.43545138889</v>
      </c>
      <c r="E1811" s="387"/>
    </row>
    <row r="1812" spans="2:5" ht="13.5" customHeight="1">
      <c r="B1812" s="336" t="s">
        <v>1263</v>
      </c>
      <c r="C1812" s="388" t="s">
        <v>4238</v>
      </c>
      <c r="D1812" s="386">
        <v>27535.97457175926</v>
      </c>
      <c r="E1812" s="387"/>
    </row>
    <row r="1813" spans="2:5" ht="13.5" customHeight="1">
      <c r="B1813" s="336" t="s">
        <v>1412</v>
      </c>
      <c r="C1813" s="388" t="s">
        <v>7014</v>
      </c>
      <c r="D1813" s="386">
        <v>27551.612164351853</v>
      </c>
      <c r="E1813" s="387"/>
    </row>
    <row r="1814" spans="2:5" ht="13.5" customHeight="1">
      <c r="B1814" s="336" t="s">
        <v>888</v>
      </c>
      <c r="C1814" s="389" t="s">
        <v>4240</v>
      </c>
      <c r="D1814" s="386">
        <v>27567.309699074074</v>
      </c>
      <c r="E1814" s="387"/>
    </row>
    <row r="1815" spans="2:5" ht="13.5" customHeight="1">
      <c r="B1815" s="336" t="s">
        <v>1413</v>
      </c>
      <c r="C1815" s="388" t="s">
        <v>7015</v>
      </c>
      <c r="D1815" s="386">
        <v>27583.040937500002</v>
      </c>
    </row>
    <row r="1816" spans="2:5" ht="13.5" customHeight="1">
      <c r="B1816" s="336" t="s">
        <v>889</v>
      </c>
      <c r="C1816" s="388" t="s">
        <v>4242</v>
      </c>
      <c r="D1816" s="386">
        <v>27598.764861111111</v>
      </c>
    </row>
    <row r="1817" spans="2:5" ht="13.5" customHeight="1">
      <c r="B1817" s="336" t="s">
        <v>1414</v>
      </c>
      <c r="C1817" s="388" t="s">
        <v>7016</v>
      </c>
      <c r="D1817" s="386">
        <v>27614.447650462964</v>
      </c>
    </row>
    <row r="1818" spans="2:5" ht="13.5" customHeight="1">
      <c r="B1818" s="336" t="s">
        <v>890</v>
      </c>
      <c r="C1818" s="388" t="s">
        <v>4276</v>
      </c>
      <c r="D1818" s="386">
        <v>27630.057731481484</v>
      </c>
    </row>
    <row r="1819" spans="2:5" ht="13.5" customHeight="1">
      <c r="B1819" s="336" t="s">
        <v>1415</v>
      </c>
      <c r="C1819" s="388" t="s">
        <v>7017</v>
      </c>
      <c r="D1819" s="386">
        <v>27645.564479166667</v>
      </c>
    </row>
    <row r="1820" spans="2:5" ht="13.5" customHeight="1">
      <c r="B1820" s="336" t="s">
        <v>891</v>
      </c>
      <c r="C1820" s="389" t="s">
        <v>4278</v>
      </c>
      <c r="D1820" s="386">
        <v>27660.954560185186</v>
      </c>
    </row>
    <row r="1821" spans="2:5" ht="13.5" customHeight="1">
      <c r="B1821" s="336" t="s">
        <v>1416</v>
      </c>
      <c r="C1821" s="388" t="s">
        <v>7018</v>
      </c>
      <c r="D1821" s="386">
        <v>27676.209537037037</v>
      </c>
    </row>
    <row r="1822" spans="2:5" ht="13.5" customHeight="1">
      <c r="B1822" s="336" t="s">
        <v>892</v>
      </c>
      <c r="C1822" s="388" t="s">
        <v>4280</v>
      </c>
      <c r="D1822" s="386">
        <v>27691.337222222224</v>
      </c>
    </row>
    <row r="1823" spans="2:5" ht="13.5" customHeight="1">
      <c r="B1823" s="336" t="s">
        <v>1417</v>
      </c>
      <c r="C1823" s="388" t="s">
        <v>7019</v>
      </c>
      <c r="D1823" s="386">
        <v>27706.335046296299</v>
      </c>
    </row>
    <row r="1824" spans="2:5" ht="13.5" customHeight="1">
      <c r="B1824" s="336" t="s">
        <v>6462</v>
      </c>
      <c r="C1824" s="388" t="s">
        <v>4282</v>
      </c>
      <c r="D1824" s="386">
        <v>27721.229421296299</v>
      </c>
    </row>
    <row r="1825" spans="2:4" ht="13.5" customHeight="1">
      <c r="B1825" s="336" t="s">
        <v>1418</v>
      </c>
      <c r="C1825" s="388" t="s">
        <v>7020</v>
      </c>
      <c r="D1825" s="386">
        <v>27736.031875000001</v>
      </c>
    </row>
    <row r="1826" spans="2:4" ht="13.5" customHeight="1">
      <c r="B1826" s="336" t="s">
        <v>6463</v>
      </c>
      <c r="C1826" s="389" t="s">
        <v>4284</v>
      </c>
      <c r="D1826" s="386">
        <v>27750.781319444446</v>
      </c>
    </row>
    <row r="1827" spans="2:4" ht="13.5" customHeight="1">
      <c r="B1827" s="336" t="s">
        <v>1419</v>
      </c>
      <c r="C1827" s="390" t="s">
        <v>9317</v>
      </c>
      <c r="D1827" s="386">
        <v>27765.497881944444</v>
      </c>
    </row>
    <row r="1828" spans="2:4" ht="13.5" customHeight="1">
      <c r="B1828" s="336" t="s">
        <v>6464</v>
      </c>
      <c r="C1828" s="388" t="s">
        <v>4230</v>
      </c>
      <c r="D1828" s="386">
        <v>27780.225416666668</v>
      </c>
    </row>
    <row r="1829" spans="2:4" ht="13.5" customHeight="1">
      <c r="B1829" s="336" t="s">
        <v>9000</v>
      </c>
      <c r="C1829" s="388" t="s">
        <v>7010</v>
      </c>
      <c r="D1829" s="386">
        <v>27794.985416666666</v>
      </c>
    </row>
    <row r="1830" spans="2:4" ht="13.5" customHeight="1">
      <c r="B1830" s="336" t="s">
        <v>6465</v>
      </c>
      <c r="C1830" s="388" t="s">
        <v>4232</v>
      </c>
      <c r="D1830" s="386">
        <v>27809.819074074076</v>
      </c>
    </row>
    <row r="1831" spans="2:4" ht="13.5" customHeight="1">
      <c r="B1831" s="336" t="s">
        <v>9001</v>
      </c>
      <c r="C1831" s="388" t="s">
        <v>7011</v>
      </c>
      <c r="D1831" s="386">
        <v>27824.741423611111</v>
      </c>
    </row>
    <row r="1832" spans="2:4" ht="13.5" customHeight="1">
      <c r="B1832" s="336" t="s">
        <v>6466</v>
      </c>
      <c r="C1832" s="389" t="s">
        <v>4234</v>
      </c>
      <c r="D1832" s="386">
        <v>27839.784201388891</v>
      </c>
    </row>
    <row r="1833" spans="2:4" ht="13.5" customHeight="1">
      <c r="B1833" s="336" t="s">
        <v>9002</v>
      </c>
      <c r="C1833" s="388" t="s">
        <v>7012</v>
      </c>
      <c r="D1833" s="386">
        <v>27854.948611111111</v>
      </c>
    </row>
    <row r="1834" spans="2:4" ht="13.5" customHeight="1">
      <c r="B1834" s="336" t="s">
        <v>6467</v>
      </c>
      <c r="C1834" s="388" t="s">
        <v>4236</v>
      </c>
      <c r="D1834" s="386">
        <v>27870.251863425929</v>
      </c>
    </row>
    <row r="1835" spans="2:4" ht="13.5" customHeight="1">
      <c r="B1835" s="336" t="s">
        <v>9003</v>
      </c>
      <c r="C1835" s="388" t="s">
        <v>7013</v>
      </c>
      <c r="D1835" s="386">
        <v>27885.676365740743</v>
      </c>
    </row>
    <row r="1836" spans="2:4" ht="13.5" customHeight="1">
      <c r="B1836" s="336" t="s">
        <v>7388</v>
      </c>
      <c r="C1836" s="388" t="s">
        <v>4238</v>
      </c>
      <c r="D1836" s="386">
        <v>27901.222766203704</v>
      </c>
    </row>
    <row r="1837" spans="2:4" ht="13.5" customHeight="1">
      <c r="B1837" s="336" t="s">
        <v>9004</v>
      </c>
      <c r="C1837" s="388" t="s">
        <v>7014</v>
      </c>
      <c r="D1837" s="386">
        <v>27916.854710648149</v>
      </c>
    </row>
    <row r="1838" spans="2:4" ht="13.5" customHeight="1">
      <c r="B1838" s="336" t="s">
        <v>7389</v>
      </c>
      <c r="C1838" s="389" t="s">
        <v>4240</v>
      </c>
      <c r="D1838" s="386">
        <v>27932.558240740742</v>
      </c>
    </row>
    <row r="1839" spans="2:4" ht="13.5" customHeight="1">
      <c r="B1839" s="336" t="s">
        <v>8823</v>
      </c>
      <c r="C1839" s="388" t="s">
        <v>7015</v>
      </c>
      <c r="D1839" s="386">
        <v>27948.285081018519</v>
      </c>
    </row>
    <row r="1840" spans="2:4" ht="13.5" customHeight="1">
      <c r="B1840" s="336" t="s">
        <v>7390</v>
      </c>
      <c r="C1840" s="388" t="s">
        <v>4242</v>
      </c>
      <c r="D1840" s="386">
        <v>27964.012731481482</v>
      </c>
    </row>
    <row r="1841" spans="2:4" ht="13.5" customHeight="1">
      <c r="B1841" s="336" t="s">
        <v>8824</v>
      </c>
      <c r="C1841" s="388" t="s">
        <v>7016</v>
      </c>
      <c r="D1841" s="386">
        <v>27979.693287037036</v>
      </c>
    </row>
    <row r="1842" spans="2:4" ht="13.5" customHeight="1">
      <c r="B1842" s="336" t="s">
        <v>7391</v>
      </c>
      <c r="C1842" s="388" t="s">
        <v>4276</v>
      </c>
      <c r="D1842" s="386">
        <v>27995.304421296296</v>
      </c>
    </row>
    <row r="1843" spans="2:4" ht="13.5" customHeight="1">
      <c r="B1843" s="336" t="s">
        <v>8825</v>
      </c>
      <c r="C1843" s="388" t="s">
        <v>7017</v>
      </c>
      <c r="D1843" s="386">
        <v>28010.811192129629</v>
      </c>
    </row>
    <row r="1844" spans="2:4" ht="13.5" customHeight="1">
      <c r="B1844" s="336" t="s">
        <v>1846</v>
      </c>
      <c r="C1844" s="389" t="s">
        <v>4278</v>
      </c>
      <c r="D1844" s="386">
        <v>28026.20008101852</v>
      </c>
    </row>
    <row r="1845" spans="2:4" ht="13.5" customHeight="1">
      <c r="B1845" s="336" t="s">
        <v>3474</v>
      </c>
      <c r="C1845" s="388" t="s">
        <v>7018</v>
      </c>
      <c r="D1845" s="386">
        <v>28041.456689814815</v>
      </c>
    </row>
    <row r="1846" spans="2:4" ht="13.5" customHeight="1">
      <c r="B1846" s="336" t="s">
        <v>2671</v>
      </c>
      <c r="C1846" s="388" t="s">
        <v>4280</v>
      </c>
      <c r="D1846" s="386">
        <v>28056.581701388892</v>
      </c>
    </row>
    <row r="1847" spans="2:4" ht="13.5" customHeight="1">
      <c r="B1847" s="336" t="s">
        <v>3475</v>
      </c>
      <c r="C1847" s="388" t="s">
        <v>7019</v>
      </c>
      <c r="D1847" s="386">
        <v>28071.581956018519</v>
      </c>
    </row>
    <row r="1848" spans="2:4" ht="13.5" customHeight="1">
      <c r="B1848" s="336" t="s">
        <v>3643</v>
      </c>
      <c r="C1848" s="388" t="s">
        <v>4282</v>
      </c>
      <c r="D1848" s="386">
        <v>28086.472986111112</v>
      </c>
    </row>
    <row r="1849" spans="2:4" ht="13.5" customHeight="1">
      <c r="B1849" s="336" t="s">
        <v>3476</v>
      </c>
      <c r="C1849" s="388" t="s">
        <v>7020</v>
      </c>
      <c r="D1849" s="386">
        <v>28101.278101851854</v>
      </c>
    </row>
    <row r="1850" spans="2:4" ht="13.5" customHeight="1">
      <c r="B1850" s="336" t="s">
        <v>3644</v>
      </c>
      <c r="C1850" s="389" t="s">
        <v>4284</v>
      </c>
      <c r="D1850" s="386">
        <v>28116.024166666666</v>
      </c>
    </row>
    <row r="1851" spans="2:4" ht="13.5" customHeight="1">
      <c r="B1851" s="336" t="s">
        <v>3477</v>
      </c>
      <c r="C1851" s="390" t="s">
        <v>9317</v>
      </c>
      <c r="D1851" s="386">
        <v>28130.743541666667</v>
      </c>
    </row>
    <row r="1852" spans="2:4" ht="13.5" customHeight="1">
      <c r="B1852" s="336" t="s">
        <v>3645</v>
      </c>
      <c r="C1852" s="388" t="s">
        <v>4230</v>
      </c>
      <c r="D1852" s="386">
        <v>28145.468136574076</v>
      </c>
    </row>
    <row r="1853" spans="2:4" ht="13.5" customHeight="1">
      <c r="B1853" s="336" t="s">
        <v>1236</v>
      </c>
      <c r="C1853" s="388" t="s">
        <v>7010</v>
      </c>
      <c r="D1853" s="386">
        <v>28160.231365740743</v>
      </c>
    </row>
    <row r="1854" spans="2:4" ht="13.5" customHeight="1">
      <c r="B1854" s="336" t="s">
        <v>3646</v>
      </c>
      <c r="C1854" s="388" t="s">
        <v>4232</v>
      </c>
      <c r="D1854" s="386">
        <v>28175.062615740742</v>
      </c>
    </row>
    <row r="1855" spans="2:4" ht="13.5" customHeight="1">
      <c r="B1855" s="336" t="s">
        <v>1237</v>
      </c>
      <c r="C1855" s="388" t="s">
        <v>7011</v>
      </c>
      <c r="D1855" s="386">
        <v>28189.988935185185</v>
      </c>
    </row>
    <row r="1856" spans="2:4" ht="13.5" customHeight="1">
      <c r="B1856" s="336" t="s">
        <v>3647</v>
      </c>
      <c r="C1856" s="389" t="s">
        <v>4234</v>
      </c>
      <c r="D1856" s="386">
        <v>28205.029247685186</v>
      </c>
    </row>
    <row r="1857" spans="2:4" ht="13.5" customHeight="1">
      <c r="B1857" s="336" t="s">
        <v>1238</v>
      </c>
      <c r="C1857" s="388" t="s">
        <v>7012</v>
      </c>
      <c r="D1857" s="386">
        <v>28220.198460648149</v>
      </c>
    </row>
    <row r="1858" spans="2:4" ht="13.5" customHeight="1">
      <c r="B1858" s="336" t="s">
        <v>3648</v>
      </c>
      <c r="C1858" s="388" t="s">
        <v>4236</v>
      </c>
      <c r="D1858" s="386">
        <v>28235.498020833336</v>
      </c>
    </row>
    <row r="1859" spans="2:4" ht="13.5" customHeight="1">
      <c r="B1859" s="336" t="s">
        <v>1239</v>
      </c>
      <c r="C1859" s="388" t="s">
        <v>7013</v>
      </c>
      <c r="D1859" s="386">
        <v>28250.927893518521</v>
      </c>
    </row>
    <row r="1860" spans="2:4" ht="13.5" customHeight="1">
      <c r="B1860" s="336" t="s">
        <v>2170</v>
      </c>
      <c r="C1860" s="388" t="s">
        <v>4238</v>
      </c>
      <c r="D1860" s="386">
        <v>28266.468321759261</v>
      </c>
    </row>
    <row r="1861" spans="2:4" ht="13.5" customHeight="1">
      <c r="B1861" s="336" t="s">
        <v>1240</v>
      </c>
      <c r="C1861" s="388" t="s">
        <v>7014</v>
      </c>
      <c r="D1861" s="386">
        <v>28282.105740740742</v>
      </c>
    </row>
    <row r="1862" spans="2:4" ht="13.5" customHeight="1">
      <c r="B1862" s="336" t="s">
        <v>2171</v>
      </c>
      <c r="C1862" s="389" t="s">
        <v>4240</v>
      </c>
      <c r="D1862" s="386">
        <v>28297.801180555558</v>
      </c>
    </row>
    <row r="1863" spans="2:4" ht="13.5" customHeight="1">
      <c r="B1863" s="336" t="s">
        <v>1241</v>
      </c>
      <c r="C1863" s="388" t="s">
        <v>7015</v>
      </c>
      <c r="D1863" s="386">
        <v>28313.533206018521</v>
      </c>
    </row>
    <row r="1864" spans="2:4" ht="13.5" customHeight="1">
      <c r="B1864" s="336" t="s">
        <v>2172</v>
      </c>
      <c r="C1864" s="388" t="s">
        <v>4242</v>
      </c>
      <c r="D1864" s="386">
        <v>28329.252326388891</v>
      </c>
    </row>
    <row r="1865" spans="2:4" ht="13.5" customHeight="1">
      <c r="B1865" s="336" t="s">
        <v>1242</v>
      </c>
      <c r="C1865" s="388" t="s">
        <v>7016</v>
      </c>
      <c r="D1865" s="386">
        <v>28344.937569444446</v>
      </c>
    </row>
    <row r="1866" spans="2:4" ht="13.5" customHeight="1">
      <c r="B1866" s="336" t="s">
        <v>2173</v>
      </c>
      <c r="C1866" s="388" t="s">
        <v>4276</v>
      </c>
      <c r="D1866" s="386">
        <v>28360.541747685187</v>
      </c>
    </row>
    <row r="1867" spans="2:4" ht="13.5" customHeight="1">
      <c r="B1867" s="336" t="s">
        <v>1243</v>
      </c>
      <c r="C1867" s="388" t="s">
        <v>7017</v>
      </c>
      <c r="D1867" s="386">
        <v>28376.05263888889</v>
      </c>
    </row>
    <row r="1868" spans="2:4" ht="13.5" customHeight="1">
      <c r="B1868" s="336" t="s">
        <v>2174</v>
      </c>
      <c r="C1868" s="389" t="s">
        <v>4278</v>
      </c>
      <c r="D1868" s="386">
        <v>28391.437037037038</v>
      </c>
    </row>
    <row r="1869" spans="2:4" ht="13.5" customHeight="1">
      <c r="B1869" s="336" t="s">
        <v>1244</v>
      </c>
      <c r="C1869" s="388" t="s">
        <v>7018</v>
      </c>
      <c r="D1869" s="386">
        <v>28406.697268518521</v>
      </c>
    </row>
    <row r="1870" spans="2:4" ht="13.5" customHeight="1">
      <c r="B1870" s="336" t="s">
        <v>1967</v>
      </c>
      <c r="C1870" s="388" t="s">
        <v>4280</v>
      </c>
      <c r="D1870" s="386">
        <v>28421.819803240742</v>
      </c>
    </row>
    <row r="1871" spans="2:4" ht="13.5" customHeight="1">
      <c r="B1871" s="336" t="s">
        <v>1245</v>
      </c>
      <c r="C1871" s="388" t="s">
        <v>7019</v>
      </c>
      <c r="D1871" s="386">
        <v>28436.823298611111</v>
      </c>
    </row>
    <row r="1872" spans="2:4" ht="13.5" customHeight="1">
      <c r="B1872" s="336" t="s">
        <v>1968</v>
      </c>
      <c r="C1872" s="388" t="s">
        <v>4282</v>
      </c>
      <c r="D1872" s="386">
        <v>28451.712847222225</v>
      </c>
    </row>
    <row r="1873" spans="2:4" ht="13.5" customHeight="1">
      <c r="B1873" s="336" t="s">
        <v>1246</v>
      </c>
      <c r="C1873" s="388" t="s">
        <v>7020</v>
      </c>
      <c r="D1873" s="386">
        <v>28466.520960648148</v>
      </c>
    </row>
    <row r="1874" spans="2:4" ht="13.5" customHeight="1">
      <c r="B1874" s="336" t="s">
        <v>1969</v>
      </c>
      <c r="C1874" s="389" t="s">
        <v>4284</v>
      </c>
      <c r="D1874" s="386">
        <v>28481.265659722223</v>
      </c>
    </row>
    <row r="1875" spans="2:4" ht="13.5" customHeight="1">
      <c r="B1875" s="336" t="s">
        <v>1247</v>
      </c>
      <c r="C1875" s="390" t="s">
        <v>9317</v>
      </c>
      <c r="D1875" s="386">
        <v>28495.987881944446</v>
      </c>
    </row>
    <row r="1876" spans="2:4" ht="13.5" customHeight="1">
      <c r="B1876" s="336" t="s">
        <v>1970</v>
      </c>
      <c r="C1876" s="388" t="s">
        <v>4230</v>
      </c>
      <c r="D1876" s="386">
        <v>28510.710787037038</v>
      </c>
    </row>
    <row r="1877" spans="2:4" ht="13.5" customHeight="1">
      <c r="B1877" s="336" t="s">
        <v>1248</v>
      </c>
      <c r="C1877" s="388" t="s">
        <v>7010</v>
      </c>
      <c r="D1877" s="386">
        <v>28525.476666666669</v>
      </c>
    </row>
    <row r="1878" spans="2:4" ht="13.5" customHeight="1">
      <c r="B1878" s="336" t="s">
        <v>1971</v>
      </c>
      <c r="C1878" s="388" t="s">
        <v>4232</v>
      </c>
      <c r="D1878" s="386">
        <v>28540.305925925928</v>
      </c>
    </row>
    <row r="1879" spans="2:4" ht="13.5" customHeight="1">
      <c r="B1879" s="336" t="s">
        <v>1249</v>
      </c>
      <c r="C1879" s="388" t="s">
        <v>7011</v>
      </c>
      <c r="D1879" s="386">
        <v>28555.234525462965</v>
      </c>
    </row>
    <row r="1880" spans="2:4" ht="13.5" customHeight="1">
      <c r="B1880" s="336" t="s">
        <v>1972</v>
      </c>
      <c r="C1880" s="389" t="s">
        <v>4234</v>
      </c>
      <c r="D1880" s="386">
        <v>28570.273113425927</v>
      </c>
    </row>
    <row r="1881" spans="2:4" ht="13.5" customHeight="1">
      <c r="B1881" s="336" t="s">
        <v>1250</v>
      </c>
      <c r="C1881" s="388" t="s">
        <v>7012</v>
      </c>
      <c r="D1881" s="386">
        <v>28585.443796296298</v>
      </c>
    </row>
    <row r="1882" spans="2:4" ht="13.5" customHeight="1">
      <c r="B1882" s="336" t="s">
        <v>2618</v>
      </c>
      <c r="C1882" s="388" t="s">
        <v>4236</v>
      </c>
      <c r="D1882" s="386">
        <v>28600.742743055558</v>
      </c>
    </row>
    <row r="1883" spans="2:4" ht="13.5" customHeight="1">
      <c r="B1883" s="336" t="s">
        <v>1251</v>
      </c>
      <c r="C1883" s="388" t="s">
        <v>7013</v>
      </c>
      <c r="D1883" s="386">
        <v>28616.172615740743</v>
      </c>
    </row>
    <row r="1884" spans="2:4" ht="13.5" customHeight="1">
      <c r="B1884" s="336" t="s">
        <v>2619</v>
      </c>
      <c r="C1884" s="388" t="s">
        <v>4238</v>
      </c>
      <c r="D1884" s="386">
        <v>28631.71434027778</v>
      </c>
    </row>
    <row r="1885" spans="2:4" ht="13.5" customHeight="1">
      <c r="B1885" s="336" t="s">
        <v>1252</v>
      </c>
      <c r="C1885" s="388" t="s">
        <v>7014</v>
      </c>
      <c r="D1885" s="386">
        <v>28647.34951388889</v>
      </c>
    </row>
    <row r="1886" spans="2:4" ht="13.5" customHeight="1">
      <c r="B1886" s="336" t="s">
        <v>2706</v>
      </c>
      <c r="C1886" s="389" t="s">
        <v>4240</v>
      </c>
      <c r="D1886" s="386">
        <v>28663.048460648148</v>
      </c>
    </row>
    <row r="1887" spans="2:4" ht="13.5" customHeight="1">
      <c r="B1887" s="336" t="s">
        <v>1253</v>
      </c>
      <c r="C1887" s="388" t="s">
        <v>7015</v>
      </c>
      <c r="D1887" s="386">
        <v>28678.775694444445</v>
      </c>
    </row>
    <row r="1888" spans="2:4" ht="13.5" customHeight="1">
      <c r="B1888" s="336" t="s">
        <v>2707</v>
      </c>
      <c r="C1888" s="388" t="s">
        <v>4242</v>
      </c>
      <c r="D1888" s="386">
        <v>28694.500092592592</v>
      </c>
    </row>
    <row r="1889" spans="2:4" ht="13.5" customHeight="1">
      <c r="B1889" s="336" t="s">
        <v>1254</v>
      </c>
      <c r="C1889" s="388" t="s">
        <v>7016</v>
      </c>
      <c r="D1889" s="386">
        <v>28710.178750000003</v>
      </c>
    </row>
    <row r="1890" spans="2:4" ht="13.5" customHeight="1">
      <c r="B1890" s="336" t="s">
        <v>2708</v>
      </c>
      <c r="C1890" s="388" t="s">
        <v>4276</v>
      </c>
      <c r="D1890" s="386">
        <v>28725.789247685185</v>
      </c>
    </row>
    <row r="1891" spans="2:4" ht="13.5" customHeight="1">
      <c r="B1891" s="336" t="s">
        <v>350</v>
      </c>
      <c r="C1891" s="388" t="s">
        <v>7017</v>
      </c>
      <c r="D1891" s="386">
        <v>28741.293206018519</v>
      </c>
    </row>
    <row r="1892" spans="2:4" ht="13.5" customHeight="1">
      <c r="B1892" s="336" t="s">
        <v>2709</v>
      </c>
      <c r="C1892" s="389" t="s">
        <v>4278</v>
      </c>
      <c r="D1892" s="386">
        <v>28756.684351851854</v>
      </c>
    </row>
    <row r="1893" spans="2:4" ht="13.5" customHeight="1">
      <c r="B1893" s="336" t="s">
        <v>4593</v>
      </c>
      <c r="C1893" s="388" t="s">
        <v>7018</v>
      </c>
      <c r="D1893" s="386">
        <v>28771.938263888889</v>
      </c>
    </row>
    <row r="1894" spans="2:4" ht="13.5" customHeight="1">
      <c r="B1894" s="336" t="s">
        <v>2710</v>
      </c>
      <c r="C1894" s="388" t="s">
        <v>4280</v>
      </c>
      <c r="D1894" s="386">
        <v>28787.067615740743</v>
      </c>
    </row>
    <row r="1895" spans="2:4" ht="13.5" customHeight="1">
      <c r="B1895" s="336" t="s">
        <v>4594</v>
      </c>
      <c r="C1895" s="388" t="s">
        <v>7019</v>
      </c>
      <c r="D1895" s="386">
        <v>28802.065381944445</v>
      </c>
    </row>
    <row r="1896" spans="2:4" ht="13.5" customHeight="1">
      <c r="B1896" s="336" t="s">
        <v>2711</v>
      </c>
      <c r="C1896" s="388" t="s">
        <v>4282</v>
      </c>
      <c r="D1896" s="386">
        <v>28816.961388888889</v>
      </c>
    </row>
    <row r="1897" spans="2:4" ht="13.5" customHeight="1">
      <c r="B1897" s="336" t="s">
        <v>4595</v>
      </c>
      <c r="C1897" s="388" t="s">
        <v>7020</v>
      </c>
      <c r="D1897" s="386">
        <v>28831.763703703706</v>
      </c>
    </row>
    <row r="1898" spans="2:4" ht="13.5" customHeight="1">
      <c r="B1898" s="336" t="s">
        <v>2712</v>
      </c>
      <c r="C1898" s="389" t="s">
        <v>4284</v>
      </c>
      <c r="D1898" s="386">
        <v>28846.514224537037</v>
      </c>
    </row>
    <row r="1899" spans="2:4" ht="13.5" customHeight="1">
      <c r="B1899" s="336" t="s">
        <v>4596</v>
      </c>
      <c r="C1899" s="390" t="s">
        <v>9317</v>
      </c>
      <c r="D1899" s="386">
        <v>28861.22996527778</v>
      </c>
    </row>
    <row r="1900" spans="2:4" ht="13.5" customHeight="1">
      <c r="B1900" s="336" t="s">
        <v>2713</v>
      </c>
      <c r="C1900" s="388" t="s">
        <v>4230</v>
      </c>
      <c r="D1900" s="386">
        <v>28875.957974537039</v>
      </c>
    </row>
    <row r="1901" spans="2:4" ht="13.5" customHeight="1">
      <c r="B1901" s="336" t="s">
        <v>4597</v>
      </c>
      <c r="C1901" s="388" t="s">
        <v>7010</v>
      </c>
      <c r="D1901" s="386">
        <v>28890.716655092594</v>
      </c>
    </row>
    <row r="1902" spans="2:4" ht="13.5" customHeight="1">
      <c r="B1902" s="336" t="s">
        <v>2714</v>
      </c>
      <c r="C1902" s="388" t="s">
        <v>4232</v>
      </c>
      <c r="D1902" s="386">
        <v>28905.550578703704</v>
      </c>
    </row>
    <row r="1903" spans="2:4" ht="13.5" customHeight="1">
      <c r="B1903" s="336" t="s">
        <v>4598</v>
      </c>
      <c r="C1903" s="388" t="s">
        <v>7011</v>
      </c>
      <c r="D1903" s="386">
        <v>28920.471770833334</v>
      </c>
    </row>
    <row r="1904" spans="2:4" ht="13.5" customHeight="1">
      <c r="B1904" s="336" t="s">
        <v>2715</v>
      </c>
      <c r="C1904" s="389" t="s">
        <v>4234</v>
      </c>
      <c r="D1904" s="386">
        <v>28935.514988425926</v>
      </c>
    </row>
    <row r="1905" spans="2:4" ht="13.5" customHeight="1">
      <c r="B1905" s="336" t="s">
        <v>4599</v>
      </c>
      <c r="C1905" s="388" t="s">
        <v>7012</v>
      </c>
      <c r="D1905" s="386">
        <v>28950.678969907407</v>
      </c>
    </row>
    <row r="1906" spans="2:4" ht="13.5" customHeight="1">
      <c r="B1906" s="336" t="s">
        <v>2716</v>
      </c>
      <c r="C1906" s="388" t="s">
        <v>4236</v>
      </c>
      <c r="D1906" s="386">
        <v>28965.982743055556</v>
      </c>
    </row>
    <row r="1907" spans="2:4" ht="13.5" customHeight="1">
      <c r="B1907" s="336" t="s">
        <v>4600</v>
      </c>
      <c r="C1907" s="388" t="s">
        <v>7013</v>
      </c>
      <c r="D1907" s="386">
        <v>28981.407650462963</v>
      </c>
    </row>
    <row r="1908" spans="2:4" ht="13.5" customHeight="1">
      <c r="B1908" s="336" t="s">
        <v>2717</v>
      </c>
      <c r="C1908" s="388" t="s">
        <v>4238</v>
      </c>
      <c r="D1908" s="386">
        <v>28996.953935185185</v>
      </c>
    </row>
    <row r="1909" spans="2:4" ht="13.5" customHeight="1">
      <c r="B1909" s="336" t="s">
        <v>4601</v>
      </c>
      <c r="C1909" s="388" t="s">
        <v>7014</v>
      </c>
      <c r="D1909" s="386">
        <v>29012.586805555558</v>
      </c>
    </row>
    <row r="1910" spans="2:4" ht="13.5" customHeight="1">
      <c r="B1910" s="336" t="s">
        <v>2718</v>
      </c>
      <c r="C1910" s="389" t="s">
        <v>4240</v>
      </c>
      <c r="D1910" s="386">
        <v>29028.288900462965</v>
      </c>
    </row>
    <row r="1911" spans="2:4" ht="13.5" customHeight="1">
      <c r="B1911" s="336" t="s">
        <v>4602</v>
      </c>
      <c r="C1911" s="388" t="s">
        <v>7015</v>
      </c>
      <c r="D1911" s="386">
        <v>29044.016921296297</v>
      </c>
    </row>
    <row r="1912" spans="2:4" ht="13.5" customHeight="1">
      <c r="B1912" s="336" t="s">
        <v>4902</v>
      </c>
      <c r="C1912" s="388" t="s">
        <v>4242</v>
      </c>
      <c r="D1912" s="386">
        <v>29059.741921296296</v>
      </c>
    </row>
    <row r="1913" spans="2:4" ht="13.5" customHeight="1">
      <c r="B1913" s="336" t="s">
        <v>4603</v>
      </c>
      <c r="C1913" s="388" t="s">
        <v>7016</v>
      </c>
      <c r="D1913" s="386">
        <v>29075.423993055556</v>
      </c>
    </row>
    <row r="1914" spans="2:4" ht="13.5" customHeight="1">
      <c r="B1914" s="336" t="s">
        <v>4903</v>
      </c>
      <c r="C1914" s="388" t="s">
        <v>4276</v>
      </c>
      <c r="D1914" s="386">
        <v>29091.032222222224</v>
      </c>
    </row>
    <row r="1915" spans="2:4" ht="13.5" customHeight="1">
      <c r="B1915" s="336" t="s">
        <v>4604</v>
      </c>
      <c r="C1915" s="388" t="s">
        <v>7017</v>
      </c>
      <c r="D1915" s="386">
        <v>29106.541122685187</v>
      </c>
    </row>
    <row r="1916" spans="2:4" ht="13.5" customHeight="1">
      <c r="B1916" s="336" t="s">
        <v>4904</v>
      </c>
      <c r="C1916" s="389" t="s">
        <v>4278</v>
      </c>
      <c r="D1916" s="386">
        <v>29121.927731481483</v>
      </c>
    </row>
    <row r="1917" spans="2:4" ht="13.5" customHeight="1">
      <c r="B1917" s="336" t="s">
        <v>4605</v>
      </c>
      <c r="C1917" s="388" t="s">
        <v>7018</v>
      </c>
      <c r="D1917" s="386">
        <v>29137.18715277778</v>
      </c>
    </row>
    <row r="1918" spans="2:4" ht="13.5" customHeight="1">
      <c r="B1918" s="336" t="s">
        <v>4905</v>
      </c>
      <c r="C1918" s="388" t="s">
        <v>4280</v>
      </c>
      <c r="D1918" s="386">
        <v>29152.310717592594</v>
      </c>
    </row>
    <row r="1919" spans="2:4" ht="13.5" customHeight="1">
      <c r="B1919" s="336" t="s">
        <v>4606</v>
      </c>
      <c r="C1919" s="388" t="s">
        <v>7019</v>
      </c>
      <c r="D1919" s="386">
        <v>29167.314120370371</v>
      </c>
    </row>
    <row r="1920" spans="2:4" ht="13.5" customHeight="1">
      <c r="B1920" s="336" t="s">
        <v>4906</v>
      </c>
      <c r="C1920" s="388" t="s">
        <v>4282</v>
      </c>
      <c r="D1920" s="386">
        <v>29182.203993055558</v>
      </c>
    </row>
    <row r="1921" spans="2:4" ht="13.5" customHeight="1">
      <c r="B1921" s="336" t="s">
        <v>8755</v>
      </c>
      <c r="C1921" s="388" t="s">
        <v>7020</v>
      </c>
      <c r="D1921" s="386">
        <v>29197.012048611112</v>
      </c>
    </row>
    <row r="1922" spans="2:4" ht="13.5" customHeight="1">
      <c r="B1922" s="336" t="s">
        <v>4907</v>
      </c>
      <c r="C1922" s="389" t="s">
        <v>4284</v>
      </c>
      <c r="D1922" s="386">
        <v>29211.756516203706</v>
      </c>
    </row>
    <row r="1923" spans="2:4" ht="13.5" customHeight="1">
      <c r="B1923" s="336" t="s">
        <v>8756</v>
      </c>
      <c r="C1923" s="390" t="s">
        <v>9317</v>
      </c>
      <c r="D1923" s="386">
        <v>29226.478067129632</v>
      </c>
    </row>
    <row r="1924" spans="2:4" ht="13.5" customHeight="1">
      <c r="B1924" s="336" t="s">
        <v>7033</v>
      </c>
      <c r="C1924" s="388" t="s">
        <v>4230</v>
      </c>
      <c r="D1924" s="386">
        <v>29241.200138888889</v>
      </c>
    </row>
    <row r="1925" spans="2:4" ht="13.5" customHeight="1">
      <c r="B1925" s="336" t="s">
        <v>8757</v>
      </c>
      <c r="C1925" s="388" t="s">
        <v>7010</v>
      </c>
      <c r="D1925" s="386">
        <v>29255.964629629631</v>
      </c>
    </row>
    <row r="1926" spans="2:4" ht="13.5" customHeight="1">
      <c r="B1926" s="336" t="s">
        <v>7034</v>
      </c>
      <c r="C1926" s="388" t="s">
        <v>4232</v>
      </c>
      <c r="D1926" s="386">
        <v>29270.792523148149</v>
      </c>
    </row>
    <row r="1927" spans="2:4" ht="13.5" customHeight="1">
      <c r="B1927" s="336" t="s">
        <v>8758</v>
      </c>
      <c r="C1927" s="388" t="s">
        <v>7011</v>
      </c>
      <c r="D1927" s="386">
        <v>29285.719571759262</v>
      </c>
    </row>
    <row r="1928" spans="2:4" ht="13.5" customHeight="1">
      <c r="B1928" s="336" t="s">
        <v>7035</v>
      </c>
      <c r="C1928" s="389" t="s">
        <v>4234</v>
      </c>
      <c r="D1928" s="386">
        <v>29300.756458333333</v>
      </c>
    </row>
    <row r="1929" spans="2:4" ht="13.5" customHeight="1">
      <c r="B1929" s="336" t="s">
        <v>8759</v>
      </c>
      <c r="C1929" s="388" t="s">
        <v>7012</v>
      </c>
      <c r="D1929" s="386">
        <v>29315.926712962962</v>
      </c>
    </row>
    <row r="1930" spans="2:4" ht="13.5" customHeight="1">
      <c r="B1930" s="336" t="s">
        <v>7036</v>
      </c>
      <c r="C1930" s="388" t="s">
        <v>4236</v>
      </c>
      <c r="D1930" s="386">
        <v>29331.223935185186</v>
      </c>
    </row>
    <row r="1931" spans="2:4" ht="13.5" customHeight="1">
      <c r="B1931" s="336" t="s">
        <v>8760</v>
      </c>
      <c r="C1931" s="388" t="s">
        <v>7013</v>
      </c>
      <c r="D1931" s="386">
        <v>29346.655810185188</v>
      </c>
    </row>
    <row r="1932" spans="2:4" ht="13.5" customHeight="1">
      <c r="B1932" s="336" t="s">
        <v>7037</v>
      </c>
      <c r="C1932" s="388" t="s">
        <v>4238</v>
      </c>
      <c r="D1932" s="386">
        <v>29362.195752314816</v>
      </c>
    </row>
    <row r="1933" spans="2:4" ht="13.5" customHeight="1">
      <c r="B1933" s="336" t="s">
        <v>8761</v>
      </c>
      <c r="C1933" s="388" t="s">
        <v>7014</v>
      </c>
      <c r="D1933" s="386">
        <v>29377.835833333334</v>
      </c>
    </row>
    <row r="1934" spans="2:4" ht="13.5" customHeight="1">
      <c r="B1934" s="336" t="s">
        <v>7038</v>
      </c>
      <c r="C1934" s="389" t="s">
        <v>4240</v>
      </c>
      <c r="D1934" s="386">
        <v>29393.532407407409</v>
      </c>
    </row>
    <row r="1935" spans="2:4" ht="13.5" customHeight="1">
      <c r="B1935" s="336" t="s">
        <v>8762</v>
      </c>
      <c r="C1935" s="388" t="s">
        <v>7015</v>
      </c>
      <c r="D1935" s="386">
        <v>29409.266412037039</v>
      </c>
    </row>
    <row r="1936" spans="2:4" ht="13.5" customHeight="1">
      <c r="B1936" s="336" t="s">
        <v>1029</v>
      </c>
      <c r="C1936" s="388" t="s">
        <v>4242</v>
      </c>
      <c r="D1936" s="386">
        <v>29424.987199074076</v>
      </c>
    </row>
    <row r="1937" spans="2:4" ht="13.5" customHeight="1">
      <c r="B1937" s="336" t="s">
        <v>8763</v>
      </c>
      <c r="C1937" s="388" t="s">
        <v>7016</v>
      </c>
      <c r="D1937" s="386">
        <v>29440.672488425927</v>
      </c>
    </row>
    <row r="1938" spans="2:4" ht="13.5" customHeight="1">
      <c r="B1938" s="336" t="s">
        <v>1030</v>
      </c>
      <c r="C1938" s="388" t="s">
        <v>4276</v>
      </c>
      <c r="D1938" s="386">
        <v>29456.277986111112</v>
      </c>
    </row>
    <row r="1939" spans="2:4" ht="13.5" customHeight="1">
      <c r="B1939" s="336" t="s">
        <v>8764</v>
      </c>
      <c r="C1939" s="388" t="s">
        <v>7017</v>
      </c>
      <c r="D1939" s="386">
        <v>29471.787002314817</v>
      </c>
    </row>
    <row r="1940" spans="2:4" ht="13.5" customHeight="1">
      <c r="B1940" s="336" t="s">
        <v>1031</v>
      </c>
      <c r="C1940" s="389" t="s">
        <v>4278</v>
      </c>
      <c r="D1940" s="386">
        <v>29487.172361111112</v>
      </c>
    </row>
    <row r="1941" spans="2:4" ht="13.5" customHeight="1">
      <c r="B1941" s="336" t="s">
        <v>8765</v>
      </c>
      <c r="C1941" s="388" t="s">
        <v>7018</v>
      </c>
      <c r="D1941" s="386">
        <v>29502.429756944446</v>
      </c>
    </row>
    <row r="1942" spans="2:4" ht="13.5" customHeight="1">
      <c r="B1942" s="336" t="s">
        <v>1032</v>
      </c>
      <c r="C1942" s="388" t="s">
        <v>4280</v>
      </c>
      <c r="D1942" s="386">
        <v>29517.553391203706</v>
      </c>
    </row>
    <row r="1943" spans="2:4" ht="13.5" customHeight="1">
      <c r="B1943" s="336" t="s">
        <v>8766</v>
      </c>
      <c r="C1943" s="388" t="s">
        <v>7019</v>
      </c>
      <c r="D1943" s="386">
        <v>29532.554039351853</v>
      </c>
    </row>
    <row r="1944" spans="2:4" ht="13.5" customHeight="1">
      <c r="B1944" s="336" t="s">
        <v>1033</v>
      </c>
      <c r="C1944" s="388" t="s">
        <v>4282</v>
      </c>
      <c r="D1944" s="386">
        <v>29547.445081018519</v>
      </c>
    </row>
    <row r="1945" spans="2:4" ht="13.5" customHeight="1">
      <c r="B1945" s="336" t="s">
        <v>8767</v>
      </c>
      <c r="C1945" s="388" t="s">
        <v>7020</v>
      </c>
      <c r="D1945" s="386">
        <v>29562.250659722224</v>
      </c>
    </row>
    <row r="1946" spans="2:4" ht="13.5" customHeight="1">
      <c r="B1946" s="336" t="s">
        <v>1034</v>
      </c>
      <c r="C1946" s="389" t="s">
        <v>4284</v>
      </c>
      <c r="D1946" s="386">
        <v>29576.997094907409</v>
      </c>
    </row>
    <row r="1947" spans="2:4" ht="13.5" customHeight="1">
      <c r="B1947" s="336" t="s">
        <v>8768</v>
      </c>
      <c r="C1947" s="390" t="s">
        <v>9317</v>
      </c>
      <c r="D1947" s="386">
        <v>29591.716898148148</v>
      </c>
    </row>
    <row r="1948" spans="2:4" ht="13.5" customHeight="1">
      <c r="B1948" s="336" t="s">
        <v>1035</v>
      </c>
      <c r="C1948" s="388" t="s">
        <v>4230</v>
      </c>
      <c r="D1948" s="386">
        <v>29606.441469907408</v>
      </c>
    </row>
    <row r="1949" spans="2:4" ht="13.5" customHeight="1">
      <c r="B1949" s="336" t="s">
        <v>8769</v>
      </c>
      <c r="C1949" s="388" t="s">
        <v>7010</v>
      </c>
      <c r="D1949" s="386">
        <v>29621.204791666667</v>
      </c>
    </row>
    <row r="1950" spans="2:4" ht="13.5" customHeight="1">
      <c r="B1950" s="336" t="s">
        <v>1036</v>
      </c>
      <c r="C1950" s="388" t="s">
        <v>4232</v>
      </c>
      <c r="D1950" s="386">
        <v>29636.035578703704</v>
      </c>
    </row>
    <row r="1951" spans="2:4" ht="13.5" customHeight="1">
      <c r="B1951" s="336" t="s">
        <v>8770</v>
      </c>
      <c r="C1951" s="388" t="s">
        <v>7011</v>
      </c>
      <c r="D1951" s="386">
        <v>29650.961446759262</v>
      </c>
    </row>
    <row r="1952" spans="2:4" ht="13.5" customHeight="1">
      <c r="B1952" s="336" t="s">
        <v>1037</v>
      </c>
      <c r="C1952" s="389" t="s">
        <v>4234</v>
      </c>
      <c r="D1952" s="386">
        <v>29666.00167824074</v>
      </c>
    </row>
    <row r="1953" spans="2:4" ht="13.5" customHeight="1">
      <c r="B1953" s="336" t="s">
        <v>2843</v>
      </c>
      <c r="C1953" s="388" t="s">
        <v>7012</v>
      </c>
      <c r="D1953" s="386">
        <v>29681.169780092594</v>
      </c>
    </row>
    <row r="1954" spans="2:4" ht="13.5" customHeight="1">
      <c r="B1954" s="336" t="s">
        <v>1038</v>
      </c>
      <c r="C1954" s="388" t="s">
        <v>4236</v>
      </c>
      <c r="D1954" s="386">
        <v>29696.471041666668</v>
      </c>
    </row>
    <row r="1955" spans="2:4" ht="13.5" customHeight="1">
      <c r="B1955" s="336" t="s">
        <v>2844</v>
      </c>
      <c r="C1955" s="388" t="s">
        <v>7013</v>
      </c>
      <c r="D1955" s="386">
        <v>29711.898946759262</v>
      </c>
    </row>
    <row r="1956" spans="2:4" ht="13.5" customHeight="1">
      <c r="B1956" s="336" t="s">
        <v>1039</v>
      </c>
      <c r="C1956" s="388" t="s">
        <v>4238</v>
      </c>
      <c r="D1956" s="386">
        <v>29727.44396990741</v>
      </c>
    </row>
    <row r="1957" spans="2:4" ht="13.5" customHeight="1">
      <c r="B1957" s="336" t="s">
        <v>5602</v>
      </c>
      <c r="C1957" s="388" t="s">
        <v>7014</v>
      </c>
      <c r="D1957" s="386">
        <v>29743.078136574077</v>
      </c>
    </row>
    <row r="1958" spans="2:4" ht="13.5" customHeight="1">
      <c r="B1958" s="336" t="s">
        <v>1040</v>
      </c>
      <c r="C1958" s="389" t="s">
        <v>4240</v>
      </c>
      <c r="D1958" s="386">
        <v>29758.78090277778</v>
      </c>
    </row>
    <row r="1959" spans="2:4" ht="13.5" customHeight="1">
      <c r="B1959" s="336" t="s">
        <v>5603</v>
      </c>
      <c r="C1959" s="388" t="s">
        <v>7015</v>
      </c>
      <c r="D1959" s="386">
        <v>29774.507962962965</v>
      </c>
    </row>
    <row r="1960" spans="2:4" ht="13.5" customHeight="1">
      <c r="B1960" s="336" t="s">
        <v>1041</v>
      </c>
      <c r="C1960" s="388" t="s">
        <v>4242</v>
      </c>
      <c r="D1960" s="386">
        <v>29790.235532407409</v>
      </c>
    </row>
    <row r="1961" spans="2:4" ht="13.5" customHeight="1">
      <c r="B1961" s="336" t="s">
        <v>5604</v>
      </c>
      <c r="C1961" s="388" t="s">
        <v>7016</v>
      </c>
      <c r="D1961" s="386">
        <v>29805.914166666669</v>
      </c>
    </row>
    <row r="1962" spans="2:4" ht="13.5" customHeight="1">
      <c r="B1962" s="336" t="s">
        <v>1042</v>
      </c>
      <c r="C1962" s="388" t="s">
        <v>4276</v>
      </c>
      <c r="D1962" s="386">
        <v>29821.525983796299</v>
      </c>
    </row>
    <row r="1963" spans="2:4" ht="13.5" customHeight="1">
      <c r="B1963" s="336" t="s">
        <v>5605</v>
      </c>
      <c r="C1963" s="388" t="s">
        <v>7017</v>
      </c>
      <c r="D1963" s="386">
        <v>29837.029444444444</v>
      </c>
    </row>
    <row r="1964" spans="2:4" ht="13.5" customHeight="1">
      <c r="B1964" s="336" t="s">
        <v>1043</v>
      </c>
      <c r="C1964" s="389" t="s">
        <v>4278</v>
      </c>
      <c r="D1964" s="386">
        <v>29852.419849537036</v>
      </c>
    </row>
    <row r="1965" spans="2:4" ht="13.5" customHeight="1">
      <c r="B1965" s="336" t="s">
        <v>5606</v>
      </c>
      <c r="C1965" s="388" t="s">
        <v>7018</v>
      </c>
      <c r="D1965" s="386">
        <v>29867.672789351855</v>
      </c>
    </row>
    <row r="1966" spans="2:4" ht="13.5" customHeight="1">
      <c r="B1966" s="336" t="s">
        <v>1044</v>
      </c>
      <c r="C1966" s="388" t="s">
        <v>4280</v>
      </c>
      <c r="D1966" s="386">
        <v>29882.800196759261</v>
      </c>
    </row>
    <row r="1967" spans="2:4" ht="13.5" customHeight="1">
      <c r="B1967" s="336" t="s">
        <v>5607</v>
      </c>
      <c r="C1967" s="388" t="s">
        <v>7019</v>
      </c>
      <c r="D1967" s="386">
        <v>29897.797152777777</v>
      </c>
    </row>
    <row r="1968" spans="2:4" ht="13.5" customHeight="1">
      <c r="B1968" s="336" t="s">
        <v>1045</v>
      </c>
      <c r="C1968" s="388" t="s">
        <v>4282</v>
      </c>
      <c r="D1968" s="386">
        <v>29912.691331018519</v>
      </c>
    </row>
    <row r="1969" spans="2:4" ht="13.5" customHeight="1">
      <c r="B1969" s="336" t="s">
        <v>2661</v>
      </c>
      <c r="C1969" s="388" t="s">
        <v>7020</v>
      </c>
      <c r="D1969" s="386">
        <v>29927.493645833336</v>
      </c>
    </row>
    <row r="1970" spans="2:4" ht="13.5" customHeight="1">
      <c r="B1970" s="336" t="s">
        <v>1046</v>
      </c>
      <c r="C1970" s="389" t="s">
        <v>4284</v>
      </c>
      <c r="D1970" s="386">
        <v>29942.24320601852</v>
      </c>
    </row>
    <row r="1971" spans="2:4" ht="13.5" customHeight="1">
      <c r="B1971" s="336" t="s">
        <v>2662</v>
      </c>
      <c r="C1971" s="390" t="s">
        <v>9317</v>
      </c>
      <c r="D1971" s="386">
        <v>29956.95990740741</v>
      </c>
    </row>
    <row r="1972" spans="2:4" ht="13.5" customHeight="1">
      <c r="B1972" s="336" t="s">
        <v>1047</v>
      </c>
      <c r="C1972" s="388" t="s">
        <v>4230</v>
      </c>
      <c r="D1972" s="386">
        <v>29971.687777777777</v>
      </c>
    </row>
    <row r="1973" spans="2:4" ht="13.5" customHeight="1">
      <c r="B1973" s="336" t="s">
        <v>2663</v>
      </c>
      <c r="C1973" s="388" t="s">
        <v>7010</v>
      </c>
      <c r="D1973" s="386">
        <v>29986.447858796299</v>
      </c>
    </row>
    <row r="1974" spans="2:4" ht="13.5" customHeight="1">
      <c r="B1974" s="336" t="s">
        <v>1048</v>
      </c>
      <c r="C1974" s="388" t="s">
        <v>4232</v>
      </c>
      <c r="D1974" s="386">
        <v>30001.281747685185</v>
      </c>
    </row>
    <row r="1975" spans="2:4" ht="13.5" customHeight="1">
      <c r="B1975" s="336" t="s">
        <v>2664</v>
      </c>
      <c r="C1975" s="388" t="s">
        <v>7011</v>
      </c>
      <c r="D1975" s="386">
        <v>30016.20412037037</v>
      </c>
    </row>
    <row r="1976" spans="2:4" ht="13.5" customHeight="1">
      <c r="B1976" s="336" t="s">
        <v>1049</v>
      </c>
      <c r="C1976" s="389" t="s">
        <v>4234</v>
      </c>
      <c r="D1976" s="386">
        <v>30031.2465625</v>
      </c>
    </row>
    <row r="1977" spans="2:4" ht="13.5" customHeight="1">
      <c r="B1977" s="336" t="s">
        <v>2665</v>
      </c>
      <c r="C1977" s="388" t="s">
        <v>7012</v>
      </c>
      <c r="D1977" s="386">
        <v>30046.411238425928</v>
      </c>
    </row>
    <row r="1978" spans="2:4" ht="13.5" customHeight="1">
      <c r="B1978" s="336" t="s">
        <v>1050</v>
      </c>
      <c r="C1978" s="388" t="s">
        <v>4236</v>
      </c>
      <c r="D1978" s="386">
        <v>30061.713090277779</v>
      </c>
    </row>
    <row r="1979" spans="2:4" ht="13.5" customHeight="1">
      <c r="B1979" s="336" t="s">
        <v>3929</v>
      </c>
      <c r="C1979" s="388" t="s">
        <v>7013</v>
      </c>
      <c r="D1979" s="386">
        <v>30077.138611111113</v>
      </c>
    </row>
    <row r="1980" spans="2:4" ht="13.5" customHeight="1">
      <c r="B1980" s="336" t="s">
        <v>1051</v>
      </c>
      <c r="C1980" s="388" t="s">
        <v>4238</v>
      </c>
      <c r="D1980" s="386">
        <v>30092.682210648149</v>
      </c>
    </row>
    <row r="1981" spans="2:4" ht="13.5" customHeight="1">
      <c r="B1981" s="336" t="s">
        <v>9047</v>
      </c>
      <c r="C1981" s="388" t="s">
        <v>7014</v>
      </c>
      <c r="D1981" s="386">
        <v>30108.316377314815</v>
      </c>
    </row>
    <row r="1982" spans="2:4" ht="13.5" customHeight="1">
      <c r="B1982" s="336" t="s">
        <v>1052</v>
      </c>
      <c r="C1982" s="389" t="s">
        <v>4240</v>
      </c>
      <c r="D1982" s="386">
        <v>30124.015763888889</v>
      </c>
    </row>
    <row r="1983" spans="2:4" ht="13.5" customHeight="1">
      <c r="B1983" s="336" t="s">
        <v>9048</v>
      </c>
      <c r="C1983" s="388" t="s">
        <v>7015</v>
      </c>
      <c r="D1983" s="386">
        <v>30139.746099537038</v>
      </c>
    </row>
    <row r="1984" spans="2:4" ht="13.5" customHeight="1">
      <c r="B1984" s="336" t="s">
        <v>1053</v>
      </c>
      <c r="C1984" s="388" t="s">
        <v>4242</v>
      </c>
      <c r="D1984" s="386">
        <v>30155.468912037039</v>
      </c>
    </row>
    <row r="1985" spans="2:4" ht="13.5" customHeight="1">
      <c r="B1985" s="336" t="s">
        <v>9049</v>
      </c>
      <c r="C1985" s="388" t="s">
        <v>7016</v>
      </c>
      <c r="D1985" s="386">
        <v>30171.153784722224</v>
      </c>
    </row>
    <row r="1986" spans="2:4" ht="13.5" customHeight="1">
      <c r="B1986" s="336" t="s">
        <v>1054</v>
      </c>
      <c r="C1986" s="388" t="s">
        <v>4276</v>
      </c>
      <c r="D1986" s="386">
        <v>30186.760300925926</v>
      </c>
    </row>
    <row r="1987" spans="2:4" ht="13.5" customHeight="1">
      <c r="B1987" s="336" t="s">
        <v>9050</v>
      </c>
      <c r="C1987" s="388" t="s">
        <v>7017</v>
      </c>
      <c r="D1987" s="386">
        <v>30202.271631944444</v>
      </c>
    </row>
    <row r="1988" spans="2:4" ht="13.5" customHeight="1">
      <c r="B1988" s="336" t="s">
        <v>1055</v>
      </c>
      <c r="C1988" s="389" t="s">
        <v>4278</v>
      </c>
      <c r="D1988" s="386">
        <v>30217.656736111112</v>
      </c>
    </row>
    <row r="1989" spans="2:4" ht="13.5" customHeight="1">
      <c r="B1989" s="336" t="s">
        <v>9051</v>
      </c>
      <c r="C1989" s="388" t="s">
        <v>7018</v>
      </c>
      <c r="D1989" s="386">
        <v>30232.917766203704</v>
      </c>
    </row>
    <row r="1990" spans="2:4" ht="13.5" customHeight="1">
      <c r="B1990" s="336" t="s">
        <v>1056</v>
      </c>
      <c r="C1990" s="388" t="s">
        <v>4280</v>
      </c>
      <c r="D1990" s="386">
        <v>30248.039814814816</v>
      </c>
    </row>
    <row r="1991" spans="2:4" ht="13.5" customHeight="1">
      <c r="B1991" s="336" t="s">
        <v>4728</v>
      </c>
      <c r="C1991" s="388" t="s">
        <v>7019</v>
      </c>
      <c r="D1991" s="386">
        <v>30263.044189814816</v>
      </c>
    </row>
    <row r="1992" spans="2:4" ht="13.5" customHeight="1">
      <c r="B1992" s="336" t="s">
        <v>1057</v>
      </c>
      <c r="C1992" s="388" t="s">
        <v>4282</v>
      </c>
      <c r="D1992" s="386">
        <v>30277.932569444445</v>
      </c>
    </row>
    <row r="1993" spans="2:4" ht="13.5" customHeight="1">
      <c r="B1993" s="336" t="s">
        <v>4729</v>
      </c>
      <c r="C1993" s="388" t="s">
        <v>7020</v>
      </c>
      <c r="D1993" s="386">
        <v>30292.741423611111</v>
      </c>
    </row>
    <row r="1994" spans="2:4" ht="13.5" customHeight="1">
      <c r="B1994" s="336" t="s">
        <v>1058</v>
      </c>
      <c r="C1994" s="389" t="s">
        <v>4284</v>
      </c>
      <c r="D1994" s="386">
        <v>30307.484571759262</v>
      </c>
    </row>
    <row r="1995" spans="2:4" ht="13.5" customHeight="1">
      <c r="B1995" s="336" t="s">
        <v>4730</v>
      </c>
      <c r="C1995" s="390" t="s">
        <v>9317</v>
      </c>
      <c r="D1995" s="386">
        <v>30322.207175925927</v>
      </c>
    </row>
    <row r="1996" spans="2:4" ht="13.5" customHeight="1">
      <c r="B1996" s="336" t="s">
        <v>1059</v>
      </c>
      <c r="C1996" s="388" t="s">
        <v>4230</v>
      </c>
      <c r="D1996" s="386">
        <v>30336.928182870372</v>
      </c>
    </row>
    <row r="1997" spans="2:4" ht="13.5" customHeight="1">
      <c r="B1997" s="336" t="s">
        <v>4731</v>
      </c>
      <c r="C1997" s="388" t="s">
        <v>7010</v>
      </c>
      <c r="D1997" s="386">
        <v>30351.693993055556</v>
      </c>
    </row>
    <row r="1998" spans="2:4" ht="13.5" customHeight="1">
      <c r="B1998" s="336" t="s">
        <v>5749</v>
      </c>
      <c r="C1998" s="388" t="s">
        <v>4232</v>
      </c>
      <c r="D1998" s="386">
        <v>30366.520949074074</v>
      </c>
    </row>
    <row r="1999" spans="2:4" ht="13.5" customHeight="1">
      <c r="B1999" s="336" t="s">
        <v>4732</v>
      </c>
      <c r="C1999" s="388" t="s">
        <v>7011</v>
      </c>
      <c r="D1999" s="386">
        <v>30381.449212962965</v>
      </c>
    </row>
    <row r="2000" spans="2:4" ht="13.5" customHeight="1">
      <c r="B2000" s="336" t="s">
        <v>5750</v>
      </c>
      <c r="C2000" s="389" t="s">
        <v>4234</v>
      </c>
      <c r="D2000" s="386">
        <v>30396.484976851854</v>
      </c>
    </row>
    <row r="2001" spans="2:4" ht="13.5" customHeight="1">
      <c r="B2001" s="336" t="s">
        <v>4733</v>
      </c>
      <c r="C2001" s="388" t="s">
        <v>7012</v>
      </c>
      <c r="D2001" s="386">
        <v>30411.655636574076</v>
      </c>
    </row>
    <row r="2002" spans="2:4" ht="13.5" customHeight="1">
      <c r="B2002" s="336" t="s">
        <v>5751</v>
      </c>
      <c r="C2002" s="388" t="s">
        <v>4236</v>
      </c>
      <c r="D2002" s="386">
        <v>30426.951365740741</v>
      </c>
    </row>
    <row r="2003" spans="2:4" ht="13.5" customHeight="1">
      <c r="B2003" s="336" t="s">
        <v>4734</v>
      </c>
      <c r="C2003" s="388" t="s">
        <v>7013</v>
      </c>
      <c r="D2003" s="386">
        <v>30442.382395833334</v>
      </c>
    </row>
    <row r="2004" spans="2:4" ht="13.5" customHeight="1">
      <c r="B2004" s="336" t="s">
        <v>4988</v>
      </c>
      <c r="C2004" s="388" t="s">
        <v>4238</v>
      </c>
      <c r="D2004" s="386">
        <v>30457.920949074076</v>
      </c>
    </row>
    <row r="2005" spans="2:4" ht="13.5" customHeight="1">
      <c r="B2005" s="336" t="s">
        <v>5919</v>
      </c>
      <c r="C2005" s="388" t="s">
        <v>7014</v>
      </c>
      <c r="D2005" s="386">
        <v>30473.559247685185</v>
      </c>
    </row>
    <row r="2006" spans="2:4" ht="13.5" customHeight="1">
      <c r="B2006" s="336" t="s">
        <v>4989</v>
      </c>
      <c r="C2006" s="389" t="s">
        <v>4240</v>
      </c>
      <c r="D2006" s="386">
        <v>30489.255706018521</v>
      </c>
    </row>
    <row r="2007" spans="2:4" ht="13.5" customHeight="1">
      <c r="B2007" s="336" t="s">
        <v>5920</v>
      </c>
      <c r="C2007" s="388" t="s">
        <v>7015</v>
      </c>
      <c r="D2007" s="386">
        <v>30504.988020833334</v>
      </c>
    </row>
    <row r="2008" spans="2:4" ht="13.5" customHeight="1">
      <c r="B2008" s="336" t="s">
        <v>7101</v>
      </c>
      <c r="C2008" s="388" t="s">
        <v>4242</v>
      </c>
      <c r="D2008" s="386">
        <v>30520.710949074077</v>
      </c>
    </row>
    <row r="2009" spans="2:4" ht="13.5" customHeight="1">
      <c r="B2009" s="336" t="s">
        <v>5921</v>
      </c>
      <c r="C2009" s="388" t="s">
        <v>7016</v>
      </c>
      <c r="D2009" s="386">
        <v>30536.395439814816</v>
      </c>
    </row>
    <row r="2010" spans="2:4" ht="13.5" customHeight="1">
      <c r="B2010" s="336" t="s">
        <v>6356</v>
      </c>
      <c r="C2010" s="388" t="s">
        <v>4276</v>
      </c>
      <c r="D2010" s="386">
        <v>30552.004988425928</v>
      </c>
    </row>
    <row r="2011" spans="2:4" ht="13.5" customHeight="1">
      <c r="B2011" s="336" t="s">
        <v>5922</v>
      </c>
      <c r="C2011" s="388" t="s">
        <v>7017</v>
      </c>
      <c r="D2011" s="386">
        <v>30567.513796296298</v>
      </c>
    </row>
    <row r="2012" spans="2:4" ht="13.5" customHeight="1">
      <c r="B2012" s="336" t="s">
        <v>6357</v>
      </c>
      <c r="C2012" s="389" t="s">
        <v>4278</v>
      </c>
      <c r="D2012" s="386">
        <v>30582.903611111113</v>
      </c>
    </row>
    <row r="2013" spans="2:4" ht="13.5" customHeight="1">
      <c r="B2013" s="336" t="s">
        <v>5923</v>
      </c>
      <c r="C2013" s="388" t="s">
        <v>7018</v>
      </c>
      <c r="D2013" s="386">
        <v>30598.160347222223</v>
      </c>
    </row>
    <row r="2014" spans="2:4" ht="13.5" customHeight="1">
      <c r="B2014" s="336" t="s">
        <v>6358</v>
      </c>
      <c r="C2014" s="388" t="s">
        <v>4280</v>
      </c>
      <c r="D2014" s="386">
        <v>30613.287430555556</v>
      </c>
    </row>
    <row r="2015" spans="2:4" ht="13.5" customHeight="1">
      <c r="B2015" s="336" t="s">
        <v>5924</v>
      </c>
      <c r="C2015" s="388" t="s">
        <v>7019</v>
      </c>
      <c r="D2015" s="386">
        <v>30628.286168981482</v>
      </c>
    </row>
    <row r="2016" spans="2:4" ht="13.5" customHeight="1">
      <c r="B2016" s="336" t="s">
        <v>6359</v>
      </c>
      <c r="C2016" s="388" t="s">
        <v>4282</v>
      </c>
      <c r="D2016" s="386">
        <v>30643.179178240742</v>
      </c>
    </row>
    <row r="2017" spans="2:4" ht="13.5" customHeight="1">
      <c r="B2017" s="336" t="s">
        <v>5925</v>
      </c>
      <c r="C2017" s="388" t="s">
        <v>7020</v>
      </c>
      <c r="D2017" s="386">
        <v>30657.981608796297</v>
      </c>
    </row>
    <row r="2018" spans="2:4" ht="13.5" customHeight="1">
      <c r="B2018" s="336" t="s">
        <v>6360</v>
      </c>
      <c r="C2018" s="389" t="s">
        <v>4284</v>
      </c>
      <c r="D2018" s="386">
        <v>30672.728935185187</v>
      </c>
    </row>
    <row r="2019" spans="2:4" ht="13.5" customHeight="1">
      <c r="B2019" s="336" t="s">
        <v>5926</v>
      </c>
      <c r="C2019" s="390" t="s">
        <v>9317</v>
      </c>
      <c r="D2019" s="386">
        <v>30687.444907407407</v>
      </c>
    </row>
    <row r="2020" spans="2:4" ht="13.5" customHeight="1">
      <c r="B2020" s="336" t="s">
        <v>6361</v>
      </c>
      <c r="C2020" s="388" t="s">
        <v>4230</v>
      </c>
      <c r="D2020" s="386">
        <v>30702.170023148148</v>
      </c>
    </row>
    <row r="2021" spans="2:4" ht="13.5" customHeight="1">
      <c r="B2021" s="336" t="s">
        <v>5927</v>
      </c>
      <c r="C2021" s="388" t="s">
        <v>7010</v>
      </c>
      <c r="D2021" s="386">
        <v>30716.929479166669</v>
      </c>
    </row>
    <row r="2022" spans="2:4" ht="13.5" customHeight="1">
      <c r="B2022" s="336" t="s">
        <v>6362</v>
      </c>
      <c r="C2022" s="388" t="s">
        <v>4232</v>
      </c>
      <c r="D2022" s="386">
        <v>30731.761030092595</v>
      </c>
    </row>
    <row r="2023" spans="2:4" ht="13.5" customHeight="1">
      <c r="B2023" s="336" t="s">
        <v>7218</v>
      </c>
      <c r="C2023" s="388" t="s">
        <v>7011</v>
      </c>
      <c r="D2023" s="386">
        <v>30746.68340277778</v>
      </c>
    </row>
    <row r="2024" spans="2:4" ht="13.5" customHeight="1">
      <c r="B2024" s="336" t="s">
        <v>6363</v>
      </c>
      <c r="C2024" s="389" t="s">
        <v>4234</v>
      </c>
      <c r="D2024" s="386">
        <v>30761.724872685187</v>
      </c>
    </row>
    <row r="2025" spans="2:4" ht="13.5" customHeight="1">
      <c r="B2025" s="336" t="s">
        <v>7219</v>
      </c>
      <c r="C2025" s="388" t="s">
        <v>7012</v>
      </c>
      <c r="D2025" s="386">
        <v>30776.89</v>
      </c>
    </row>
    <row r="2026" spans="2:4" ht="13.5" customHeight="1">
      <c r="B2026" s="336" t="s">
        <v>6364</v>
      </c>
      <c r="C2026" s="388" t="s">
        <v>4236</v>
      </c>
      <c r="D2026" s="386">
        <v>30792.192800925928</v>
      </c>
    </row>
    <row r="2027" spans="2:4" ht="13.5" customHeight="1">
      <c r="B2027" s="336" t="s">
        <v>7220</v>
      </c>
      <c r="C2027" s="388" t="s">
        <v>7013</v>
      </c>
      <c r="D2027" s="386">
        <v>30807.618356481482</v>
      </c>
    </row>
    <row r="2028" spans="2:4" ht="13.5" customHeight="1">
      <c r="B2028" s="336" t="s">
        <v>6365</v>
      </c>
      <c r="C2028" s="388" t="s">
        <v>4238</v>
      </c>
      <c r="D2028" s="386">
        <v>30823.164907407408</v>
      </c>
    </row>
    <row r="2029" spans="2:4" ht="13.5" customHeight="1">
      <c r="B2029" s="336" t="s">
        <v>7221</v>
      </c>
      <c r="C2029" s="388" t="s">
        <v>7014</v>
      </c>
      <c r="D2029" s="386">
        <v>30838.797592592593</v>
      </c>
    </row>
    <row r="2030" spans="2:4" ht="13.5" customHeight="1">
      <c r="B2030" s="336" t="s">
        <v>6366</v>
      </c>
      <c r="C2030" s="389" t="s">
        <v>4240</v>
      </c>
      <c r="D2030" s="386">
        <v>30854.501643518521</v>
      </c>
    </row>
    <row r="2031" spans="2:4" ht="13.5" customHeight="1">
      <c r="B2031" s="336" t="s">
        <v>7222</v>
      </c>
      <c r="C2031" s="388" t="s">
        <v>7015</v>
      </c>
      <c r="D2031" s="386">
        <v>30870.228599537037</v>
      </c>
    </row>
    <row r="2032" spans="2:4" ht="13.5" customHeight="1">
      <c r="B2032" s="336" t="s">
        <v>6367</v>
      </c>
      <c r="C2032" s="388" t="s">
        <v>4242</v>
      </c>
      <c r="D2032" s="386">
        <v>30885.957199074077</v>
      </c>
    </row>
    <row r="2033" spans="2:4" ht="13.5" customHeight="1">
      <c r="B2033" s="336" t="s">
        <v>7223</v>
      </c>
      <c r="C2033" s="388" t="s">
        <v>7016</v>
      </c>
      <c r="D2033" s="386">
        <v>30901.637500000001</v>
      </c>
    </row>
    <row r="2034" spans="2:4" ht="13.5" customHeight="1">
      <c r="B2034" s="336" t="s">
        <v>6368</v>
      </c>
      <c r="C2034" s="388" t="s">
        <v>4276</v>
      </c>
      <c r="D2034" s="386">
        <v>30917.250219907408</v>
      </c>
    </row>
    <row r="2035" spans="2:4" ht="13.5" customHeight="1">
      <c r="B2035" s="336" t="s">
        <v>7224</v>
      </c>
      <c r="C2035" s="388" t="s">
        <v>7017</v>
      </c>
      <c r="D2035" s="386">
        <v>30932.756805555557</v>
      </c>
    </row>
    <row r="2036" spans="2:4" ht="13.5" customHeight="1">
      <c r="B2036" s="336" t="s">
        <v>6369</v>
      </c>
      <c r="C2036" s="389" t="s">
        <v>4278</v>
      </c>
      <c r="D2036" s="386">
        <v>30948.147847222222</v>
      </c>
    </row>
    <row r="2037" spans="2:4" ht="13.5" customHeight="1">
      <c r="B2037" s="336" t="s">
        <v>7225</v>
      </c>
      <c r="C2037" s="388" t="s">
        <v>7018</v>
      </c>
      <c r="D2037" s="386">
        <v>30963.404375000002</v>
      </c>
    </row>
    <row r="2038" spans="2:4" ht="13.5" customHeight="1">
      <c r="B2038" s="336" t="s">
        <v>6370</v>
      </c>
      <c r="C2038" s="388" t="s">
        <v>4280</v>
      </c>
      <c r="D2038" s="386">
        <v>30978.5315625</v>
      </c>
    </row>
    <row r="2039" spans="2:4" ht="13.5" customHeight="1">
      <c r="B2039" s="336" t="s">
        <v>2881</v>
      </c>
      <c r="C2039" s="388" t="s">
        <v>7019</v>
      </c>
      <c r="D2039" s="386">
        <v>30993.531342592592</v>
      </c>
    </row>
    <row r="2040" spans="2:4" ht="13.5" customHeight="1">
      <c r="B2040" s="336" t="s">
        <v>6371</v>
      </c>
      <c r="C2040" s="388" t="s">
        <v>4282</v>
      </c>
      <c r="D2040" s="386">
        <v>31008.423877314817</v>
      </c>
    </row>
    <row r="2041" spans="2:4" ht="13.5" customHeight="1">
      <c r="B2041" s="336" t="s">
        <v>1321</v>
      </c>
      <c r="C2041" s="388" t="s">
        <v>7020</v>
      </c>
      <c r="D2041" s="386">
        <v>31023.227615740743</v>
      </c>
    </row>
    <row r="2042" spans="2:4" ht="13.5" customHeight="1">
      <c r="B2042" s="336" t="s">
        <v>6372</v>
      </c>
      <c r="C2042" s="389" t="s">
        <v>4284</v>
      </c>
      <c r="D2042" s="386">
        <v>31037.974085648148</v>
      </c>
    </row>
    <row r="2043" spans="2:4" ht="13.5" customHeight="1">
      <c r="B2043" s="336" t="s">
        <v>1322</v>
      </c>
      <c r="C2043" s="390" t="s">
        <v>9317</v>
      </c>
      <c r="D2043" s="386">
        <v>31052.690972222223</v>
      </c>
    </row>
    <row r="2044" spans="2:4" ht="13.5" customHeight="1">
      <c r="B2044" s="336" t="s">
        <v>6373</v>
      </c>
      <c r="C2044" s="388" t="s">
        <v>4230</v>
      </c>
      <c r="D2044" s="386">
        <v>31067.414988425928</v>
      </c>
    </row>
    <row r="2045" spans="2:4" ht="13.5" customHeight="1">
      <c r="B2045" s="336" t="s">
        <v>1323</v>
      </c>
      <c r="C2045" s="388" t="s">
        <v>7010</v>
      </c>
      <c r="D2045" s="386">
        <v>31082.174930555557</v>
      </c>
    </row>
    <row r="2046" spans="2:4" ht="13.5" customHeight="1">
      <c r="B2046" s="336" t="s">
        <v>6374</v>
      </c>
      <c r="C2046" s="388" t="s">
        <v>4232</v>
      </c>
      <c r="D2046" s="386">
        <v>31097.005150462963</v>
      </c>
    </row>
    <row r="2047" spans="2:4" ht="13.5" customHeight="1">
      <c r="B2047" s="336" t="s">
        <v>1324</v>
      </c>
      <c r="C2047" s="388" t="s">
        <v>7011</v>
      </c>
      <c r="D2047" s="386">
        <v>31111.928136574075</v>
      </c>
    </row>
    <row r="2048" spans="2:4" ht="13.5" customHeight="1">
      <c r="B2048" s="336" t="s">
        <v>6375</v>
      </c>
      <c r="C2048" s="389" t="s">
        <v>4234</v>
      </c>
      <c r="D2048" s="386">
        <v>31126.967800925926</v>
      </c>
    </row>
    <row r="2049" spans="2:4" ht="13.5" customHeight="1">
      <c r="B2049" s="336" t="s">
        <v>1325</v>
      </c>
      <c r="C2049" s="388" t="s">
        <v>7012</v>
      </c>
      <c r="D2049" s="386">
        <v>31142.134386574075</v>
      </c>
    </row>
    <row r="2050" spans="2:4" ht="13.5" customHeight="1">
      <c r="B2050" s="336" t="s">
        <v>6376</v>
      </c>
      <c r="C2050" s="388" t="s">
        <v>4236</v>
      </c>
      <c r="D2050" s="386">
        <v>31157.434317129631</v>
      </c>
    </row>
    <row r="2051" spans="2:4" ht="13.5" customHeight="1">
      <c r="B2051" s="336" t="s">
        <v>1326</v>
      </c>
      <c r="C2051" s="388" t="s">
        <v>7013</v>
      </c>
      <c r="D2051" s="386">
        <v>31172.862731481484</v>
      </c>
    </row>
    <row r="2052" spans="2:4" ht="13.5" customHeight="1">
      <c r="B2052" s="336" t="s">
        <v>6377</v>
      </c>
      <c r="C2052" s="388" t="s">
        <v>4238</v>
      </c>
      <c r="D2052" s="386">
        <v>31188.404560185187</v>
      </c>
    </row>
    <row r="2053" spans="2:4" ht="13.5" customHeight="1">
      <c r="B2053" s="336" t="s">
        <v>1327</v>
      </c>
      <c r="C2053" s="388" t="s">
        <v>7014</v>
      </c>
      <c r="D2053" s="386">
        <v>31204.041585648149</v>
      </c>
    </row>
    <row r="2054" spans="2:4" ht="13.5" customHeight="1">
      <c r="B2054" s="336" t="s">
        <v>6378</v>
      </c>
      <c r="C2054" s="389" t="s">
        <v>4240</v>
      </c>
      <c r="D2054" s="386">
        <v>31219.73883101852</v>
      </c>
    </row>
    <row r="2055" spans="2:4" ht="13.5" customHeight="1">
      <c r="B2055" s="336" t="s">
        <v>1328</v>
      </c>
      <c r="C2055" s="388" t="s">
        <v>7015</v>
      </c>
      <c r="D2055" s="386">
        <v>31235.471180555556</v>
      </c>
    </row>
    <row r="2056" spans="2:4" ht="13.5" customHeight="1">
      <c r="B2056" s="336" t="s">
        <v>6379</v>
      </c>
      <c r="C2056" s="388" t="s">
        <v>4242</v>
      </c>
      <c r="D2056" s="386">
        <v>31251.191782407408</v>
      </c>
    </row>
    <row r="2057" spans="2:4" ht="13.5" customHeight="1">
      <c r="B2057" s="336" t="s">
        <v>1329</v>
      </c>
      <c r="C2057" s="388" t="s">
        <v>7016</v>
      </c>
      <c r="D2057" s="386">
        <v>31266.87777777778</v>
      </c>
    </row>
    <row r="2058" spans="2:4" ht="13.5" customHeight="1">
      <c r="B2058" s="336" t="s">
        <v>6380</v>
      </c>
      <c r="C2058" s="388" t="s">
        <v>4276</v>
      </c>
      <c r="D2058" s="386">
        <v>31282.482905092595</v>
      </c>
    </row>
    <row r="2059" spans="2:4" ht="13.5" customHeight="1">
      <c r="B2059" s="336" t="s">
        <v>1330</v>
      </c>
      <c r="C2059" s="388" t="s">
        <v>7017</v>
      </c>
      <c r="D2059" s="386">
        <v>31297.995011574076</v>
      </c>
    </row>
    <row r="2060" spans="2:4" ht="13.5" customHeight="1">
      <c r="B2060" s="336" t="s">
        <v>6381</v>
      </c>
      <c r="C2060" s="389" t="s">
        <v>4278</v>
      </c>
      <c r="D2060" s="386">
        <v>31313.38008101852</v>
      </c>
    </row>
    <row r="2061" spans="2:4" ht="13.5" customHeight="1">
      <c r="B2061" s="336" t="s">
        <v>1331</v>
      </c>
      <c r="C2061" s="388" t="s">
        <v>7018</v>
      </c>
      <c r="D2061" s="386">
        <v>31328.64195601852</v>
      </c>
    </row>
    <row r="2062" spans="2:4" ht="13.5" customHeight="1">
      <c r="B2062" s="336" t="s">
        <v>7493</v>
      </c>
      <c r="C2062" s="388" t="s">
        <v>4280</v>
      </c>
      <c r="D2062" s="386">
        <v>31343.765057870372</v>
      </c>
    </row>
    <row r="2063" spans="2:4" ht="13.5" customHeight="1">
      <c r="B2063" s="336" t="s">
        <v>1332</v>
      </c>
      <c r="C2063" s="388" t="s">
        <v>7019</v>
      </c>
      <c r="D2063" s="386">
        <v>31358.770324074074</v>
      </c>
    </row>
    <row r="2064" spans="2:4" ht="13.5" customHeight="1">
      <c r="B2064" s="336" t="s">
        <v>2738</v>
      </c>
      <c r="C2064" s="388" t="s">
        <v>4282</v>
      </c>
      <c r="D2064" s="386">
        <v>31373.660057870373</v>
      </c>
    </row>
    <row r="2065" spans="2:4" ht="13.5" customHeight="1">
      <c r="B2065" s="336" t="s">
        <v>1333</v>
      </c>
      <c r="C2065" s="388" t="s">
        <v>7020</v>
      </c>
      <c r="D2065" s="386">
        <v>31388.469467592593</v>
      </c>
    </row>
    <row r="2066" spans="2:4" ht="13.5" customHeight="1">
      <c r="B2066" s="336" t="s">
        <v>2739</v>
      </c>
      <c r="C2066" s="389" t="s">
        <v>4284</v>
      </c>
      <c r="D2066" s="386">
        <v>31403.213518518518</v>
      </c>
    </row>
    <row r="2067" spans="2:4" ht="13.5" customHeight="1">
      <c r="B2067" s="336" t="s">
        <v>1334</v>
      </c>
      <c r="C2067" s="390" t="s">
        <v>9317</v>
      </c>
      <c r="D2067" s="386">
        <v>31417.935960648148</v>
      </c>
    </row>
    <row r="2068" spans="2:4" ht="13.5" customHeight="1">
      <c r="B2068" s="336" t="s">
        <v>2740</v>
      </c>
      <c r="C2068" s="388" t="s">
        <v>4230</v>
      </c>
      <c r="D2068" s="386">
        <v>31432.657025462966</v>
      </c>
    </row>
    <row r="2069" spans="2:4" ht="13.5" customHeight="1">
      <c r="B2069" s="336" t="s">
        <v>1335</v>
      </c>
      <c r="C2069" s="388" t="s">
        <v>7010</v>
      </c>
      <c r="D2069" s="386">
        <v>31447.421886574077</v>
      </c>
    </row>
    <row r="2070" spans="2:4" ht="13.5" customHeight="1">
      <c r="B2070" s="336" t="s">
        <v>2741</v>
      </c>
      <c r="C2070" s="388" t="s">
        <v>4232</v>
      </c>
      <c r="D2070" s="386">
        <v>31462.248206018521</v>
      </c>
    </row>
    <row r="2071" spans="2:4" ht="13.5" customHeight="1">
      <c r="B2071" s="336" t="s">
        <v>1336</v>
      </c>
      <c r="C2071" s="388" t="s">
        <v>7011</v>
      </c>
      <c r="D2071" s="386">
        <v>31477.174953703707</v>
      </c>
    </row>
    <row r="2072" spans="2:4" ht="13.5" customHeight="1">
      <c r="B2072" s="336" t="s">
        <v>2742</v>
      </c>
      <c r="C2072" s="389" t="s">
        <v>4234</v>
      </c>
      <c r="D2072" s="386">
        <v>31492.210057870372</v>
      </c>
    </row>
    <row r="2073" spans="2:4" ht="13.5" customHeight="1">
      <c r="B2073" s="336" t="s">
        <v>1337</v>
      </c>
      <c r="C2073" s="388" t="s">
        <v>7012</v>
      </c>
      <c r="D2073" s="386">
        <v>31507.3790625</v>
      </c>
    </row>
    <row r="2074" spans="2:4" ht="13.5" customHeight="1">
      <c r="B2074" s="336" t="s">
        <v>2743</v>
      </c>
      <c r="C2074" s="388" t="s">
        <v>4236</v>
      </c>
      <c r="D2074" s="386">
        <v>31522.674930555557</v>
      </c>
    </row>
    <row r="2075" spans="2:4" ht="13.5" customHeight="1">
      <c r="B2075" s="336" t="s">
        <v>909</v>
      </c>
      <c r="C2075" s="388" t="s">
        <v>7013</v>
      </c>
      <c r="D2075" s="386">
        <v>31538.104351851853</v>
      </c>
    </row>
    <row r="2076" spans="2:4" ht="13.5" customHeight="1">
      <c r="B2076" s="336" t="s">
        <v>2744</v>
      </c>
      <c r="C2076" s="388" t="s">
        <v>4238</v>
      </c>
      <c r="D2076" s="386">
        <v>31553.644189814815</v>
      </c>
    </row>
    <row r="2077" spans="2:4" ht="13.5" customHeight="1">
      <c r="B2077" s="336" t="s">
        <v>910</v>
      </c>
      <c r="C2077" s="388" t="s">
        <v>7014</v>
      </c>
      <c r="D2077" s="386">
        <v>31569.280613425926</v>
      </c>
    </row>
    <row r="2078" spans="2:4" ht="13.5" customHeight="1">
      <c r="B2078" s="336" t="s">
        <v>2745</v>
      </c>
      <c r="C2078" s="389" t="s">
        <v>4240</v>
      </c>
      <c r="D2078" s="386">
        <v>31584.979016203706</v>
      </c>
    </row>
    <row r="2079" spans="2:4" ht="13.5" customHeight="1">
      <c r="B2079" s="336" t="s">
        <v>911</v>
      </c>
      <c r="C2079" s="388" t="s">
        <v>7015</v>
      </c>
      <c r="D2079" s="386">
        <v>31600.708738425928</v>
      </c>
    </row>
    <row r="2080" spans="2:4" ht="13.5" customHeight="1">
      <c r="B2080" s="336" t="s">
        <v>2746</v>
      </c>
      <c r="C2080" s="388" t="s">
        <v>4242</v>
      </c>
      <c r="D2080" s="386">
        <v>31616.433518518519</v>
      </c>
    </row>
    <row r="2081" spans="2:4" ht="13.5" customHeight="1">
      <c r="B2081" s="336" t="s">
        <v>3455</v>
      </c>
      <c r="C2081" s="388" t="s">
        <v>7016</v>
      </c>
      <c r="D2081" s="386">
        <v>31632.114884259259</v>
      </c>
    </row>
    <row r="2082" spans="2:4" ht="13.5" customHeight="1">
      <c r="B2082" s="336" t="s">
        <v>2747</v>
      </c>
      <c r="C2082" s="388" t="s">
        <v>4276</v>
      </c>
      <c r="D2082" s="386">
        <v>31647.726064814815</v>
      </c>
    </row>
    <row r="2083" spans="2:4" ht="13.5" customHeight="1">
      <c r="B2083" s="336" t="s">
        <v>3456</v>
      </c>
      <c r="C2083" s="388" t="s">
        <v>7017</v>
      </c>
      <c r="D2083" s="386">
        <v>31663.232256944444</v>
      </c>
    </row>
    <row r="2084" spans="2:4" ht="13.5" customHeight="1">
      <c r="B2084" s="336" t="s">
        <v>2748</v>
      </c>
      <c r="C2084" s="389" t="s">
        <v>4278</v>
      </c>
      <c r="D2084" s="386">
        <v>31678.624131944445</v>
      </c>
    </row>
    <row r="2085" spans="2:4" ht="13.5" customHeight="1">
      <c r="B2085" s="336" t="s">
        <v>3457</v>
      </c>
      <c r="C2085" s="388" t="s">
        <v>7018</v>
      </c>
      <c r="D2085" s="386">
        <v>31693.879710648151</v>
      </c>
    </row>
    <row r="2086" spans="2:4" ht="13.5" customHeight="1">
      <c r="B2086" s="336" t="s">
        <v>2749</v>
      </c>
      <c r="C2086" s="388" t="s">
        <v>4280</v>
      </c>
      <c r="D2086" s="386">
        <v>31709.009780092594</v>
      </c>
    </row>
    <row r="2087" spans="2:4" ht="13.5" customHeight="1">
      <c r="B2087" s="336" t="s">
        <v>3458</v>
      </c>
      <c r="C2087" s="388" t="s">
        <v>7019</v>
      </c>
      <c r="D2087" s="386">
        <v>31724.008819444447</v>
      </c>
    </row>
    <row r="2088" spans="2:4" ht="13.5" customHeight="1">
      <c r="B2088" s="336" t="s">
        <v>2750</v>
      </c>
      <c r="C2088" s="388" t="s">
        <v>4282</v>
      </c>
      <c r="D2088" s="386">
        <v>31738.905474537038</v>
      </c>
    </row>
    <row r="2089" spans="2:4" ht="13.5" customHeight="1">
      <c r="B2089" s="336" t="s">
        <v>3459</v>
      </c>
      <c r="C2089" s="388" t="s">
        <v>7020</v>
      </c>
      <c r="D2089" s="386">
        <v>31753.708692129632</v>
      </c>
    </row>
    <row r="2090" spans="2:4" ht="13.5" customHeight="1">
      <c r="B2090" s="336" t="s">
        <v>2751</v>
      </c>
      <c r="C2090" s="389" t="s">
        <v>4284</v>
      </c>
      <c r="D2090" s="386">
        <v>31768.459432870372</v>
      </c>
    </row>
    <row r="2091" spans="2:4" ht="13.5" customHeight="1">
      <c r="B2091" s="336" t="s">
        <v>3460</v>
      </c>
      <c r="C2091" s="390" t="s">
        <v>9317</v>
      </c>
      <c r="D2091" s="386">
        <v>31783.175462962965</v>
      </c>
    </row>
    <row r="2092" spans="2:4" ht="13.5" customHeight="1">
      <c r="B2092" s="336" t="s">
        <v>2752</v>
      </c>
      <c r="C2092" s="388" t="s">
        <v>4230</v>
      </c>
      <c r="D2092" s="386">
        <v>31797.9028125</v>
      </c>
    </row>
    <row r="2093" spans="2:4" ht="13.5" customHeight="1">
      <c r="B2093" s="336" t="s">
        <v>883</v>
      </c>
      <c r="C2093" s="388" t="s">
        <v>7010</v>
      </c>
      <c r="D2093" s="386">
        <v>31812.660763888889</v>
      </c>
    </row>
    <row r="2094" spans="2:4" ht="13.5" customHeight="1">
      <c r="B2094" s="336" t="s">
        <v>2753</v>
      </c>
      <c r="C2094" s="388" t="s">
        <v>4232</v>
      </c>
      <c r="D2094" s="386">
        <v>31827.492916666666</v>
      </c>
    </row>
    <row r="2095" spans="2:4" ht="13.5" customHeight="1">
      <c r="B2095" s="336" t="s">
        <v>884</v>
      </c>
      <c r="C2095" s="388" t="s">
        <v>7011</v>
      </c>
      <c r="D2095" s="386">
        <v>31842.412199074075</v>
      </c>
    </row>
    <row r="2096" spans="2:4" ht="13.5" customHeight="1">
      <c r="B2096" s="336" t="s">
        <v>2754</v>
      </c>
      <c r="C2096" s="389" t="s">
        <v>4234</v>
      </c>
      <c r="D2096" s="386">
        <v>31857.452743055557</v>
      </c>
    </row>
    <row r="2097" spans="2:4" ht="13.5" customHeight="1">
      <c r="B2097" s="336" t="s">
        <v>885</v>
      </c>
      <c r="C2097" s="388" t="s">
        <v>7012</v>
      </c>
      <c r="D2097" s="386">
        <v>31872.613981481481</v>
      </c>
    </row>
    <row r="2098" spans="2:4" ht="13.5" customHeight="1">
      <c r="B2098" s="336" t="s">
        <v>2755</v>
      </c>
      <c r="C2098" s="388" t="s">
        <v>4236</v>
      </c>
      <c r="D2098" s="386">
        <v>31887.915023148151</v>
      </c>
    </row>
    <row r="2099" spans="2:4" ht="13.5" customHeight="1">
      <c r="B2099" s="336" t="s">
        <v>886</v>
      </c>
      <c r="C2099" s="388" t="s">
        <v>7013</v>
      </c>
      <c r="D2099" s="386">
        <v>31903.337199074074</v>
      </c>
    </row>
    <row r="2100" spans="2:4" ht="13.5" customHeight="1">
      <c r="B2100" s="336" t="s">
        <v>2756</v>
      </c>
      <c r="C2100" s="388" t="s">
        <v>4238</v>
      </c>
      <c r="D2100" s="386">
        <v>31918.881956018518</v>
      </c>
    </row>
    <row r="2101" spans="2:4" ht="13.5" customHeight="1">
      <c r="B2101" s="336" t="s">
        <v>1964</v>
      </c>
      <c r="C2101" s="388" t="s">
        <v>7014</v>
      </c>
      <c r="D2101" s="386">
        <v>31934.513055555555</v>
      </c>
    </row>
    <row r="2102" spans="2:4" ht="13.5" customHeight="1">
      <c r="B2102" s="336" t="s">
        <v>2757</v>
      </c>
      <c r="C2102" s="389" t="s">
        <v>4240</v>
      </c>
      <c r="D2102" s="386">
        <v>31950.215694444447</v>
      </c>
    </row>
    <row r="2103" spans="2:4" ht="13.5" customHeight="1">
      <c r="B2103" s="336" t="s">
        <v>1965</v>
      </c>
      <c r="C2103" s="388" t="s">
        <v>7015</v>
      </c>
      <c r="D2103" s="386">
        <v>31965.943344907409</v>
      </c>
    </row>
    <row r="2104" spans="2:4" ht="13.5" customHeight="1">
      <c r="B2104" s="336" t="s">
        <v>2758</v>
      </c>
      <c r="C2104" s="388" t="s">
        <v>4242</v>
      </c>
      <c r="D2104" s="386">
        <v>31981.670833333334</v>
      </c>
    </row>
    <row r="2105" spans="2:4" ht="13.5" customHeight="1">
      <c r="B2105" s="336" t="s">
        <v>1966</v>
      </c>
      <c r="C2105" s="388" t="s">
        <v>7016</v>
      </c>
      <c r="D2105" s="386">
        <v>31997.353518518521</v>
      </c>
    </row>
    <row r="2106" spans="2:4" ht="13.5" customHeight="1">
      <c r="B2106" s="336" t="s">
        <v>2759</v>
      </c>
      <c r="C2106" s="388" t="s">
        <v>4276</v>
      </c>
      <c r="D2106" s="386">
        <v>32012.965069444446</v>
      </c>
    </row>
    <row r="2107" spans="2:4" ht="13.5" customHeight="1">
      <c r="B2107" s="336" t="s">
        <v>3203</v>
      </c>
      <c r="C2107" s="388" t="s">
        <v>7017</v>
      </c>
      <c r="D2107" s="386">
        <v>32028.474768518521</v>
      </c>
    </row>
    <row r="2108" spans="2:4" ht="13.5" customHeight="1">
      <c r="B2108" s="336" t="s">
        <v>2760</v>
      </c>
      <c r="C2108" s="389" t="s">
        <v>4278</v>
      </c>
      <c r="D2108" s="386">
        <v>32043.864467592593</v>
      </c>
    </row>
    <row r="2109" spans="2:4" ht="13.5" customHeight="1">
      <c r="B2109" s="336" t="s">
        <v>3204</v>
      </c>
      <c r="C2109" s="388" t="s">
        <v>7018</v>
      </c>
      <c r="D2109" s="386">
        <v>32059.124293981484</v>
      </c>
    </row>
    <row r="2110" spans="2:4" ht="13.5" customHeight="1">
      <c r="B2110" s="336" t="s">
        <v>2761</v>
      </c>
      <c r="C2110" s="388" t="s">
        <v>4280</v>
      </c>
      <c r="D2110" s="386">
        <v>32074.250219907408</v>
      </c>
    </row>
    <row r="2111" spans="2:4" ht="13.5" customHeight="1">
      <c r="B2111" s="336" t="s">
        <v>6192</v>
      </c>
      <c r="C2111" s="388" t="s">
        <v>7019</v>
      </c>
      <c r="D2111" s="386">
        <v>32089.253530092596</v>
      </c>
    </row>
    <row r="2112" spans="2:4" ht="13.5" customHeight="1">
      <c r="B2112" s="336" t="s">
        <v>2762</v>
      </c>
      <c r="C2112" s="388" t="s">
        <v>4282</v>
      </c>
      <c r="D2112" s="386">
        <v>32104.145115740743</v>
      </c>
    </row>
    <row r="2113" spans="2:4" ht="13.5" customHeight="1">
      <c r="B2113" s="336" t="s">
        <v>6193</v>
      </c>
      <c r="C2113" s="388" t="s">
        <v>7020</v>
      </c>
      <c r="D2113" s="386">
        <v>32118.952638888892</v>
      </c>
    </row>
    <row r="2114" spans="2:4" ht="13.5" customHeight="1">
      <c r="B2114" s="336" t="s">
        <v>2763</v>
      </c>
      <c r="C2114" s="389" t="s">
        <v>4284</v>
      </c>
      <c r="D2114" s="386">
        <v>32133.698368055557</v>
      </c>
    </row>
    <row r="2115" spans="2:4" ht="13.5" customHeight="1">
      <c r="B2115" s="336" t="s">
        <v>4037</v>
      </c>
      <c r="C2115" s="390" t="s">
        <v>9317</v>
      </c>
      <c r="D2115" s="386">
        <v>32148.418969907409</v>
      </c>
    </row>
    <row r="2116" spans="2:4" ht="13.5" customHeight="1">
      <c r="B2116" s="336" t="s">
        <v>2764</v>
      </c>
      <c r="C2116" s="388" t="s">
        <v>4230</v>
      </c>
      <c r="D2116" s="386">
        <v>32163.141840277778</v>
      </c>
    </row>
    <row r="2117" spans="2:4" ht="13.5" customHeight="1">
      <c r="B2117" s="336" t="s">
        <v>4038</v>
      </c>
      <c r="C2117" s="388" t="s">
        <v>7010</v>
      </c>
      <c r="D2117" s="386">
        <v>32177.904768518521</v>
      </c>
    </row>
    <row r="2118" spans="2:4" ht="13.5" customHeight="1">
      <c r="B2118" s="336" t="s">
        <v>2765</v>
      </c>
      <c r="C2118" s="388" t="s">
        <v>4232</v>
      </c>
      <c r="D2118" s="386">
        <v>32192.732766203706</v>
      </c>
    </row>
    <row r="2119" spans="2:4" ht="13.5" customHeight="1">
      <c r="B2119" s="336" t="s">
        <v>4039</v>
      </c>
      <c r="C2119" s="388" t="s">
        <v>7011</v>
      </c>
      <c r="D2119" s="386">
        <v>32207.657442129632</v>
      </c>
    </row>
    <row r="2120" spans="2:4" ht="13.5" customHeight="1">
      <c r="B2120" s="336" t="s">
        <v>2766</v>
      </c>
      <c r="C2120" s="389" t="s">
        <v>4234</v>
      </c>
      <c r="D2120" s="386">
        <v>32222.693495370371</v>
      </c>
    </row>
    <row r="2121" spans="2:4" ht="13.5" customHeight="1">
      <c r="B2121" s="336" t="s">
        <v>4040</v>
      </c>
      <c r="C2121" s="388" t="s">
        <v>7012</v>
      </c>
      <c r="D2121" s="386">
        <v>32237.860567129632</v>
      </c>
    </row>
    <row r="2122" spans="2:4" ht="13.5" customHeight="1">
      <c r="B2122" s="336" t="s">
        <v>2767</v>
      </c>
      <c r="C2122" s="388" t="s">
        <v>4236</v>
      </c>
      <c r="D2122" s="386">
        <v>32253.156122685188</v>
      </c>
    </row>
    <row r="2123" spans="2:4" ht="13.5" customHeight="1">
      <c r="B2123" s="336" t="s">
        <v>4041</v>
      </c>
      <c r="C2123" s="388" t="s">
        <v>7013</v>
      </c>
      <c r="D2123" s="386">
        <v>32268.584606481483</v>
      </c>
    </row>
    <row r="2124" spans="2:4" ht="13.5" customHeight="1">
      <c r="B2124" s="336" t="s">
        <v>2768</v>
      </c>
      <c r="C2124" s="388" t="s">
        <v>4238</v>
      </c>
      <c r="D2124" s="386">
        <v>32284.122673611113</v>
      </c>
    </row>
    <row r="2125" spans="2:4" ht="13.5" customHeight="1">
      <c r="B2125" s="336" t="s">
        <v>4042</v>
      </c>
      <c r="C2125" s="388" t="s">
        <v>7014</v>
      </c>
      <c r="D2125" s="386">
        <v>32299.760312500002</v>
      </c>
    </row>
    <row r="2126" spans="2:4" ht="13.5" customHeight="1">
      <c r="B2126" s="336" t="s">
        <v>2769</v>
      </c>
      <c r="C2126" s="389" t="s">
        <v>4240</v>
      </c>
      <c r="D2126" s="386">
        <v>32315.455706018518</v>
      </c>
    </row>
    <row r="2127" spans="2:4" ht="13.5" customHeight="1">
      <c r="B2127" s="336" t="s">
        <v>4043</v>
      </c>
      <c r="C2127" s="388" t="s">
        <v>7015</v>
      </c>
      <c r="D2127" s="386">
        <v>32331.189340277779</v>
      </c>
    </row>
    <row r="2128" spans="2:4" ht="13.5" customHeight="1">
      <c r="B2128" s="336" t="s">
        <v>4947</v>
      </c>
      <c r="C2128" s="388" t="s">
        <v>4242</v>
      </c>
      <c r="D2128" s="386">
        <v>32346.910277777781</v>
      </c>
    </row>
    <row r="2129" spans="2:4" ht="13.5" customHeight="1">
      <c r="B2129" s="336" t="s">
        <v>4896</v>
      </c>
      <c r="C2129" s="388" t="s">
        <v>7016</v>
      </c>
      <c r="D2129" s="386">
        <v>32362.597476851854</v>
      </c>
    </row>
    <row r="2130" spans="2:4" ht="13.5" customHeight="1">
      <c r="B2130" s="336" t="s">
        <v>4948</v>
      </c>
      <c r="C2130" s="388" t="s">
        <v>4276</v>
      </c>
      <c r="D2130" s="386">
        <v>32378.204212962963</v>
      </c>
    </row>
    <row r="2131" spans="2:4" ht="13.5" customHeight="1">
      <c r="B2131" s="336" t="s">
        <v>4897</v>
      </c>
      <c r="C2131" s="388" t="s">
        <v>7017</v>
      </c>
      <c r="D2131" s="386">
        <v>32393.716550925928</v>
      </c>
    </row>
    <row r="2132" spans="2:4" ht="13.5" customHeight="1">
      <c r="B2132" s="336" t="s">
        <v>864</v>
      </c>
      <c r="C2132" s="389" t="s">
        <v>4278</v>
      </c>
      <c r="D2132" s="386">
        <v>32409.103379629632</v>
      </c>
    </row>
    <row r="2133" spans="2:4" ht="13.5" customHeight="1">
      <c r="B2133" s="336" t="s">
        <v>4898</v>
      </c>
      <c r="C2133" s="388" t="s">
        <v>7018</v>
      </c>
      <c r="D2133" s="386">
        <v>32424.364224537039</v>
      </c>
    </row>
    <row r="2134" spans="2:4" ht="13.5" customHeight="1">
      <c r="B2134" s="336" t="s">
        <v>865</v>
      </c>
      <c r="C2134" s="388" t="s">
        <v>4280</v>
      </c>
      <c r="D2134" s="386">
        <v>32439.48875</v>
      </c>
    </row>
    <row r="2135" spans="2:4" ht="13.5" customHeight="1">
      <c r="B2135" s="336" t="s">
        <v>4899</v>
      </c>
      <c r="C2135" s="388" t="s">
        <v>7019</v>
      </c>
      <c r="D2135" s="386">
        <v>32454.492106481484</v>
      </c>
    </row>
    <row r="2136" spans="2:4" ht="13.5" customHeight="1">
      <c r="B2136" s="336" t="s">
        <v>866</v>
      </c>
      <c r="C2136" s="388" t="s">
        <v>4282</v>
      </c>
      <c r="D2136" s="386">
        <v>32469.383078703704</v>
      </c>
    </row>
    <row r="2137" spans="2:4" ht="13.5" customHeight="1">
      <c r="B2137" s="336" t="s">
        <v>4900</v>
      </c>
      <c r="C2137" s="388" t="s">
        <v>7020</v>
      </c>
      <c r="D2137" s="386">
        <v>32484.190439814814</v>
      </c>
    </row>
    <row r="2138" spans="2:4" ht="13.5" customHeight="1">
      <c r="B2138" s="336" t="s">
        <v>867</v>
      </c>
      <c r="C2138" s="389" t="s">
        <v>4284</v>
      </c>
      <c r="D2138" s="386">
        <v>32498.935949074075</v>
      </c>
    </row>
    <row r="2139" spans="2:4" ht="13.5" customHeight="1">
      <c r="B2139" s="336" t="s">
        <v>4901</v>
      </c>
      <c r="C2139" s="390" t="s">
        <v>9317</v>
      </c>
      <c r="D2139" s="386">
        <v>32513.656782407408</v>
      </c>
    </row>
    <row r="2140" spans="2:4" ht="13.5" customHeight="1">
      <c r="B2140" s="336" t="s">
        <v>868</v>
      </c>
      <c r="C2140" s="388" t="s">
        <v>4230</v>
      </c>
      <c r="D2140" s="386">
        <v>32528.379814814816</v>
      </c>
    </row>
    <row r="2141" spans="2:4" ht="13.5" customHeight="1">
      <c r="B2141" s="336" t="s">
        <v>8115</v>
      </c>
      <c r="C2141" s="388" t="s">
        <v>7010</v>
      </c>
      <c r="D2141" s="386">
        <v>32543.143668981484</v>
      </c>
    </row>
    <row r="2142" spans="2:4" ht="13.5" customHeight="1">
      <c r="B2142" s="336" t="s">
        <v>869</v>
      </c>
      <c r="C2142" s="388" t="s">
        <v>4232</v>
      </c>
      <c r="D2142" s="386">
        <v>32557.972476851854</v>
      </c>
    </row>
    <row r="2143" spans="2:4" ht="13.5" customHeight="1">
      <c r="B2143" s="336" t="s">
        <v>8116</v>
      </c>
      <c r="C2143" s="388" t="s">
        <v>7011</v>
      </c>
      <c r="D2143" s="386">
        <v>32572.898449074077</v>
      </c>
    </row>
    <row r="2144" spans="2:4" ht="13.5" customHeight="1">
      <c r="B2144" s="336" t="s">
        <v>870</v>
      </c>
      <c r="C2144" s="389" t="s">
        <v>4234</v>
      </c>
      <c r="D2144" s="386">
        <v>32587.936168981483</v>
      </c>
    </row>
    <row r="2145" spans="2:4" ht="13.5" customHeight="1">
      <c r="B2145" s="336" t="s">
        <v>8117</v>
      </c>
      <c r="C2145" s="388" t="s">
        <v>7012</v>
      </c>
      <c r="D2145" s="386">
        <v>32603.103854166668</v>
      </c>
    </row>
    <row r="2146" spans="2:4" ht="13.5" customHeight="1">
      <c r="B2146" s="336" t="s">
        <v>871</v>
      </c>
      <c r="C2146" s="388" t="s">
        <v>4236</v>
      </c>
      <c r="D2146" s="386">
        <v>32618.401956018519</v>
      </c>
    </row>
    <row r="2147" spans="2:4" ht="13.5" customHeight="1">
      <c r="B2147" s="336" t="s">
        <v>8118</v>
      </c>
      <c r="C2147" s="388" t="s">
        <v>7013</v>
      </c>
      <c r="D2147" s="386">
        <v>32633.828946759262</v>
      </c>
    </row>
    <row r="2148" spans="2:4" ht="13.5" customHeight="1">
      <c r="B2148" s="336" t="s">
        <v>872</v>
      </c>
      <c r="C2148" s="388" t="s">
        <v>4238</v>
      </c>
      <c r="D2148" s="386">
        <v>32649.370451388892</v>
      </c>
    </row>
    <row r="2149" spans="2:4" ht="13.5" customHeight="1">
      <c r="B2149" s="336" t="s">
        <v>8119</v>
      </c>
      <c r="C2149" s="388" t="s">
        <v>7014</v>
      </c>
      <c r="D2149" s="386">
        <v>32665.003553240742</v>
      </c>
    </row>
    <row r="2150" spans="2:4" ht="13.5" customHeight="1">
      <c r="B2150" s="336" t="s">
        <v>873</v>
      </c>
      <c r="C2150" s="389" t="s">
        <v>4240</v>
      </c>
      <c r="D2150" s="386">
        <v>32680.703356481481</v>
      </c>
    </row>
    <row r="2151" spans="2:4" ht="13.5" customHeight="1">
      <c r="B2151" s="336" t="s">
        <v>8120</v>
      </c>
      <c r="C2151" s="388" t="s">
        <v>7015</v>
      </c>
      <c r="D2151" s="386">
        <v>32696.429942129631</v>
      </c>
    </row>
    <row r="2152" spans="2:4" ht="13.5" customHeight="1">
      <c r="B2152" s="336" t="s">
        <v>874</v>
      </c>
      <c r="C2152" s="388" t="s">
        <v>4242</v>
      </c>
      <c r="D2152" s="386">
        <v>32712.15627314815</v>
      </c>
    </row>
    <row r="2153" spans="2:4" ht="13.5" customHeight="1">
      <c r="B2153" s="336" t="s">
        <v>8121</v>
      </c>
      <c r="C2153" s="388" t="s">
        <v>7016</v>
      </c>
      <c r="D2153" s="386">
        <v>32727.835659722223</v>
      </c>
    </row>
    <row r="2154" spans="2:4" ht="13.5" customHeight="1">
      <c r="B2154" s="336" t="s">
        <v>875</v>
      </c>
      <c r="C2154" s="388" t="s">
        <v>4276</v>
      </c>
      <c r="D2154" s="386">
        <v>32743.448472222222</v>
      </c>
    </row>
    <row r="2155" spans="2:4" ht="13.5" customHeight="1">
      <c r="B2155" s="336" t="s">
        <v>8122</v>
      </c>
      <c r="C2155" s="388" t="s">
        <v>7017</v>
      </c>
      <c r="D2155" s="386">
        <v>32758.953865740743</v>
      </c>
    </row>
    <row r="2156" spans="2:4" ht="13.5" customHeight="1">
      <c r="B2156" s="336" t="s">
        <v>876</v>
      </c>
      <c r="C2156" s="389" t="s">
        <v>4278</v>
      </c>
      <c r="D2156" s="386">
        <v>32774.346909722219</v>
      </c>
    </row>
    <row r="2157" spans="2:4" ht="13.5" customHeight="1">
      <c r="B2157" s="336" t="s">
        <v>8123</v>
      </c>
      <c r="C2157" s="388" t="s">
        <v>7018</v>
      </c>
      <c r="D2157" s="386">
        <v>32789.602210648147</v>
      </c>
    </row>
    <row r="2158" spans="2:4" ht="13.5" customHeight="1">
      <c r="B2158" s="336" t="s">
        <v>877</v>
      </c>
      <c r="C2158" s="388" t="s">
        <v>4280</v>
      </c>
      <c r="D2158" s="386">
        <v>32804.732685185183</v>
      </c>
    </row>
    <row r="2159" spans="2:4" ht="13.5" customHeight="1">
      <c r="B2159" s="336" t="s">
        <v>8124</v>
      </c>
      <c r="C2159" s="388" t="s">
        <v>7019</v>
      </c>
      <c r="D2159" s="386">
        <v>32819.731446759259</v>
      </c>
    </row>
    <row r="2160" spans="2:4" ht="13.5" customHeight="1">
      <c r="B2160" s="336" t="s">
        <v>878</v>
      </c>
      <c r="C2160" s="388" t="s">
        <v>4282</v>
      </c>
      <c r="D2160" s="386">
        <v>32834.627974537034</v>
      </c>
    </row>
    <row r="2161" spans="2:4" ht="13.5" customHeight="1">
      <c r="B2161" s="336" t="s">
        <v>8125</v>
      </c>
      <c r="C2161" s="388" t="s">
        <v>7020</v>
      </c>
      <c r="D2161" s="386">
        <v>32849.430972222217</v>
      </c>
    </row>
    <row r="2162" spans="2:4" ht="13.5" customHeight="1">
      <c r="B2162" s="336" t="s">
        <v>879</v>
      </c>
      <c r="C2162" s="389" t="s">
        <v>4284</v>
      </c>
      <c r="D2162" s="386">
        <v>32864.18167824074</v>
      </c>
    </row>
    <row r="2163" spans="2:4" ht="13.5" customHeight="1">
      <c r="B2163" s="336" t="s">
        <v>8126</v>
      </c>
      <c r="C2163" s="390" t="s">
        <v>9317</v>
      </c>
      <c r="D2163" s="386">
        <v>32878.897835648146</v>
      </c>
    </row>
    <row r="2164" spans="2:4" ht="13.5" customHeight="1">
      <c r="B2164" s="336" t="s">
        <v>880</v>
      </c>
      <c r="C2164" s="388" t="s">
        <v>4230</v>
      </c>
      <c r="D2164" s="386">
        <v>32893.625740740739</v>
      </c>
    </row>
    <row r="2165" spans="2:4" ht="13.5" customHeight="1">
      <c r="B2165" s="336" t="s">
        <v>8127</v>
      </c>
      <c r="C2165" s="388" t="s">
        <v>7010</v>
      </c>
      <c r="D2165" s="386">
        <v>32908.384398148148</v>
      </c>
    </row>
    <row r="2166" spans="2:4" ht="13.5" customHeight="1">
      <c r="B2166" s="336" t="s">
        <v>881</v>
      </c>
      <c r="C2166" s="388" t="s">
        <v>4232</v>
      </c>
      <c r="D2166" s="386">
        <v>32923.217650462961</v>
      </c>
    </row>
    <row r="2167" spans="2:4" ht="13.5" customHeight="1">
      <c r="B2167" s="336" t="s">
        <v>8128</v>
      </c>
      <c r="C2167" s="388" t="s">
        <v>7011</v>
      </c>
      <c r="D2167" s="386">
        <v>32938.138090277775</v>
      </c>
    </row>
    <row r="2168" spans="2:4" ht="13.5" customHeight="1">
      <c r="B2168" s="336" t="s">
        <v>8986</v>
      </c>
      <c r="C2168" s="389" t="s">
        <v>4234</v>
      </c>
      <c r="D2168" s="386">
        <v>32953.179675925923</v>
      </c>
    </row>
    <row r="2169" spans="2:4" ht="13.5" customHeight="1">
      <c r="B2169" s="336" t="s">
        <v>8129</v>
      </c>
      <c r="C2169" s="388" t="s">
        <v>7012</v>
      </c>
      <c r="D2169" s="386">
        <v>32968.342106481476</v>
      </c>
    </row>
    <row r="2170" spans="2:4" ht="13.5" customHeight="1">
      <c r="B2170" s="336" t="s">
        <v>8987</v>
      </c>
      <c r="C2170" s="388" t="s">
        <v>4236</v>
      </c>
      <c r="D2170" s="386">
        <v>32983.643171296295</v>
      </c>
    </row>
    <row r="2171" spans="2:4" ht="13.5" customHeight="1">
      <c r="B2171" s="336" t="s">
        <v>8130</v>
      </c>
      <c r="C2171" s="388" t="s">
        <v>7013</v>
      </c>
      <c r="D2171" s="386">
        <v>32999.066087962958</v>
      </c>
    </row>
    <row r="2172" spans="2:4" ht="13.5" customHeight="1">
      <c r="B2172" s="336" t="s">
        <v>8988</v>
      </c>
      <c r="C2172" s="388" t="s">
        <v>4238</v>
      </c>
      <c r="D2172" s="386">
        <v>33014.60900462963</v>
      </c>
    </row>
    <row r="2173" spans="2:4" ht="13.5" customHeight="1">
      <c r="B2173" s="336" t="s">
        <v>8131</v>
      </c>
      <c r="C2173" s="388" t="s">
        <v>7014</v>
      </c>
      <c r="D2173" s="386">
        <v>33030.240243055552</v>
      </c>
    </row>
    <row r="2174" spans="2:4" ht="13.5" customHeight="1">
      <c r="B2174" s="336" t="s">
        <v>8989</v>
      </c>
      <c r="C2174" s="389" t="s">
        <v>4240</v>
      </c>
      <c r="D2174" s="386">
        <v>33045.93917824074</v>
      </c>
    </row>
    <row r="2175" spans="2:4" ht="13.5" customHeight="1">
      <c r="B2175" s="336" t="s">
        <v>8132</v>
      </c>
      <c r="C2175" s="388" t="s">
        <v>7015</v>
      </c>
      <c r="D2175" s="386">
        <v>33061.666759259257</v>
      </c>
    </row>
    <row r="2176" spans="2:4" ht="13.5" customHeight="1">
      <c r="B2176" s="336" t="s">
        <v>8990</v>
      </c>
      <c r="C2176" s="388" t="s">
        <v>4242</v>
      </c>
      <c r="D2176" s="386">
        <v>33077.389756944445</v>
      </c>
    </row>
    <row r="2177" spans="2:4" ht="13.5" customHeight="1">
      <c r="B2177" s="336" t="s">
        <v>8133</v>
      </c>
      <c r="C2177" s="388" t="s">
        <v>7016</v>
      </c>
      <c r="D2177" s="386">
        <v>33093.072974537034</v>
      </c>
    </row>
    <row r="2178" spans="2:4" ht="13.5" customHeight="1">
      <c r="B2178" s="336" t="s">
        <v>8991</v>
      </c>
      <c r="C2178" s="388" t="s">
        <v>4276</v>
      </c>
      <c r="D2178" s="386">
        <v>33108.680833333332</v>
      </c>
    </row>
    <row r="2179" spans="2:4" ht="13.5" customHeight="1">
      <c r="B2179" s="336" t="s">
        <v>8134</v>
      </c>
      <c r="C2179" s="388" t="s">
        <v>7017</v>
      </c>
      <c r="D2179" s="386">
        <v>33124.192280092589</v>
      </c>
    </row>
    <row r="2180" spans="2:4" ht="13.5" customHeight="1">
      <c r="B2180" s="336" t="s">
        <v>8992</v>
      </c>
      <c r="C2180" s="389" t="s">
        <v>4278</v>
      </c>
      <c r="D2180" s="386">
        <v>33139.579942129625</v>
      </c>
    </row>
    <row r="2181" spans="2:4" ht="13.5" customHeight="1">
      <c r="B2181" s="336" t="s">
        <v>8135</v>
      </c>
      <c r="C2181" s="388" t="s">
        <v>7018</v>
      </c>
      <c r="D2181" s="386">
        <v>33154.842638888884</v>
      </c>
    </row>
    <row r="2182" spans="2:4" ht="13.5" customHeight="1">
      <c r="B2182" s="336" t="s">
        <v>8993</v>
      </c>
      <c r="C2182" s="388" t="s">
        <v>4280</v>
      </c>
      <c r="D2182" s="386">
        <v>33169.967881944445</v>
      </c>
    </row>
    <row r="2183" spans="2:4" ht="13.5" customHeight="1">
      <c r="B2183" s="336" t="s">
        <v>8136</v>
      </c>
      <c r="C2183" s="388" t="s">
        <v>7019</v>
      </c>
      <c r="D2183" s="386">
        <v>33184.974490740737</v>
      </c>
    </row>
    <row r="2184" spans="2:4" ht="13.5" customHeight="1">
      <c r="B2184" s="336" t="s">
        <v>8994</v>
      </c>
      <c r="C2184" s="388" t="s">
        <v>4282</v>
      </c>
      <c r="D2184" s="386">
        <v>33199.86577546296</v>
      </c>
    </row>
    <row r="2185" spans="2:4" ht="13.5" customHeight="1">
      <c r="B2185" s="336" t="s">
        <v>8137</v>
      </c>
      <c r="C2185" s="388" t="s">
        <v>7020</v>
      </c>
      <c r="D2185" s="386">
        <v>33214.67628472222</v>
      </c>
    </row>
    <row r="2186" spans="2:4" ht="13.5" customHeight="1">
      <c r="B2186" s="336" t="s">
        <v>8995</v>
      </c>
      <c r="C2186" s="389" t="s">
        <v>4284</v>
      </c>
      <c r="D2186" s="386">
        <v>33229.421284722222</v>
      </c>
    </row>
    <row r="2187" spans="2:4" ht="13.5" customHeight="1">
      <c r="B2187" s="336" t="s">
        <v>8138</v>
      </c>
      <c r="C2187" s="390" t="s">
        <v>9317</v>
      </c>
      <c r="D2187" s="386">
        <v>33244.144270833334</v>
      </c>
    </row>
    <row r="2188" spans="2:4" ht="13.5" customHeight="1">
      <c r="B2188" s="336" t="s">
        <v>8996</v>
      </c>
      <c r="C2188" s="388" t="s">
        <v>4230</v>
      </c>
      <c r="D2188" s="386">
        <v>33258.865798611107</v>
      </c>
    </row>
    <row r="2189" spans="2:4" ht="13.5" customHeight="1">
      <c r="B2189" s="336" t="s">
        <v>8139</v>
      </c>
      <c r="C2189" s="388" t="s">
        <v>7010</v>
      </c>
      <c r="D2189" s="386">
        <v>33273.630636574075</v>
      </c>
    </row>
    <row r="2190" spans="2:4" ht="13.5" customHeight="1">
      <c r="B2190" s="336" t="s">
        <v>8997</v>
      </c>
      <c r="C2190" s="388" t="s">
        <v>4232</v>
      </c>
      <c r="D2190" s="386">
        <v>33288.456967592589</v>
      </c>
    </row>
    <row r="2191" spans="2:4" ht="13.5" customHeight="1">
      <c r="B2191" s="336" t="s">
        <v>8140</v>
      </c>
      <c r="C2191" s="388" t="s">
        <v>7011</v>
      </c>
      <c r="D2191" s="386">
        <v>33303.383402777778</v>
      </c>
    </row>
    <row r="2192" spans="2:4" ht="13.5" customHeight="1">
      <c r="B2192" s="336" t="s">
        <v>8998</v>
      </c>
      <c r="C2192" s="389" t="s">
        <v>4234</v>
      </c>
      <c r="D2192" s="386">
        <v>33318.417881944442</v>
      </c>
    </row>
    <row r="2193" spans="2:4" ht="13.5" customHeight="1">
      <c r="B2193" s="336" t="s">
        <v>8141</v>
      </c>
      <c r="C2193" s="388" t="s">
        <v>7012</v>
      </c>
      <c r="D2193" s="386">
        <v>33333.58657407407</v>
      </c>
    </row>
    <row r="2194" spans="2:4" ht="13.5" customHeight="1">
      <c r="B2194" s="336" t="s">
        <v>8999</v>
      </c>
      <c r="C2194" s="388" t="s">
        <v>4236</v>
      </c>
      <c r="D2194" s="386">
        <v>33348.880810185183</v>
      </c>
    </row>
    <row r="2195" spans="2:4" ht="13.5" customHeight="1">
      <c r="B2195" s="336" t="s">
        <v>8142</v>
      </c>
      <c r="C2195" s="388" t="s">
        <v>7013</v>
      </c>
      <c r="D2195" s="386">
        <v>33364.310324074075</v>
      </c>
    </row>
    <row r="2196" spans="2:4" ht="13.5" customHeight="1">
      <c r="B2196" s="336" t="s">
        <v>4992</v>
      </c>
      <c r="C2196" s="388" t="s">
        <v>4238</v>
      </c>
      <c r="D2196" s="386">
        <v>33379.847291666665</v>
      </c>
    </row>
    <row r="2197" spans="2:4" ht="13.5" customHeight="1">
      <c r="B2197" s="336" t="s">
        <v>8143</v>
      </c>
      <c r="C2197" s="388" t="s">
        <v>7014</v>
      </c>
      <c r="D2197" s="386">
        <v>33395.48474537037</v>
      </c>
    </row>
    <row r="2198" spans="2:4" ht="13.5" customHeight="1">
      <c r="B2198" s="336" t="s">
        <v>4993</v>
      </c>
      <c r="C2198" s="389" t="s">
        <v>4240</v>
      </c>
      <c r="D2198" s="386">
        <v>33411.179386574069</v>
      </c>
    </row>
    <row r="2199" spans="2:4" ht="13.5" customHeight="1">
      <c r="B2199" s="336" t="s">
        <v>8144</v>
      </c>
      <c r="C2199" s="388" t="s">
        <v>7015</v>
      </c>
      <c r="D2199" s="386">
        <v>33426.911481481482</v>
      </c>
    </row>
    <row r="2200" spans="2:4" ht="13.5" customHeight="1">
      <c r="B2200" s="336" t="s">
        <v>4994</v>
      </c>
      <c r="C2200" s="388" t="s">
        <v>4242</v>
      </c>
      <c r="D2200" s="386">
        <v>33442.632430555554</v>
      </c>
    </row>
    <row r="2201" spans="2:4" ht="13.5" customHeight="1">
      <c r="B2201" s="336" t="s">
        <v>8145</v>
      </c>
      <c r="C2201" s="388" t="s">
        <v>7016</v>
      </c>
      <c r="D2201" s="386">
        <v>33458.317361111105</v>
      </c>
    </row>
    <row r="2202" spans="2:4" ht="13.5" customHeight="1">
      <c r="B2202" s="336" t="s">
        <v>4995</v>
      </c>
      <c r="C2202" s="388" t="s">
        <v>4276</v>
      </c>
      <c r="D2202" s="386">
        <v>33473.925312499996</v>
      </c>
    </row>
    <row r="2203" spans="2:4" ht="13.5" customHeight="1">
      <c r="B2203" s="336" t="s">
        <v>8146</v>
      </c>
      <c r="C2203" s="388" t="s">
        <v>7017</v>
      </c>
      <c r="D2203" s="386">
        <v>33489.435497685183</v>
      </c>
    </row>
    <row r="2204" spans="2:4" ht="13.5" customHeight="1">
      <c r="B2204" s="336" t="s">
        <v>4996</v>
      </c>
      <c r="C2204" s="389" t="s">
        <v>4278</v>
      </c>
      <c r="D2204" s="386">
        <v>33504.824745370366</v>
      </c>
    </row>
    <row r="2205" spans="2:4" ht="13.5" customHeight="1">
      <c r="B2205" s="336" t="s">
        <v>8147</v>
      </c>
      <c r="C2205" s="388" t="s">
        <v>7018</v>
      </c>
      <c r="D2205" s="386">
        <v>33520.083969907406</v>
      </c>
    </row>
    <row r="2206" spans="2:4" ht="13.5" customHeight="1">
      <c r="B2206" s="336" t="s">
        <v>4997</v>
      </c>
      <c r="C2206" s="388" t="s">
        <v>4280</v>
      </c>
      <c r="D2206" s="386">
        <v>33535.211655092593</v>
      </c>
    </row>
    <row r="2207" spans="2:4" ht="13.5" customHeight="1">
      <c r="B2207" s="336" t="s">
        <v>8148</v>
      </c>
      <c r="C2207" s="388" t="s">
        <v>7019</v>
      </c>
      <c r="D2207" s="386">
        <v>33550.213703703703</v>
      </c>
    </row>
    <row r="2208" spans="2:4" ht="13.5" customHeight="1">
      <c r="B2208" s="336" t="s">
        <v>4998</v>
      </c>
      <c r="C2208" s="388" t="s">
        <v>4282</v>
      </c>
      <c r="D2208" s="386">
        <v>33565.107905092591</v>
      </c>
    </row>
    <row r="2209" spans="2:4" ht="13.5" customHeight="1">
      <c r="B2209" s="336" t="s">
        <v>8149</v>
      </c>
      <c r="C2209" s="388" t="s">
        <v>7020</v>
      </c>
      <c r="D2209" s="386">
        <v>33579.913761574069</v>
      </c>
    </row>
    <row r="2210" spans="2:4" ht="13.5" customHeight="1">
      <c r="B2210" s="336" t="s">
        <v>4999</v>
      </c>
      <c r="C2210" s="389" t="s">
        <v>4284</v>
      </c>
      <c r="D2210" s="386">
        <v>33594.662013888883</v>
      </c>
    </row>
    <row r="2211" spans="2:4" ht="13.5" customHeight="1">
      <c r="B2211" s="336" t="s">
        <v>8150</v>
      </c>
      <c r="C2211" s="390" t="s">
        <v>9317</v>
      </c>
      <c r="D2211" s="386">
        <v>33609.380694444444</v>
      </c>
    </row>
    <row r="2212" spans="2:4" ht="13.5" customHeight="1">
      <c r="B2212" s="336" t="s">
        <v>5000</v>
      </c>
      <c r="C2212" s="388" t="s">
        <v>4230</v>
      </c>
      <c r="D2212" s="386">
        <v>33624.105706018519</v>
      </c>
    </row>
    <row r="2213" spans="2:4" ht="13.5" customHeight="1">
      <c r="B2213" s="336" t="s">
        <v>8151</v>
      </c>
      <c r="C2213" s="388" t="s">
        <v>7010</v>
      </c>
      <c r="D2213" s="386">
        <v>33638.866608796292</v>
      </c>
    </row>
    <row r="2214" spans="2:4" ht="13.5" customHeight="1">
      <c r="B2214" s="336" t="s">
        <v>5001</v>
      </c>
      <c r="C2214" s="388" t="s">
        <v>4232</v>
      </c>
      <c r="D2214" s="386">
        <v>33653.696724537032</v>
      </c>
    </row>
    <row r="2215" spans="2:4" ht="13.5" customHeight="1">
      <c r="B2215" s="336" t="s">
        <v>8152</v>
      </c>
      <c r="C2215" s="388" t="s">
        <v>7011</v>
      </c>
      <c r="D2215" s="386">
        <v>33668.619282407402</v>
      </c>
    </row>
    <row r="2216" spans="2:4" ht="13.5" customHeight="1">
      <c r="B2216" s="336" t="s">
        <v>5002</v>
      </c>
      <c r="C2216" s="389" t="s">
        <v>4234</v>
      </c>
      <c r="D2216" s="386">
        <v>33683.65824074074</v>
      </c>
    </row>
    <row r="2217" spans="2:4" ht="13.5" customHeight="1">
      <c r="B2217" s="336" t="s">
        <v>8153</v>
      </c>
      <c r="C2217" s="388" t="s">
        <v>7012</v>
      </c>
      <c r="D2217" s="386">
        <v>33698.822754629626</v>
      </c>
    </row>
    <row r="2218" spans="2:4" ht="13.5" customHeight="1">
      <c r="B2218" s="336" t="s">
        <v>5003</v>
      </c>
      <c r="C2218" s="388" t="s">
        <v>4236</v>
      </c>
      <c r="D2218" s="386">
        <v>33714.122754629629</v>
      </c>
    </row>
    <row r="2219" spans="2:4" ht="13.5" customHeight="1">
      <c r="B2219" s="336" t="s">
        <v>8154</v>
      </c>
      <c r="C2219" s="388" t="s">
        <v>7013</v>
      </c>
      <c r="D2219" s="386">
        <v>33729.54751157407</v>
      </c>
    </row>
    <row r="2220" spans="2:4" ht="13.5" customHeight="1">
      <c r="B2220" s="336" t="s">
        <v>5004</v>
      </c>
      <c r="C2220" s="388" t="s">
        <v>4238</v>
      </c>
      <c r="D2220" s="386">
        <v>33745.091805555552</v>
      </c>
    </row>
    <row r="2221" spans="2:4" ht="13.5" customHeight="1">
      <c r="B2221" s="336" t="s">
        <v>8155</v>
      </c>
      <c r="C2221" s="388" t="s">
        <v>7014</v>
      </c>
      <c r="D2221" s="386">
        <v>33760.723877314813</v>
      </c>
    </row>
    <row r="2222" spans="2:4" ht="13.5" customHeight="1">
      <c r="B2222" s="336" t="s">
        <v>5005</v>
      </c>
      <c r="C2222" s="389" t="s">
        <v>4240</v>
      </c>
      <c r="D2222" s="386">
        <v>33776.426620370366</v>
      </c>
    </row>
    <row r="2223" spans="2:4" ht="13.5" customHeight="1">
      <c r="B2223" s="336" t="s">
        <v>8156</v>
      </c>
      <c r="C2223" s="388" t="s">
        <v>7015</v>
      </c>
      <c r="D2223" s="386">
        <v>33792.152997685182</v>
      </c>
    </row>
    <row r="2224" spans="2:4" ht="13.5" customHeight="1">
      <c r="B2224" s="336" t="s">
        <v>5006</v>
      </c>
      <c r="C2224" s="388" t="s">
        <v>4242</v>
      </c>
      <c r="D2224" s="386">
        <v>33807.881168981476</v>
      </c>
    </row>
    <row r="2225" spans="2:4" ht="13.5" customHeight="1">
      <c r="B2225" s="336" t="s">
        <v>7226</v>
      </c>
      <c r="C2225" s="388" t="s">
        <v>7016</v>
      </c>
      <c r="D2225" s="386">
        <v>33823.560659722221</v>
      </c>
    </row>
    <row r="2226" spans="2:4" ht="13.5" customHeight="1">
      <c r="B2226" s="336" t="s">
        <v>7080</v>
      </c>
      <c r="C2226" s="388" t="s">
        <v>4276</v>
      </c>
      <c r="D2226" s="386">
        <v>33839.173645833333</v>
      </c>
    </row>
    <row r="2227" spans="2:4" ht="13.5" customHeight="1">
      <c r="B2227" s="336" t="s">
        <v>7227</v>
      </c>
      <c r="C2227" s="388" t="s">
        <v>7017</v>
      </c>
      <c r="D2227" s="386">
        <v>33854.679282407407</v>
      </c>
    </row>
    <row r="2228" spans="2:4" ht="13.5" customHeight="1">
      <c r="B2228" s="336" t="s">
        <v>7081</v>
      </c>
      <c r="C2228" s="389" t="s">
        <v>4278</v>
      </c>
      <c r="D2228" s="386">
        <v>33870.07126157407</v>
      </c>
    </row>
    <row r="2229" spans="2:4" ht="13.5" customHeight="1">
      <c r="B2229" s="336" t="s">
        <v>7228</v>
      </c>
      <c r="C2229" s="388" t="s">
        <v>7018</v>
      </c>
      <c r="D2229" s="386">
        <v>33885.327152777776</v>
      </c>
    </row>
    <row r="2230" spans="2:4" ht="13.5" customHeight="1">
      <c r="B2230" s="336" t="s">
        <v>7082</v>
      </c>
      <c r="C2230" s="388" t="s">
        <v>4280</v>
      </c>
      <c r="D2230" s="386">
        <v>33900.45612268518</v>
      </c>
    </row>
    <row r="2231" spans="2:4" ht="13.5" customHeight="1">
      <c r="B2231" s="336" t="s">
        <v>7229</v>
      </c>
      <c r="C2231" s="388" t="s">
        <v>7019</v>
      </c>
      <c r="D2231" s="386">
        <v>33915.455937499995</v>
      </c>
    </row>
    <row r="2232" spans="2:4" ht="13.5" customHeight="1">
      <c r="B2232" s="336" t="s">
        <v>7083</v>
      </c>
      <c r="C2232" s="388" t="s">
        <v>4282</v>
      </c>
      <c r="D2232" s="386">
        <v>33930.351030092592</v>
      </c>
    </row>
    <row r="2233" spans="2:4" ht="13.5" customHeight="1">
      <c r="B2233" s="336" t="s">
        <v>5765</v>
      </c>
      <c r="C2233" s="388" t="s">
        <v>7020</v>
      </c>
      <c r="D2233" s="386">
        <v>33945.155393518515</v>
      </c>
    </row>
    <row r="2234" spans="2:4" ht="13.5" customHeight="1">
      <c r="B2234" s="336" t="s">
        <v>7084</v>
      </c>
      <c r="C2234" s="389" t="s">
        <v>4284</v>
      </c>
      <c r="D2234" s="386">
        <v>33959.904791666668</v>
      </c>
    </row>
    <row r="2235" spans="2:4" ht="13.5" customHeight="1">
      <c r="B2235" s="336" t="s">
        <v>5766</v>
      </c>
      <c r="C2235" s="390" t="s">
        <v>9317</v>
      </c>
      <c r="D2235" s="386">
        <v>33974.622372685182</v>
      </c>
    </row>
    <row r="2236" spans="2:4" ht="13.5" customHeight="1">
      <c r="B2236" s="336" t="s">
        <v>7085</v>
      </c>
      <c r="C2236" s="388" t="s">
        <v>4230</v>
      </c>
      <c r="D2236" s="386">
        <v>33989.348993055552</v>
      </c>
    </row>
    <row r="2237" spans="2:4" ht="13.5" customHeight="1">
      <c r="B2237" s="336" t="s">
        <v>5767</v>
      </c>
      <c r="C2237" s="388" t="s">
        <v>7010</v>
      </c>
      <c r="D2237" s="386">
        <v>34004.109050925923</v>
      </c>
    </row>
    <row r="2238" spans="2:4" ht="13.5" customHeight="1">
      <c r="B2238" s="336" t="s">
        <v>7086</v>
      </c>
      <c r="C2238" s="388" t="s">
        <v>4232</v>
      </c>
      <c r="D2238" s="386">
        <v>34018.941006944442</v>
      </c>
    </row>
    <row r="2239" spans="2:4" ht="13.5" customHeight="1">
      <c r="B2239" s="336" t="s">
        <v>5768</v>
      </c>
      <c r="C2239" s="388" t="s">
        <v>7011</v>
      </c>
      <c r="D2239" s="386">
        <v>34033.862951388888</v>
      </c>
    </row>
    <row r="2240" spans="2:4" ht="13.5" customHeight="1">
      <c r="B2240" s="336" t="s">
        <v>7087</v>
      </c>
      <c r="C2240" s="389" t="s">
        <v>4234</v>
      </c>
      <c r="D2240" s="386">
        <v>34048.903240740736</v>
      </c>
    </row>
    <row r="2241" spans="2:4" ht="13.5" customHeight="1">
      <c r="B2241" s="336" t="s">
        <v>5769</v>
      </c>
      <c r="C2241" s="388" t="s">
        <v>7012</v>
      </c>
      <c r="D2241" s="386">
        <v>34064.06763888889</v>
      </c>
    </row>
    <row r="2242" spans="2:4" ht="13.5" customHeight="1">
      <c r="B2242" s="336" t="s">
        <v>7088</v>
      </c>
      <c r="C2242" s="388" t="s">
        <v>4236</v>
      </c>
      <c r="D2242" s="386">
        <v>34079.367384259254</v>
      </c>
    </row>
    <row r="2243" spans="2:4" ht="13.5" customHeight="1">
      <c r="B2243" s="336" t="s">
        <v>5770</v>
      </c>
      <c r="C2243" s="388" t="s">
        <v>7013</v>
      </c>
      <c r="D2243" s="386">
        <v>34094.792997685181</v>
      </c>
    </row>
    <row r="2244" spans="2:4" ht="13.5" customHeight="1">
      <c r="B2244" s="336" t="s">
        <v>7089</v>
      </c>
      <c r="C2244" s="388" t="s">
        <v>4238</v>
      </c>
      <c r="D2244" s="386">
        <v>34110.33457175926</v>
      </c>
    </row>
    <row r="2245" spans="2:4" ht="13.5" customHeight="1">
      <c r="B2245" s="336" t="s">
        <v>5771</v>
      </c>
      <c r="C2245" s="388" t="s">
        <v>7014</v>
      </c>
      <c r="D2245" s="386">
        <v>34125.969097222223</v>
      </c>
    </row>
    <row r="2246" spans="2:4" ht="13.5" customHeight="1">
      <c r="B2246" s="336" t="s">
        <v>7090</v>
      </c>
      <c r="C2246" s="389" t="s">
        <v>4240</v>
      </c>
      <c r="D2246" s="386">
        <v>34141.666562499995</v>
      </c>
    </row>
    <row r="2247" spans="2:4" ht="13.5" customHeight="1">
      <c r="B2247" s="336" t="s">
        <v>5772</v>
      </c>
      <c r="C2247" s="388" t="s">
        <v>7015</v>
      </c>
      <c r="D2247" s="386">
        <v>34157.397361111107</v>
      </c>
    </row>
    <row r="2248" spans="2:4" ht="13.5" customHeight="1">
      <c r="B2248" s="336" t="s">
        <v>4704</v>
      </c>
      <c r="C2248" s="388" t="s">
        <v>4242</v>
      </c>
      <c r="D2248" s="386">
        <v>34173.118634259255</v>
      </c>
    </row>
    <row r="2249" spans="2:4" ht="13.5" customHeight="1">
      <c r="B2249" s="336" t="s">
        <v>5773</v>
      </c>
      <c r="C2249" s="388" t="s">
        <v>7016</v>
      </c>
      <c r="D2249" s="386">
        <v>34188.804074074069</v>
      </c>
    </row>
    <row r="2250" spans="2:4" ht="13.5" customHeight="1">
      <c r="B2250" s="336" t="s">
        <v>4705</v>
      </c>
      <c r="C2250" s="388" t="s">
        <v>4276</v>
      </c>
      <c r="D2250" s="386">
        <v>34204.409826388888</v>
      </c>
    </row>
    <row r="2251" spans="2:4" ht="13.5" customHeight="1">
      <c r="B2251" s="336" t="s">
        <v>5774</v>
      </c>
      <c r="C2251" s="388" t="s">
        <v>7017</v>
      </c>
      <c r="D2251" s="386">
        <v>34219.921932870369</v>
      </c>
    </row>
    <row r="2252" spans="2:4" ht="13.5" customHeight="1">
      <c r="B2252" s="336" t="s">
        <v>4706</v>
      </c>
      <c r="C2252" s="389" t="s">
        <v>4278</v>
      </c>
      <c r="D2252" s="386">
        <v>34235.307210648149</v>
      </c>
    </row>
    <row r="2253" spans="2:4" ht="13.5" customHeight="1">
      <c r="B2253" s="336" t="s">
        <v>5775</v>
      </c>
      <c r="C2253" s="388" t="s">
        <v>7018</v>
      </c>
      <c r="D2253" s="386">
        <v>34250.569374999999</v>
      </c>
    </row>
    <row r="2254" spans="2:4" ht="13.5" customHeight="1">
      <c r="B2254" s="336" t="s">
        <v>4707</v>
      </c>
      <c r="C2254" s="388" t="s">
        <v>4280</v>
      </c>
      <c r="D2254" s="386">
        <v>34265.692395833328</v>
      </c>
    </row>
    <row r="2255" spans="2:4" ht="13.5" customHeight="1">
      <c r="B2255" s="336" t="s">
        <v>5776</v>
      </c>
      <c r="C2255" s="388" t="s">
        <v>7019</v>
      </c>
      <c r="D2255" s="386">
        <v>34280.698194444441</v>
      </c>
    </row>
    <row r="2256" spans="2:4" ht="13.5" customHeight="1">
      <c r="B2256" s="336" t="s">
        <v>4708</v>
      </c>
      <c r="C2256" s="388" t="s">
        <v>4282</v>
      </c>
      <c r="D2256" s="386">
        <v>34295.587974537033</v>
      </c>
    </row>
    <row r="2257" spans="2:4" ht="13.5" customHeight="1">
      <c r="B2257" s="336" t="s">
        <v>5777</v>
      </c>
      <c r="C2257" s="388" t="s">
        <v>7020</v>
      </c>
      <c r="D2257" s="386">
        <v>34310.398321759254</v>
      </c>
    </row>
    <row r="2258" spans="2:4" ht="13.5" customHeight="1">
      <c r="B2258" s="336" t="s">
        <v>4709</v>
      </c>
      <c r="C2258" s="389" t="s">
        <v>4284</v>
      </c>
      <c r="D2258" s="386">
        <v>34325.142789351848</v>
      </c>
    </row>
    <row r="2259" spans="2:4" ht="13.5" customHeight="1">
      <c r="B2259" s="336" t="s">
        <v>5778</v>
      </c>
      <c r="C2259" s="390" t="s">
        <v>9317</v>
      </c>
      <c r="D2259" s="386">
        <v>34339.866539351846</v>
      </c>
    </row>
    <row r="2260" spans="2:4" ht="13.5" customHeight="1">
      <c r="B2260" s="336" t="s">
        <v>4710</v>
      </c>
      <c r="C2260" s="388" t="s">
        <v>4230</v>
      </c>
      <c r="D2260" s="386">
        <v>34354.58831018518</v>
      </c>
    </row>
    <row r="2261" spans="2:4" ht="13.5" customHeight="1">
      <c r="B2261" s="336" t="s">
        <v>5779</v>
      </c>
      <c r="C2261" s="388" t="s">
        <v>7010</v>
      </c>
      <c r="D2261" s="386">
        <v>34369.35456018518</v>
      </c>
    </row>
    <row r="2262" spans="2:4" ht="13.5" customHeight="1">
      <c r="B2262" s="336" t="s">
        <v>4711</v>
      </c>
      <c r="C2262" s="388" t="s">
        <v>4232</v>
      </c>
      <c r="D2262" s="386">
        <v>34384.181446759256</v>
      </c>
    </row>
    <row r="2263" spans="2:4" ht="13.5" customHeight="1">
      <c r="B2263" s="336" t="s">
        <v>5780</v>
      </c>
      <c r="C2263" s="388" t="s">
        <v>7011</v>
      </c>
      <c r="D2263" s="386">
        <v>34399.109236111108</v>
      </c>
    </row>
    <row r="2264" spans="2:4" ht="13.5" customHeight="1">
      <c r="B2264" s="336" t="s">
        <v>4712</v>
      </c>
      <c r="C2264" s="389" t="s">
        <v>4234</v>
      </c>
      <c r="D2264" s="386">
        <v>34414.144212962958</v>
      </c>
    </row>
    <row r="2265" spans="2:4" ht="13.5" customHeight="1">
      <c r="B2265" s="336" t="s">
        <v>5781</v>
      </c>
      <c r="C2265" s="388" t="s">
        <v>7012</v>
      </c>
      <c r="D2265" s="386">
        <v>34429.313634259255</v>
      </c>
    </row>
    <row r="2266" spans="2:4" ht="13.5" customHeight="1">
      <c r="B2266" s="336" t="s">
        <v>4713</v>
      </c>
      <c r="C2266" s="388" t="s">
        <v>4236</v>
      </c>
      <c r="D2266" s="386">
        <v>34444.60832175926</v>
      </c>
    </row>
    <row r="2267" spans="2:4" ht="13.5" customHeight="1">
      <c r="B2267" s="336" t="s">
        <v>5782</v>
      </c>
      <c r="C2267" s="388" t="s">
        <v>7013</v>
      </c>
      <c r="D2267" s="386">
        <v>34460.037638888884</v>
      </c>
    </row>
    <row r="2268" spans="2:4" ht="13.5" customHeight="1">
      <c r="B2268" s="336" t="s">
        <v>4714</v>
      </c>
      <c r="C2268" s="388" t="s">
        <v>4238</v>
      </c>
      <c r="D2268" s="386">
        <v>34475.575462962959</v>
      </c>
    </row>
    <row r="2269" spans="2:4" ht="13.5" customHeight="1">
      <c r="B2269" s="336" t="s">
        <v>5783</v>
      </c>
      <c r="C2269" s="388" t="s">
        <v>7014</v>
      </c>
      <c r="D2269" s="386">
        <v>34491.211863425924</v>
      </c>
    </row>
    <row r="2270" spans="2:4" ht="13.5" customHeight="1">
      <c r="B2270" s="336" t="s">
        <v>4715</v>
      </c>
      <c r="C2270" s="389" t="s">
        <v>4240</v>
      </c>
      <c r="D2270" s="386">
        <v>34506.908171296294</v>
      </c>
    </row>
    <row r="2271" spans="2:4" ht="13.5" customHeight="1">
      <c r="B2271" s="336" t="s">
        <v>4650</v>
      </c>
      <c r="C2271" s="388" t="s">
        <v>7015</v>
      </c>
      <c r="D2271" s="386">
        <v>34522.638576388883</v>
      </c>
    </row>
    <row r="2272" spans="2:4" ht="13.5" customHeight="1">
      <c r="B2272" s="336" t="s">
        <v>4716</v>
      </c>
      <c r="C2272" s="388" t="s">
        <v>4242</v>
      </c>
      <c r="D2272" s="386">
        <v>34538.361921296295</v>
      </c>
    </row>
    <row r="2273" spans="2:4" ht="13.5" customHeight="1">
      <c r="B2273" s="336" t="s">
        <v>4651</v>
      </c>
      <c r="C2273" s="388" t="s">
        <v>7016</v>
      </c>
      <c r="D2273" s="386">
        <v>34554.04478009259</v>
      </c>
    </row>
    <row r="2274" spans="2:4" ht="13.5" customHeight="1">
      <c r="B2274" s="336" t="s">
        <v>4717</v>
      </c>
      <c r="C2274" s="388" t="s">
        <v>4276</v>
      </c>
      <c r="D2274" s="386">
        <v>34569.655381944445</v>
      </c>
    </row>
    <row r="2275" spans="2:4" ht="13.5" customHeight="1">
      <c r="B2275" s="336" t="s">
        <v>7023</v>
      </c>
      <c r="C2275" s="388" t="s">
        <v>7017</v>
      </c>
      <c r="D2275" s="386">
        <v>34585.163344907407</v>
      </c>
    </row>
    <row r="2276" spans="2:4" ht="13.5" customHeight="1">
      <c r="B2276" s="336" t="s">
        <v>4718</v>
      </c>
      <c r="C2276" s="389" t="s">
        <v>4278</v>
      </c>
      <c r="D2276" s="386">
        <v>34600.555</v>
      </c>
    </row>
    <row r="2277" spans="2:4" ht="13.5" customHeight="1">
      <c r="B2277" s="336" t="s">
        <v>7024</v>
      </c>
      <c r="C2277" s="388" t="s">
        <v>7018</v>
      </c>
      <c r="D2277" s="386">
        <v>34615.811956018515</v>
      </c>
    </row>
    <row r="2278" spans="2:4" ht="13.5" customHeight="1">
      <c r="B2278" s="336" t="s">
        <v>181</v>
      </c>
      <c r="C2278" s="388" t="s">
        <v>4280</v>
      </c>
      <c r="D2278" s="386">
        <v>34630.941620370366</v>
      </c>
    </row>
    <row r="2279" spans="2:4" ht="13.5" customHeight="1">
      <c r="B2279" s="336" t="s">
        <v>7025</v>
      </c>
      <c r="C2279" s="388" t="s">
        <v>7019</v>
      </c>
      <c r="D2279" s="386">
        <v>34645.941388888888</v>
      </c>
    </row>
    <row r="2280" spans="2:4" ht="13.5" customHeight="1">
      <c r="B2280" s="336" t="s">
        <v>182</v>
      </c>
      <c r="C2280" s="388" t="s">
        <v>4282</v>
      </c>
      <c r="D2280" s="386">
        <v>34660.837280092594</v>
      </c>
    </row>
    <row r="2281" spans="2:4" ht="13.5" customHeight="1">
      <c r="B2281" s="336" t="s">
        <v>7026</v>
      </c>
      <c r="C2281" s="388" t="s">
        <v>7020</v>
      </c>
      <c r="D2281" s="386">
        <v>34675.640810185185</v>
      </c>
    </row>
    <row r="2282" spans="2:4" ht="13.5" customHeight="1">
      <c r="B2282" s="336" t="s">
        <v>183</v>
      </c>
      <c r="C2282" s="389" t="s">
        <v>4284</v>
      </c>
      <c r="D2282" s="386">
        <v>34690.390648148146</v>
      </c>
    </row>
    <row r="2283" spans="2:4" ht="13.5" customHeight="1">
      <c r="B2283" s="336" t="s">
        <v>7027</v>
      </c>
      <c r="C2283" s="390" t="s">
        <v>9317</v>
      </c>
      <c r="D2283" s="386">
        <v>34705.10701388889</v>
      </c>
    </row>
    <row r="2284" spans="2:4" ht="13.5" customHeight="1">
      <c r="B2284" s="336" t="s">
        <v>184</v>
      </c>
      <c r="C2284" s="388" t="s">
        <v>4230</v>
      </c>
      <c r="D2284" s="386">
        <v>34719.833668981482</v>
      </c>
    </row>
    <row r="2285" spans="2:4" ht="13.5" customHeight="1">
      <c r="B2285" s="336" t="s">
        <v>7028</v>
      </c>
      <c r="C2285" s="388" t="s">
        <v>7010</v>
      </c>
      <c r="D2285" s="386">
        <v>34734.592326388884</v>
      </c>
    </row>
    <row r="2286" spans="2:4" ht="13.5" customHeight="1">
      <c r="B2286" s="336" t="s">
        <v>185</v>
      </c>
      <c r="C2286" s="388" t="s">
        <v>4232</v>
      </c>
      <c r="D2286" s="386">
        <v>34749.424166666664</v>
      </c>
    </row>
    <row r="2287" spans="2:4" ht="13.5" customHeight="1">
      <c r="B2287" s="336" t="s">
        <v>7029</v>
      </c>
      <c r="C2287" s="388" t="s">
        <v>7011</v>
      </c>
      <c r="D2287" s="386">
        <v>34764.344502314809</v>
      </c>
    </row>
    <row r="2288" spans="2:4" ht="13.5" customHeight="1">
      <c r="B2288" s="336" t="s">
        <v>186</v>
      </c>
      <c r="C2288" s="389" t="s">
        <v>4234</v>
      </c>
      <c r="D2288" s="386">
        <v>34779.385023148148</v>
      </c>
    </row>
    <row r="2289" spans="2:4" ht="13.5" customHeight="1">
      <c r="B2289" s="336" t="s">
        <v>7030</v>
      </c>
      <c r="C2289" s="388" t="s">
        <v>7012</v>
      </c>
      <c r="D2289" s="386">
        <v>34794.547233796293</v>
      </c>
    </row>
    <row r="2290" spans="2:4" ht="13.5" customHeight="1">
      <c r="B2290" s="336" t="s">
        <v>187</v>
      </c>
      <c r="C2290" s="388" t="s">
        <v>4236</v>
      </c>
      <c r="D2290" s="386">
        <v>34809.848287037035</v>
      </c>
    </row>
    <row r="2291" spans="2:4" ht="13.5" customHeight="1">
      <c r="B2291" s="336" t="s">
        <v>7031</v>
      </c>
      <c r="C2291" s="388" t="s">
        <v>7013</v>
      </c>
      <c r="D2291" s="386">
        <v>34825.270821759259</v>
      </c>
    </row>
    <row r="2292" spans="2:4" ht="13.5" customHeight="1">
      <c r="B2292" s="336" t="s">
        <v>188</v>
      </c>
      <c r="C2292" s="388" t="s">
        <v>4238</v>
      </c>
      <c r="D2292" s="386">
        <v>34840.815486111111</v>
      </c>
    </row>
    <row r="2293" spans="2:4" ht="13.5" customHeight="1">
      <c r="B2293" s="336" t="s">
        <v>7032</v>
      </c>
      <c r="C2293" s="388" t="s">
        <v>7014</v>
      </c>
      <c r="D2293" s="386">
        <v>34856.446099537032</v>
      </c>
    </row>
    <row r="2294" spans="2:4" ht="13.5" customHeight="1">
      <c r="B2294" s="336" t="s">
        <v>189</v>
      </c>
      <c r="C2294" s="389" t="s">
        <v>4240</v>
      </c>
      <c r="D2294" s="386">
        <v>34872.148842592593</v>
      </c>
    </row>
    <row r="2295" spans="2:4" ht="13.5" customHeight="1">
      <c r="B2295" s="336" t="s">
        <v>8874</v>
      </c>
      <c r="C2295" s="388" t="s">
        <v>7015</v>
      </c>
      <c r="D2295" s="386">
        <v>34887.875543981478</v>
      </c>
    </row>
    <row r="2296" spans="2:4" ht="13.5" customHeight="1">
      <c r="B2296" s="336" t="s">
        <v>190</v>
      </c>
      <c r="C2296" s="388" t="s">
        <v>4242</v>
      </c>
      <c r="D2296" s="386">
        <v>34903.603865740741</v>
      </c>
    </row>
    <row r="2297" spans="2:4" ht="13.5" customHeight="1">
      <c r="B2297" s="336" t="s">
        <v>8875</v>
      </c>
      <c r="C2297" s="388" t="s">
        <v>7016</v>
      </c>
      <c r="D2297" s="386">
        <v>34919.285810185182</v>
      </c>
    </row>
    <row r="2298" spans="2:4" ht="13.5" customHeight="1">
      <c r="B2298" s="336" t="s">
        <v>1488</v>
      </c>
      <c r="C2298" s="388" t="s">
        <v>4276</v>
      </c>
      <c r="D2298" s="386">
        <v>34934.899166666662</v>
      </c>
    </row>
    <row r="2299" spans="2:4" ht="13.5" customHeight="1">
      <c r="B2299" s="336" t="s">
        <v>8876</v>
      </c>
      <c r="C2299" s="388" t="s">
        <v>7017</v>
      </c>
      <c r="D2299" s="386">
        <v>34950.40862268518</v>
      </c>
    </row>
    <row r="2300" spans="2:4" ht="13.5" customHeight="1">
      <c r="B2300" s="336" t="s">
        <v>1489</v>
      </c>
      <c r="C2300" s="389" t="s">
        <v>4278</v>
      </c>
      <c r="D2300" s="386">
        <v>34965.800671296296</v>
      </c>
    </row>
    <row r="2301" spans="2:4" ht="13.5" customHeight="1">
      <c r="B2301" s="336" t="s">
        <v>8877</v>
      </c>
      <c r="C2301" s="388" t="s">
        <v>7018</v>
      </c>
      <c r="D2301" s="386">
        <v>34981.060393518514</v>
      </c>
    </row>
    <row r="2302" spans="2:4" ht="13.5" customHeight="1">
      <c r="B2302" s="336" t="s">
        <v>78</v>
      </c>
      <c r="C2302" s="388" t="s">
        <v>4280</v>
      </c>
      <c r="D2302" s="386">
        <v>34996.188460648147</v>
      </c>
    </row>
    <row r="2303" spans="2:4" ht="13.5" customHeight="1">
      <c r="B2303" s="336" t="s">
        <v>8878</v>
      </c>
      <c r="C2303" s="388" t="s">
        <v>7019</v>
      </c>
      <c r="D2303" s="386">
        <v>35011.19118055555</v>
      </c>
    </row>
    <row r="2304" spans="2:4" ht="13.5" customHeight="1">
      <c r="B2304" s="336" t="s">
        <v>79</v>
      </c>
      <c r="C2304" s="388" t="s">
        <v>4282</v>
      </c>
      <c r="D2304" s="386">
        <v>35026.084143518514</v>
      </c>
    </row>
    <row r="2305" spans="2:4" ht="13.5" customHeight="1">
      <c r="B2305" s="336" t="s">
        <v>8879</v>
      </c>
      <c r="C2305" s="388" t="s">
        <v>7020</v>
      </c>
      <c r="D2305" s="386">
        <v>35040.890289351846</v>
      </c>
    </row>
    <row r="2306" spans="2:4" ht="13.5" customHeight="1">
      <c r="B2306" s="336" t="s">
        <v>80</v>
      </c>
      <c r="C2306" s="389" t="s">
        <v>4284</v>
      </c>
      <c r="D2306" s="386">
        <v>35055.636574074073</v>
      </c>
    </row>
    <row r="2307" spans="2:4" ht="13.5" customHeight="1">
      <c r="B2307" s="336" t="s">
        <v>8880</v>
      </c>
      <c r="C2307" s="390" t="s">
        <v>9317</v>
      </c>
      <c r="D2307" s="386">
        <v>35070.355115740742</v>
      </c>
    </row>
    <row r="2308" spans="2:4" ht="13.5" customHeight="1">
      <c r="B2308" s="336" t="s">
        <v>81</v>
      </c>
      <c r="C2308" s="388" t="s">
        <v>4230</v>
      </c>
      <c r="D2308" s="386">
        <v>35085.078125</v>
      </c>
    </row>
    <row r="2309" spans="2:4" ht="13.5" customHeight="1">
      <c r="B2309" s="336" t="s">
        <v>8881</v>
      </c>
      <c r="C2309" s="388" t="s">
        <v>7010</v>
      </c>
      <c r="D2309" s="386">
        <v>35099.838865740741</v>
      </c>
    </row>
    <row r="2310" spans="2:4" ht="13.5" customHeight="1">
      <c r="B2310" s="336" t="s">
        <v>8869</v>
      </c>
      <c r="C2310" s="388" t="s">
        <v>4232</v>
      </c>
      <c r="D2310" s="386">
        <v>35114.667164351849</v>
      </c>
    </row>
    <row r="2311" spans="2:4" ht="13.5" customHeight="1">
      <c r="B2311" s="336" t="s">
        <v>8882</v>
      </c>
      <c r="C2311" s="388" t="s">
        <v>7011</v>
      </c>
      <c r="D2311" s="386">
        <v>35129.590057870366</v>
      </c>
    </row>
    <row r="2312" spans="2:4" ht="13.5" customHeight="1">
      <c r="B2312" s="336" t="s">
        <v>8870</v>
      </c>
      <c r="C2312" s="389" t="s">
        <v>4234</v>
      </c>
      <c r="D2312" s="386">
        <v>35144.627013888887</v>
      </c>
    </row>
    <row r="2313" spans="2:4" ht="13.5" customHeight="1">
      <c r="B2313" s="336" t="s">
        <v>8883</v>
      </c>
      <c r="C2313" s="388" t="s">
        <v>7012</v>
      </c>
      <c r="D2313" s="386">
        <v>35159.792986111112</v>
      </c>
    </row>
    <row r="2314" spans="2:4" ht="13.5" customHeight="1">
      <c r="B2314" s="336" t="s">
        <v>8871</v>
      </c>
      <c r="C2314" s="388" t="s">
        <v>4236</v>
      </c>
      <c r="D2314" s="386">
        <v>35175.089999999997</v>
      </c>
    </row>
    <row r="2315" spans="2:4" ht="13.5" customHeight="1">
      <c r="B2315" s="336" t="s">
        <v>8884</v>
      </c>
      <c r="C2315" s="388" t="s">
        <v>7013</v>
      </c>
      <c r="D2315" s="386">
        <v>35190.517974537033</v>
      </c>
    </row>
    <row r="2316" spans="2:4" ht="13.5" customHeight="1">
      <c r="B2316" s="336" t="s">
        <v>5650</v>
      </c>
      <c r="C2316" s="388" t="s">
        <v>4238</v>
      </c>
      <c r="D2316" s="386">
        <v>35206.057557870365</v>
      </c>
    </row>
    <row r="2317" spans="2:4" ht="13.5" customHeight="1">
      <c r="B2317" s="336" t="s">
        <v>8885</v>
      </c>
      <c r="C2317" s="388" t="s">
        <v>7014</v>
      </c>
      <c r="D2317" s="386">
        <v>35221.6949537037</v>
      </c>
    </row>
    <row r="2318" spans="2:4" ht="13.5" customHeight="1">
      <c r="B2318" s="336" t="s">
        <v>5651</v>
      </c>
      <c r="C2318" s="389" t="s">
        <v>4240</v>
      </c>
      <c r="D2318" s="386">
        <v>35237.391319444439</v>
      </c>
    </row>
    <row r="2319" spans="2:4" ht="13.5" customHeight="1">
      <c r="B2319" s="336" t="s">
        <v>8886</v>
      </c>
      <c r="C2319" s="388" t="s">
        <v>7015</v>
      </c>
      <c r="D2319" s="386">
        <v>35253.124918981477</v>
      </c>
    </row>
    <row r="2320" spans="2:4" ht="13.5" customHeight="1">
      <c r="B2320" s="336" t="s">
        <v>5652</v>
      </c>
      <c r="C2320" s="388" t="s">
        <v>4242</v>
      </c>
      <c r="D2320" s="386">
        <v>35268.846180555556</v>
      </c>
    </row>
    <row r="2321" spans="2:4" ht="13.5" customHeight="1">
      <c r="B2321" s="336" t="s">
        <v>8887</v>
      </c>
      <c r="C2321" s="388" t="s">
        <v>7016</v>
      </c>
      <c r="D2321" s="386">
        <v>35284.533900462964</v>
      </c>
    </row>
    <row r="2322" spans="2:4" ht="13.5" customHeight="1">
      <c r="B2322" s="336" t="s">
        <v>5653</v>
      </c>
      <c r="C2322" s="388" t="s">
        <v>4276</v>
      </c>
      <c r="D2322" s="386">
        <v>35300.140775462962</v>
      </c>
    </row>
    <row r="2323" spans="2:4" ht="13.5" customHeight="1">
      <c r="B2323" s="336" t="s">
        <v>8888</v>
      </c>
      <c r="C2323" s="388" t="s">
        <v>7017</v>
      </c>
      <c r="D2323" s="386">
        <v>35315.654502314814</v>
      </c>
    </row>
    <row r="2324" spans="2:4" ht="13.5" customHeight="1">
      <c r="B2324" s="336" t="s">
        <v>5654</v>
      </c>
      <c r="C2324" s="389" t="s">
        <v>4278</v>
      </c>
      <c r="D2324" s="386">
        <v>35331.041666666664</v>
      </c>
    </row>
    <row r="2325" spans="2:4" ht="13.5" customHeight="1">
      <c r="B2325" s="336" t="s">
        <v>8889</v>
      </c>
      <c r="C2325" s="388" t="s">
        <v>7018</v>
      </c>
      <c r="D2325" s="386">
        <v>35346.304594907408</v>
      </c>
    </row>
    <row r="2326" spans="2:4" ht="13.5" customHeight="1">
      <c r="B2326" s="336" t="s">
        <v>5655</v>
      </c>
      <c r="C2326" s="388" t="s">
        <v>4280</v>
      </c>
      <c r="D2326" s="386">
        <v>35361.429490740738</v>
      </c>
    </row>
    <row r="2327" spans="2:4" ht="13.5" customHeight="1">
      <c r="B2327" s="336" t="s">
        <v>8890</v>
      </c>
      <c r="C2327" s="388" t="s">
        <v>7019</v>
      </c>
      <c r="D2327" s="386">
        <v>35376.434965277775</v>
      </c>
    </row>
    <row r="2328" spans="2:4" ht="13.5" customHeight="1">
      <c r="B2328" s="336" t="s">
        <v>5656</v>
      </c>
      <c r="C2328" s="388" t="s">
        <v>4282</v>
      </c>
      <c r="D2328" s="386">
        <v>35391.325821759259</v>
      </c>
    </row>
    <row r="2329" spans="2:4" ht="13.5" customHeight="1">
      <c r="B2329" s="336" t="s">
        <v>8891</v>
      </c>
      <c r="C2329" s="388" t="s">
        <v>7020</v>
      </c>
      <c r="D2329" s="386">
        <v>35406.134583333333</v>
      </c>
    </row>
    <row r="2330" spans="2:4" ht="13.5" customHeight="1">
      <c r="B2330" s="336" t="s">
        <v>5657</v>
      </c>
      <c r="C2330" s="389" t="s">
        <v>4284</v>
      </c>
      <c r="D2330" s="386">
        <v>35420.879004629627</v>
      </c>
    </row>
    <row r="2331" spans="2:4" ht="13.5" customHeight="1">
      <c r="B2331" s="336" t="s">
        <v>8892</v>
      </c>
      <c r="C2331" s="390" t="s">
        <v>9317</v>
      </c>
      <c r="D2331" s="386">
        <v>35435.60019675926</v>
      </c>
    </row>
    <row r="2332" spans="2:4" ht="13.5" customHeight="1">
      <c r="B2332" s="336" t="s">
        <v>5658</v>
      </c>
      <c r="C2332" s="388" t="s">
        <v>4230</v>
      </c>
      <c r="D2332" s="386">
        <v>35450.321157407408</v>
      </c>
    </row>
    <row r="2333" spans="2:4" ht="13.5" customHeight="1">
      <c r="B2333" s="336" t="s">
        <v>8893</v>
      </c>
      <c r="C2333" s="388" t="s">
        <v>7010</v>
      </c>
      <c r="D2333" s="386">
        <v>35465.08452546296</v>
      </c>
    </row>
    <row r="2334" spans="2:4" ht="13.5" customHeight="1">
      <c r="B2334" s="336" t="s">
        <v>5659</v>
      </c>
      <c r="C2334" s="388" t="s">
        <v>4232</v>
      </c>
      <c r="D2334" s="386">
        <v>35479.910682870366</v>
      </c>
    </row>
    <row r="2335" spans="2:4" ht="13.5" customHeight="1">
      <c r="B2335" s="336" t="s">
        <v>8894</v>
      </c>
      <c r="C2335" s="388" t="s">
        <v>7011</v>
      </c>
      <c r="D2335" s="386">
        <v>35494.835983796293</v>
      </c>
    </row>
    <row r="2336" spans="2:4" ht="13.5" customHeight="1">
      <c r="B2336" s="336" t="s">
        <v>5660</v>
      </c>
      <c r="C2336" s="389" t="s">
        <v>4234</v>
      </c>
      <c r="D2336" s="386">
        <v>35509.871192129627</v>
      </c>
    </row>
    <row r="2337" spans="2:4" ht="13.5" customHeight="1">
      <c r="B2337" s="336" t="s">
        <v>8895</v>
      </c>
      <c r="C2337" s="388" t="s">
        <v>7012</v>
      </c>
      <c r="D2337" s="386">
        <v>35525.038888888885</v>
      </c>
    </row>
    <row r="2338" spans="2:4" ht="13.5" customHeight="1">
      <c r="B2338" s="336" t="s">
        <v>5661</v>
      </c>
      <c r="C2338" s="388" t="s">
        <v>4236</v>
      </c>
      <c r="D2338" s="386">
        <v>35540.335231481477</v>
      </c>
    </row>
    <row r="2339" spans="2:4" ht="13.5" customHeight="1">
      <c r="B2339" s="336" t="s">
        <v>8896</v>
      </c>
      <c r="C2339" s="388" t="s">
        <v>7013</v>
      </c>
      <c r="D2339" s="386">
        <v>35555.763356481482</v>
      </c>
    </row>
    <row r="2340" spans="2:4" ht="13.5" customHeight="1">
      <c r="B2340" s="336" t="s">
        <v>5662</v>
      </c>
      <c r="C2340" s="388" t="s">
        <v>4238</v>
      </c>
      <c r="D2340" s="386">
        <v>35571.3040162037</v>
      </c>
    </row>
    <row r="2341" spans="2:4" ht="13.5" customHeight="1">
      <c r="B2341" s="336" t="s">
        <v>8897</v>
      </c>
      <c r="C2341" s="388" t="s">
        <v>7014</v>
      </c>
      <c r="D2341" s="386">
        <v>35586.93913194444</v>
      </c>
    </row>
    <row r="2342" spans="2:4" ht="13.5" customHeight="1">
      <c r="B2342" s="336" t="s">
        <v>5663</v>
      </c>
      <c r="C2342" s="389" t="s">
        <v>4240</v>
      </c>
      <c r="D2342" s="386">
        <v>35602.638715277775</v>
      </c>
    </row>
    <row r="2343" spans="2:4" ht="13.5" customHeight="1">
      <c r="B2343" s="336" t="s">
        <v>8898</v>
      </c>
      <c r="C2343" s="388" t="s">
        <v>7015</v>
      </c>
      <c r="D2343" s="386">
        <v>35618.3674537037</v>
      </c>
    </row>
    <row r="2344" spans="2:4" ht="13.5" customHeight="1">
      <c r="B2344" s="336" t="s">
        <v>5664</v>
      </c>
      <c r="C2344" s="388" t="s">
        <v>4242</v>
      </c>
      <c r="D2344" s="386">
        <v>35634.093807870369</v>
      </c>
    </row>
    <row r="2345" spans="2:4" ht="13.5" customHeight="1">
      <c r="B2345" s="336" t="s">
        <v>8899</v>
      </c>
      <c r="C2345" s="388" t="s">
        <v>7016</v>
      </c>
      <c r="D2345" s="386">
        <v>35649.774918981479</v>
      </c>
    </row>
    <row r="2346" spans="2:4" ht="13.5" customHeight="1">
      <c r="B2346" s="336" t="s">
        <v>1091</v>
      </c>
      <c r="C2346" s="388" t="s">
        <v>4276</v>
      </c>
      <c r="D2346" s="386">
        <v>35665.387997685182</v>
      </c>
    </row>
    <row r="2347" spans="2:4" ht="13.5" customHeight="1">
      <c r="B2347" s="336" t="s">
        <v>4465</v>
      </c>
      <c r="C2347" s="388" t="s">
        <v>7017</v>
      </c>
      <c r="D2347" s="386">
        <v>35680.894699074073</v>
      </c>
    </row>
    <row r="2348" spans="2:4" ht="13.5" customHeight="1">
      <c r="B2348" s="336" t="s">
        <v>1092</v>
      </c>
      <c r="C2348" s="389" t="s">
        <v>4278</v>
      </c>
      <c r="D2348" s="386">
        <v>35696.288495370369</v>
      </c>
    </row>
    <row r="2349" spans="2:4" ht="13.5" customHeight="1">
      <c r="B2349" s="336" t="s">
        <v>4466</v>
      </c>
      <c r="C2349" s="388" t="s">
        <v>7018</v>
      </c>
      <c r="D2349" s="386">
        <v>35711.544976851852</v>
      </c>
    </row>
    <row r="2350" spans="2:4" ht="13.5" customHeight="1">
      <c r="B2350" s="336" t="s">
        <v>1093</v>
      </c>
      <c r="C2350" s="388" t="s">
        <v>4280</v>
      </c>
      <c r="D2350" s="386">
        <v>35726.676689814813</v>
      </c>
    </row>
    <row r="2351" spans="2:4" ht="13.5" customHeight="1">
      <c r="B2351" s="336" t="s">
        <v>4467</v>
      </c>
      <c r="C2351" s="388" t="s">
        <v>7019</v>
      </c>
      <c r="D2351" s="386">
        <v>35741.676620370366</v>
      </c>
    </row>
    <row r="2352" spans="2:4" ht="13.5" customHeight="1">
      <c r="B2352" s="336" t="s">
        <v>1094</v>
      </c>
      <c r="C2352" s="388" t="s">
        <v>4282</v>
      </c>
      <c r="D2352" s="386">
        <v>35756.574490740735</v>
      </c>
    </row>
    <row r="2353" spans="2:4" ht="13.5" customHeight="1">
      <c r="B2353" s="336" t="s">
        <v>5639</v>
      </c>
      <c r="C2353" s="388" t="s">
        <v>7020</v>
      </c>
      <c r="D2353" s="386">
        <v>35771.378275462957</v>
      </c>
    </row>
    <row r="2354" spans="2:4" ht="13.5" customHeight="1">
      <c r="B2354" s="336" t="s">
        <v>1095</v>
      </c>
      <c r="C2354" s="389" t="s">
        <v>4284</v>
      </c>
      <c r="D2354" s="386">
        <v>35786.129756944443</v>
      </c>
    </row>
    <row r="2355" spans="2:4" ht="13.5" customHeight="1">
      <c r="B2355" s="336" t="s">
        <v>5640</v>
      </c>
      <c r="C2355" s="390" t="s">
        <v>9317</v>
      </c>
      <c r="D2355" s="386">
        <v>35800.845856481479</v>
      </c>
    </row>
    <row r="2356" spans="2:4" ht="13.5" customHeight="1">
      <c r="B2356" s="336" t="s">
        <v>1096</v>
      </c>
      <c r="C2356" s="388" t="s">
        <v>4230</v>
      </c>
      <c r="D2356" s="386">
        <v>35815.573472222219</v>
      </c>
    </row>
    <row r="2357" spans="2:4" ht="13.5" customHeight="1">
      <c r="B2357" s="336" t="s">
        <v>5641</v>
      </c>
      <c r="C2357" s="388" t="s">
        <v>7010</v>
      </c>
      <c r="D2357" s="386">
        <v>35830.330949074072</v>
      </c>
    </row>
    <row r="2358" spans="2:4" ht="13.5" customHeight="1">
      <c r="B2358" s="336" t="s">
        <v>1097</v>
      </c>
      <c r="C2358" s="388" t="s">
        <v>4232</v>
      </c>
      <c r="D2358" s="386">
        <v>35845.162812499999</v>
      </c>
    </row>
    <row r="2359" spans="2:4" ht="13.5" customHeight="1">
      <c r="B2359" s="336" t="s">
        <v>5642</v>
      </c>
      <c r="C2359" s="388" t="s">
        <v>7011</v>
      </c>
      <c r="D2359" s="386">
        <v>35860.08118055555</v>
      </c>
    </row>
    <row r="2360" spans="2:4" ht="13.5" customHeight="1">
      <c r="B2360" s="336" t="s">
        <v>1098</v>
      </c>
      <c r="C2360" s="389" t="s">
        <v>4234</v>
      </c>
      <c r="D2360" s="386">
        <v>35875.120925925927</v>
      </c>
    </row>
    <row r="2361" spans="2:4" ht="13.5" customHeight="1">
      <c r="B2361" s="336" t="s">
        <v>5643</v>
      </c>
      <c r="C2361" s="388" t="s">
        <v>7012</v>
      </c>
      <c r="D2361" s="386">
        <v>35890.281018518515</v>
      </c>
    </row>
    <row r="2362" spans="2:4" ht="13.5" customHeight="1">
      <c r="B2362" s="336" t="s">
        <v>1099</v>
      </c>
      <c r="C2362" s="388" t="s">
        <v>4236</v>
      </c>
      <c r="D2362" s="386">
        <v>35905.580833333333</v>
      </c>
    </row>
    <row r="2363" spans="2:4" ht="13.5" customHeight="1">
      <c r="B2363" s="336" t="s">
        <v>5644</v>
      </c>
      <c r="C2363" s="388" t="s">
        <v>7013</v>
      </c>
      <c r="D2363" s="386">
        <v>35921.00200231481</v>
      </c>
    </row>
    <row r="2364" spans="2:4" ht="13.5" customHeight="1">
      <c r="B2364" s="336" t="s">
        <v>1100</v>
      </c>
      <c r="C2364" s="388" t="s">
        <v>4238</v>
      </c>
      <c r="D2364" s="386">
        <v>35936.54519675926</v>
      </c>
    </row>
    <row r="2365" spans="2:4" ht="13.5" customHeight="1">
      <c r="B2365" s="336" t="s">
        <v>5645</v>
      </c>
      <c r="C2365" s="388" t="s">
        <v>7014</v>
      </c>
      <c r="D2365" s="386">
        <v>35952.175717592589</v>
      </c>
    </row>
    <row r="2366" spans="2:4" ht="13.5" customHeight="1">
      <c r="B2366" s="336" t="s">
        <v>1101</v>
      </c>
      <c r="C2366" s="389" t="s">
        <v>4240</v>
      </c>
      <c r="D2366" s="386">
        <v>35967.876574074071</v>
      </c>
    </row>
    <row r="2367" spans="2:4" ht="13.5" customHeight="1">
      <c r="B2367" s="336" t="s">
        <v>5646</v>
      </c>
      <c r="C2367" s="388" t="s">
        <v>7015</v>
      </c>
      <c r="D2367" s="386">
        <v>35983.604259259257</v>
      </c>
    </row>
    <row r="2368" spans="2:4" ht="13.5" customHeight="1">
      <c r="B2368" s="336" t="s">
        <v>1102</v>
      </c>
      <c r="C2368" s="388" t="s">
        <v>4242</v>
      </c>
      <c r="D2368" s="386">
        <v>35999.330069444441</v>
      </c>
    </row>
    <row r="2369" spans="2:4" ht="13.5" customHeight="1">
      <c r="B2369" s="336" t="s">
        <v>5647</v>
      </c>
      <c r="C2369" s="388" t="s">
        <v>7016</v>
      </c>
      <c r="D2369" s="386">
        <v>36015.013657407406</v>
      </c>
    </row>
    <row r="2370" spans="2:4" ht="13.5" customHeight="1">
      <c r="B2370" s="336" t="s">
        <v>1103</v>
      </c>
      <c r="C2370" s="388" t="s">
        <v>4276</v>
      </c>
      <c r="D2370" s="386">
        <v>36030.624259259253</v>
      </c>
    </row>
    <row r="2371" spans="2:4" ht="13.5" customHeight="1">
      <c r="B2371" s="336" t="s">
        <v>5648</v>
      </c>
      <c r="C2371" s="388" t="s">
        <v>7017</v>
      </c>
      <c r="D2371" s="386">
        <v>36046.135925925926</v>
      </c>
    </row>
    <row r="2372" spans="2:4" ht="13.5" customHeight="1">
      <c r="B2372" s="336" t="s">
        <v>1104</v>
      </c>
      <c r="C2372" s="389" t="s">
        <v>4278</v>
      </c>
      <c r="D2372" s="386">
        <v>36061.525833333333</v>
      </c>
    </row>
    <row r="2373" spans="2:4" ht="13.5" customHeight="1">
      <c r="B2373" s="336" t="s">
        <v>5649</v>
      </c>
      <c r="C2373" s="388" t="s">
        <v>7018</v>
      </c>
      <c r="D2373" s="386">
        <v>36076.788634259254</v>
      </c>
    </row>
    <row r="2374" spans="2:4" ht="13.5" customHeight="1">
      <c r="B2374" s="336" t="s">
        <v>4303</v>
      </c>
      <c r="C2374" s="388" t="s">
        <v>4280</v>
      </c>
      <c r="D2374" s="386">
        <v>36091.915729166663</v>
      </c>
    </row>
    <row r="2375" spans="2:4" ht="13.5" customHeight="1">
      <c r="B2375" s="336" t="s">
        <v>2402</v>
      </c>
      <c r="C2375" s="388" t="s">
        <v>7019</v>
      </c>
      <c r="D2375" s="386">
        <v>36106.922430555554</v>
      </c>
    </row>
    <row r="2376" spans="2:4" ht="13.5" customHeight="1">
      <c r="B2376" s="336" t="s">
        <v>5680</v>
      </c>
      <c r="C2376" s="388" t="s">
        <v>4282</v>
      </c>
      <c r="D2376" s="386">
        <v>36121.815381944441</v>
      </c>
    </row>
    <row r="2377" spans="2:4" ht="13.5" customHeight="1">
      <c r="B2377" s="336" t="s">
        <v>2403</v>
      </c>
      <c r="C2377" s="388" t="s">
        <v>7020</v>
      </c>
      <c r="D2377" s="386">
        <v>36136.62594907407</v>
      </c>
    </row>
    <row r="2378" spans="2:4" ht="13.5" customHeight="1">
      <c r="B2378" s="336" t="s">
        <v>5681</v>
      </c>
      <c r="C2378" s="389" t="s">
        <v>4284</v>
      </c>
      <c r="D2378" s="386">
        <v>36151.372372685182</v>
      </c>
    </row>
    <row r="2379" spans="2:4" ht="13.5" customHeight="1">
      <c r="B2379" s="336" t="s">
        <v>2404</v>
      </c>
      <c r="C2379" s="390" t="s">
        <v>9317</v>
      </c>
      <c r="D2379" s="386">
        <v>36166.095011574071</v>
      </c>
    </row>
    <row r="2380" spans="2:4" ht="13.5" customHeight="1">
      <c r="B2380" s="336" t="s">
        <v>5682</v>
      </c>
      <c r="C2380" s="388" t="s">
        <v>4230</v>
      </c>
      <c r="D2380" s="386">
        <v>36180.817361111105</v>
      </c>
    </row>
    <row r="2381" spans="2:4" ht="13.5" customHeight="1">
      <c r="B2381" s="336" t="s">
        <v>2405</v>
      </c>
      <c r="C2381" s="388" t="s">
        <v>7010</v>
      </c>
      <c r="D2381" s="386">
        <v>36195.581076388888</v>
      </c>
    </row>
    <row r="2382" spans="2:4" ht="13.5" customHeight="1">
      <c r="B2382" s="336" t="s">
        <v>5683</v>
      </c>
      <c r="C2382" s="388" t="s">
        <v>4232</v>
      </c>
      <c r="D2382" s="386">
        <v>36210.407291666663</v>
      </c>
    </row>
    <row r="2383" spans="2:4" ht="13.5" customHeight="1">
      <c r="B2383" s="336" t="s">
        <v>4949</v>
      </c>
      <c r="C2383" s="388" t="s">
        <v>7011</v>
      </c>
      <c r="D2383" s="386">
        <v>36225.331608796296</v>
      </c>
    </row>
    <row r="2384" spans="2:4" ht="13.5" customHeight="1">
      <c r="B2384" s="336" t="s">
        <v>1376</v>
      </c>
      <c r="C2384" s="389" t="s">
        <v>4234</v>
      </c>
      <c r="D2384" s="386">
        <v>36240.364988425921</v>
      </c>
    </row>
    <row r="2385" spans="2:4" ht="13.5" customHeight="1">
      <c r="B2385" s="336" t="s">
        <v>4950</v>
      </c>
      <c r="C2385" s="388" t="s">
        <v>7012</v>
      </c>
      <c r="D2385" s="386">
        <v>36255.530949074069</v>
      </c>
    </row>
    <row r="2386" spans="2:4" ht="13.5" customHeight="1">
      <c r="B2386" s="336" t="s">
        <v>1377</v>
      </c>
      <c r="C2386" s="388" t="s">
        <v>4236</v>
      </c>
      <c r="D2386" s="386">
        <v>36270.823553240742</v>
      </c>
    </row>
    <row r="2387" spans="2:4" ht="13.5" customHeight="1">
      <c r="B2387" s="336" t="s">
        <v>4951</v>
      </c>
      <c r="C2387" s="388" t="s">
        <v>7013</v>
      </c>
      <c r="D2387" s="386">
        <v>36286.250706018516</v>
      </c>
    </row>
    <row r="2388" spans="2:4" ht="13.5" customHeight="1">
      <c r="B2388" s="336" t="s">
        <v>1378</v>
      </c>
      <c r="C2388" s="388" t="s">
        <v>4238</v>
      </c>
      <c r="D2388" s="386">
        <v>36301.786365740736</v>
      </c>
    </row>
    <row r="2389" spans="2:4" ht="13.5" customHeight="1">
      <c r="B2389" s="336" t="s">
        <v>4952</v>
      </c>
      <c r="C2389" s="388" t="s">
        <v>7014</v>
      </c>
      <c r="D2389" s="386">
        <v>36317.422939814809</v>
      </c>
    </row>
    <row r="2390" spans="2:4" ht="13.5" customHeight="1">
      <c r="B2390" s="336" t="s">
        <v>1379</v>
      </c>
      <c r="C2390" s="389" t="s">
        <v>4240</v>
      </c>
      <c r="D2390" s="386">
        <v>36333.117268518516</v>
      </c>
    </row>
    <row r="2391" spans="2:4" ht="13.5" customHeight="1">
      <c r="B2391" s="336" t="s">
        <v>4953</v>
      </c>
      <c r="C2391" s="388" t="s">
        <v>7015</v>
      </c>
      <c r="D2391" s="386">
        <v>36348.850543981476</v>
      </c>
    </row>
    <row r="2392" spans="2:4" ht="13.5" customHeight="1">
      <c r="B2392" s="336" t="s">
        <v>4062</v>
      </c>
      <c r="C2392" s="388" t="s">
        <v>4242</v>
      </c>
      <c r="D2392" s="386">
        <v>36364.572129629625</v>
      </c>
    </row>
    <row r="2393" spans="2:4" ht="13.5" customHeight="1">
      <c r="B2393" s="336" t="s">
        <v>4954</v>
      </c>
      <c r="C2393" s="388" t="s">
        <v>7016</v>
      </c>
      <c r="D2393" s="386">
        <v>36380.259733796294</v>
      </c>
    </row>
    <row r="2394" spans="2:4" ht="13.5" customHeight="1">
      <c r="B2394" s="336" t="s">
        <v>5083</v>
      </c>
      <c r="C2394" s="388" t="s">
        <v>4276</v>
      </c>
      <c r="D2394" s="386">
        <v>36395.868622685186</v>
      </c>
    </row>
    <row r="2395" spans="2:4" ht="13.5" customHeight="1">
      <c r="B2395" s="336" t="s">
        <v>4955</v>
      </c>
      <c r="C2395" s="388" t="s">
        <v>7017</v>
      </c>
      <c r="D2395" s="386">
        <v>36411.381874999999</v>
      </c>
    </row>
    <row r="2396" spans="2:4" ht="13.5" customHeight="1">
      <c r="B2396" s="336" t="s">
        <v>5084</v>
      </c>
      <c r="C2396" s="389" t="s">
        <v>4278</v>
      </c>
      <c r="D2396" s="386">
        <v>36426.771666666667</v>
      </c>
    </row>
    <row r="2397" spans="2:4" ht="13.5" customHeight="1">
      <c r="B2397" s="336" t="s">
        <v>4956</v>
      </c>
      <c r="C2397" s="388" t="s">
        <v>7018</v>
      </c>
      <c r="D2397" s="386">
        <v>36442.033506944441</v>
      </c>
    </row>
    <row r="2398" spans="2:4" ht="13.5" customHeight="1">
      <c r="B2398" s="336" t="s">
        <v>5085</v>
      </c>
      <c r="C2398" s="388" t="s">
        <v>4280</v>
      </c>
      <c r="D2398" s="386">
        <v>36457.161064814813</v>
      </c>
    </row>
    <row r="2399" spans="2:4" ht="13.5" customHeight="1">
      <c r="B2399" s="336" t="s">
        <v>4957</v>
      </c>
      <c r="C2399" s="388" t="s">
        <v>7019</v>
      </c>
      <c r="D2399" s="386">
        <v>36472.16511574074</v>
      </c>
    </row>
    <row r="2400" spans="2:4" ht="13.5" customHeight="1">
      <c r="B2400" s="336" t="s">
        <v>5086</v>
      </c>
      <c r="C2400" s="388" t="s">
        <v>4282</v>
      </c>
      <c r="D2400" s="386">
        <v>36487.05872685185</v>
      </c>
    </row>
    <row r="2401" spans="2:4" ht="13.5" customHeight="1">
      <c r="B2401" s="336" t="s">
        <v>4958</v>
      </c>
      <c r="C2401" s="388" t="s">
        <v>7020</v>
      </c>
      <c r="D2401" s="386">
        <v>36501.866180555553</v>
      </c>
    </row>
    <row r="2402" spans="2:4" ht="13.5" customHeight="1">
      <c r="B2402" s="336" t="s">
        <v>8678</v>
      </c>
      <c r="C2402" s="389" t="s">
        <v>4284</v>
      </c>
      <c r="D2402" s="386">
        <v>36516.613564814812</v>
      </c>
    </row>
    <row r="2403" spans="2:4" ht="13.5" customHeight="1">
      <c r="B2403" s="336" t="s">
        <v>3899</v>
      </c>
      <c r="C2403" s="390" t="s">
        <v>9317</v>
      </c>
      <c r="D2403" s="386">
        <v>36531.333599537036</v>
      </c>
    </row>
    <row r="2404" spans="2:4" ht="13.5" customHeight="1">
      <c r="B2404" s="336" t="s">
        <v>8679</v>
      </c>
      <c r="C2404" s="388" t="s">
        <v>4230</v>
      </c>
      <c r="D2404" s="386">
        <v>36546.057476851849</v>
      </c>
    </row>
    <row r="2405" spans="2:4" ht="13.5" customHeight="1">
      <c r="B2405" s="336" t="s">
        <v>3900</v>
      </c>
      <c r="C2405" s="388" t="s">
        <v>7010</v>
      </c>
      <c r="D2405" s="386">
        <v>36560.819421296292</v>
      </c>
    </row>
    <row r="2406" spans="2:4" ht="13.5" customHeight="1">
      <c r="B2406" s="336" t="s">
        <v>8680</v>
      </c>
      <c r="C2406" s="388" t="s">
        <v>4232</v>
      </c>
      <c r="D2406" s="386">
        <v>36575.647939814815</v>
      </c>
    </row>
    <row r="2407" spans="2:4" ht="13.5" customHeight="1">
      <c r="B2407" s="336" t="s">
        <v>3901</v>
      </c>
      <c r="C2407" s="388" t="s">
        <v>7011</v>
      </c>
      <c r="D2407" s="386">
        <v>36590.570937500001</v>
      </c>
    </row>
    <row r="2408" spans="2:4" ht="13.5" customHeight="1">
      <c r="B2408" s="336" t="s">
        <v>8681</v>
      </c>
      <c r="C2408" s="389" t="s">
        <v>4234</v>
      </c>
      <c r="D2408" s="386">
        <v>36605.607581018514</v>
      </c>
    </row>
    <row r="2409" spans="2:4" ht="13.5" customHeight="1">
      <c r="B2409" s="336" t="s">
        <v>3902</v>
      </c>
      <c r="C2409" s="388" t="s">
        <v>7012</v>
      </c>
      <c r="D2409" s="386">
        <v>36620.771782407406</v>
      </c>
    </row>
    <row r="2410" spans="2:4" ht="13.5" customHeight="1">
      <c r="B2410" s="336" t="s">
        <v>8682</v>
      </c>
      <c r="C2410" s="388" t="s">
        <v>4236</v>
      </c>
      <c r="D2410" s="386">
        <v>36636.068807870368</v>
      </c>
    </row>
    <row r="2411" spans="2:4" ht="13.5" customHeight="1">
      <c r="B2411" s="336" t="s">
        <v>3903</v>
      </c>
      <c r="C2411" s="388" t="s">
        <v>7013</v>
      </c>
      <c r="D2411" s="386">
        <v>36651.492743055554</v>
      </c>
    </row>
    <row r="2412" spans="2:4" ht="13.5" customHeight="1">
      <c r="B2412" s="336" t="s">
        <v>8683</v>
      </c>
      <c r="C2412" s="388" t="s">
        <v>4238</v>
      </c>
      <c r="D2412" s="386">
        <v>36667.034062499995</v>
      </c>
    </row>
    <row r="2413" spans="2:4" ht="13.5" customHeight="1">
      <c r="B2413" s="336" t="s">
        <v>9222</v>
      </c>
      <c r="C2413" s="388" t="s">
        <v>7014</v>
      </c>
      <c r="D2413" s="386">
        <v>36682.66542824074</v>
      </c>
    </row>
    <row r="2414" spans="2:4" ht="13.5" customHeight="1">
      <c r="B2414" s="336" t="s">
        <v>8684</v>
      </c>
      <c r="C2414" s="389" t="s">
        <v>4240</v>
      </c>
      <c r="D2414" s="386">
        <v>36698.366342592592</v>
      </c>
    </row>
    <row r="2415" spans="2:4" ht="13.5" customHeight="1">
      <c r="B2415" s="336" t="s">
        <v>9223</v>
      </c>
      <c r="C2415" s="388" t="s">
        <v>7015</v>
      </c>
      <c r="D2415" s="386">
        <v>36714.092893518515</v>
      </c>
    </row>
    <row r="2416" spans="2:4" ht="13.5" customHeight="1">
      <c r="B2416" s="336" t="s">
        <v>8685</v>
      </c>
      <c r="C2416" s="388" t="s">
        <v>4242</v>
      </c>
      <c r="D2416" s="386">
        <v>36729.821226851847</v>
      </c>
    </row>
    <row r="2417" spans="2:4" ht="13.5" customHeight="1">
      <c r="B2417" s="336" t="s">
        <v>9224</v>
      </c>
      <c r="C2417" s="388" t="s">
        <v>7016</v>
      </c>
      <c r="D2417" s="386">
        <v>36745.501956018517</v>
      </c>
    </row>
    <row r="2418" spans="2:4" ht="13.5" customHeight="1">
      <c r="B2418" s="336" t="s">
        <v>8686</v>
      </c>
      <c r="C2418" s="388" t="s">
        <v>4276</v>
      </c>
      <c r="D2418" s="386">
        <v>36761.116921296292</v>
      </c>
    </row>
    <row r="2419" spans="2:4" ht="13.5" customHeight="1">
      <c r="B2419" s="336" t="s">
        <v>9225</v>
      </c>
      <c r="C2419" s="388" t="s">
        <v>7017</v>
      </c>
      <c r="D2419" s="386">
        <v>36776.624293981477</v>
      </c>
    </row>
    <row r="2420" spans="2:4" ht="13.5" customHeight="1">
      <c r="B2420" s="336" t="s">
        <v>3722</v>
      </c>
      <c r="C2420" s="389" t="s">
        <v>4278</v>
      </c>
      <c r="D2420" s="386">
        <v>36792.019062499996</v>
      </c>
    </row>
    <row r="2421" spans="2:4" ht="13.5" customHeight="1">
      <c r="B2421" s="336" t="s">
        <v>9226</v>
      </c>
      <c r="C2421" s="388" t="s">
        <v>7018</v>
      </c>
      <c r="D2421" s="386">
        <v>36807.276342592588</v>
      </c>
    </row>
    <row r="2422" spans="2:4" ht="13.5" customHeight="1">
      <c r="B2422" s="336" t="s">
        <v>3723</v>
      </c>
      <c r="C2422" s="388" t="s">
        <v>4280</v>
      </c>
      <c r="D2422" s="386">
        <v>36822.407812499994</v>
      </c>
    </row>
    <row r="2423" spans="2:4" ht="13.5" customHeight="1">
      <c r="B2423" s="336" t="s">
        <v>9227</v>
      </c>
      <c r="C2423" s="388" t="s">
        <v>7019</v>
      </c>
      <c r="D2423" s="386">
        <v>36837.408124999994</v>
      </c>
    </row>
    <row r="2424" spans="2:4" ht="13.5" customHeight="1">
      <c r="B2424" s="336" t="s">
        <v>3724</v>
      </c>
      <c r="C2424" s="388" t="s">
        <v>4282</v>
      </c>
      <c r="D2424" s="386">
        <v>36852.304907407408</v>
      </c>
    </row>
    <row r="2425" spans="2:4" ht="13.5" customHeight="1">
      <c r="B2425" s="336" t="s">
        <v>9228</v>
      </c>
      <c r="C2425" s="388" t="s">
        <v>7020</v>
      </c>
      <c r="D2425" s="386">
        <v>36867.108842592592</v>
      </c>
    </row>
    <row r="2426" spans="2:4" ht="13.5" customHeight="1">
      <c r="B2426" s="336" t="s">
        <v>3725</v>
      </c>
      <c r="C2426" s="389" t="s">
        <v>4284</v>
      </c>
      <c r="D2426" s="386">
        <v>36881.859178240738</v>
      </c>
    </row>
    <row r="2427" spans="2:4" ht="13.5" customHeight="1">
      <c r="B2427" s="336" t="s">
        <v>9229</v>
      </c>
      <c r="C2427" s="390" t="s">
        <v>9317</v>
      </c>
      <c r="D2427" s="386">
        <v>36896.575740740736</v>
      </c>
    </row>
    <row r="2428" spans="2:4" ht="13.5" customHeight="1">
      <c r="B2428" s="336" t="s">
        <v>3726</v>
      </c>
      <c r="C2428" s="388" t="s">
        <v>4230</v>
      </c>
      <c r="D2428" s="386">
        <v>36911.302847222221</v>
      </c>
    </row>
    <row r="2429" spans="2:4" ht="13.5" customHeight="1">
      <c r="B2429" s="336" t="s">
        <v>9230</v>
      </c>
      <c r="C2429" s="388" t="s">
        <v>7010</v>
      </c>
      <c r="D2429" s="386">
        <v>36926.061562499999</v>
      </c>
    </row>
    <row r="2430" spans="2:4" ht="13.5" customHeight="1">
      <c r="B2430" s="336" t="s">
        <v>3727</v>
      </c>
      <c r="C2430" s="388" t="s">
        <v>4232</v>
      </c>
      <c r="D2430" s="386">
        <v>36940.893773148149</v>
      </c>
    </row>
    <row r="2431" spans="2:4" ht="13.5" customHeight="1">
      <c r="B2431" s="336" t="s">
        <v>9231</v>
      </c>
      <c r="C2431" s="388" t="s">
        <v>7011</v>
      </c>
      <c r="D2431" s="386">
        <v>36955.814166666663</v>
      </c>
    </row>
    <row r="2432" spans="2:4" ht="13.5" customHeight="1">
      <c r="B2432" s="336" t="s">
        <v>3728</v>
      </c>
      <c r="C2432" s="389" t="s">
        <v>4234</v>
      </c>
      <c r="D2432" s="386">
        <v>36970.854513888888</v>
      </c>
    </row>
    <row r="2433" spans="2:4" ht="13.5" customHeight="1">
      <c r="B2433" s="336" t="s">
        <v>9232</v>
      </c>
      <c r="C2433" s="388" t="s">
        <v>7012</v>
      </c>
      <c r="D2433" s="386">
        <v>36986.016898148147</v>
      </c>
    </row>
    <row r="2434" spans="2:4" ht="13.5" customHeight="1">
      <c r="B2434" s="336" t="s">
        <v>3729</v>
      </c>
      <c r="C2434" s="388" t="s">
        <v>4236</v>
      </c>
      <c r="D2434" s="386">
        <v>37001.316435185181</v>
      </c>
    </row>
    <row r="2435" spans="2:4" ht="13.5" customHeight="1">
      <c r="B2435" s="336" t="s">
        <v>9233</v>
      </c>
      <c r="C2435" s="388" t="s">
        <v>7013</v>
      </c>
      <c r="D2435" s="386">
        <v>37016.73940972222</v>
      </c>
    </row>
    <row r="2436" spans="2:4" ht="13.5" customHeight="1">
      <c r="B2436" s="336" t="s">
        <v>2793</v>
      </c>
      <c r="C2436" s="388" t="s">
        <v>4238</v>
      </c>
      <c r="D2436" s="386">
        <v>37032.280532407407</v>
      </c>
    </row>
    <row r="2437" spans="2:4" ht="13.5" customHeight="1">
      <c r="B2437" s="336" t="s">
        <v>9234</v>
      </c>
      <c r="C2437" s="388" t="s">
        <v>7014</v>
      </c>
      <c r="D2437" s="386">
        <v>37047.912141203698</v>
      </c>
    </row>
    <row r="2438" spans="2:4" ht="13.5" customHeight="1">
      <c r="B2438" s="336" t="s">
        <v>2794</v>
      </c>
      <c r="C2438" s="389" t="s">
        <v>4240</v>
      </c>
      <c r="D2438" s="386">
        <v>37063.609351851846</v>
      </c>
    </row>
    <row r="2439" spans="2:4" ht="13.5" customHeight="1">
      <c r="B2439" s="336" t="s">
        <v>9235</v>
      </c>
      <c r="C2439" s="388" t="s">
        <v>7015</v>
      </c>
      <c r="D2439" s="386">
        <v>37079.337870370371</v>
      </c>
    </row>
    <row r="2440" spans="2:4" ht="13.5" customHeight="1">
      <c r="B2440" s="336" t="s">
        <v>2795</v>
      </c>
      <c r="C2440" s="388" t="s">
        <v>4242</v>
      </c>
      <c r="D2440" s="386">
        <v>37095.059756944444</v>
      </c>
    </row>
    <row r="2441" spans="2:4" ht="13.5" customHeight="1">
      <c r="B2441" s="336" t="s">
        <v>9236</v>
      </c>
      <c r="C2441" s="388" t="s">
        <v>7016</v>
      </c>
      <c r="D2441" s="386">
        <v>37110.744490740741</v>
      </c>
    </row>
    <row r="2442" spans="2:4" ht="13.5" customHeight="1">
      <c r="B2442" s="336" t="s">
        <v>2796</v>
      </c>
      <c r="C2442" s="388" t="s">
        <v>4276</v>
      </c>
      <c r="D2442" s="386">
        <v>37126.352025462962</v>
      </c>
    </row>
    <row r="2443" spans="2:4" ht="13.5" customHeight="1">
      <c r="B2443" s="336" t="s">
        <v>9237</v>
      </c>
      <c r="C2443" s="388" t="s">
        <v>7017</v>
      </c>
      <c r="D2443" s="386">
        <v>37141.865208333329</v>
      </c>
    </row>
    <row r="2444" spans="2:4" ht="13.5" customHeight="1">
      <c r="B2444" s="336" t="s">
        <v>2797</v>
      </c>
      <c r="C2444" s="389" t="s">
        <v>4278</v>
      </c>
      <c r="D2444" s="386">
        <v>37157.25304398148</v>
      </c>
    </row>
    <row r="2445" spans="2:4" ht="13.5" customHeight="1">
      <c r="B2445" s="336" t="s">
        <v>9238</v>
      </c>
      <c r="C2445" s="388" t="s">
        <v>7018</v>
      </c>
      <c r="D2445" s="386">
        <v>37172.517245370371</v>
      </c>
    </row>
    <row r="2446" spans="2:4" ht="13.5" customHeight="1">
      <c r="B2446" s="336" t="s">
        <v>4724</v>
      </c>
      <c r="C2446" s="388" t="s">
        <v>4280</v>
      </c>
      <c r="D2446" s="386">
        <v>37187.642731481479</v>
      </c>
    </row>
    <row r="2447" spans="2:4" ht="13.5" customHeight="1">
      <c r="B2447" s="336" t="s">
        <v>9239</v>
      </c>
      <c r="C2447" s="388" t="s">
        <v>7019</v>
      </c>
      <c r="D2447" s="386">
        <v>37202.65043981481</v>
      </c>
    </row>
    <row r="2448" spans="2:4" ht="13.5" customHeight="1">
      <c r="B2448" s="336" t="s">
        <v>4725</v>
      </c>
      <c r="C2448" s="388" t="s">
        <v>4282</v>
      </c>
      <c r="D2448" s="386">
        <v>37217.541828703703</v>
      </c>
    </row>
    <row r="2449" spans="2:4" ht="13.5" customHeight="1">
      <c r="B2449" s="336" t="s">
        <v>1228</v>
      </c>
      <c r="C2449" s="388" t="s">
        <v>7020</v>
      </c>
      <c r="D2449" s="386">
        <v>37232.353136574071</v>
      </c>
    </row>
    <row r="2450" spans="2:4" ht="13.5" customHeight="1">
      <c r="B2450" s="336" t="s">
        <v>4726</v>
      </c>
      <c r="C2450" s="389" t="s">
        <v>4284</v>
      </c>
      <c r="D2450" s="386">
        <v>37247.098055555551</v>
      </c>
    </row>
    <row r="2451" spans="2:4" ht="13.5" customHeight="1">
      <c r="B2451" s="336" t="s">
        <v>1229</v>
      </c>
      <c r="C2451" s="390" t="s">
        <v>9317</v>
      </c>
      <c r="D2451" s="386">
        <v>37261.821655092594</v>
      </c>
    </row>
    <row r="2452" spans="2:4" ht="13.5" customHeight="1">
      <c r="B2452" s="336" t="s">
        <v>4727</v>
      </c>
      <c r="C2452" s="388" t="s">
        <v>4230</v>
      </c>
      <c r="D2452" s="386">
        <v>37276.542905092589</v>
      </c>
    </row>
    <row r="2453" spans="2:4" ht="13.5" customHeight="1">
      <c r="B2453" s="336" t="s">
        <v>1230</v>
      </c>
      <c r="C2453" s="388" t="s">
        <v>7010</v>
      </c>
      <c r="D2453" s="386">
        <v>37291.308194444442</v>
      </c>
    </row>
    <row r="2454" spans="2:4" ht="13.5" customHeight="1">
      <c r="B2454" s="336" t="s">
        <v>2636</v>
      </c>
      <c r="C2454" s="388" t="s">
        <v>4232</v>
      </c>
      <c r="D2454" s="386">
        <v>37306.134016203701</v>
      </c>
    </row>
    <row r="2455" spans="2:4" ht="13.5" customHeight="1">
      <c r="B2455" s="336" t="s">
        <v>1231</v>
      </c>
      <c r="C2455" s="388" t="s">
        <v>7011</v>
      </c>
      <c r="D2455" s="386">
        <v>37321.060601851852</v>
      </c>
    </row>
    <row r="2456" spans="2:4" ht="13.5" customHeight="1">
      <c r="B2456" s="336" t="s">
        <v>2637</v>
      </c>
      <c r="C2456" s="389" t="s">
        <v>4234</v>
      </c>
      <c r="D2456" s="386">
        <v>37336.094305555554</v>
      </c>
    </row>
    <row r="2457" spans="2:4" ht="13.5" customHeight="1">
      <c r="B2457" s="336" t="s">
        <v>1232</v>
      </c>
      <c r="C2457" s="388" t="s">
        <v>7012</v>
      </c>
      <c r="D2457" s="386">
        <v>37351.262638888889</v>
      </c>
    </row>
    <row r="2458" spans="2:4" ht="13.5" customHeight="1">
      <c r="B2458" s="336" t="s">
        <v>2638</v>
      </c>
      <c r="C2458" s="388" t="s">
        <v>4236</v>
      </c>
      <c r="D2458" s="386">
        <v>37366.555891203701</v>
      </c>
    </row>
    <row r="2459" spans="2:4" ht="13.5" customHeight="1">
      <c r="B2459" s="336" t="s">
        <v>1233</v>
      </c>
      <c r="C2459" s="388" t="s">
        <v>7013</v>
      </c>
      <c r="D2459" s="386">
        <v>37381.984421296293</v>
      </c>
    </row>
    <row r="2460" spans="2:4" ht="13.5" customHeight="1">
      <c r="B2460" s="336" t="s">
        <v>2639</v>
      </c>
      <c r="C2460" s="388" t="s">
        <v>4238</v>
      </c>
      <c r="D2460" s="386">
        <v>37397.520439814813</v>
      </c>
    </row>
    <row r="2461" spans="2:4" ht="13.5" customHeight="1">
      <c r="B2461" s="336" t="s">
        <v>3880</v>
      </c>
      <c r="C2461" s="388" t="s">
        <v>7014</v>
      </c>
      <c r="D2461" s="386">
        <v>37413.156296296293</v>
      </c>
    </row>
    <row r="2462" spans="2:4" ht="13.5" customHeight="1">
      <c r="B2462" s="336" t="s">
        <v>2640</v>
      </c>
      <c r="C2462" s="389" t="s">
        <v>4240</v>
      </c>
      <c r="D2462" s="386">
        <v>37428.850358796291</v>
      </c>
    </row>
    <row r="2463" spans="2:4" ht="13.5" customHeight="1">
      <c r="B2463" s="336" t="s">
        <v>4668</v>
      </c>
      <c r="C2463" s="388" t="s">
        <v>7015</v>
      </c>
      <c r="D2463" s="386">
        <v>37444.580659722218</v>
      </c>
    </row>
    <row r="2464" spans="2:4" ht="13.5" customHeight="1">
      <c r="B2464" s="336" t="s">
        <v>2641</v>
      </c>
      <c r="C2464" s="388" t="s">
        <v>4242</v>
      </c>
      <c r="D2464" s="386">
        <v>37460.301863425921</v>
      </c>
    </row>
    <row r="2465" spans="2:4" ht="13.5" customHeight="1">
      <c r="B2465" s="336" t="s">
        <v>4669</v>
      </c>
      <c r="C2465" s="388" t="s">
        <v>7016</v>
      </c>
      <c r="D2465" s="386">
        <v>37475.985451388886</v>
      </c>
    </row>
    <row r="2466" spans="2:4" ht="13.5" customHeight="1">
      <c r="B2466" s="336" t="s">
        <v>2642</v>
      </c>
      <c r="C2466" s="388" t="s">
        <v>4276</v>
      </c>
      <c r="D2466" s="386">
        <v>37491.594837962963</v>
      </c>
    </row>
    <row r="2467" spans="2:4" ht="13.5" customHeight="1">
      <c r="B2467" s="336" t="s">
        <v>4670</v>
      </c>
      <c r="C2467" s="388" t="s">
        <v>7017</v>
      </c>
      <c r="D2467" s="386">
        <v>37507.104710648149</v>
      </c>
    </row>
    <row r="2468" spans="2:4" ht="13.5" customHeight="1">
      <c r="B2468" s="336" t="s">
        <v>2643</v>
      </c>
      <c r="C2468" s="389" t="s">
        <v>4278</v>
      </c>
      <c r="D2468" s="386">
        <v>37522.496527777774</v>
      </c>
    </row>
    <row r="2469" spans="2:4" ht="13.5" customHeight="1">
      <c r="B2469" s="336" t="s">
        <v>4671</v>
      </c>
      <c r="C2469" s="388" t="s">
        <v>7018</v>
      </c>
      <c r="D2469" s="386">
        <v>37537.756377314814</v>
      </c>
    </row>
    <row r="2470" spans="2:4" ht="13.5" customHeight="1">
      <c r="B2470" s="336" t="s">
        <v>2644</v>
      </c>
      <c r="C2470" s="388" t="s">
        <v>4280</v>
      </c>
      <c r="D2470" s="386">
        <v>37552.887152777774</v>
      </c>
    </row>
    <row r="2471" spans="2:4" ht="13.5" customHeight="1">
      <c r="B2471" s="336" t="s">
        <v>382</v>
      </c>
      <c r="C2471" s="388" t="s">
        <v>7019</v>
      </c>
      <c r="D2471" s="386">
        <v>37567.890069444446</v>
      </c>
    </row>
    <row r="2472" spans="2:4" ht="13.5" customHeight="1">
      <c r="B2472" s="336" t="s">
        <v>2645</v>
      </c>
      <c r="C2472" s="388" t="s">
        <v>4282</v>
      </c>
      <c r="D2472" s="386">
        <v>37582.78707175926</v>
      </c>
    </row>
    <row r="2473" spans="2:4" ht="13.5" customHeight="1">
      <c r="B2473" s="336" t="s">
        <v>383</v>
      </c>
      <c r="C2473" s="388" t="s">
        <v>7020</v>
      </c>
      <c r="D2473" s="386">
        <v>37597.593159722222</v>
      </c>
    </row>
    <row r="2474" spans="2:4" ht="13.5" customHeight="1">
      <c r="B2474" s="336" t="s">
        <v>2646</v>
      </c>
      <c r="C2474" s="389" t="s">
        <v>4284</v>
      </c>
      <c r="D2474" s="386">
        <v>37612.343240740738</v>
      </c>
    </row>
    <row r="2475" spans="2:4" ht="13.5" customHeight="1">
      <c r="B2475" s="336" t="s">
        <v>384</v>
      </c>
      <c r="C2475" s="390" t="s">
        <v>9317</v>
      </c>
      <c r="D2475" s="386">
        <v>37627.061030092591</v>
      </c>
    </row>
    <row r="2476" spans="2:4" ht="13.5" customHeight="1">
      <c r="B2476" s="336" t="s">
        <v>2647</v>
      </c>
      <c r="C2476" s="388" t="s">
        <v>4230</v>
      </c>
      <c r="D2476" s="386">
        <v>37641.786689814813</v>
      </c>
    </row>
    <row r="2477" spans="2:4" ht="13.5" customHeight="1">
      <c r="B2477" s="336" t="s">
        <v>385</v>
      </c>
      <c r="C2477" s="388" t="s">
        <v>7010</v>
      </c>
      <c r="D2477" s="386">
        <v>37656.545590277776</v>
      </c>
    </row>
    <row r="2478" spans="2:4" ht="13.5" customHeight="1">
      <c r="B2478" s="336" t="s">
        <v>2648</v>
      </c>
      <c r="C2478" s="388" t="s">
        <v>4232</v>
      </c>
      <c r="D2478" s="386">
        <v>37671.375416666662</v>
      </c>
    </row>
    <row r="2479" spans="2:4" ht="13.5" customHeight="1">
      <c r="B2479" s="336" t="s">
        <v>386</v>
      </c>
      <c r="C2479" s="388" t="s">
        <v>7011</v>
      </c>
      <c r="D2479" s="386">
        <v>37686.29519675926</v>
      </c>
    </row>
    <row r="2480" spans="2:4" ht="13.5" customHeight="1">
      <c r="B2480" s="336" t="s">
        <v>2649</v>
      </c>
      <c r="C2480" s="389" t="s">
        <v>4234</v>
      </c>
      <c r="D2480" s="386">
        <v>37701.333287037036</v>
      </c>
    </row>
    <row r="2481" spans="2:4" ht="13.5" customHeight="1">
      <c r="B2481" s="336" t="s">
        <v>387</v>
      </c>
      <c r="C2481" s="388" t="s">
        <v>7012</v>
      </c>
      <c r="D2481" s="386">
        <v>37716.494733796295</v>
      </c>
    </row>
    <row r="2482" spans="2:4" ht="13.5" customHeight="1">
      <c r="B2482" s="336" t="s">
        <v>2650</v>
      </c>
      <c r="C2482" s="388" t="s">
        <v>4236</v>
      </c>
      <c r="D2482" s="386">
        <v>37731.793611111112</v>
      </c>
    </row>
    <row r="2483" spans="2:4" ht="13.5" customHeight="1">
      <c r="B2483" s="336" t="s">
        <v>388</v>
      </c>
      <c r="C2483" s="388" t="s">
        <v>7013</v>
      </c>
      <c r="D2483" s="386">
        <v>37747.215474537035</v>
      </c>
    </row>
    <row r="2484" spans="2:4" ht="13.5" customHeight="1">
      <c r="B2484" s="336" t="s">
        <v>2651</v>
      </c>
      <c r="C2484" s="388" t="s">
        <v>4238</v>
      </c>
      <c r="D2484" s="386">
        <v>37762.758645833332</v>
      </c>
    </row>
    <row r="2485" spans="2:4" ht="13.5" customHeight="1">
      <c r="B2485" s="336" t="s">
        <v>389</v>
      </c>
      <c r="C2485" s="388" t="s">
        <v>7014</v>
      </c>
      <c r="D2485" s="386">
        <v>37778.388564814813</v>
      </c>
    </row>
    <row r="2486" spans="2:4" ht="13.5" customHeight="1">
      <c r="B2486" s="336" t="s">
        <v>2652</v>
      </c>
      <c r="C2486" s="389" t="s">
        <v>4240</v>
      </c>
      <c r="D2486" s="386">
        <v>37794.090532407405</v>
      </c>
    </row>
    <row r="2487" spans="2:4" ht="13.5" customHeight="1">
      <c r="B2487" s="336" t="s">
        <v>390</v>
      </c>
      <c r="C2487" s="388" t="s">
        <v>7015</v>
      </c>
      <c r="D2487" s="386">
        <v>37809.816192129627</v>
      </c>
    </row>
    <row r="2488" spans="2:4" ht="13.5" customHeight="1">
      <c r="B2488" s="336" t="s">
        <v>2653</v>
      </c>
      <c r="C2488" s="388" t="s">
        <v>4242</v>
      </c>
      <c r="D2488" s="386">
        <v>37825.544340277775</v>
      </c>
    </row>
    <row r="2489" spans="2:4" ht="13.5" customHeight="1">
      <c r="B2489" s="336" t="s">
        <v>5441</v>
      </c>
      <c r="C2489" s="388" t="s">
        <v>7016</v>
      </c>
      <c r="D2489" s="386">
        <v>37841.224953703699</v>
      </c>
    </row>
    <row r="2490" spans="2:4" ht="13.5" customHeight="1">
      <c r="B2490" s="336" t="s">
        <v>782</v>
      </c>
      <c r="C2490" s="388" t="s">
        <v>4276</v>
      </c>
      <c r="D2490" s="386">
        <v>37856.838831018518</v>
      </c>
    </row>
    <row r="2491" spans="2:4" ht="13.5" customHeight="1">
      <c r="B2491" s="336" t="s">
        <v>5442</v>
      </c>
      <c r="C2491" s="388" t="s">
        <v>7017</v>
      </c>
      <c r="D2491" s="386">
        <v>37872.347199074073</v>
      </c>
    </row>
    <row r="2492" spans="2:4" ht="13.5" customHeight="1">
      <c r="B2492" s="336" t="s">
        <v>783</v>
      </c>
      <c r="C2492" s="389" t="s">
        <v>4278</v>
      </c>
      <c r="D2492" s="386">
        <v>37887.740729166668</v>
      </c>
    </row>
    <row r="2493" spans="2:4" ht="13.5" customHeight="1">
      <c r="B2493" s="336" t="s">
        <v>5443</v>
      </c>
      <c r="C2493" s="388" t="s">
        <v>7018</v>
      </c>
      <c r="D2493" s="386">
        <v>37903.000115740739</v>
      </c>
    </row>
    <row r="2494" spans="2:4" ht="13.5" customHeight="1">
      <c r="B2494" s="336" t="s">
        <v>784</v>
      </c>
      <c r="C2494" s="388" t="s">
        <v>4280</v>
      </c>
      <c r="D2494" s="386">
        <v>37918.130659722221</v>
      </c>
    </row>
    <row r="2495" spans="2:4" ht="13.5" customHeight="1">
      <c r="B2495" s="336" t="s">
        <v>5444</v>
      </c>
      <c r="C2495" s="388" t="s">
        <v>7019</v>
      </c>
      <c r="D2495" s="386">
        <v>37933.13381944444</v>
      </c>
    </row>
    <row r="2496" spans="2:4" ht="13.5" customHeight="1">
      <c r="B2496" s="336" t="s">
        <v>785</v>
      </c>
      <c r="C2496" s="388" t="s">
        <v>4282</v>
      </c>
      <c r="D2496" s="386">
        <v>37948.029791666668</v>
      </c>
    </row>
    <row r="2497" spans="2:4" ht="13.5" customHeight="1">
      <c r="B2497" s="336" t="s">
        <v>5445</v>
      </c>
      <c r="C2497" s="388" t="s">
        <v>7020</v>
      </c>
      <c r="D2497" s="386">
        <v>37962.836550925924</v>
      </c>
    </row>
    <row r="2498" spans="2:4" ht="13.5" customHeight="1">
      <c r="B2498" s="336" t="s">
        <v>786</v>
      </c>
      <c r="C2498" s="389" t="s">
        <v>4284</v>
      </c>
      <c r="D2498" s="386">
        <v>37977.585636574069</v>
      </c>
    </row>
    <row r="2499" spans="2:4" ht="13.5" customHeight="1">
      <c r="B2499" s="336" t="s">
        <v>5446</v>
      </c>
      <c r="C2499" s="390" t="s">
        <v>9317</v>
      </c>
      <c r="D2499" s="386">
        <v>37992.304259259254</v>
      </c>
    </row>
    <row r="2500" spans="2:4" ht="13.5" customHeight="1">
      <c r="B2500" s="336" t="s">
        <v>787</v>
      </c>
      <c r="C2500" s="388" t="s">
        <v>4230</v>
      </c>
      <c r="D2500" s="386">
        <v>38007.029166666667</v>
      </c>
    </row>
    <row r="2501" spans="2:4" ht="13.5" customHeight="1">
      <c r="B2501" s="336" t="s">
        <v>5447</v>
      </c>
      <c r="C2501" s="388" t="s">
        <v>7010</v>
      </c>
      <c r="D2501" s="386">
        <v>38021.788865740738</v>
      </c>
    </row>
    <row r="2502" spans="2:4" ht="13.5" customHeight="1">
      <c r="B2502" s="336" t="s">
        <v>788</v>
      </c>
      <c r="C2502" s="388" t="s">
        <v>4232</v>
      </c>
      <c r="D2502" s="386">
        <v>38036.617858796293</v>
      </c>
    </row>
    <row r="2503" spans="2:4" ht="13.5" customHeight="1">
      <c r="B2503" s="336" t="s">
        <v>8057</v>
      </c>
      <c r="C2503" s="388" t="s">
        <v>7011</v>
      </c>
      <c r="D2503" s="386">
        <v>38051.538530092592</v>
      </c>
    </row>
    <row r="2504" spans="2:4" ht="13.5" customHeight="1">
      <c r="B2504" s="336" t="s">
        <v>789</v>
      </c>
      <c r="C2504" s="389" t="s">
        <v>4234</v>
      </c>
      <c r="D2504" s="386">
        <v>38066.575243055551</v>
      </c>
    </row>
    <row r="2505" spans="2:4" ht="13.5" customHeight="1">
      <c r="B2505" s="336" t="s">
        <v>8058</v>
      </c>
      <c r="C2505" s="388" t="s">
        <v>7012</v>
      </c>
      <c r="D2505" s="386">
        <v>38081.738298611112</v>
      </c>
    </row>
    <row r="2506" spans="2:4" ht="13.5" customHeight="1">
      <c r="B2506" s="336" t="s">
        <v>790</v>
      </c>
      <c r="C2506" s="388" t="s">
        <v>4236</v>
      </c>
      <c r="D2506" s="386">
        <v>38097.034780092588</v>
      </c>
    </row>
    <row r="2507" spans="2:4" ht="13.5" customHeight="1">
      <c r="B2507" s="336" t="s">
        <v>8059</v>
      </c>
      <c r="C2507" s="388" t="s">
        <v>7013</v>
      </c>
      <c r="D2507" s="386">
        <v>38112.459907407407</v>
      </c>
    </row>
    <row r="2508" spans="2:4" ht="13.5" customHeight="1">
      <c r="B2508" s="336" t="s">
        <v>791</v>
      </c>
      <c r="C2508" s="388" t="s">
        <v>4238</v>
      </c>
      <c r="D2508" s="386">
        <v>38127.999259259253</v>
      </c>
    </row>
    <row r="2509" spans="2:4" ht="13.5" customHeight="1">
      <c r="B2509" s="336" t="s">
        <v>8060</v>
      </c>
      <c r="C2509" s="388" t="s">
        <v>7014</v>
      </c>
      <c r="D2509" s="386">
        <v>38143.634513888886</v>
      </c>
    </row>
    <row r="2510" spans="2:4" ht="13.5" customHeight="1">
      <c r="B2510" s="336" t="s">
        <v>792</v>
      </c>
      <c r="C2510" s="389" t="s">
        <v>4240</v>
      </c>
      <c r="D2510" s="386">
        <v>38159.331041666665</v>
      </c>
    </row>
    <row r="2511" spans="2:4" ht="13.5" customHeight="1">
      <c r="B2511" s="336" t="s">
        <v>8061</v>
      </c>
      <c r="C2511" s="388" t="s">
        <v>7015</v>
      </c>
      <c r="D2511" s="386">
        <v>38175.063402777778</v>
      </c>
    </row>
    <row r="2512" spans="2:4" ht="13.5" customHeight="1">
      <c r="B2512" s="336" t="s">
        <v>793</v>
      </c>
      <c r="C2512" s="388" t="s">
        <v>4242</v>
      </c>
      <c r="D2512" s="386">
        <v>38190.784780092588</v>
      </c>
    </row>
    <row r="2513" spans="2:4" ht="13.5" customHeight="1">
      <c r="B2513" s="336" t="s">
        <v>8062</v>
      </c>
      <c r="C2513" s="388" t="s">
        <v>7016</v>
      </c>
      <c r="D2513" s="386">
        <v>38206.471956018519</v>
      </c>
    </row>
    <row r="2514" spans="2:4" ht="13.5" customHeight="1">
      <c r="B2514" s="336" t="s">
        <v>794</v>
      </c>
      <c r="C2514" s="388" t="s">
        <v>4276</v>
      </c>
      <c r="D2514" s="386">
        <v>38222.078553240739</v>
      </c>
    </row>
    <row r="2515" spans="2:4" ht="13.5" customHeight="1">
      <c r="B2515" s="336" t="s">
        <v>8063</v>
      </c>
      <c r="C2515" s="388" t="s">
        <v>7017</v>
      </c>
      <c r="D2515" s="386">
        <v>38237.592245370368</v>
      </c>
    </row>
    <row r="2516" spans="2:4" ht="13.5" customHeight="1">
      <c r="B2516" s="336" t="s">
        <v>795</v>
      </c>
      <c r="C2516" s="389" t="s">
        <v>4278</v>
      </c>
      <c r="D2516" s="386">
        <v>38252.978900462964</v>
      </c>
    </row>
    <row r="2517" spans="2:4" ht="13.5" customHeight="1">
      <c r="B2517" s="336" t="s">
        <v>8064</v>
      </c>
      <c r="C2517" s="388" t="s">
        <v>7018</v>
      </c>
      <c r="D2517" s="386">
        <v>38268.242384259254</v>
      </c>
    </row>
    <row r="2518" spans="2:4" ht="13.5" customHeight="1">
      <c r="B2518" s="336" t="s">
        <v>796</v>
      </c>
      <c r="C2518" s="388" t="s">
        <v>4280</v>
      </c>
      <c r="D2518" s="386">
        <v>38283.366979166662</v>
      </c>
    </row>
    <row r="2519" spans="2:4" ht="13.5" customHeight="1">
      <c r="B2519" s="336" t="s">
        <v>8065</v>
      </c>
      <c r="C2519" s="388" t="s">
        <v>7019</v>
      </c>
      <c r="D2519" s="386">
        <v>38298.373703703699</v>
      </c>
    </row>
    <row r="2520" spans="2:4" ht="13.5" customHeight="1">
      <c r="B2520" s="336" t="s">
        <v>797</v>
      </c>
      <c r="C2520" s="388" t="s">
        <v>4282</v>
      </c>
      <c r="D2520" s="386">
        <v>38313.264745370368</v>
      </c>
    </row>
    <row r="2521" spans="2:4" ht="13.5" customHeight="1">
      <c r="B2521" s="336" t="s">
        <v>8066</v>
      </c>
      <c r="C2521" s="388" t="s">
        <v>7020</v>
      </c>
      <c r="D2521" s="386">
        <v>38328.075335648144</v>
      </c>
    </row>
    <row r="2522" spans="2:4" ht="13.5" customHeight="1">
      <c r="B2522" s="336" t="s">
        <v>798</v>
      </c>
      <c r="C2522" s="389" t="s">
        <v>4284</v>
      </c>
      <c r="D2522" s="386">
        <v>38342.820289351846</v>
      </c>
    </row>
    <row r="2523" spans="2:4" ht="13.5" customHeight="1">
      <c r="B2523" s="336" t="s">
        <v>8067</v>
      </c>
      <c r="C2523" s="390" t="s">
        <v>9317</v>
      </c>
      <c r="D2523" s="386">
        <v>38357.543391203704</v>
      </c>
    </row>
    <row r="2524" spans="2:4" ht="13.5" customHeight="1">
      <c r="B2524" s="336" t="s">
        <v>799</v>
      </c>
      <c r="C2524" s="388" t="s">
        <v>4230</v>
      </c>
      <c r="D2524" s="386">
        <v>38372.264699074069</v>
      </c>
    </row>
    <row r="2525" spans="2:4" ht="13.5" customHeight="1">
      <c r="B2525" s="336" t="s">
        <v>8068</v>
      </c>
      <c r="C2525" s="388" t="s">
        <v>7010</v>
      </c>
      <c r="D2525" s="386">
        <v>38387.029456018514</v>
      </c>
    </row>
    <row r="2526" spans="2:4" ht="13.5" customHeight="1">
      <c r="B2526" s="336" t="s">
        <v>800</v>
      </c>
      <c r="C2526" s="388" t="s">
        <v>4232</v>
      </c>
      <c r="D2526" s="386">
        <v>38401.855185185181</v>
      </c>
    </row>
    <row r="2527" spans="2:4" ht="13.5" customHeight="1">
      <c r="B2527" s="336" t="s">
        <v>8069</v>
      </c>
      <c r="C2527" s="388" t="s">
        <v>7011</v>
      </c>
      <c r="D2527" s="386">
        <v>38416.780960648146</v>
      </c>
    </row>
    <row r="2528" spans="2:4" ht="13.5" customHeight="1">
      <c r="B2528" s="336" t="s">
        <v>801</v>
      </c>
      <c r="C2528" s="389" t="s">
        <v>4234</v>
      </c>
      <c r="D2528" s="386">
        <v>38431.814618055556</v>
      </c>
    </row>
    <row r="2529" spans="2:4" ht="13.5" customHeight="1">
      <c r="B2529" s="336" t="s">
        <v>8070</v>
      </c>
      <c r="C2529" s="388" t="s">
        <v>7012</v>
      </c>
      <c r="D2529" s="386">
        <v>38446.981898148144</v>
      </c>
    </row>
    <row r="2530" spans="2:4" ht="13.5" customHeight="1">
      <c r="B2530" s="336" t="s">
        <v>802</v>
      </c>
      <c r="C2530" s="388" t="s">
        <v>4236</v>
      </c>
      <c r="D2530" s="386">
        <v>38462.275740740741</v>
      </c>
    </row>
    <row r="2531" spans="2:4" ht="13.5" customHeight="1">
      <c r="B2531" s="336" t="s">
        <v>8071</v>
      </c>
      <c r="C2531" s="388" t="s">
        <v>7013</v>
      </c>
      <c r="D2531" s="386">
        <v>38477.703194444439</v>
      </c>
    </row>
    <row r="2532" spans="2:4" ht="13.5" customHeight="1">
      <c r="B2532" s="336" t="s">
        <v>803</v>
      </c>
      <c r="C2532" s="388" t="s">
        <v>4238</v>
      </c>
      <c r="D2532" s="386">
        <v>38493.241076388884</v>
      </c>
    </row>
    <row r="2533" spans="2:4" ht="13.5" customHeight="1">
      <c r="B2533" s="336" t="s">
        <v>8072</v>
      </c>
      <c r="C2533" s="388" t="s">
        <v>7014</v>
      </c>
      <c r="D2533" s="386">
        <v>38508.87605324074</v>
      </c>
    </row>
    <row r="2534" spans="2:4" ht="13.5" customHeight="1">
      <c r="B2534" s="336" t="s">
        <v>804</v>
      </c>
      <c r="C2534" s="389" t="s">
        <v>4240</v>
      </c>
      <c r="D2534" s="386">
        <v>38524.573402777773</v>
      </c>
    </row>
    <row r="2535" spans="2:4" ht="13.5" customHeight="1">
      <c r="B2535" s="336" t="s">
        <v>8073</v>
      </c>
      <c r="C2535" s="388" t="s">
        <v>7015</v>
      </c>
      <c r="D2535" s="386">
        <v>38540.302881944444</v>
      </c>
    </row>
    <row r="2536" spans="2:4" ht="13.5" customHeight="1">
      <c r="B2536" s="336" t="s">
        <v>805</v>
      </c>
      <c r="C2536" s="388" t="s">
        <v>4242</v>
      </c>
      <c r="D2536" s="386">
        <v>38556.027916666666</v>
      </c>
    </row>
    <row r="2537" spans="2:4" ht="13.5" customHeight="1">
      <c r="B2537" s="336" t="s">
        <v>8074</v>
      </c>
      <c r="C2537" s="388" t="s">
        <v>7016</v>
      </c>
      <c r="D2537" s="386">
        <v>38571.710277777776</v>
      </c>
    </row>
    <row r="2538" spans="2:4" ht="13.5" customHeight="1">
      <c r="B2538" s="336" t="s">
        <v>4354</v>
      </c>
      <c r="C2538" s="388" t="s">
        <v>4276</v>
      </c>
      <c r="D2538" s="386">
        <v>38587.322708333333</v>
      </c>
    </row>
    <row r="2539" spans="2:4" ht="13.5" customHeight="1">
      <c r="B2539" s="336" t="s">
        <v>8075</v>
      </c>
      <c r="C2539" s="388" t="s">
        <v>7017</v>
      </c>
      <c r="D2539" s="386">
        <v>38602.830474537033</v>
      </c>
    </row>
    <row r="2540" spans="2:4" ht="13.5" customHeight="1">
      <c r="B2540" s="336" t="s">
        <v>4355</v>
      </c>
      <c r="C2540" s="389" t="s">
        <v>4278</v>
      </c>
      <c r="D2540" s="386">
        <v>38618.223865740736</v>
      </c>
    </row>
    <row r="2541" spans="2:4" ht="13.5" customHeight="1">
      <c r="B2541" s="336" t="s">
        <v>8076</v>
      </c>
      <c r="C2541" s="388" t="s">
        <v>7018</v>
      </c>
      <c r="D2541" s="386">
        <v>38633.48092592592</v>
      </c>
    </row>
    <row r="2542" spans="2:4" ht="13.5" customHeight="1">
      <c r="B2542" s="336" t="s">
        <v>4356</v>
      </c>
      <c r="C2542" s="388" t="s">
        <v>4280</v>
      </c>
      <c r="D2542" s="386">
        <v>38648.612268518518</v>
      </c>
    </row>
    <row r="2543" spans="2:4" ht="13.5" customHeight="1">
      <c r="B2543" s="336" t="s">
        <v>2093</v>
      </c>
      <c r="C2543" s="388" t="s">
        <v>7019</v>
      </c>
      <c r="D2543" s="386">
        <v>38663.612465277773</v>
      </c>
    </row>
    <row r="2544" spans="2:4" ht="13.5" customHeight="1">
      <c r="B2544" s="336" t="s">
        <v>4357</v>
      </c>
      <c r="C2544" s="388" t="s">
        <v>4282</v>
      </c>
      <c r="D2544" s="386">
        <v>38678.510104166664</v>
      </c>
    </row>
    <row r="2545" spans="2:4" ht="13.5" customHeight="1">
      <c r="B2545" s="336" t="s">
        <v>4527</v>
      </c>
      <c r="C2545" s="388" t="s">
        <v>7020</v>
      </c>
      <c r="D2545" s="386">
        <v>38693.314259259256</v>
      </c>
    </row>
    <row r="2546" spans="2:4" ht="13.5" customHeight="1">
      <c r="B2546" s="336" t="s">
        <v>4358</v>
      </c>
      <c r="C2546" s="389" t="s">
        <v>4284</v>
      </c>
      <c r="D2546" s="386">
        <v>38708.065775462957</v>
      </c>
    </row>
    <row r="2547" spans="2:4" ht="13.5" customHeight="1">
      <c r="B2547" s="336" t="s">
        <v>4528</v>
      </c>
      <c r="C2547" s="390" t="s">
        <v>9317</v>
      </c>
      <c r="D2547" s="386">
        <v>38722.782500000001</v>
      </c>
    </row>
    <row r="2548" spans="2:4" ht="13.5" customHeight="1">
      <c r="B2548" s="336" t="s">
        <v>4359</v>
      </c>
      <c r="C2548" s="388" t="s">
        <v>4230</v>
      </c>
      <c r="D2548" s="386">
        <v>38737.510347222218</v>
      </c>
    </row>
    <row r="2549" spans="2:4" ht="13.5" customHeight="1">
      <c r="B2549" s="336" t="s">
        <v>4529</v>
      </c>
      <c r="C2549" s="388" t="s">
        <v>7010</v>
      </c>
      <c r="D2549" s="386">
        <v>38752.268587962957</v>
      </c>
    </row>
    <row r="2550" spans="2:4" ht="13.5" customHeight="1">
      <c r="B2550" s="336" t="s">
        <v>4360</v>
      </c>
      <c r="C2550" s="388" t="s">
        <v>4232</v>
      </c>
      <c r="D2550" s="386">
        <v>38767.100624999999</v>
      </c>
    </row>
    <row r="2551" spans="2:4" ht="13.5" customHeight="1">
      <c r="B2551" s="336" t="s">
        <v>4530</v>
      </c>
      <c r="C2551" s="388" t="s">
        <v>7011</v>
      </c>
      <c r="D2551" s="386">
        <v>38782.019398148142</v>
      </c>
    </row>
    <row r="2552" spans="2:4" ht="13.5" customHeight="1">
      <c r="B2552" s="336" t="s">
        <v>4361</v>
      </c>
      <c r="C2552" s="389" t="s">
        <v>4234</v>
      </c>
      <c r="D2552" s="386">
        <v>38797.058888888889</v>
      </c>
    </row>
    <row r="2553" spans="2:4" ht="13.5" customHeight="1">
      <c r="B2553" s="336" t="s">
        <v>5245</v>
      </c>
      <c r="C2553" s="388" t="s">
        <v>7012</v>
      </c>
      <c r="D2553" s="386">
        <v>38812.218622685185</v>
      </c>
    </row>
    <row r="2554" spans="2:4" ht="13.5" customHeight="1">
      <c r="B2554" s="336" t="s">
        <v>4362</v>
      </c>
      <c r="C2554" s="388" t="s">
        <v>4236</v>
      </c>
      <c r="D2554" s="386">
        <v>38827.51767361111</v>
      </c>
    </row>
    <row r="2555" spans="2:4" ht="13.5" customHeight="1">
      <c r="B2555" s="336" t="s">
        <v>5246</v>
      </c>
      <c r="C2555" s="388" t="s">
        <v>7013</v>
      </c>
      <c r="D2555" s="386">
        <v>38842.937546296293</v>
      </c>
    </row>
    <row r="2556" spans="2:4" ht="13.5" customHeight="1">
      <c r="B2556" s="336" t="s">
        <v>4363</v>
      </c>
      <c r="C2556" s="388" t="s">
        <v>4238</v>
      </c>
      <c r="D2556" s="386">
        <v>38858.479861111111</v>
      </c>
    </row>
    <row r="2557" spans="2:4" ht="13.5" customHeight="1">
      <c r="B2557" s="336" t="s">
        <v>6005</v>
      </c>
      <c r="C2557" s="388" t="s">
        <v>7014</v>
      </c>
      <c r="D2557" s="386">
        <v>38874.108553240738</v>
      </c>
    </row>
    <row r="2558" spans="2:4" ht="13.5" customHeight="1">
      <c r="B2558" s="336" t="s">
        <v>4364</v>
      </c>
      <c r="C2558" s="389" t="s">
        <v>4240</v>
      </c>
      <c r="D2558" s="386">
        <v>38889.809189814812</v>
      </c>
    </row>
    <row r="2559" spans="2:4" ht="13.5" customHeight="1">
      <c r="B2559" s="336" t="s">
        <v>6006</v>
      </c>
      <c r="C2559" s="388" t="s">
        <v>7015</v>
      </c>
      <c r="D2559" s="386">
        <v>38905.535277777773</v>
      </c>
    </row>
    <row r="2560" spans="2:4" ht="13.5" customHeight="1">
      <c r="B2560" s="336" t="s">
        <v>4365</v>
      </c>
      <c r="C2560" s="388" t="s">
        <v>4242</v>
      </c>
      <c r="D2560" s="386">
        <v>38921.262060185181</v>
      </c>
    </row>
    <row r="2561" spans="2:4" ht="13.5" customHeight="1">
      <c r="B2561" s="336" t="s">
        <v>6007</v>
      </c>
      <c r="C2561" s="388" t="s">
        <v>7016</v>
      </c>
      <c r="D2561" s="386">
        <v>38936.944733796292</v>
      </c>
    </row>
    <row r="2562" spans="2:4" ht="13.5" customHeight="1">
      <c r="B2562" s="336" t="s">
        <v>4366</v>
      </c>
      <c r="C2562" s="388" t="s">
        <v>4276</v>
      </c>
      <c r="D2562" s="386">
        <v>38952.557245370364</v>
      </c>
    </row>
    <row r="2563" spans="2:4" ht="13.5" customHeight="1">
      <c r="B2563" s="336" t="s">
        <v>6008</v>
      </c>
      <c r="C2563" s="388" t="s">
        <v>7017</v>
      </c>
      <c r="D2563" s="386">
        <v>38968.068518518514</v>
      </c>
    </row>
    <row r="2564" spans="2:4" ht="13.5" customHeight="1">
      <c r="B2564" s="336" t="s">
        <v>4367</v>
      </c>
      <c r="C2564" s="389" t="s">
        <v>4278</v>
      </c>
      <c r="D2564" s="386">
        <v>38983.460486111107</v>
      </c>
    </row>
    <row r="2565" spans="2:4" ht="13.5" customHeight="1">
      <c r="B2565" s="336" t="s">
        <v>6009</v>
      </c>
      <c r="C2565" s="388" t="s">
        <v>7018</v>
      </c>
      <c r="D2565" s="386">
        <v>38998.72278935185</v>
      </c>
    </row>
    <row r="2566" spans="2:4" ht="13.5" customHeight="1">
      <c r="B2566" s="336" t="s">
        <v>4368</v>
      </c>
      <c r="C2566" s="388" t="s">
        <v>4280</v>
      </c>
      <c r="D2566" s="386">
        <v>39013.851388888885</v>
      </c>
    </row>
    <row r="2567" spans="2:4" ht="13.5" customHeight="1">
      <c r="B2567" s="336" t="s">
        <v>6010</v>
      </c>
      <c r="C2567" s="388" t="s">
        <v>7019</v>
      </c>
      <c r="D2567" s="386">
        <v>39028.857083333329</v>
      </c>
    </row>
    <row r="2568" spans="2:4" ht="13.5" customHeight="1">
      <c r="B2568" s="336" t="s">
        <v>4369</v>
      </c>
      <c r="C2568" s="388" t="s">
        <v>4282</v>
      </c>
      <c r="D2568" s="386">
        <v>39043.750810185185</v>
      </c>
    </row>
    <row r="2569" spans="2:4" ht="13.5" customHeight="1">
      <c r="B2569" s="336" t="s">
        <v>6011</v>
      </c>
      <c r="C2569" s="388" t="s">
        <v>7020</v>
      </c>
      <c r="D2569" s="386">
        <v>39058.559849537036</v>
      </c>
    </row>
    <row r="2570" spans="2:4" ht="13.5" customHeight="1">
      <c r="B2570" s="336" t="s">
        <v>4370</v>
      </c>
      <c r="C2570" s="389" t="s">
        <v>4284</v>
      </c>
      <c r="D2570" s="386">
        <v>39073.306608796294</v>
      </c>
    </row>
    <row r="2571" spans="2:4" ht="13.5" customHeight="1">
      <c r="B2571" s="336" t="s">
        <v>6012</v>
      </c>
      <c r="C2571" s="390" t="s">
        <v>9317</v>
      </c>
      <c r="D2571" s="386">
        <v>39088.027523148143</v>
      </c>
    </row>
    <row r="2572" spans="2:4" ht="13.5" customHeight="1">
      <c r="B2572" s="336" t="s">
        <v>4371</v>
      </c>
      <c r="C2572" s="388" t="s">
        <v>4230</v>
      </c>
      <c r="D2572" s="386">
        <v>39102.750231481477</v>
      </c>
    </row>
    <row r="2573" spans="2:4" ht="13.5" customHeight="1">
      <c r="B2573" s="336" t="s">
        <v>6013</v>
      </c>
      <c r="C2573" s="388" t="s">
        <v>7010</v>
      </c>
      <c r="D2573" s="386">
        <v>39117.512372685182</v>
      </c>
    </row>
    <row r="2574" spans="2:4" ht="13.5" customHeight="1">
      <c r="B2574" s="336" t="s">
        <v>4372</v>
      </c>
      <c r="C2574" s="388" t="s">
        <v>4232</v>
      </c>
      <c r="D2574" s="386">
        <v>39132.339224537034</v>
      </c>
    </row>
    <row r="2575" spans="2:4" ht="13.5" customHeight="1">
      <c r="B2575" s="336" t="s">
        <v>3162</v>
      </c>
      <c r="C2575" s="388" t="s">
        <v>7011</v>
      </c>
      <c r="D2575" s="386">
        <v>39147.26226851852</v>
      </c>
    </row>
    <row r="2576" spans="2:4" ht="13.5" customHeight="1">
      <c r="B2576" s="336" t="s">
        <v>4373</v>
      </c>
      <c r="C2576" s="389" t="s">
        <v>4234</v>
      </c>
      <c r="D2576" s="386">
        <v>39162.296493055554</v>
      </c>
    </row>
    <row r="2577" spans="2:4" ht="13.5" customHeight="1">
      <c r="B2577" s="336" t="s">
        <v>3163</v>
      </c>
      <c r="C2577" s="388" t="s">
        <v>7012</v>
      </c>
      <c r="D2577" s="386">
        <v>39177.461331018516</v>
      </c>
    </row>
    <row r="2578" spans="2:4" ht="13.5" customHeight="1">
      <c r="B2578" s="336" t="s">
        <v>4374</v>
      </c>
      <c r="C2578" s="388" t="s">
        <v>4236</v>
      </c>
      <c r="D2578" s="386">
        <v>39192.754583333328</v>
      </c>
    </row>
    <row r="2579" spans="2:4" ht="13.5" customHeight="1">
      <c r="B2579" s="336" t="s">
        <v>3164</v>
      </c>
      <c r="C2579" s="388" t="s">
        <v>7013</v>
      </c>
      <c r="D2579" s="386">
        <v>39208.180578703701</v>
      </c>
    </row>
    <row r="2580" spans="2:4" ht="13.5" customHeight="1">
      <c r="B2580" s="336" t="s">
        <v>4375</v>
      </c>
      <c r="C2580" s="388" t="s">
        <v>4238</v>
      </c>
      <c r="D2580" s="386">
        <v>39223.716319444444</v>
      </c>
    </row>
    <row r="2581" spans="2:4" ht="13.5" customHeight="1">
      <c r="B2581" s="336" t="s">
        <v>3165</v>
      </c>
      <c r="C2581" s="388" t="s">
        <v>7014</v>
      </c>
      <c r="D2581" s="386">
        <v>39239.3518287037</v>
      </c>
    </row>
    <row r="2582" spans="2:4" ht="13.5" customHeight="1">
      <c r="B2582" s="336" t="s">
        <v>4376</v>
      </c>
      <c r="C2582" s="389" t="s">
        <v>4240</v>
      </c>
      <c r="D2582" s="386">
        <v>39255.045682870368</v>
      </c>
    </row>
    <row r="2583" spans="2:4" ht="13.5" customHeight="1">
      <c r="B2583" s="336" t="s">
        <v>3166</v>
      </c>
      <c r="C2583" s="388" t="s">
        <v>7015</v>
      </c>
      <c r="D2583" s="386">
        <v>39270.778506944444</v>
      </c>
    </row>
    <row r="2584" spans="2:4" ht="13.5" customHeight="1">
      <c r="B2584" s="336" t="s">
        <v>7048</v>
      </c>
      <c r="C2584" s="388" t="s">
        <v>4242</v>
      </c>
      <c r="D2584" s="386">
        <v>39286.499548611107</v>
      </c>
    </row>
    <row r="2585" spans="2:4" ht="13.5" customHeight="1">
      <c r="B2585" s="336" t="s">
        <v>3167</v>
      </c>
      <c r="C2585" s="388" t="s">
        <v>7016</v>
      </c>
      <c r="D2585" s="386">
        <v>39302.187916666662</v>
      </c>
    </row>
    <row r="2586" spans="2:4" ht="13.5" customHeight="1">
      <c r="B2586" s="336" t="s">
        <v>7049</v>
      </c>
      <c r="C2586" s="388" t="s">
        <v>4276</v>
      </c>
      <c r="D2586" s="386">
        <v>39317.796666666662</v>
      </c>
    </row>
    <row r="2587" spans="2:4" ht="13.5" customHeight="1">
      <c r="B2587" s="336" t="s">
        <v>3168</v>
      </c>
      <c r="C2587" s="388" t="s">
        <v>7017</v>
      </c>
      <c r="D2587" s="386">
        <v>39333.3118287037</v>
      </c>
    </row>
    <row r="2588" spans="2:4" ht="13.5" customHeight="1">
      <c r="B2588" s="336" t="s">
        <v>7050</v>
      </c>
      <c r="C2588" s="389" t="s">
        <v>4278</v>
      </c>
      <c r="D2588" s="386">
        <v>39348.701817129629</v>
      </c>
    </row>
    <row r="2589" spans="2:4" ht="13.5" customHeight="1">
      <c r="B2589" s="336" t="s">
        <v>3169</v>
      </c>
      <c r="C2589" s="388" t="s">
        <v>7018</v>
      </c>
      <c r="D2589" s="386">
        <v>39363.96603009259</v>
      </c>
    </row>
    <row r="2590" spans="2:4" ht="13.5" customHeight="1">
      <c r="B2590" s="336" t="s">
        <v>7051</v>
      </c>
      <c r="C2590" s="388" t="s">
        <v>4280</v>
      </c>
      <c r="D2590" s="386">
        <v>39379.093587962961</v>
      </c>
    </row>
    <row r="2591" spans="2:4" ht="13.5" customHeight="1">
      <c r="B2591" s="336" t="s">
        <v>3170</v>
      </c>
      <c r="C2591" s="388" t="s">
        <v>7019</v>
      </c>
      <c r="D2591" s="386">
        <v>39394.099594907406</v>
      </c>
    </row>
    <row r="2592" spans="2:4" ht="13.5" customHeight="1">
      <c r="B2592" s="336" t="s">
        <v>7052</v>
      </c>
      <c r="C2592" s="388" t="s">
        <v>4282</v>
      </c>
      <c r="D2592" s="386">
        <v>39408.992407407408</v>
      </c>
    </row>
    <row r="2593" spans="2:4" ht="13.5" customHeight="1">
      <c r="B2593" s="336" t="s">
        <v>3171</v>
      </c>
      <c r="C2593" s="388" t="s">
        <v>7020</v>
      </c>
      <c r="D2593" s="386">
        <v>39423.800891203704</v>
      </c>
    </row>
    <row r="2594" spans="2:4" ht="13.5" customHeight="1">
      <c r="B2594" s="336" t="s">
        <v>7053</v>
      </c>
      <c r="C2594" s="389" t="s">
        <v>4284</v>
      </c>
      <c r="D2594" s="386">
        <v>39438.54650462963</v>
      </c>
    </row>
    <row r="2595" spans="2:4" ht="13.5" customHeight="1">
      <c r="B2595" s="336" t="s">
        <v>3172</v>
      </c>
      <c r="C2595" s="390" t="s">
        <v>9317</v>
      </c>
      <c r="D2595" s="386">
        <v>39453.266666666663</v>
      </c>
    </row>
    <row r="2596" spans="2:4" ht="13.5" customHeight="1">
      <c r="B2596" s="336" t="s">
        <v>5562</v>
      </c>
      <c r="C2596" s="388" t="s">
        <v>4230</v>
      </c>
      <c r="D2596" s="386">
        <v>39467.988113425927</v>
      </c>
    </row>
    <row r="2597" spans="2:4" ht="13.5" customHeight="1">
      <c r="B2597" s="336" t="s">
        <v>3173</v>
      </c>
      <c r="C2597" s="388" t="s">
        <v>7010</v>
      </c>
      <c r="D2597" s="386">
        <v>39482.749780092592</v>
      </c>
    </row>
    <row r="2598" spans="2:4" ht="13.5" customHeight="1">
      <c r="B2598" s="336" t="s">
        <v>5563</v>
      </c>
      <c r="C2598" s="388" t="s">
        <v>4232</v>
      </c>
      <c r="D2598" s="386">
        <v>39497.575752314813</v>
      </c>
    </row>
    <row r="2599" spans="2:4" ht="13.5" customHeight="1">
      <c r="B2599" s="336" t="s">
        <v>3174</v>
      </c>
      <c r="C2599" s="388" t="s">
        <v>7011</v>
      </c>
      <c r="D2599" s="386">
        <v>39512.498703703699</v>
      </c>
    </row>
    <row r="2600" spans="2:4" ht="13.5" customHeight="1">
      <c r="B2600" s="336" t="s">
        <v>5564</v>
      </c>
      <c r="C2600" s="389" t="s">
        <v>4234</v>
      </c>
      <c r="D2600" s="386">
        <v>39527.533182870371</v>
      </c>
    </row>
    <row r="2601" spans="2:4" ht="13.5" customHeight="1">
      <c r="B2601" s="336" t="s">
        <v>3175</v>
      </c>
      <c r="C2601" s="388" t="s">
        <v>7012</v>
      </c>
      <c r="D2601" s="386">
        <v>39542.697962962964</v>
      </c>
    </row>
    <row r="2602" spans="2:4" ht="13.5" customHeight="1">
      <c r="B2602" s="336" t="s">
        <v>5565</v>
      </c>
      <c r="C2602" s="388" t="s">
        <v>4236</v>
      </c>
      <c r="D2602" s="386">
        <v>39557.993391203701</v>
      </c>
    </row>
    <row r="2603" spans="2:4" ht="13.5" customHeight="1">
      <c r="B2603" s="336" t="s">
        <v>3176</v>
      </c>
      <c r="C2603" s="388" t="s">
        <v>7013</v>
      </c>
      <c r="D2603" s="386">
        <v>39573.41842592592</v>
      </c>
    </row>
    <row r="2604" spans="2:4" ht="13.5" customHeight="1">
      <c r="B2604" s="336" t="s">
        <v>5566</v>
      </c>
      <c r="C2604" s="388" t="s">
        <v>4238</v>
      </c>
      <c r="D2604" s="386">
        <v>39588.95853009259</v>
      </c>
    </row>
    <row r="2605" spans="2:4" ht="13.5" customHeight="1">
      <c r="B2605" s="336" t="s">
        <v>3177</v>
      </c>
      <c r="C2605" s="388" t="s">
        <v>7014</v>
      </c>
      <c r="D2605" s="386">
        <v>39604.591122685182</v>
      </c>
    </row>
    <row r="2606" spans="2:4" ht="13.5" customHeight="1">
      <c r="B2606" s="336" t="s">
        <v>2666</v>
      </c>
      <c r="C2606" s="389" t="s">
        <v>4240</v>
      </c>
      <c r="D2606" s="386">
        <v>39620.291006944441</v>
      </c>
    </row>
    <row r="2607" spans="2:4" ht="13.5" customHeight="1">
      <c r="B2607" s="336" t="s">
        <v>3178</v>
      </c>
      <c r="C2607" s="388" t="s">
        <v>7015</v>
      </c>
      <c r="D2607" s="386">
        <v>39636.018483796295</v>
      </c>
    </row>
    <row r="2608" spans="2:4" ht="13.5" customHeight="1">
      <c r="B2608" s="336" t="s">
        <v>2667</v>
      </c>
      <c r="C2608" s="388" t="s">
        <v>4242</v>
      </c>
      <c r="D2608" s="386">
        <v>39651.746215277773</v>
      </c>
    </row>
    <row r="2609" spans="2:4" ht="13.5" customHeight="1">
      <c r="B2609" s="336" t="s">
        <v>3179</v>
      </c>
      <c r="C2609" s="388" t="s">
        <v>7016</v>
      </c>
      <c r="D2609" s="386">
        <v>39667.427638888883</v>
      </c>
    </row>
    <row r="2610" spans="2:4" ht="13.5" customHeight="1">
      <c r="B2610" s="336" t="s">
        <v>2668</v>
      </c>
      <c r="C2610" s="388" t="s">
        <v>4276</v>
      </c>
      <c r="D2610" s="386">
        <v>39683.042905092589</v>
      </c>
    </row>
    <row r="2611" spans="2:4" ht="13.5" customHeight="1">
      <c r="B2611" s="336" t="s">
        <v>3180</v>
      </c>
      <c r="C2611" s="388" t="s">
        <v>7017</v>
      </c>
      <c r="D2611" s="386">
        <v>39698.551145833328</v>
      </c>
    </row>
    <row r="2612" spans="2:4" ht="13.5" customHeight="1">
      <c r="B2612" s="336" t="s">
        <v>2669</v>
      </c>
      <c r="C2612" s="389" t="s">
        <v>4278</v>
      </c>
      <c r="D2612" s="386">
        <v>39713.947268518517</v>
      </c>
    </row>
    <row r="2613" spans="2:4" ht="13.5" customHeight="1">
      <c r="B2613" s="336" t="s">
        <v>3181</v>
      </c>
      <c r="C2613" s="388" t="s">
        <v>7018</v>
      </c>
      <c r="D2613" s="386">
        <v>39729.205648148149</v>
      </c>
    </row>
    <row r="2614" spans="2:4" ht="13.5" customHeight="1">
      <c r="B2614" s="336" t="s">
        <v>4620</v>
      </c>
      <c r="C2614" s="388" t="s">
        <v>4280</v>
      </c>
      <c r="D2614" s="386">
        <v>39744.339039351849</v>
      </c>
    </row>
    <row r="2615" spans="2:4" ht="13.5" customHeight="1">
      <c r="B2615" s="336" t="s">
        <v>3182</v>
      </c>
      <c r="C2615" s="388" t="s">
        <v>7019</v>
      </c>
      <c r="D2615" s="386">
        <v>39759.340289351851</v>
      </c>
    </row>
    <row r="2616" spans="2:4" ht="13.5" customHeight="1">
      <c r="B2616" s="336" t="s">
        <v>4621</v>
      </c>
      <c r="C2616" s="388" t="s">
        <v>4282</v>
      </c>
      <c r="D2616" s="386">
        <v>39774.238715277774</v>
      </c>
    </row>
    <row r="2617" spans="2:4" ht="13.5" customHeight="1">
      <c r="B2617" s="336" t="s">
        <v>3183</v>
      </c>
      <c r="C2617" s="388" t="s">
        <v>7020</v>
      </c>
      <c r="D2617" s="386">
        <v>39789.042812499996</v>
      </c>
    </row>
    <row r="2618" spans="2:4" ht="13.5" customHeight="1">
      <c r="B2618" s="336" t="s">
        <v>4622</v>
      </c>
      <c r="C2618" s="389" t="s">
        <v>4284</v>
      </c>
      <c r="D2618" s="386">
        <v>39803.793796296297</v>
      </c>
    </row>
    <row r="2619" spans="2:4" ht="13.5" customHeight="1">
      <c r="B2619" s="336" t="s">
        <v>3184</v>
      </c>
      <c r="C2619" s="390" t="s">
        <v>9317</v>
      </c>
      <c r="D2619" s="386">
        <v>39818.509351851848</v>
      </c>
    </row>
    <row r="2620" spans="2:4" ht="13.5" customHeight="1">
      <c r="B2620" s="336" t="s">
        <v>4623</v>
      </c>
      <c r="C2620" s="388" t="s">
        <v>4230</v>
      </c>
      <c r="D2620" s="386">
        <v>39833.235891203702</v>
      </c>
    </row>
    <row r="2621" spans="2:4" ht="13.5" customHeight="1">
      <c r="B2621" s="336" t="s">
        <v>3185</v>
      </c>
      <c r="C2621" s="388" t="s">
        <v>7010</v>
      </c>
      <c r="D2621" s="386">
        <v>39847.992534722223</v>
      </c>
    </row>
    <row r="2622" spans="2:4" ht="13.5" customHeight="1">
      <c r="B2622" s="336" t="s">
        <v>4624</v>
      </c>
      <c r="C2622" s="388" t="s">
        <v>4232</v>
      </c>
      <c r="D2622" s="386">
        <v>39862.823344907403</v>
      </c>
    </row>
    <row r="2623" spans="2:4" ht="13.5" customHeight="1">
      <c r="B2623" s="336" t="s">
        <v>3186</v>
      </c>
      <c r="C2623" s="388" t="s">
        <v>7011</v>
      </c>
      <c r="D2623" s="386">
        <v>39877.741087962961</v>
      </c>
    </row>
    <row r="2624" spans="2:4" ht="13.5" customHeight="1">
      <c r="B2624" s="336" t="s">
        <v>4625</v>
      </c>
      <c r="C2624" s="389" t="s">
        <v>4234</v>
      </c>
      <c r="D2624" s="386">
        <v>39892.780011574068</v>
      </c>
    </row>
    <row r="2625" spans="2:4" ht="13.5" customHeight="1">
      <c r="B2625" s="336" t="s">
        <v>3487</v>
      </c>
      <c r="C2625" s="388" t="s">
        <v>7012</v>
      </c>
      <c r="D2625" s="386">
        <v>39907.939930555556</v>
      </c>
    </row>
    <row r="2626" spans="2:4" ht="13.5" customHeight="1">
      <c r="B2626" s="336" t="s">
        <v>4626</v>
      </c>
      <c r="C2626" s="388" t="s">
        <v>4236</v>
      </c>
      <c r="D2626" s="386">
        <v>39923.238900462959</v>
      </c>
    </row>
    <row r="2627" spans="2:4" ht="13.5" customHeight="1">
      <c r="B2627" s="336" t="s">
        <v>3488</v>
      </c>
      <c r="C2627" s="388" t="s">
        <v>7013</v>
      </c>
      <c r="D2627" s="386">
        <v>39938.660081018519</v>
      </c>
    </row>
    <row r="2628" spans="2:4" ht="13.5" customHeight="1">
      <c r="B2628" s="336" t="s">
        <v>4627</v>
      </c>
      <c r="C2628" s="388" t="s">
        <v>4238</v>
      </c>
      <c r="D2628" s="386">
        <v>39954.201886574068</v>
      </c>
    </row>
    <row r="2629" spans="2:4" ht="13.5" customHeight="1">
      <c r="B2629" s="336" t="s">
        <v>3489</v>
      </c>
      <c r="C2629" s="388" t="s">
        <v>7014</v>
      </c>
      <c r="D2629" s="386">
        <v>39969.832418981481</v>
      </c>
    </row>
    <row r="2630" spans="2:4" ht="13.5" customHeight="1">
      <c r="B2630" s="336" t="s">
        <v>4628</v>
      </c>
      <c r="C2630" s="389" t="s">
        <v>4240</v>
      </c>
      <c r="D2630" s="386">
        <v>39985.531273148146</v>
      </c>
    </row>
    <row r="2631" spans="2:4" ht="13.5" customHeight="1">
      <c r="B2631" s="336" t="s">
        <v>3490</v>
      </c>
      <c r="C2631" s="388" t="s">
        <v>7015</v>
      </c>
      <c r="D2631" s="386">
        <v>40001.259108796294</v>
      </c>
    </row>
    <row r="2632" spans="2:4" ht="13.5" customHeight="1">
      <c r="B2632" s="336" t="s">
        <v>4629</v>
      </c>
      <c r="C2632" s="388" t="s">
        <v>4242</v>
      </c>
      <c r="D2632" s="386">
        <v>40016.982939814814</v>
      </c>
    </row>
    <row r="2633" spans="2:4" ht="13.5" customHeight="1">
      <c r="B2633" s="336" t="s">
        <v>3491</v>
      </c>
      <c r="C2633" s="388" t="s">
        <v>7016</v>
      </c>
      <c r="D2633" s="386">
        <v>40032.667222222219</v>
      </c>
    </row>
    <row r="2634" spans="2:4" ht="13.5" customHeight="1">
      <c r="B2634" s="336" t="s">
        <v>4630</v>
      </c>
      <c r="C2634" s="388" t="s">
        <v>4276</v>
      </c>
      <c r="D2634" s="386">
        <v>40048.276620370365</v>
      </c>
    </row>
    <row r="2635" spans="2:4" ht="13.5" customHeight="1">
      <c r="B2635" s="336" t="s">
        <v>3492</v>
      </c>
      <c r="C2635" s="388" t="s">
        <v>7017</v>
      </c>
      <c r="D2635" s="386">
        <v>40063.789756944439</v>
      </c>
    </row>
    <row r="2636" spans="2:4" ht="13.5" customHeight="1">
      <c r="B2636" s="336" t="s">
        <v>4631</v>
      </c>
      <c r="C2636" s="389" t="s">
        <v>4278</v>
      </c>
      <c r="D2636" s="386">
        <v>40079.179456018515</v>
      </c>
    </row>
    <row r="2637" spans="2:4" ht="13.5" customHeight="1">
      <c r="B2637" s="336" t="s">
        <v>3493</v>
      </c>
      <c r="C2637" s="388" t="s">
        <v>7018</v>
      </c>
      <c r="D2637" s="386">
        <v>40094.444224537037</v>
      </c>
    </row>
    <row r="2638" spans="2:4" ht="13.5" customHeight="1">
      <c r="B2638" s="336" t="s">
        <v>4632</v>
      </c>
      <c r="C2638" s="388" t="s">
        <v>4280</v>
      </c>
      <c r="D2638" s="386">
        <v>40109.571701388886</v>
      </c>
    </row>
    <row r="2639" spans="2:4" ht="13.5" customHeight="1">
      <c r="B2639" s="336" t="s">
        <v>3494</v>
      </c>
      <c r="C2639" s="388" t="s">
        <v>7019</v>
      </c>
      <c r="D2639" s="386">
        <v>40124.580393518518</v>
      </c>
    </row>
    <row r="2640" spans="2:4" ht="13.5" customHeight="1">
      <c r="B2640" s="336" t="s">
        <v>4633</v>
      </c>
      <c r="C2640" s="388" t="s">
        <v>4282</v>
      </c>
      <c r="D2640" s="386">
        <v>40139.473680555551</v>
      </c>
    </row>
    <row r="2641" spans="2:4" ht="13.5" customHeight="1">
      <c r="B2641" s="336" t="s">
        <v>8872</v>
      </c>
      <c r="C2641" s="388" t="s">
        <v>7020</v>
      </c>
      <c r="D2641" s="386">
        <v>40154.285821759258</v>
      </c>
    </row>
    <row r="2642" spans="2:4" ht="13.5" customHeight="1">
      <c r="B2642" s="336" t="s">
        <v>4634</v>
      </c>
      <c r="C2642" s="389" t="s">
        <v>4284</v>
      </c>
      <c r="D2642" s="386">
        <v>40169.032060185185</v>
      </c>
    </row>
    <row r="2643" spans="2:4" ht="13.5" customHeight="1">
      <c r="B2643" s="336" t="s">
        <v>8873</v>
      </c>
      <c r="C2643" s="390" t="s">
        <v>9317</v>
      </c>
      <c r="D2643" s="386">
        <v>40183.755624999998</v>
      </c>
    </row>
    <row r="2644" spans="2:4" ht="13.5" customHeight="1">
      <c r="B2644" s="336" t="s">
        <v>4635</v>
      </c>
      <c r="C2644" s="388" t="s">
        <v>4230</v>
      </c>
      <c r="D2644" s="386">
        <v>40198.477106481478</v>
      </c>
    </row>
    <row r="2645" spans="2:4" ht="13.5" customHeight="1">
      <c r="B2645" s="336" t="s">
        <v>4477</v>
      </c>
      <c r="C2645" s="388" t="s">
        <v>7010</v>
      </c>
      <c r="D2645" s="386">
        <v>40213.241087962961</v>
      </c>
    </row>
    <row r="2646" spans="2:4" ht="13.5" customHeight="1">
      <c r="B2646" s="336" t="s">
        <v>1264</v>
      </c>
      <c r="C2646" s="388" t="s">
        <v>4232</v>
      </c>
      <c r="D2646" s="386">
        <v>40228.065891203703</v>
      </c>
    </row>
    <row r="2647" spans="2:4" ht="13.5" customHeight="1">
      <c r="B2647" s="336" t="s">
        <v>4478</v>
      </c>
      <c r="C2647" s="388" t="s">
        <v>7011</v>
      </c>
      <c r="D2647" s="386">
        <v>40242.990069444444</v>
      </c>
    </row>
    <row r="2648" spans="2:4" ht="13.5" customHeight="1">
      <c r="B2648" s="336" t="s">
        <v>1265</v>
      </c>
      <c r="C2648" s="389" t="s">
        <v>4234</v>
      </c>
      <c r="D2648" s="386">
        <v>40258.021851851852</v>
      </c>
    </row>
    <row r="2649" spans="2:4" ht="13.5" customHeight="1">
      <c r="B2649" s="336" t="s">
        <v>4479</v>
      </c>
      <c r="C2649" s="388" t="s">
        <v>7012</v>
      </c>
      <c r="D2649" s="386">
        <v>40273.187523148146</v>
      </c>
    </row>
    <row r="2650" spans="2:4" ht="13.5" customHeight="1">
      <c r="B2650" s="336" t="s">
        <v>1266</v>
      </c>
      <c r="C2650" s="388" t="s">
        <v>4236</v>
      </c>
      <c r="D2650" s="386">
        <v>40288.478738425925</v>
      </c>
    </row>
    <row r="2651" spans="2:4" ht="13.5" customHeight="1">
      <c r="B2651" s="336" t="s">
        <v>4480</v>
      </c>
      <c r="C2651" s="388" t="s">
        <v>7013</v>
      </c>
      <c r="D2651" s="386">
        <v>40303.905462962961</v>
      </c>
    </row>
    <row r="2652" spans="2:4" ht="13.5" customHeight="1">
      <c r="B2652" s="336" t="s">
        <v>1267</v>
      </c>
      <c r="C2652" s="388" t="s">
        <v>4238</v>
      </c>
      <c r="D2652" s="386">
        <v>40319.440115740741</v>
      </c>
    </row>
    <row r="2653" spans="2:4" ht="13.5" customHeight="1">
      <c r="B2653" s="336" t="s">
        <v>3577</v>
      </c>
      <c r="C2653" s="388" t="s">
        <v>7014</v>
      </c>
      <c r="D2653" s="386">
        <v>40335.075891203698</v>
      </c>
    </row>
    <row r="2654" spans="2:4" ht="13.5" customHeight="1">
      <c r="B2654" s="336" t="s">
        <v>1268</v>
      </c>
      <c r="C2654" s="389" t="s">
        <v>4240</v>
      </c>
      <c r="D2654" s="386">
        <v>40350.769525462958</v>
      </c>
    </row>
    <row r="2655" spans="2:4" ht="13.5" customHeight="1">
      <c r="B2655" s="336" t="s">
        <v>3578</v>
      </c>
      <c r="C2655" s="388" t="s">
        <v>7015</v>
      </c>
      <c r="D2655" s="386">
        <v>40366.501412037032</v>
      </c>
    </row>
    <row r="2656" spans="2:4" ht="13.5" customHeight="1">
      <c r="B2656" s="336" t="s">
        <v>1269</v>
      </c>
      <c r="C2656" s="388" t="s">
        <v>4242</v>
      </c>
      <c r="D2656" s="386">
        <v>40382.222754629627</v>
      </c>
    </row>
    <row r="2657" spans="2:4" ht="13.5" customHeight="1">
      <c r="B2657" s="336" t="s">
        <v>3579</v>
      </c>
      <c r="C2657" s="388" t="s">
        <v>7016</v>
      </c>
      <c r="D2657" s="386">
        <v>40397.908854166664</v>
      </c>
    </row>
    <row r="2658" spans="2:4" ht="13.5" customHeight="1">
      <c r="B2658" s="336" t="s">
        <v>1270</v>
      </c>
      <c r="C2658" s="388" t="s">
        <v>4276</v>
      </c>
      <c r="D2658" s="386">
        <v>40413.518437499995</v>
      </c>
    </row>
    <row r="2659" spans="2:4" ht="13.5" customHeight="1">
      <c r="B2659" s="336" t="s">
        <v>3580</v>
      </c>
      <c r="C2659" s="388" t="s">
        <v>7017</v>
      </c>
      <c r="D2659" s="386">
        <v>40429.030925925923</v>
      </c>
    </row>
    <row r="2660" spans="2:4" ht="13.5" customHeight="1">
      <c r="B2660" s="336" t="s">
        <v>1271</v>
      </c>
      <c r="C2660" s="389" t="s">
        <v>4278</v>
      </c>
      <c r="D2660" s="386">
        <v>40444.422789351847</v>
      </c>
    </row>
    <row r="2661" spans="2:4" ht="13.5" customHeight="1">
      <c r="B2661" s="336" t="s">
        <v>3581</v>
      </c>
      <c r="C2661" s="388" t="s">
        <v>7018</v>
      </c>
      <c r="D2661" s="386">
        <v>40459.685081018513</v>
      </c>
    </row>
    <row r="2662" spans="2:4" ht="13.5" customHeight="1">
      <c r="B2662" s="336" t="s">
        <v>1272</v>
      </c>
      <c r="C2662" s="388" t="s">
        <v>4280</v>
      </c>
      <c r="D2662" s="386">
        <v>40474.815844907404</v>
      </c>
    </row>
    <row r="2663" spans="2:4" ht="13.5" customHeight="1">
      <c r="B2663" s="336" t="s">
        <v>3582</v>
      </c>
      <c r="C2663" s="388" t="s">
        <v>7019</v>
      </c>
      <c r="D2663" s="386">
        <v>40489.821087962962</v>
      </c>
    </row>
    <row r="2664" spans="2:4" ht="13.5" customHeight="1">
      <c r="B2664" s="336" t="s">
        <v>1273</v>
      </c>
      <c r="C2664" s="388" t="s">
        <v>4282</v>
      </c>
      <c r="D2664" s="386">
        <v>40504.718101851846</v>
      </c>
    </row>
    <row r="2665" spans="2:4" ht="13.5" customHeight="1">
      <c r="B2665" s="336" t="s">
        <v>3583</v>
      </c>
      <c r="C2665" s="388" t="s">
        <v>7020</v>
      </c>
      <c r="D2665" s="386">
        <v>40519.526412037034</v>
      </c>
    </row>
    <row r="2666" spans="2:4" ht="13.5" customHeight="1">
      <c r="B2666" s="336" t="s">
        <v>1274</v>
      </c>
      <c r="C2666" s="389" t="s">
        <v>4284</v>
      </c>
      <c r="D2666" s="386">
        <v>40534.276342592588</v>
      </c>
    </row>
    <row r="2667" spans="2:4" ht="13.5" customHeight="1">
      <c r="B2667" s="336" t="s">
        <v>3535</v>
      </c>
      <c r="C2667" s="390" t="s">
        <v>9317</v>
      </c>
      <c r="D2667" s="386">
        <v>40548.995983796296</v>
      </c>
    </row>
    <row r="2668" spans="2:4" ht="13.5" customHeight="1">
      <c r="B2668" s="336" t="s">
        <v>1275</v>
      </c>
      <c r="C2668" s="388" t="s">
        <v>4230</v>
      </c>
      <c r="D2668" s="386">
        <v>40563.720925925925</v>
      </c>
    </row>
    <row r="2669" spans="2:4" ht="13.5" customHeight="1">
      <c r="B2669" s="336" t="s">
        <v>3536</v>
      </c>
      <c r="C2669" s="388" t="s">
        <v>7010</v>
      </c>
      <c r="D2669" s="386">
        <v>40578.480891203704</v>
      </c>
    </row>
    <row r="2670" spans="2:4" ht="13.5" customHeight="1">
      <c r="B2670" s="336" t="s">
        <v>1276</v>
      </c>
      <c r="C2670" s="388" t="s">
        <v>4232</v>
      </c>
      <c r="D2670" s="386">
        <v>40593.309004629627</v>
      </c>
    </row>
    <row r="2671" spans="2:4" ht="13.5" customHeight="1">
      <c r="B2671" s="336" t="s">
        <v>3537</v>
      </c>
      <c r="C2671" s="388" t="s">
        <v>7011</v>
      </c>
      <c r="D2671" s="386">
        <v>40608.228749999995</v>
      </c>
    </row>
    <row r="2672" spans="2:4" ht="13.5" customHeight="1">
      <c r="B2672" s="336" t="s">
        <v>1277</v>
      </c>
      <c r="C2672" s="389" t="s">
        <v>4234</v>
      </c>
      <c r="D2672" s="386">
        <v>40623.264050925922</v>
      </c>
    </row>
    <row r="2673" spans="2:4" ht="13.5" customHeight="1">
      <c r="B2673" s="336" t="s">
        <v>3538</v>
      </c>
      <c r="C2673" s="388" t="s">
        <v>7012</v>
      </c>
      <c r="D2673" s="386">
        <v>40638.424479166664</v>
      </c>
    </row>
    <row r="2674" spans="2:4" ht="13.5" customHeight="1">
      <c r="B2674" s="336" t="s">
        <v>1278</v>
      </c>
      <c r="C2674" s="388" t="s">
        <v>4236</v>
      </c>
      <c r="D2674" s="386">
        <v>40653.720046296294</v>
      </c>
    </row>
    <row r="2675" spans="2:4" ht="13.5" customHeight="1">
      <c r="B2675" s="336" t="s">
        <v>3539</v>
      </c>
      <c r="C2675" s="388" t="s">
        <v>7013</v>
      </c>
      <c r="D2675" s="386">
        <v>40669.1405787037</v>
      </c>
    </row>
    <row r="2676" spans="2:4" ht="13.5" customHeight="1">
      <c r="B2676" s="336" t="s">
        <v>1279</v>
      </c>
      <c r="C2676" s="388" t="s">
        <v>4238</v>
      </c>
      <c r="D2676" s="386">
        <v>40684.68100694444</v>
      </c>
    </row>
    <row r="2677" spans="2:4" ht="13.5" customHeight="1">
      <c r="B2677" s="336" t="s">
        <v>3540</v>
      </c>
      <c r="C2677" s="388" t="s">
        <v>7014</v>
      </c>
      <c r="D2677" s="386">
        <v>40700.310173611106</v>
      </c>
    </row>
    <row r="2678" spans="2:4" ht="13.5" customHeight="1">
      <c r="B2678" s="336" t="s">
        <v>1280</v>
      </c>
      <c r="C2678" s="389" t="s">
        <v>4240</v>
      </c>
      <c r="D2678" s="386">
        <v>40716.011076388888</v>
      </c>
    </row>
    <row r="2679" spans="2:4" ht="13.5" customHeight="1">
      <c r="B2679" s="336" t="s">
        <v>3541</v>
      </c>
      <c r="C2679" s="388" t="s">
        <v>7015</v>
      </c>
      <c r="D2679" s="386">
        <v>40731.737037037034</v>
      </c>
    </row>
    <row r="2680" spans="2:4" ht="13.5" customHeight="1">
      <c r="B2680" s="336" t="s">
        <v>1281</v>
      </c>
      <c r="C2680" s="388" t="s">
        <v>4242</v>
      </c>
      <c r="D2680" s="386">
        <v>40747.466134259259</v>
      </c>
    </row>
    <row r="2681" spans="2:4" ht="13.5" customHeight="1">
      <c r="B2681" s="336" t="s">
        <v>3542</v>
      </c>
      <c r="C2681" s="388" t="s">
        <v>7016</v>
      </c>
      <c r="D2681" s="386">
        <v>40763.147777777776</v>
      </c>
    </row>
    <row r="2682" spans="2:4" ht="13.5" customHeight="1">
      <c r="B2682" s="336" t="s">
        <v>1282</v>
      </c>
      <c r="C2682" s="388" t="s">
        <v>4276</v>
      </c>
      <c r="D2682" s="386">
        <v>40778.763958333329</v>
      </c>
    </row>
    <row r="2683" spans="2:4" ht="13.5" customHeight="1">
      <c r="B2683" s="336" t="s">
        <v>3543</v>
      </c>
      <c r="C2683" s="388" t="s">
        <v>7017</v>
      </c>
      <c r="D2683" s="386">
        <v>40794.273379629631</v>
      </c>
    </row>
    <row r="2684" spans="2:4" ht="13.5" customHeight="1">
      <c r="B2684" s="336" t="s">
        <v>1283</v>
      </c>
      <c r="C2684" s="389" t="s">
        <v>4278</v>
      </c>
      <c r="D2684" s="386">
        <v>40809.669537037036</v>
      </c>
    </row>
    <row r="2685" spans="2:4" ht="13.5" customHeight="1">
      <c r="B2685" s="336" t="s">
        <v>3544</v>
      </c>
      <c r="C2685" s="388" t="s">
        <v>7018</v>
      </c>
      <c r="D2685" s="386">
        <v>40824.929479166662</v>
      </c>
    </row>
    <row r="2686" spans="2:4" ht="13.5" customHeight="1">
      <c r="B2686" s="336" t="s">
        <v>1284</v>
      </c>
      <c r="C2686" s="388" t="s">
        <v>4280</v>
      </c>
      <c r="D2686" s="386">
        <v>40840.062326388885</v>
      </c>
    </row>
    <row r="2687" spans="2:4" ht="13.5" customHeight="1">
      <c r="B2687" s="336" t="s">
        <v>3545</v>
      </c>
      <c r="C2687" s="388" t="s">
        <v>7019</v>
      </c>
      <c r="D2687" s="386">
        <v>40855.065451388888</v>
      </c>
    </row>
    <row r="2688" spans="2:4" ht="13.5" customHeight="1">
      <c r="B2688" s="336" t="s">
        <v>1285</v>
      </c>
      <c r="C2688" s="388" t="s">
        <v>4282</v>
      </c>
      <c r="D2688" s="386">
        <v>40869.963344907403</v>
      </c>
    </row>
    <row r="2689" spans="2:4" ht="13.5" customHeight="1">
      <c r="B2689" s="336" t="s">
        <v>3546</v>
      </c>
      <c r="C2689" s="388" t="s">
        <v>7020</v>
      </c>
      <c r="D2689" s="386">
        <v>40884.769699074073</v>
      </c>
    </row>
    <row r="2690" spans="2:4" ht="13.5" customHeight="1">
      <c r="B2690" s="336" t="s">
        <v>1286</v>
      </c>
      <c r="C2690" s="389" t="s">
        <v>4284</v>
      </c>
      <c r="D2690" s="386">
        <v>40899.520428240736</v>
      </c>
    </row>
    <row r="2691" spans="2:4" ht="13.5" customHeight="1">
      <c r="B2691" s="336" t="s">
        <v>3547</v>
      </c>
      <c r="C2691" s="390" t="s">
        <v>9317</v>
      </c>
      <c r="D2691" s="386">
        <v>40914.238425925927</v>
      </c>
    </row>
    <row r="2692" spans="2:4" ht="13.5" customHeight="1">
      <c r="B2692" s="336" t="s">
        <v>3007</v>
      </c>
      <c r="C2692" s="388" t="s">
        <v>4230</v>
      </c>
      <c r="D2692" s="386">
        <v>40928.964722222219</v>
      </c>
    </row>
    <row r="2693" spans="2:4" ht="13.5" customHeight="1">
      <c r="B2693" s="336" t="s">
        <v>3548</v>
      </c>
      <c r="C2693" s="388" t="s">
        <v>7010</v>
      </c>
      <c r="D2693" s="386">
        <v>40943.723506944443</v>
      </c>
    </row>
    <row r="2694" spans="2:4" ht="13.5" customHeight="1">
      <c r="B2694" s="336" t="s">
        <v>3008</v>
      </c>
      <c r="C2694" s="388" t="s">
        <v>4232</v>
      </c>
      <c r="D2694" s="386">
        <v>40958.553472222222</v>
      </c>
    </row>
    <row r="2695" spans="2:4" ht="13.5" customHeight="1">
      <c r="B2695" s="336" t="s">
        <v>3549</v>
      </c>
      <c r="C2695" s="388" t="s">
        <v>7011</v>
      </c>
      <c r="D2695" s="386">
        <v>40973.472627314812</v>
      </c>
    </row>
    <row r="2696" spans="2:4" ht="13.5" customHeight="1">
      <c r="B2696" s="336" t="s">
        <v>3009</v>
      </c>
      <c r="C2696" s="389" t="s">
        <v>4234</v>
      </c>
      <c r="D2696" s="386">
        <v>40988.509641203702</v>
      </c>
    </row>
    <row r="2697" spans="2:4" ht="13.5" customHeight="1">
      <c r="B2697" s="336" t="s">
        <v>3550</v>
      </c>
      <c r="C2697" s="388" t="s">
        <v>7012</v>
      </c>
      <c r="D2697" s="386">
        <v>41003.670312499999</v>
      </c>
    </row>
    <row r="2698" spans="2:4" ht="13.5" customHeight="1">
      <c r="B2698" s="336" t="s">
        <v>3010</v>
      </c>
      <c r="C2698" s="388" t="s">
        <v>4236</v>
      </c>
      <c r="D2698" s="386">
        <v>41018.966377314813</v>
      </c>
    </row>
    <row r="2699" spans="2:4" ht="13.5" customHeight="1">
      <c r="B2699" s="336" t="s">
        <v>3551</v>
      </c>
      <c r="C2699" s="388" t="s">
        <v>7013</v>
      </c>
      <c r="D2699" s="386">
        <v>41034.388402777775</v>
      </c>
    </row>
    <row r="2700" spans="2:4" ht="13.5" customHeight="1">
      <c r="B2700" s="336" t="s">
        <v>3011</v>
      </c>
      <c r="C2700" s="388" t="s">
        <v>4238</v>
      </c>
      <c r="D2700" s="386">
        <v>41049.927048611105</v>
      </c>
    </row>
    <row r="2701" spans="2:4" ht="13.5" customHeight="1">
      <c r="B2701" s="336" t="s">
        <v>3552</v>
      </c>
      <c r="C2701" s="388" t="s">
        <v>7014</v>
      </c>
      <c r="D2701" s="386">
        <v>41065.559317129628</v>
      </c>
    </row>
    <row r="2702" spans="2:4" ht="13.5" customHeight="1">
      <c r="B2702" s="336" t="s">
        <v>3012</v>
      </c>
      <c r="C2702" s="389" t="s">
        <v>4240</v>
      </c>
      <c r="D2702" s="386">
        <v>41081.255648148144</v>
      </c>
    </row>
    <row r="2703" spans="2:4" ht="13.5" customHeight="1">
      <c r="B2703" s="336" t="s">
        <v>3553</v>
      </c>
      <c r="C2703" s="388" t="s">
        <v>7015</v>
      </c>
      <c r="D2703" s="386">
        <v>41096.986273148148</v>
      </c>
    </row>
    <row r="2704" spans="2:4" ht="13.5" customHeight="1">
      <c r="B2704" s="336" t="s">
        <v>3013</v>
      </c>
      <c r="C2704" s="388" t="s">
        <v>4242</v>
      </c>
      <c r="D2704" s="386">
        <v>41112.70857638889</v>
      </c>
    </row>
    <row r="2705" spans="2:4" ht="13.5" customHeight="1">
      <c r="B2705" s="336" t="s">
        <v>3554</v>
      </c>
      <c r="C2705" s="388" t="s">
        <v>7016</v>
      </c>
      <c r="D2705" s="386">
        <v>41128.395937499998</v>
      </c>
    </row>
    <row r="2706" spans="2:4" ht="13.5" customHeight="1">
      <c r="B2706" s="336" t="s">
        <v>3014</v>
      </c>
      <c r="C2706" s="388" t="s">
        <v>4276</v>
      </c>
      <c r="D2706" s="386">
        <v>41144.004479166666</v>
      </c>
    </row>
    <row r="2707" spans="2:4" ht="13.5" customHeight="1">
      <c r="B2707" s="336" t="s">
        <v>3555</v>
      </c>
      <c r="C2707" s="388" t="s">
        <v>7017</v>
      </c>
      <c r="D2707" s="386">
        <v>41159.519884259258</v>
      </c>
    </row>
    <row r="2708" spans="2:4" ht="13.5" customHeight="1">
      <c r="B2708" s="336" t="s">
        <v>3015</v>
      </c>
      <c r="C2708" s="389" t="s">
        <v>4278</v>
      </c>
      <c r="D2708" s="386">
        <v>41174.908749999995</v>
      </c>
    </row>
    <row r="2709" spans="2:4" ht="13.5" customHeight="1">
      <c r="B2709" s="336" t="s">
        <v>3556</v>
      </c>
      <c r="C2709" s="388" t="s">
        <v>7018</v>
      </c>
      <c r="D2709" s="386">
        <v>41190.174456018518</v>
      </c>
    </row>
    <row r="2710" spans="2:4" ht="13.5" customHeight="1">
      <c r="B2710" s="336" t="s">
        <v>3016</v>
      </c>
      <c r="C2710" s="388" t="s">
        <v>4280</v>
      </c>
      <c r="D2710" s="386">
        <v>41205.300740740735</v>
      </c>
    </row>
    <row r="2711" spans="2:4" ht="13.5" customHeight="1">
      <c r="B2711" s="336" t="s">
        <v>4544</v>
      </c>
      <c r="C2711" s="388" t="s">
        <v>7019</v>
      </c>
      <c r="D2711" s="386">
        <v>41220.309293981481</v>
      </c>
    </row>
    <row r="2712" spans="2:4" ht="13.5" customHeight="1">
      <c r="B2712" s="336" t="s">
        <v>3017</v>
      </c>
      <c r="C2712" s="388" t="s">
        <v>4282</v>
      </c>
      <c r="D2712" s="386">
        <v>41235.201145833329</v>
      </c>
    </row>
    <row r="2713" spans="2:4" ht="13.5" customHeight="1">
      <c r="B2713" s="336" t="s">
        <v>4545</v>
      </c>
      <c r="C2713" s="388" t="s">
        <v>7020</v>
      </c>
      <c r="D2713" s="386">
        <v>41250.012824074074</v>
      </c>
    </row>
    <row r="2714" spans="2:4" ht="13.5" customHeight="1">
      <c r="B2714" s="336" t="s">
        <v>3018</v>
      </c>
      <c r="C2714" s="389" t="s">
        <v>4284</v>
      </c>
      <c r="D2714" s="386">
        <v>41264.75782407407</v>
      </c>
    </row>
    <row r="2715" spans="2:4" ht="13.5" customHeight="1">
      <c r="B2715" s="336" t="s">
        <v>4546</v>
      </c>
      <c r="C2715" s="390" t="s">
        <v>9317</v>
      </c>
      <c r="D2715" s="386">
        <v>41279.481377314813</v>
      </c>
    </row>
    <row r="2716" spans="2:4" ht="13.5" customHeight="1">
      <c r="B2716" s="336" t="s">
        <v>3019</v>
      </c>
      <c r="C2716" s="388" t="s">
        <v>4230</v>
      </c>
      <c r="D2716" s="386">
        <v>41294.202303240738</v>
      </c>
    </row>
    <row r="2717" spans="2:4" ht="13.5" customHeight="1">
      <c r="B2717" s="336" t="s">
        <v>4547</v>
      </c>
      <c r="C2717" s="388" t="s">
        <v>7010</v>
      </c>
      <c r="D2717" s="386">
        <v>41308.967199074068</v>
      </c>
    </row>
    <row r="2718" spans="2:4" ht="13.5" customHeight="1">
      <c r="B2718" s="336" t="s">
        <v>3020</v>
      </c>
      <c r="C2718" s="388" t="s">
        <v>4232</v>
      </c>
      <c r="D2718" s="386">
        <v>41323.792337962957</v>
      </c>
    </row>
    <row r="2719" spans="2:4" ht="13.5" customHeight="1">
      <c r="B2719" s="336" t="s">
        <v>4548</v>
      </c>
      <c r="C2719" s="388" t="s">
        <v>7011</v>
      </c>
      <c r="D2719" s="386">
        <v>41338.718124999999</v>
      </c>
    </row>
    <row r="2720" spans="2:4" ht="13.5" customHeight="1">
      <c r="B2720" s="336" t="s">
        <v>3021</v>
      </c>
      <c r="C2720" s="389" t="s">
        <v>4234</v>
      </c>
      <c r="D2720" s="386">
        <v>41353.750891203701</v>
      </c>
    </row>
    <row r="2721" spans="2:4" ht="13.5" customHeight="1">
      <c r="B2721" s="336" t="s">
        <v>4549</v>
      </c>
      <c r="C2721" s="388" t="s">
        <v>7012</v>
      </c>
      <c r="D2721" s="386">
        <v>41368.918032407404</v>
      </c>
    </row>
    <row r="2722" spans="2:4" ht="13.5" customHeight="1">
      <c r="B2722" s="336" t="s">
        <v>3022</v>
      </c>
      <c r="C2722" s="388" t="s">
        <v>4236</v>
      </c>
      <c r="D2722" s="386">
        <v>41384.210370370369</v>
      </c>
    </row>
    <row r="2723" spans="2:4" ht="13.5" customHeight="1">
      <c r="B2723" s="336" t="s">
        <v>4550</v>
      </c>
      <c r="C2723" s="388" t="s">
        <v>7013</v>
      </c>
      <c r="D2723" s="386">
        <v>41399.637442129628</v>
      </c>
    </row>
    <row r="2724" spans="2:4" ht="13.5" customHeight="1">
      <c r="B2724" s="336" t="s">
        <v>3023</v>
      </c>
      <c r="C2724" s="388" t="s">
        <v>4238</v>
      </c>
      <c r="D2724" s="386">
        <v>41415.173067129625</v>
      </c>
    </row>
    <row r="2725" spans="2:4" ht="13.5" customHeight="1">
      <c r="B2725" s="336" t="s">
        <v>4551</v>
      </c>
      <c r="C2725" s="388" t="s">
        <v>7014</v>
      </c>
      <c r="D2725" s="386">
        <v>41430.807604166665</v>
      </c>
    </row>
    <row r="2726" spans="2:4" ht="13.5" customHeight="1">
      <c r="B2726" s="336" t="s">
        <v>3024</v>
      </c>
      <c r="C2726" s="389" t="s">
        <v>4240</v>
      </c>
      <c r="D2726" s="386">
        <v>41446.502384259256</v>
      </c>
    </row>
    <row r="2727" spans="2:4" ht="13.5" customHeight="1">
      <c r="B2727" s="336" t="s">
        <v>4672</v>
      </c>
      <c r="C2727" s="388" t="s">
        <v>7015</v>
      </c>
      <c r="D2727" s="386">
        <v>41462.23196759259</v>
      </c>
    </row>
    <row r="2728" spans="2:4" ht="13.5" customHeight="1">
      <c r="B2728" s="336" t="s">
        <v>3025</v>
      </c>
      <c r="C2728" s="388" t="s">
        <v>4242</v>
      </c>
      <c r="D2728" s="386">
        <v>41477.955069444441</v>
      </c>
    </row>
    <row r="2729" spans="2:4" ht="13.5" customHeight="1">
      <c r="B2729" s="336" t="s">
        <v>4673</v>
      </c>
      <c r="C2729" s="388" t="s">
        <v>7016</v>
      </c>
      <c r="D2729" s="386">
        <v>41493.638657407406</v>
      </c>
    </row>
    <row r="2730" spans="2:4" ht="13.5" customHeight="1">
      <c r="B2730" s="336" t="s">
        <v>3026</v>
      </c>
      <c r="C2730" s="388" t="s">
        <v>4276</v>
      </c>
      <c r="D2730" s="386">
        <v>41509.25063657407</v>
      </c>
    </row>
    <row r="2731" spans="2:4" ht="13.5" customHeight="1">
      <c r="B2731" s="336" t="s">
        <v>3461</v>
      </c>
      <c r="C2731" s="388" t="s">
        <v>7017</v>
      </c>
      <c r="D2731" s="386">
        <v>41524.760833333334</v>
      </c>
    </row>
    <row r="2732" spans="2:4" ht="13.5" customHeight="1">
      <c r="B2732" s="336" t="s">
        <v>3027</v>
      </c>
      <c r="C2732" s="389" t="s">
        <v>4278</v>
      </c>
      <c r="D2732" s="386">
        <v>41540.155173611107</v>
      </c>
    </row>
    <row r="2733" spans="2:4" ht="13.5" customHeight="1">
      <c r="B2733" s="336" t="s">
        <v>3462</v>
      </c>
      <c r="C2733" s="388" t="s">
        <v>7018</v>
      </c>
      <c r="D2733" s="386">
        <v>41555.415266203701</v>
      </c>
    </row>
    <row r="2734" spans="2:4" ht="13.5" customHeight="1">
      <c r="B2734" s="336" t="s">
        <v>1060</v>
      </c>
      <c r="C2734" s="388" t="s">
        <v>4280</v>
      </c>
      <c r="D2734" s="386">
        <v>41570.548113425924</v>
      </c>
    </row>
    <row r="2735" spans="2:4" ht="13.5" customHeight="1">
      <c r="B2735" s="336" t="s">
        <v>3463</v>
      </c>
      <c r="C2735" s="388" t="s">
        <v>7019</v>
      </c>
      <c r="D2735" s="386">
        <v>41585.551064814812</v>
      </c>
    </row>
    <row r="2736" spans="2:4" ht="13.5" customHeight="1">
      <c r="B2736" s="336" t="s">
        <v>1061</v>
      </c>
      <c r="C2736" s="388" t="s">
        <v>4282</v>
      </c>
      <c r="D2736" s="386">
        <v>41600.44976851852</v>
      </c>
    </row>
    <row r="2737" spans="2:4" ht="13.5" customHeight="1">
      <c r="B2737" s="336" t="s">
        <v>3464</v>
      </c>
      <c r="C2737" s="388" t="s">
        <v>7020</v>
      </c>
      <c r="D2737" s="386">
        <v>41615.255752314813</v>
      </c>
    </row>
    <row r="2738" spans="2:4" ht="13.5" customHeight="1">
      <c r="B2738" s="336" t="s">
        <v>1062</v>
      </c>
      <c r="C2738" s="389" t="s">
        <v>4284</v>
      </c>
      <c r="D2738" s="386">
        <v>41630.007349537038</v>
      </c>
    </row>
    <row r="2739" spans="2:4" ht="13.5" customHeight="1">
      <c r="B2739" s="336" t="s">
        <v>3465</v>
      </c>
      <c r="C2739" s="390" t="s">
        <v>9317</v>
      </c>
      <c r="D2739" s="386">
        <v>41644.724872685183</v>
      </c>
    </row>
    <row r="2740" spans="2:4" ht="13.5" customHeight="1">
      <c r="B2740" s="336" t="s">
        <v>7989</v>
      </c>
      <c r="C2740" s="388" t="s">
        <v>4230</v>
      </c>
      <c r="D2740" s="386">
        <v>41659.451851851853</v>
      </c>
    </row>
    <row r="2741" spans="2:4" ht="13.5" customHeight="1">
      <c r="B2741" s="336" t="s">
        <v>3466</v>
      </c>
      <c r="C2741" s="388" t="s">
        <v>7010</v>
      </c>
      <c r="D2741" s="386">
        <v>41674.210138888884</v>
      </c>
    </row>
    <row r="2742" spans="2:4" ht="13.5" customHeight="1">
      <c r="B2742" s="336" t="s">
        <v>7990</v>
      </c>
      <c r="C2742" s="388" t="s">
        <v>4232</v>
      </c>
      <c r="D2742" s="386">
        <v>41689.040787037033</v>
      </c>
    </row>
    <row r="2743" spans="2:4" ht="13.5" customHeight="1">
      <c r="B2743" s="336" t="s">
        <v>3467</v>
      </c>
      <c r="C2743" s="388" t="s">
        <v>7011</v>
      </c>
      <c r="D2743" s="386">
        <v>41703.959317129629</v>
      </c>
    </row>
    <row r="2744" spans="2:4" ht="13.5" customHeight="1">
      <c r="B2744" s="336" t="s">
        <v>7991</v>
      </c>
      <c r="C2744" s="389" t="s">
        <v>4234</v>
      </c>
      <c r="D2744" s="386">
        <v>41718.997430555552</v>
      </c>
    </row>
    <row r="2745" spans="2:4" ht="13.5" customHeight="1">
      <c r="B2745" s="336" t="s">
        <v>3468</v>
      </c>
      <c r="C2745" s="388" t="s">
        <v>7012</v>
      </c>
      <c r="D2745" s="386">
        <v>41734.156875000001</v>
      </c>
    </row>
    <row r="2746" spans="2:4" ht="13.5" customHeight="1">
      <c r="B2746" s="336" t="s">
        <v>7992</v>
      </c>
      <c r="C2746" s="388" t="s">
        <v>4236</v>
      </c>
      <c r="D2746" s="386">
        <v>41749.454872685186</v>
      </c>
    </row>
    <row r="2747" spans="2:4" ht="13.5" customHeight="1">
      <c r="B2747" s="336" t="s">
        <v>3469</v>
      </c>
      <c r="C2747" s="388" t="s">
        <v>7013</v>
      </c>
      <c r="D2747" s="386">
        <v>41764.874293981477</v>
      </c>
    </row>
    <row r="2748" spans="2:4" ht="13.5" customHeight="1">
      <c r="B2748" s="336" t="s">
        <v>7993</v>
      </c>
      <c r="C2748" s="388" t="s">
        <v>4238</v>
      </c>
      <c r="D2748" s="386">
        <v>41780.415868055556</v>
      </c>
    </row>
    <row r="2749" spans="2:4" ht="13.5" customHeight="1">
      <c r="B2749" s="336" t="s">
        <v>3470</v>
      </c>
      <c r="C2749" s="388" t="s">
        <v>7014</v>
      </c>
      <c r="D2749" s="386">
        <v>41796.043611111112</v>
      </c>
    </row>
    <row r="2750" spans="2:4" ht="13.5" customHeight="1">
      <c r="B2750" s="336" t="s">
        <v>7994</v>
      </c>
      <c r="C2750" s="389" t="s">
        <v>4240</v>
      </c>
      <c r="D2750" s="386">
        <v>41811.743796296294</v>
      </c>
    </row>
    <row r="2751" spans="2:4" ht="13.5" customHeight="1">
      <c r="B2751" s="336" t="s">
        <v>4843</v>
      </c>
      <c r="C2751" s="388" t="s">
        <v>7015</v>
      </c>
      <c r="D2751" s="386">
        <v>41827.468368055554</v>
      </c>
    </row>
    <row r="2752" spans="2:4" ht="13.5" customHeight="1">
      <c r="B2752" s="336" t="s">
        <v>7995</v>
      </c>
      <c r="C2752" s="388" t="s">
        <v>4242</v>
      </c>
      <c r="D2752" s="386">
        <v>41843.195254629631</v>
      </c>
    </row>
    <row r="2753" spans="2:4" ht="13.5" customHeight="1">
      <c r="B2753" s="336" t="s">
        <v>4844</v>
      </c>
      <c r="C2753" s="388" t="s">
        <v>7016</v>
      </c>
      <c r="D2753" s="386">
        <v>41858.876435185186</v>
      </c>
    </row>
    <row r="2754" spans="2:4" ht="13.5" customHeight="1">
      <c r="B2754" s="336" t="s">
        <v>7996</v>
      </c>
      <c r="C2754" s="388" t="s">
        <v>4276</v>
      </c>
      <c r="D2754" s="386">
        <v>41874.490081018514</v>
      </c>
    </row>
    <row r="2755" spans="2:4" ht="13.5" customHeight="1">
      <c r="B2755" s="336" t="s">
        <v>4845</v>
      </c>
      <c r="C2755" s="388" t="s">
        <v>7017</v>
      </c>
      <c r="D2755" s="386">
        <v>41890.000659722216</v>
      </c>
    </row>
    <row r="2756" spans="2:4" ht="13.5" customHeight="1">
      <c r="B2756" s="336" t="s">
        <v>7997</v>
      </c>
      <c r="C2756" s="389" t="s">
        <v>4278</v>
      </c>
      <c r="D2756" s="386">
        <v>41905.394953703704</v>
      </c>
    </row>
    <row r="2757" spans="2:4" ht="13.5" customHeight="1">
      <c r="B2757" s="336" t="s">
        <v>4846</v>
      </c>
      <c r="C2757" s="388" t="s">
        <v>7018</v>
      </c>
      <c r="D2757" s="386">
        <v>41920.65761574074</v>
      </c>
    </row>
    <row r="2758" spans="2:4" ht="13.5" customHeight="1">
      <c r="B2758" s="336" t="s">
        <v>7998</v>
      </c>
      <c r="C2758" s="388" t="s">
        <v>4280</v>
      </c>
      <c r="D2758" s="386">
        <v>41935.789375</v>
      </c>
    </row>
    <row r="2759" spans="2:4" ht="13.5" customHeight="1">
      <c r="B2759" s="336" t="s">
        <v>4847</v>
      </c>
      <c r="C2759" s="388" t="s">
        <v>7019</v>
      </c>
      <c r="D2759" s="386">
        <v>41950.795960648145</v>
      </c>
    </row>
    <row r="2760" spans="2:4" ht="13.5" customHeight="1">
      <c r="B2760" s="336" t="s">
        <v>7999</v>
      </c>
      <c r="C2760" s="388" t="s">
        <v>4282</v>
      </c>
      <c r="D2760" s="386">
        <v>41965.692870370367</v>
      </c>
    </row>
    <row r="2761" spans="2:4" ht="13.5" customHeight="1">
      <c r="B2761" s="336" t="s">
        <v>4848</v>
      </c>
      <c r="C2761" s="388" t="s">
        <v>7020</v>
      </c>
      <c r="D2761" s="386">
        <v>41980.502488425926</v>
      </c>
    </row>
    <row r="2762" spans="2:4" ht="13.5" customHeight="1">
      <c r="B2762" s="336" t="s">
        <v>7981</v>
      </c>
      <c r="C2762" s="389" t="s">
        <v>4284</v>
      </c>
      <c r="D2762" s="386">
        <v>41995.251712962963</v>
      </c>
    </row>
    <row r="2763" spans="2:4" ht="13.5" customHeight="1">
      <c r="B2763" s="336" t="s">
        <v>4849</v>
      </c>
      <c r="C2763" s="390" t="s">
        <v>9317</v>
      </c>
      <c r="D2763" s="386">
        <v>42009.972245370365</v>
      </c>
    </row>
    <row r="2764" spans="2:4" ht="13.5" customHeight="1">
      <c r="B2764" s="336" t="s">
        <v>7982</v>
      </c>
      <c r="C2764" s="388" t="s">
        <v>4230</v>
      </c>
      <c r="D2764" s="386">
        <v>42024.696331018517</v>
      </c>
    </row>
    <row r="2765" spans="2:4" ht="13.5" customHeight="1">
      <c r="B2765" s="336" t="s">
        <v>4850</v>
      </c>
      <c r="C2765" s="388" t="s">
        <v>7010</v>
      </c>
      <c r="D2765" s="386">
        <v>42039.456979166665</v>
      </c>
    </row>
    <row r="2766" spans="2:4" ht="13.5" customHeight="1">
      <c r="B2766" s="336" t="s">
        <v>7983</v>
      </c>
      <c r="C2766" s="388" t="s">
        <v>4232</v>
      </c>
      <c r="D2766" s="386">
        <v>42054.284270833334</v>
      </c>
    </row>
    <row r="2767" spans="2:4" ht="13.5" customHeight="1">
      <c r="B2767" s="336" t="s">
        <v>4851</v>
      </c>
      <c r="C2767" s="388" t="s">
        <v>7011</v>
      </c>
      <c r="D2767" s="386">
        <v>42069.20511574074</v>
      </c>
    </row>
    <row r="2768" spans="2:4" ht="13.5" customHeight="1">
      <c r="B2768" s="336" t="s">
        <v>7984</v>
      </c>
      <c r="C2768" s="389" t="s">
        <v>4234</v>
      </c>
      <c r="D2768" s="386">
        <v>42084.239351851851</v>
      </c>
    </row>
    <row r="2769" spans="2:4" ht="13.5" customHeight="1">
      <c r="B2769" s="336" t="s">
        <v>4852</v>
      </c>
      <c r="C2769" s="388" t="s">
        <v>7012</v>
      </c>
      <c r="D2769" s="386">
        <v>42099.401932870365</v>
      </c>
    </row>
    <row r="2770" spans="2:4" ht="13.5" customHeight="1">
      <c r="B2770" s="336" t="s">
        <v>7985</v>
      </c>
      <c r="C2770" s="388" t="s">
        <v>4236</v>
      </c>
      <c r="D2770" s="386">
        <v>42114.695335648146</v>
      </c>
    </row>
    <row r="2771" spans="2:4" ht="13.5" customHeight="1">
      <c r="B2771" s="336" t="s">
        <v>3914</v>
      </c>
      <c r="C2771" s="388" t="s">
        <v>7013</v>
      </c>
      <c r="D2771" s="386">
        <v>42130.11954861111</v>
      </c>
    </row>
    <row r="2772" spans="2:4" ht="13.5" customHeight="1">
      <c r="B2772" s="336" t="s">
        <v>7986</v>
      </c>
      <c r="C2772" s="388" t="s">
        <v>4238</v>
      </c>
      <c r="D2772" s="386">
        <v>42145.655740740738</v>
      </c>
    </row>
    <row r="2773" spans="2:4" ht="13.5" customHeight="1">
      <c r="B2773" s="336" t="s">
        <v>3915</v>
      </c>
      <c r="C2773" s="388" t="s">
        <v>7014</v>
      </c>
      <c r="D2773" s="386">
        <v>42161.290127314809</v>
      </c>
    </row>
    <row r="2774" spans="2:4" ht="13.5" customHeight="1">
      <c r="B2774" s="336" t="s">
        <v>7987</v>
      </c>
      <c r="C2774" s="389" t="s">
        <v>4240</v>
      </c>
      <c r="D2774" s="386">
        <v>42176.9843287037</v>
      </c>
    </row>
    <row r="2775" spans="2:4" ht="13.5" customHeight="1">
      <c r="B2775" s="336" t="s">
        <v>3916</v>
      </c>
      <c r="C2775" s="388" t="s">
        <v>7015</v>
      </c>
      <c r="D2775" s="386">
        <v>42192.716562499998</v>
      </c>
    </row>
    <row r="2776" spans="2:4" ht="13.5" customHeight="1">
      <c r="B2776" s="336" t="s">
        <v>1492</v>
      </c>
      <c r="C2776" s="388" t="s">
        <v>4242</v>
      </c>
      <c r="D2776" s="386">
        <v>42208.437430555554</v>
      </c>
    </row>
    <row r="2777" spans="2:4" ht="13.5" customHeight="1">
      <c r="B2777" s="336" t="s">
        <v>3917</v>
      </c>
      <c r="C2777" s="388" t="s">
        <v>7016</v>
      </c>
      <c r="D2777" s="386">
        <v>42224.125625000001</v>
      </c>
    </row>
    <row r="2778" spans="2:4" ht="13.5" customHeight="1">
      <c r="B2778" s="336" t="s">
        <v>1493</v>
      </c>
      <c r="C2778" s="388" t="s">
        <v>4276</v>
      </c>
      <c r="D2778" s="386">
        <v>42239.733749999999</v>
      </c>
    </row>
    <row r="2779" spans="2:4" ht="13.5" customHeight="1">
      <c r="B2779" s="336" t="s">
        <v>6014</v>
      </c>
      <c r="C2779" s="388" t="s">
        <v>7017</v>
      </c>
      <c r="D2779" s="386">
        <v>42255.249409722222</v>
      </c>
    </row>
    <row r="2780" spans="2:4" ht="13.5" customHeight="1">
      <c r="B2780" s="336" t="s">
        <v>2011</v>
      </c>
      <c r="C2780" s="389" t="s">
        <v>4278</v>
      </c>
      <c r="D2780" s="386">
        <v>42270.63890046296</v>
      </c>
    </row>
    <row r="2781" spans="2:4" ht="13.5" customHeight="1">
      <c r="B2781" s="336" t="s">
        <v>6015</v>
      </c>
      <c r="C2781" s="388" t="s">
        <v>7018</v>
      </c>
      <c r="D2781" s="386">
        <v>42285.904548611106</v>
      </c>
    </row>
    <row r="2782" spans="2:4" ht="13.5" customHeight="1">
      <c r="B2782" s="336" t="s">
        <v>2012</v>
      </c>
      <c r="C2782" s="388" t="s">
        <v>4280</v>
      </c>
      <c r="D2782" s="386">
        <v>42301.032210648147</v>
      </c>
    </row>
    <row r="2783" spans="2:4" ht="13.5" customHeight="1">
      <c r="B2783" s="336" t="s">
        <v>5088</v>
      </c>
      <c r="C2783" s="388" t="s">
        <v>7019</v>
      </c>
      <c r="D2783" s="386">
        <v>42316.040520833332</v>
      </c>
    </row>
    <row r="2784" spans="2:4" ht="13.5" customHeight="1">
      <c r="B2784" s="336" t="s">
        <v>2013</v>
      </c>
      <c r="C2784" s="388" t="s">
        <v>4282</v>
      </c>
      <c r="D2784" s="386">
        <v>42330.933958333328</v>
      </c>
    </row>
    <row r="2785" spans="2:4" ht="13.5" customHeight="1">
      <c r="B2785" s="336" t="s">
        <v>5089</v>
      </c>
      <c r="C2785" s="388" t="s">
        <v>7020</v>
      </c>
      <c r="D2785" s="386">
        <v>42345.745069444441</v>
      </c>
    </row>
    <row r="2786" spans="2:4" ht="13.5" customHeight="1">
      <c r="B2786" s="336" t="s">
        <v>2319</v>
      </c>
      <c r="C2786" s="389" t="s">
        <v>4284</v>
      </c>
      <c r="D2786" s="386">
        <v>42360.491296296292</v>
      </c>
    </row>
    <row r="2787" spans="2:4" ht="13.5" customHeight="1">
      <c r="B2787" s="336" t="s">
        <v>5090</v>
      </c>
      <c r="C2787" s="390" t="s">
        <v>9317</v>
      </c>
      <c r="D2787" s="386">
        <v>42375.213738425926</v>
      </c>
    </row>
    <row r="2788" spans="2:4" ht="13.5" customHeight="1">
      <c r="B2788" s="336" t="s">
        <v>2320</v>
      </c>
      <c r="C2788" s="388" t="s">
        <v>4230</v>
      </c>
      <c r="D2788" s="386">
        <v>42389.935127314813</v>
      </c>
    </row>
    <row r="2789" spans="2:4" ht="13.5" customHeight="1">
      <c r="B2789" s="336" t="s">
        <v>5091</v>
      </c>
      <c r="C2789" s="388" t="s">
        <v>7010</v>
      </c>
      <c r="D2789" s="386">
        <v>42404.698148148149</v>
      </c>
    </row>
    <row r="2790" spans="2:4" ht="13.5" customHeight="1">
      <c r="B2790" s="336" t="s">
        <v>4403</v>
      </c>
      <c r="C2790" s="388" t="s">
        <v>4232</v>
      </c>
      <c r="D2790" s="386">
        <v>42419.523043981477</v>
      </c>
    </row>
    <row r="2791" spans="2:4" ht="13.5" customHeight="1">
      <c r="B2791" s="336" t="s">
        <v>5092</v>
      </c>
      <c r="C2791" s="388" t="s">
        <v>7011</v>
      </c>
      <c r="D2791" s="386">
        <v>42434.446377314809</v>
      </c>
    </row>
    <row r="2792" spans="2:4" ht="13.5" customHeight="1">
      <c r="B2792" s="336" t="s">
        <v>4404</v>
      </c>
      <c r="C2792" s="389" t="s">
        <v>4234</v>
      </c>
      <c r="D2792" s="386">
        <v>42449.478900462964</v>
      </c>
    </row>
    <row r="2793" spans="2:4" ht="13.5" customHeight="1">
      <c r="B2793" s="336" t="s">
        <v>3751</v>
      </c>
      <c r="C2793" s="388" t="s">
        <v>7012</v>
      </c>
      <c r="D2793" s="386">
        <v>42464.643576388888</v>
      </c>
    </row>
    <row r="2794" spans="2:4" ht="13.5" customHeight="1">
      <c r="B2794" s="336" t="s">
        <v>4405</v>
      </c>
      <c r="C2794" s="388" t="s">
        <v>4236</v>
      </c>
      <c r="D2794" s="386">
        <v>42479.936678240738</v>
      </c>
    </row>
    <row r="2795" spans="2:4" ht="13.5" customHeight="1">
      <c r="B2795" s="336" t="s">
        <v>3752</v>
      </c>
      <c r="C2795" s="388" t="s">
        <v>7013</v>
      </c>
      <c r="D2795" s="386">
        <v>42495.361874999995</v>
      </c>
    </row>
    <row r="2796" spans="2:4" ht="13.5" customHeight="1">
      <c r="B2796" s="336" t="s">
        <v>7173</v>
      </c>
      <c r="C2796" s="388" t="s">
        <v>4238</v>
      </c>
      <c r="D2796" s="386">
        <v>42510.899965277778</v>
      </c>
    </row>
    <row r="2797" spans="2:4" ht="13.5" customHeight="1">
      <c r="B2797" s="336" t="s">
        <v>3753</v>
      </c>
      <c r="C2797" s="388" t="s">
        <v>7014</v>
      </c>
      <c r="D2797" s="386">
        <v>42526.533379629625</v>
      </c>
    </row>
    <row r="2798" spans="2:4" ht="13.5" customHeight="1">
      <c r="B2798" s="336" t="s">
        <v>5848</v>
      </c>
      <c r="C2798" s="389" t="s">
        <v>4240</v>
      </c>
      <c r="D2798" s="386">
        <v>42542.231944444444</v>
      </c>
    </row>
    <row r="2799" spans="2:4" ht="13.5" customHeight="1">
      <c r="B2799" s="336" t="s">
        <v>7257</v>
      </c>
      <c r="C2799" s="388" t="s">
        <v>7015</v>
      </c>
      <c r="D2799" s="386">
        <v>42557.960671296292</v>
      </c>
    </row>
    <row r="2800" spans="2:4" ht="13.5" customHeight="1">
      <c r="B2800" s="336" t="s">
        <v>5849</v>
      </c>
      <c r="C2800" s="388" t="s">
        <v>4242</v>
      </c>
      <c r="D2800" s="386">
        <v>42573.687615740739</v>
      </c>
    </row>
    <row r="2801" spans="2:4" ht="13.5" customHeight="1">
      <c r="B2801" s="336" t="s">
        <v>7258</v>
      </c>
      <c r="C2801" s="388" t="s">
        <v>7016</v>
      </c>
      <c r="D2801" s="386">
        <v>42589.370057870365</v>
      </c>
    </row>
    <row r="2802" spans="2:4" ht="13.5" customHeight="1">
      <c r="B2802" s="336" t="s">
        <v>5850</v>
      </c>
      <c r="C2802" s="388" t="s">
        <v>4276</v>
      </c>
      <c r="D2802" s="386">
        <v>42604.984791666662</v>
      </c>
    </row>
    <row r="2803" spans="2:4" ht="13.5" customHeight="1">
      <c r="B2803" s="336" t="s">
        <v>7259</v>
      </c>
      <c r="C2803" s="388" t="s">
        <v>7017</v>
      </c>
      <c r="D2803" s="386">
        <v>42620.493460648147</v>
      </c>
    </row>
    <row r="2804" spans="2:4" ht="13.5" customHeight="1">
      <c r="B2804" s="336" t="s">
        <v>5851</v>
      </c>
      <c r="C2804" s="389" t="s">
        <v>4278</v>
      </c>
      <c r="D2804" s="386">
        <v>42635.889247685183</v>
      </c>
    </row>
    <row r="2805" spans="2:4" ht="13.5" customHeight="1">
      <c r="B2805" s="336" t="s">
        <v>7260</v>
      </c>
      <c r="C2805" s="388" t="s">
        <v>7018</v>
      </c>
      <c r="D2805" s="386">
        <v>42651.14770833333</v>
      </c>
    </row>
    <row r="2806" spans="2:4" ht="13.5" customHeight="1">
      <c r="B2806" s="336" t="s">
        <v>5852</v>
      </c>
      <c r="C2806" s="388" t="s">
        <v>4280</v>
      </c>
      <c r="D2806" s="386">
        <v>42666.2812037037</v>
      </c>
    </row>
    <row r="2807" spans="2:4" ht="13.5" customHeight="1">
      <c r="B2807" s="336" t="s">
        <v>7261</v>
      </c>
      <c r="C2807" s="388" t="s">
        <v>7019</v>
      </c>
      <c r="D2807" s="386">
        <v>42681.282685185186</v>
      </c>
    </row>
    <row r="2808" spans="2:4" ht="13.5" customHeight="1">
      <c r="B2808" s="336" t="s">
        <v>5853</v>
      </c>
      <c r="C2808" s="388" t="s">
        <v>4282</v>
      </c>
      <c r="D2808" s="386">
        <v>42696.181817129625</v>
      </c>
    </row>
    <row r="2809" spans="2:4" ht="13.5" customHeight="1">
      <c r="B2809" s="336" t="s">
        <v>7262</v>
      </c>
      <c r="C2809" s="388" t="s">
        <v>7020</v>
      </c>
      <c r="D2809" s="386">
        <v>42710.986550925925</v>
      </c>
    </row>
    <row r="2810" spans="2:4" ht="13.5" customHeight="1">
      <c r="B2810" s="336" t="s">
        <v>5854</v>
      </c>
      <c r="C2810" s="389" t="s">
        <v>4284</v>
      </c>
      <c r="D2810" s="386">
        <v>42725.738657407404</v>
      </c>
    </row>
    <row r="2811" spans="2:4" ht="13.5" customHeight="1">
      <c r="B2811" s="336" t="s">
        <v>7263</v>
      </c>
      <c r="C2811" s="390" t="s">
        <v>9317</v>
      </c>
      <c r="D2811" s="386">
        <v>42740.455092592587</v>
      </c>
    </row>
    <row r="2812" spans="2:4" ht="13.5" customHeight="1">
      <c r="B2812" s="336" t="s">
        <v>5855</v>
      </c>
      <c r="C2812" s="388" t="s">
        <v>4230</v>
      </c>
      <c r="D2812" s="386">
        <v>42755.182754629626</v>
      </c>
    </row>
    <row r="2813" spans="2:4" ht="13.5" customHeight="1">
      <c r="B2813" s="336" t="s">
        <v>7264</v>
      </c>
      <c r="C2813" s="388" t="s">
        <v>7010</v>
      </c>
      <c r="D2813" s="386">
        <v>42769.940023148149</v>
      </c>
    </row>
    <row r="2814" spans="2:4" ht="13.5" customHeight="1">
      <c r="B2814" s="336" t="s">
        <v>5856</v>
      </c>
      <c r="C2814" s="388" t="s">
        <v>4232</v>
      </c>
      <c r="D2814" s="386">
        <v>42784.771423611106</v>
      </c>
    </row>
    <row r="2815" spans="2:4" ht="13.5" customHeight="1">
      <c r="B2815" s="336" t="s">
        <v>7265</v>
      </c>
      <c r="C2815" s="388" t="s">
        <v>7011</v>
      </c>
      <c r="D2815" s="386">
        <v>42799.689074074071</v>
      </c>
    </row>
    <row r="2816" spans="2:4" ht="13.5" customHeight="1">
      <c r="B2816" s="336" t="s">
        <v>2654</v>
      </c>
      <c r="C2816" s="389" t="s">
        <v>4234</v>
      </c>
      <c r="D2816" s="386">
        <v>42814.727858796294</v>
      </c>
    </row>
    <row r="2817" spans="2:4" ht="13.5" customHeight="1">
      <c r="B2817" s="336" t="s">
        <v>2225</v>
      </c>
      <c r="C2817" s="388" t="s">
        <v>7012</v>
      </c>
      <c r="D2817" s="386">
        <v>42829.886724537035</v>
      </c>
    </row>
    <row r="2818" spans="2:4" ht="13.5" customHeight="1">
      <c r="B2818" s="336" t="s">
        <v>2655</v>
      </c>
      <c r="C2818" s="388" t="s">
        <v>4236</v>
      </c>
      <c r="D2818" s="386">
        <v>42845.185104166667</v>
      </c>
    </row>
    <row r="2819" spans="2:4" ht="13.5" customHeight="1">
      <c r="B2819" s="336" t="s">
        <v>2226</v>
      </c>
      <c r="C2819" s="388" t="s">
        <v>7013</v>
      </c>
      <c r="D2819" s="386">
        <v>42860.604629629626</v>
      </c>
    </row>
    <row r="2820" spans="2:4" ht="13.5" customHeight="1">
      <c r="B2820" s="336" t="s">
        <v>2656</v>
      </c>
      <c r="C2820" s="388" t="s">
        <v>4238</v>
      </c>
      <c r="D2820" s="386">
        <v>42876.146157407406</v>
      </c>
    </row>
    <row r="2821" spans="2:4" ht="13.5" customHeight="1">
      <c r="B2821" s="336" t="s">
        <v>2227</v>
      </c>
      <c r="C2821" s="388" t="s">
        <v>7014</v>
      </c>
      <c r="D2821" s="386">
        <v>42891.775034722217</v>
      </c>
    </row>
    <row r="2822" spans="2:4" ht="13.5" customHeight="1">
      <c r="B2822" s="336" t="s">
        <v>2657</v>
      </c>
      <c r="C2822" s="389" t="s">
        <v>4240</v>
      </c>
      <c r="D2822" s="386">
        <v>42907.474618055552</v>
      </c>
    </row>
    <row r="2823" spans="2:4" ht="13.5" customHeight="1">
      <c r="B2823" s="336" t="s">
        <v>2228</v>
      </c>
      <c r="C2823" s="388" t="s">
        <v>7015</v>
      </c>
      <c r="D2823" s="386">
        <v>42923.201354166667</v>
      </c>
    </row>
    <row r="2824" spans="2:4" ht="13.5" customHeight="1">
      <c r="B2824" s="336" t="s">
        <v>2658</v>
      </c>
      <c r="C2824" s="388" t="s">
        <v>4242</v>
      </c>
      <c r="D2824" s="386">
        <v>42938.926863425921</v>
      </c>
    </row>
    <row r="2825" spans="2:4" ht="13.5" customHeight="1">
      <c r="B2825" s="336" t="s">
        <v>8943</v>
      </c>
      <c r="C2825" s="388" t="s">
        <v>7016</v>
      </c>
      <c r="D2825" s="386">
        <v>42954.610567129625</v>
      </c>
    </row>
    <row r="2826" spans="2:4" ht="13.5" customHeight="1">
      <c r="B2826" s="336" t="s">
        <v>4421</v>
      </c>
      <c r="C2826" s="388" t="s">
        <v>4276</v>
      </c>
      <c r="D2826" s="386">
        <v>42970.221921296295</v>
      </c>
    </row>
    <row r="2827" spans="2:4" ht="13.5" customHeight="1">
      <c r="B2827" s="336" t="s">
        <v>8944</v>
      </c>
      <c r="C2827" s="388" t="s">
        <v>7017</v>
      </c>
      <c r="D2827" s="386">
        <v>42985.734537037031</v>
      </c>
    </row>
    <row r="2828" spans="2:4" ht="13.5" customHeight="1">
      <c r="B2828" s="336" t="s">
        <v>4422</v>
      </c>
      <c r="C2828" s="389" t="s">
        <v>4278</v>
      </c>
      <c r="D2828" s="386">
        <v>43001.125706018516</v>
      </c>
    </row>
    <row r="2829" spans="2:4" ht="13.5" customHeight="1">
      <c r="B2829" s="336" t="s">
        <v>2545</v>
      </c>
      <c r="C2829" s="388" t="s">
        <v>7018</v>
      </c>
      <c r="D2829" s="386">
        <v>43016.389664351853</v>
      </c>
    </row>
    <row r="2830" spans="2:4" ht="13.5" customHeight="1">
      <c r="B2830" s="336" t="s">
        <v>4423</v>
      </c>
      <c r="C2830" s="388" t="s">
        <v>4280</v>
      </c>
      <c r="D2830" s="386">
        <v>43031.517962962964</v>
      </c>
    </row>
    <row r="2831" spans="2:4" ht="13.5" customHeight="1">
      <c r="B2831" s="336" t="s">
        <v>2546</v>
      </c>
      <c r="C2831" s="388" t="s">
        <v>7019</v>
      </c>
      <c r="D2831" s="386">
        <v>43046.525613425925</v>
      </c>
    </row>
    <row r="2832" spans="2:4" ht="13.5" customHeight="1">
      <c r="B2832" s="336" t="s">
        <v>4424</v>
      </c>
      <c r="C2832" s="388" t="s">
        <v>4282</v>
      </c>
      <c r="D2832" s="386">
        <v>43061.419409722221</v>
      </c>
    </row>
    <row r="2833" spans="2:4" ht="13.5" customHeight="1">
      <c r="B2833" s="336" t="s">
        <v>2547</v>
      </c>
      <c r="C2833" s="388" t="s">
        <v>7020</v>
      </c>
      <c r="D2833" s="386">
        <v>43076.230543981481</v>
      </c>
    </row>
    <row r="2834" spans="2:4" ht="13.5" customHeight="1">
      <c r="B2834" s="336" t="s">
        <v>4425</v>
      </c>
      <c r="C2834" s="389" t="s">
        <v>4284</v>
      </c>
      <c r="D2834" s="386">
        <v>43090.977418981478</v>
      </c>
    </row>
    <row r="2835" spans="2:4" ht="13.5" customHeight="1">
      <c r="B2835" s="336" t="s">
        <v>2548</v>
      </c>
      <c r="C2835" s="390" t="s">
        <v>9317</v>
      </c>
      <c r="D2835" s="386">
        <v>43105.700243055551</v>
      </c>
    </row>
    <row r="2836" spans="2:4" ht="13.5" customHeight="1">
      <c r="B2836" s="336" t="s">
        <v>4426</v>
      </c>
      <c r="C2836" s="388" t="s">
        <v>4230</v>
      </c>
      <c r="D2836" s="386">
        <v>43120.422685185185</v>
      </c>
    </row>
    <row r="2837" spans="2:4" ht="13.5" customHeight="1">
      <c r="B2837" s="336" t="s">
        <v>2549</v>
      </c>
      <c r="C2837" s="388" t="s">
        <v>7010</v>
      </c>
      <c r="D2837" s="386">
        <v>43135.186180555553</v>
      </c>
    </row>
    <row r="2838" spans="2:4" ht="13.5" customHeight="1">
      <c r="B2838" s="336" t="s">
        <v>4427</v>
      </c>
      <c r="C2838" s="388" t="s">
        <v>4232</v>
      </c>
      <c r="D2838" s="386">
        <v>43150.012083333328</v>
      </c>
    </row>
    <row r="2839" spans="2:4" ht="13.5" customHeight="1">
      <c r="B2839" s="336" t="s">
        <v>2550</v>
      </c>
      <c r="C2839" s="388" t="s">
        <v>7011</v>
      </c>
      <c r="D2839" s="386">
        <v>43164.93577546296</v>
      </c>
    </row>
    <row r="2840" spans="2:4" ht="13.5" customHeight="1">
      <c r="B2840" s="336" t="s">
        <v>4428</v>
      </c>
      <c r="C2840" s="389" t="s">
        <v>4234</v>
      </c>
      <c r="D2840" s="386">
        <v>43179.968402777777</v>
      </c>
    </row>
    <row r="2841" spans="2:4" ht="13.5" customHeight="1">
      <c r="B2841" s="336" t="s">
        <v>2551</v>
      </c>
      <c r="C2841" s="388" t="s">
        <v>7012</v>
      </c>
      <c r="D2841" s="386">
        <v>43195.133333333331</v>
      </c>
    </row>
    <row r="2842" spans="2:4" ht="13.5" customHeight="1">
      <c r="B2842" s="336" t="s">
        <v>4429</v>
      </c>
      <c r="C2842" s="388" t="s">
        <v>4236</v>
      </c>
      <c r="D2842" s="386">
        <v>43210.424780092588</v>
      </c>
    </row>
    <row r="2843" spans="2:4" ht="13.5" customHeight="1">
      <c r="B2843" s="336" t="s">
        <v>5034</v>
      </c>
      <c r="C2843" s="388" t="s">
        <v>7013</v>
      </c>
      <c r="D2843" s="386">
        <v>43225.850543981476</v>
      </c>
    </row>
    <row r="2844" spans="2:4" ht="13.5" customHeight="1">
      <c r="B2844" s="336" t="s">
        <v>4430</v>
      </c>
      <c r="C2844" s="388" t="s">
        <v>4238</v>
      </c>
      <c r="D2844" s="386">
        <v>43241.384791666664</v>
      </c>
    </row>
    <row r="2845" spans="2:4" ht="13.5" customHeight="1">
      <c r="B2845" s="336" t="s">
        <v>5035</v>
      </c>
      <c r="C2845" s="388" t="s">
        <v>7014</v>
      </c>
      <c r="D2845" s="386">
        <v>43257.019930555551</v>
      </c>
    </row>
    <row r="2846" spans="2:4" ht="13.5" customHeight="1">
      <c r="B2846" s="336" t="s">
        <v>4431</v>
      </c>
      <c r="C2846" s="389" t="s">
        <v>4240</v>
      </c>
      <c r="D2846" s="386">
        <v>43272.712962962964</v>
      </c>
    </row>
    <row r="2847" spans="2:4" ht="13.5" customHeight="1">
      <c r="B2847" s="336" t="s">
        <v>5036</v>
      </c>
      <c r="C2847" s="388" t="s">
        <v>7015</v>
      </c>
      <c r="D2847" s="386">
        <v>43288.445277777777</v>
      </c>
    </row>
    <row r="2848" spans="2:4" ht="13.5" customHeight="1">
      <c r="B2848" s="336" t="s">
        <v>4432</v>
      </c>
      <c r="C2848" s="388" t="s">
        <v>4242</v>
      </c>
      <c r="D2848" s="386">
        <v>43304.166331018518</v>
      </c>
    </row>
    <row r="2849" spans="2:4" ht="13.5" customHeight="1">
      <c r="B2849" s="336" t="s">
        <v>5037</v>
      </c>
      <c r="C2849" s="388" t="s">
        <v>7016</v>
      </c>
      <c r="D2849" s="386">
        <v>43319.854120370364</v>
      </c>
    </row>
    <row r="2850" spans="2:4" ht="13.5" customHeight="1">
      <c r="B2850" s="336" t="s">
        <v>4433</v>
      </c>
      <c r="C2850" s="388" t="s">
        <v>4276</v>
      </c>
      <c r="D2850" s="386">
        <v>43335.463784722218</v>
      </c>
    </row>
    <row r="2851" spans="2:4" ht="13.5" customHeight="1">
      <c r="B2851" s="336" t="s">
        <v>5038</v>
      </c>
      <c r="C2851" s="388" t="s">
        <v>7017</v>
      </c>
      <c r="D2851" s="386">
        <v>43350.978622685179</v>
      </c>
    </row>
    <row r="2852" spans="2:4" ht="13.5" customHeight="1">
      <c r="B2852" s="336" t="s">
        <v>4434</v>
      </c>
      <c r="C2852" s="389" t="s">
        <v>4278</v>
      </c>
      <c r="D2852" s="386">
        <v>43366.370451388888</v>
      </c>
    </row>
    <row r="2853" spans="2:4" ht="13.5" customHeight="1">
      <c r="B2853" s="336" t="s">
        <v>5039</v>
      </c>
      <c r="C2853" s="388" t="s">
        <v>7018</v>
      </c>
      <c r="D2853" s="386">
        <v>43381.634826388887</v>
      </c>
    </row>
    <row r="2854" spans="2:4" ht="13.5" customHeight="1">
      <c r="B2854" s="336" t="s">
        <v>4435</v>
      </c>
      <c r="C2854" s="388" t="s">
        <v>4280</v>
      </c>
      <c r="D2854" s="386">
        <v>43396.764884259253</v>
      </c>
    </row>
    <row r="2855" spans="2:4" ht="13.5" customHeight="1">
      <c r="B2855" s="336" t="s">
        <v>5040</v>
      </c>
      <c r="C2855" s="388" t="s">
        <v>7019</v>
      </c>
      <c r="D2855" s="386">
        <v>43411.771377314813</v>
      </c>
    </row>
    <row r="2856" spans="2:4" ht="13.5" customHeight="1">
      <c r="B2856" s="336" t="s">
        <v>4436</v>
      </c>
      <c r="C2856" s="388" t="s">
        <v>4282</v>
      </c>
      <c r="D2856" s="386">
        <v>43426.666828703703</v>
      </c>
    </row>
    <row r="2857" spans="2:4" ht="13.5" customHeight="1">
      <c r="B2857" s="336" t="s">
        <v>6431</v>
      </c>
      <c r="C2857" s="388" t="s">
        <v>7020</v>
      </c>
      <c r="D2857" s="386">
        <v>43441.475601851853</v>
      </c>
    </row>
    <row r="2858" spans="2:4" ht="13.5" customHeight="1">
      <c r="B2858" s="336" t="s">
        <v>4437</v>
      </c>
      <c r="C2858" s="389" t="s">
        <v>4284</v>
      </c>
      <c r="D2858" s="386">
        <v>43456.223402777774</v>
      </c>
    </row>
    <row r="2859" spans="2:4" ht="13.5" customHeight="1">
      <c r="B2859" s="336" t="s">
        <v>6432</v>
      </c>
      <c r="C2859" s="390" t="s">
        <v>9317</v>
      </c>
      <c r="D2859" s="386">
        <v>43470.943194444444</v>
      </c>
    </row>
    <row r="2860" spans="2:4" ht="13.5" customHeight="1">
      <c r="B2860" s="336" t="s">
        <v>4438</v>
      </c>
      <c r="C2860" s="388" t="s">
        <v>4230</v>
      </c>
      <c r="D2860" s="386">
        <v>43485.665937499994</v>
      </c>
    </row>
    <row r="2861" spans="2:4" ht="13.5" customHeight="1">
      <c r="B2861" s="336" t="s">
        <v>6433</v>
      </c>
      <c r="C2861" s="388" t="s">
        <v>7010</v>
      </c>
      <c r="D2861" s="386">
        <v>43500.42623842592</v>
      </c>
    </row>
    <row r="2862" spans="2:4" ht="13.5" customHeight="1">
      <c r="B2862" s="336" t="s">
        <v>4439</v>
      </c>
      <c r="C2862" s="388" t="s">
        <v>4232</v>
      </c>
      <c r="D2862" s="386">
        <v>43515.252499999995</v>
      </c>
    </row>
    <row r="2863" spans="2:4" ht="13.5" customHeight="1">
      <c r="B2863" s="336" t="s">
        <v>6434</v>
      </c>
      <c r="C2863" s="388" t="s">
        <v>7011</v>
      </c>
      <c r="D2863" s="386">
        <v>43530.173043981478</v>
      </c>
    </row>
    <row r="2864" spans="2:4" ht="13.5" customHeight="1">
      <c r="B2864" s="336" t="s">
        <v>4440</v>
      </c>
      <c r="C2864" s="389" t="s">
        <v>4234</v>
      </c>
      <c r="D2864" s="386">
        <v>43545.206944444442</v>
      </c>
    </row>
    <row r="2865" spans="2:4" ht="13.5" customHeight="1">
      <c r="B2865" s="336" t="s">
        <v>6435</v>
      </c>
      <c r="C2865" s="388" t="s">
        <v>7012</v>
      </c>
      <c r="D2865" s="386">
        <v>43560.368541666663</v>
      </c>
    </row>
    <row r="2866" spans="2:4" ht="13.5" customHeight="1">
      <c r="B2866" s="336" t="s">
        <v>4441</v>
      </c>
      <c r="C2866" s="388" t="s">
        <v>4236</v>
      </c>
      <c r="D2866" s="386">
        <v>43575.662951388884</v>
      </c>
    </row>
    <row r="2867" spans="2:4" ht="13.5" customHeight="1">
      <c r="B2867" s="336" t="s">
        <v>6436</v>
      </c>
      <c r="C2867" s="388" t="s">
        <v>7013</v>
      </c>
      <c r="D2867" s="386">
        <v>43591.084641203699</v>
      </c>
    </row>
    <row r="2868" spans="2:4" ht="13.5" customHeight="1">
      <c r="B2868" s="336" t="s">
        <v>4442</v>
      </c>
      <c r="C2868" s="388" t="s">
        <v>4238</v>
      </c>
      <c r="D2868" s="386">
        <v>43606.623969907407</v>
      </c>
    </row>
    <row r="2869" spans="2:4" ht="13.5" customHeight="1">
      <c r="B2869" s="336" t="s">
        <v>6437</v>
      </c>
      <c r="C2869" s="388" t="s">
        <v>7014</v>
      </c>
      <c r="D2869" s="386">
        <v>43622.253969907404</v>
      </c>
    </row>
    <row r="2870" spans="2:4" ht="13.5" customHeight="1">
      <c r="B2870" s="336" t="s">
        <v>4443</v>
      </c>
      <c r="C2870" s="389" t="s">
        <v>4240</v>
      </c>
      <c r="D2870" s="386">
        <v>43637.954016203701</v>
      </c>
    </row>
    <row r="2871" spans="2:4" ht="13.5" customHeight="1">
      <c r="B2871" s="336" t="s">
        <v>6438</v>
      </c>
      <c r="C2871" s="388" t="s">
        <v>7015</v>
      </c>
      <c r="D2871" s="386">
        <v>43653.680555555555</v>
      </c>
    </row>
    <row r="2872" spans="2:4" ht="13.5" customHeight="1">
      <c r="B2872" s="336" t="s">
        <v>5350</v>
      </c>
      <c r="C2872" s="388" t="s">
        <v>4242</v>
      </c>
      <c r="D2872" s="386">
        <v>43669.40960648148</v>
      </c>
    </row>
    <row r="2873" spans="2:4" ht="13.5" customHeight="1">
      <c r="B2873" s="336" t="s">
        <v>6439</v>
      </c>
      <c r="C2873" s="388" t="s">
        <v>7016</v>
      </c>
      <c r="D2873" s="386">
        <v>43685.091932870368</v>
      </c>
    </row>
    <row r="2874" spans="2:4" ht="13.5" customHeight="1">
      <c r="B2874" s="336" t="s">
        <v>5351</v>
      </c>
      <c r="C2874" s="388" t="s">
        <v>4276</v>
      </c>
      <c r="D2874" s="386">
        <v>43700.709236111106</v>
      </c>
    </row>
    <row r="2875" spans="2:4" ht="13.5" customHeight="1">
      <c r="B2875" s="336" t="s">
        <v>6440</v>
      </c>
      <c r="C2875" s="388" t="s">
        <v>7017</v>
      </c>
      <c r="D2875" s="386">
        <v>43716.219548611109</v>
      </c>
    </row>
    <row r="2876" spans="2:4" ht="13.5" customHeight="1">
      <c r="B2876" s="336" t="s">
        <v>5352</v>
      </c>
      <c r="C2876" s="389" t="s">
        <v>4278</v>
      </c>
      <c r="D2876" s="386">
        <v>43731.617662037032</v>
      </c>
    </row>
    <row r="2877" spans="2:4" ht="13.5" customHeight="1">
      <c r="B2877" s="336" t="s">
        <v>6441</v>
      </c>
      <c r="C2877" s="388" t="s">
        <v>7018</v>
      </c>
      <c r="D2877" s="386">
        <v>43746.878344907404</v>
      </c>
    </row>
    <row r="2878" spans="2:4" ht="13.5" customHeight="1">
      <c r="B2878" s="336" t="s">
        <v>5353</v>
      </c>
      <c r="C2878" s="388" t="s">
        <v>4280</v>
      </c>
      <c r="D2878" s="386">
        <v>43762.013113425921</v>
      </c>
    </row>
    <row r="2879" spans="2:4" ht="13.5" customHeight="1">
      <c r="B2879" s="336" t="s">
        <v>2246</v>
      </c>
      <c r="C2879" s="388" t="s">
        <v>7019</v>
      </c>
      <c r="D2879" s="386">
        <v>43777.016238425924</v>
      </c>
    </row>
    <row r="2880" spans="2:4" ht="13.5" customHeight="1">
      <c r="B2880" s="336" t="s">
        <v>5354</v>
      </c>
      <c r="C2880" s="388" t="s">
        <v>4282</v>
      </c>
      <c r="D2880" s="386">
        <v>43791.915231481478</v>
      </c>
    </row>
    <row r="2881" spans="2:4" ht="13.5" customHeight="1">
      <c r="B2881" s="336" t="s">
        <v>2247</v>
      </c>
      <c r="C2881" s="388" t="s">
        <v>7020</v>
      </c>
      <c r="D2881" s="386">
        <v>43806.720462962963</v>
      </c>
    </row>
    <row r="2882" spans="2:4" ht="13.5" customHeight="1">
      <c r="B2882" s="336" t="s">
        <v>5355</v>
      </c>
      <c r="C2882" s="389" t="s">
        <v>4284</v>
      </c>
      <c r="D2882" s="386">
        <v>43821.471168981479</v>
      </c>
    </row>
    <row r="2883" spans="2:4" ht="13.5" customHeight="1">
      <c r="B2883" s="336" t="s">
        <v>2248</v>
      </c>
      <c r="C2883" s="390" t="s">
        <v>9317</v>
      </c>
      <c r="D2883" s="386">
        <v>43836.187025462961</v>
      </c>
    </row>
    <row r="2884" spans="2:4" ht="13.5" customHeight="1">
      <c r="B2884" s="336" t="s">
        <v>5356</v>
      </c>
      <c r="C2884" s="388" t="s">
        <v>4230</v>
      </c>
      <c r="D2884" s="386">
        <v>43850.912488425922</v>
      </c>
    </row>
    <row r="2885" spans="2:4" ht="13.5" customHeight="1">
      <c r="B2885" s="336" t="s">
        <v>2249</v>
      </c>
      <c r="C2885" s="388" t="s">
        <v>7010</v>
      </c>
      <c r="D2885" s="386">
        <v>43865.668611111112</v>
      </c>
    </row>
    <row r="2886" spans="2:4" ht="13.5" customHeight="1">
      <c r="B2886" s="336" t="s">
        <v>5357</v>
      </c>
      <c r="C2886" s="388" t="s">
        <v>4232</v>
      </c>
      <c r="D2886" s="386">
        <v>43880.497604166667</v>
      </c>
    </row>
    <row r="2887" spans="2:4" ht="13.5" customHeight="1">
      <c r="B2887" s="336" t="s">
        <v>2250</v>
      </c>
      <c r="C2887" s="388" t="s">
        <v>7011</v>
      </c>
      <c r="D2887" s="386">
        <v>43895.414282407408</v>
      </c>
    </row>
    <row r="2888" spans="2:4" ht="13.5" customHeight="1">
      <c r="B2888" s="336" t="s">
        <v>5358</v>
      </c>
      <c r="C2888" s="389" t="s">
        <v>4234</v>
      </c>
      <c r="D2888" s="386">
        <v>43910.450891203698</v>
      </c>
    </row>
    <row r="2889" spans="2:4" ht="13.5" customHeight="1">
      <c r="B2889" s="336" t="s">
        <v>2251</v>
      </c>
      <c r="C2889" s="388" t="s">
        <v>7012</v>
      </c>
      <c r="D2889" s="386">
        <v>43925.609710648147</v>
      </c>
    </row>
    <row r="2890" spans="2:4" ht="13.5" customHeight="1">
      <c r="B2890" s="336" t="s">
        <v>5359</v>
      </c>
      <c r="C2890" s="388" t="s">
        <v>4236</v>
      </c>
      <c r="D2890" s="386">
        <v>43940.906342592592</v>
      </c>
    </row>
    <row r="2891" spans="2:4" ht="13.5" customHeight="1">
      <c r="B2891" s="336" t="s">
        <v>2252</v>
      </c>
      <c r="C2891" s="388" t="s">
        <v>7013</v>
      </c>
      <c r="D2891" s="386">
        <v>43956.327141203699</v>
      </c>
    </row>
    <row r="2892" spans="2:4" ht="13.5" customHeight="1">
      <c r="B2892" s="336" t="s">
        <v>5806</v>
      </c>
      <c r="C2892" s="388" t="s">
        <v>4238</v>
      </c>
      <c r="D2892" s="386">
        <v>43971.867175925923</v>
      </c>
    </row>
    <row r="2893" spans="2:4" ht="13.5" customHeight="1">
      <c r="B2893" s="336" t="s">
        <v>2253</v>
      </c>
      <c r="C2893" s="388" t="s">
        <v>7014</v>
      </c>
      <c r="D2893" s="386">
        <v>43987.498530092591</v>
      </c>
    </row>
    <row r="2894" spans="2:4" ht="13.5" customHeight="1">
      <c r="B2894" s="336" t="s">
        <v>5807</v>
      </c>
      <c r="C2894" s="389" t="s">
        <v>4240</v>
      </c>
      <c r="D2894" s="386">
        <v>44003.196550925924</v>
      </c>
    </row>
    <row r="2895" spans="2:4" ht="13.5" customHeight="1">
      <c r="B2895" s="336" t="s">
        <v>3557</v>
      </c>
      <c r="C2895" s="388" t="s">
        <v>7015</v>
      </c>
      <c r="D2895" s="386">
        <v>44018.926435185182</v>
      </c>
    </row>
    <row r="2896" spans="2:4" ht="13.5" customHeight="1">
      <c r="B2896" s="336" t="s">
        <v>5808</v>
      </c>
      <c r="C2896" s="388" t="s">
        <v>4242</v>
      </c>
      <c r="D2896" s="386">
        <v>44034.649930555555</v>
      </c>
    </row>
    <row r="2897" spans="2:4" ht="13.5" customHeight="1">
      <c r="B2897" s="336" t="s">
        <v>3558</v>
      </c>
      <c r="C2897" s="388" t="s">
        <v>7016</v>
      </c>
      <c r="D2897" s="386">
        <v>44050.336979166663</v>
      </c>
    </row>
    <row r="2898" spans="2:4" ht="13.5" customHeight="1">
      <c r="B2898" s="336" t="s">
        <v>5809</v>
      </c>
      <c r="C2898" s="388" t="s">
        <v>4276</v>
      </c>
      <c r="D2898" s="386">
        <v>44065.947199074071</v>
      </c>
    </row>
    <row r="2899" spans="2:4" ht="13.5" customHeight="1">
      <c r="B2899" s="336" t="s">
        <v>3559</v>
      </c>
      <c r="C2899" s="388" t="s">
        <v>7017</v>
      </c>
      <c r="D2899" s="386">
        <v>44081.463136574072</v>
      </c>
    </row>
    <row r="2900" spans="2:4" ht="13.5" customHeight="1">
      <c r="B2900" s="336" t="s">
        <v>5810</v>
      </c>
      <c r="C2900" s="389" t="s">
        <v>4278</v>
      </c>
      <c r="D2900" s="386">
        <v>44096.853854166664</v>
      </c>
    </row>
    <row r="2901" spans="2:4" ht="13.5" customHeight="1">
      <c r="B2901" s="336" t="s">
        <v>3560</v>
      </c>
      <c r="C2901" s="388" t="s">
        <v>7018</v>
      </c>
      <c r="D2901" s="386">
        <v>44112.120833333334</v>
      </c>
    </row>
    <row r="2902" spans="2:4" ht="13.5" customHeight="1">
      <c r="B2902" s="336" t="s">
        <v>5811</v>
      </c>
      <c r="C2902" s="388" t="s">
        <v>4280</v>
      </c>
      <c r="D2902" s="386">
        <v>44127.248935185184</v>
      </c>
    </row>
    <row r="2903" spans="2:4" ht="13.5" customHeight="1">
      <c r="B2903" s="336" t="s">
        <v>3561</v>
      </c>
      <c r="C2903" s="388" t="s">
        <v>7019</v>
      </c>
      <c r="D2903" s="386">
        <v>44142.258842592593</v>
      </c>
    </row>
    <row r="2904" spans="2:4" ht="13.5" customHeight="1">
      <c r="B2904" s="336" t="s">
        <v>5812</v>
      </c>
      <c r="C2904" s="388" t="s">
        <v>4282</v>
      </c>
      <c r="D2904" s="386">
        <v>44157.151932870365</v>
      </c>
    </row>
    <row r="2905" spans="2:4" ht="13.5" customHeight="1">
      <c r="B2905" s="336" t="s">
        <v>3562</v>
      </c>
      <c r="C2905" s="388" t="s">
        <v>7020</v>
      </c>
      <c r="D2905" s="386">
        <v>44171.964212962957</v>
      </c>
    </row>
    <row r="2906" spans="2:4" ht="13.5" customHeight="1">
      <c r="B2906" s="336" t="s">
        <v>5813</v>
      </c>
      <c r="C2906" s="389" t="s">
        <v>4284</v>
      </c>
      <c r="D2906" s="386">
        <v>44186.709328703699</v>
      </c>
    </row>
    <row r="2907" spans="2:4" ht="13.5" customHeight="1">
      <c r="B2907" s="336" t="s">
        <v>3563</v>
      </c>
      <c r="C2907" s="390" t="s">
        <v>9317</v>
      </c>
      <c r="D2907" s="386">
        <v>44201.432233796295</v>
      </c>
    </row>
    <row r="2908" spans="2:4" ht="13.5" customHeight="1">
      <c r="B2908" s="336" t="s">
        <v>5814</v>
      </c>
      <c r="C2908" s="388" t="s">
        <v>4230</v>
      </c>
      <c r="D2908" s="386">
        <v>44216.151990740742</v>
      </c>
    </row>
    <row r="2909" spans="2:4" ht="13.5" customHeight="1">
      <c r="B2909" s="336" t="s">
        <v>3564</v>
      </c>
      <c r="C2909" s="388" t="s">
        <v>7010</v>
      </c>
      <c r="D2909" s="386">
        <v>44230.915023148147</v>
      </c>
    </row>
    <row r="2910" spans="2:4" ht="13.5" customHeight="1">
      <c r="B2910" s="336" t="s">
        <v>5815</v>
      </c>
      <c r="C2910" s="388" t="s">
        <v>4232</v>
      </c>
      <c r="D2910" s="386">
        <v>44245.738009259258</v>
      </c>
    </row>
    <row r="2911" spans="2:4" ht="13.5" customHeight="1">
      <c r="B2911" s="336" t="s">
        <v>3565</v>
      </c>
      <c r="C2911" s="388" t="s">
        <v>7011</v>
      </c>
      <c r="D2911" s="386">
        <v>44260.661354166667</v>
      </c>
    </row>
    <row r="2912" spans="2:4" ht="13.5" customHeight="1">
      <c r="B2912" s="336" t="s">
        <v>5816</v>
      </c>
      <c r="C2912" s="389" t="s">
        <v>4234</v>
      </c>
      <c r="D2912" s="386">
        <v>44275.691712962958</v>
      </c>
    </row>
    <row r="2913" spans="2:4" ht="13.5" customHeight="1">
      <c r="B2913" s="336" t="s">
        <v>3566</v>
      </c>
      <c r="C2913" s="388" t="s">
        <v>7012</v>
      </c>
      <c r="D2913" s="386">
        <v>44290.856840277775</v>
      </c>
    </row>
    <row r="2914" spans="2:4" ht="13.5" customHeight="1">
      <c r="B2914" s="336" t="s">
        <v>5817</v>
      </c>
      <c r="C2914" s="388" t="s">
        <v>4236</v>
      </c>
      <c r="D2914" s="386">
        <v>44306.147291666661</v>
      </c>
    </row>
    <row r="2915" spans="2:4" ht="13.5" customHeight="1">
      <c r="B2915" s="336" t="s">
        <v>3567</v>
      </c>
      <c r="C2915" s="388" t="s">
        <v>7013</v>
      </c>
      <c r="D2915" s="386">
        <v>44321.573634259257</v>
      </c>
    </row>
    <row r="2916" spans="2:4" ht="13.5" customHeight="1">
      <c r="B2916" s="336" t="s">
        <v>5818</v>
      </c>
      <c r="C2916" s="388" t="s">
        <v>4238</v>
      </c>
      <c r="D2916" s="386">
        <v>44337.108240740738</v>
      </c>
    </row>
    <row r="2917" spans="2:4" ht="13.5" customHeight="1">
      <c r="B2917" s="336" t="s">
        <v>9320</v>
      </c>
      <c r="C2917" s="388" t="s">
        <v>7014</v>
      </c>
      <c r="D2917" s="386">
        <v>44352.743634259255</v>
      </c>
    </row>
    <row r="2918" spans="2:4" ht="13.5" customHeight="1">
      <c r="B2918" s="336" t="s">
        <v>5819</v>
      </c>
      <c r="C2918" s="389" t="s">
        <v>4240</v>
      </c>
      <c r="D2918" s="386">
        <v>44368.438009259255</v>
      </c>
    </row>
    <row r="2919" spans="2:4" ht="13.5" customHeight="1">
      <c r="B2919" s="336" t="s">
        <v>9321</v>
      </c>
      <c r="C2919" s="388" t="s">
        <v>7015</v>
      </c>
      <c r="D2919" s="386">
        <v>44384.16951388889</v>
      </c>
    </row>
    <row r="2920" spans="2:4" ht="13.5" customHeight="1">
      <c r="B2920" s="336" t="s">
        <v>5820</v>
      </c>
      <c r="C2920" s="388" t="s">
        <v>4242</v>
      </c>
      <c r="D2920" s="386">
        <v>44399.892430555556</v>
      </c>
    </row>
    <row r="2921" spans="2:4" ht="13.5" customHeight="1">
      <c r="B2921" s="336" t="s">
        <v>9322</v>
      </c>
      <c r="C2921" s="388" t="s">
        <v>7016</v>
      </c>
      <c r="D2921" s="386">
        <v>44415.578333333331</v>
      </c>
    </row>
    <row r="2922" spans="2:4" ht="13.5" customHeight="1">
      <c r="B2922" s="336" t="s">
        <v>5821</v>
      </c>
      <c r="C2922" s="388" t="s">
        <v>4276</v>
      </c>
      <c r="D2922" s="386">
        <v>44431.190162037034</v>
      </c>
    </row>
    <row r="2923" spans="2:4" ht="13.5" customHeight="1">
      <c r="B2923" s="336" t="s">
        <v>9323</v>
      </c>
      <c r="C2923" s="388" t="s">
        <v>7017</v>
      </c>
      <c r="D2923" s="386">
        <v>44446.702743055554</v>
      </c>
    </row>
    <row r="2924" spans="2:4" ht="13.5" customHeight="1">
      <c r="B2924" s="336" t="s">
        <v>5822</v>
      </c>
      <c r="C2924" s="389" t="s">
        <v>4278</v>
      </c>
      <c r="D2924" s="386">
        <v>44462.09716435185</v>
      </c>
    </row>
    <row r="2925" spans="2:4" ht="13.5" customHeight="1">
      <c r="B2925" s="336" t="s">
        <v>9324</v>
      </c>
      <c r="C2925" s="388" t="s">
        <v>7018</v>
      </c>
      <c r="D2925" s="386">
        <v>44477.35969907407</v>
      </c>
    </row>
    <row r="2926" spans="2:4" ht="13.5" customHeight="1">
      <c r="B2926" s="336" t="s">
        <v>5823</v>
      </c>
      <c r="C2926" s="388" t="s">
        <v>4280</v>
      </c>
      <c r="D2926" s="386">
        <v>44492.492962962962</v>
      </c>
    </row>
    <row r="2927" spans="2:4" ht="13.5" customHeight="1">
      <c r="B2927" s="336" t="s">
        <v>9325</v>
      </c>
      <c r="C2927" s="388" t="s">
        <v>7019</v>
      </c>
      <c r="D2927" s="386">
        <v>44507.498344907406</v>
      </c>
    </row>
    <row r="2928" spans="2:4" ht="13.5" customHeight="1">
      <c r="B2928" s="336" t="s">
        <v>5824</v>
      </c>
      <c r="C2928" s="388" t="s">
        <v>4282</v>
      </c>
      <c r="D2928" s="386">
        <v>44522.397499999999</v>
      </c>
    </row>
    <row r="2929" spans="2:4" ht="13.5" customHeight="1">
      <c r="B2929" s="336" t="s">
        <v>9326</v>
      </c>
      <c r="C2929" s="388" t="s">
        <v>7020</v>
      </c>
      <c r="D2929" s="386">
        <v>44537.205520833333</v>
      </c>
    </row>
    <row r="2930" spans="2:4" ht="13.5" customHeight="1">
      <c r="B2930" s="336" t="s">
        <v>9254</v>
      </c>
      <c r="C2930" s="389" t="s">
        <v>4284</v>
      </c>
      <c r="D2930" s="386">
        <v>44551.956979166665</v>
      </c>
    </row>
    <row r="2931" spans="2:4" ht="13.5" customHeight="1">
      <c r="B2931" s="336" t="s">
        <v>9330</v>
      </c>
      <c r="C2931" s="390" t="s">
        <v>9317</v>
      </c>
      <c r="D2931" s="386">
        <v>44566.675624999996</v>
      </c>
    </row>
    <row r="2932" spans="2:4" ht="13.5" customHeight="1">
      <c r="B2932" s="336" t="s">
        <v>9255</v>
      </c>
      <c r="C2932" s="388" t="s">
        <v>4230</v>
      </c>
      <c r="D2932" s="386">
        <v>44581.401273148149</v>
      </c>
    </row>
    <row r="2933" spans="2:4" ht="13.5" customHeight="1">
      <c r="B2933" s="336" t="s">
        <v>3385</v>
      </c>
      <c r="C2933" s="388" t="s">
        <v>7010</v>
      </c>
      <c r="D2933" s="386">
        <v>44596.159363425926</v>
      </c>
    </row>
    <row r="2934" spans="2:4" ht="13.5" customHeight="1">
      <c r="B2934" s="336" t="s">
        <v>9256</v>
      </c>
      <c r="C2934" s="388" t="s">
        <v>4232</v>
      </c>
      <c r="D2934" s="386">
        <v>44610.987314814811</v>
      </c>
    </row>
    <row r="2935" spans="2:4" ht="13.5" customHeight="1">
      <c r="B2935" s="336" t="s">
        <v>2166</v>
      </c>
      <c r="C2935" s="388" t="s">
        <v>7011</v>
      </c>
      <c r="D2935" s="386">
        <v>44625.904432870368</v>
      </c>
    </row>
    <row r="2936" spans="2:4" ht="13.5" customHeight="1">
      <c r="B2936" s="336" t="s">
        <v>9257</v>
      </c>
      <c r="C2936" s="389" t="s">
        <v>4234</v>
      </c>
      <c r="D2936" s="386">
        <v>44640.938946759255</v>
      </c>
    </row>
    <row r="2937" spans="2:4" ht="13.5" customHeight="1">
      <c r="B2937" s="336" t="s">
        <v>2167</v>
      </c>
      <c r="C2937" s="388" t="s">
        <v>7012</v>
      </c>
      <c r="D2937" s="386">
        <v>44656.096377314811</v>
      </c>
    </row>
    <row r="2938" spans="2:4" ht="13.5" customHeight="1">
      <c r="B2938" s="336" t="s">
        <v>9258</v>
      </c>
      <c r="C2938" s="388" t="s">
        <v>4236</v>
      </c>
      <c r="D2938" s="386">
        <v>44671.390925925924</v>
      </c>
    </row>
    <row r="2939" spans="2:4" ht="13.5" customHeight="1">
      <c r="B2939" s="336" t="s">
        <v>2168</v>
      </c>
      <c r="C2939" s="388" t="s">
        <v>7013</v>
      </c>
      <c r="D2939" s="386">
        <v>44686.80868055555</v>
      </c>
    </row>
    <row r="2940" spans="2:4" ht="13.5" customHeight="1">
      <c r="B2940" s="336" t="s">
        <v>7149</v>
      </c>
      <c r="C2940" s="388" t="s">
        <v>4238</v>
      </c>
      <c r="D2940" s="386">
        <v>44702.348182870366</v>
      </c>
    </row>
    <row r="2941" spans="2:4" ht="13.5" customHeight="1">
      <c r="B2941" s="336" t="s">
        <v>2169</v>
      </c>
      <c r="C2941" s="388" t="s">
        <v>7014</v>
      </c>
      <c r="D2941" s="386">
        <v>44717.975300925922</v>
      </c>
    </row>
    <row r="2942" spans="2:4" ht="13.5" customHeight="1">
      <c r="B2942" s="336" t="s">
        <v>7150</v>
      </c>
      <c r="C2942" s="389" t="s">
        <v>4240</v>
      </c>
      <c r="D2942" s="386">
        <v>44733.675439814811</v>
      </c>
    </row>
    <row r="2943" spans="2:4" ht="13.5" customHeight="1">
      <c r="B2943" s="336" t="s">
        <v>8163</v>
      </c>
      <c r="C2943" s="388" t="s">
        <v>7015</v>
      </c>
      <c r="D2943" s="386">
        <v>44749.400416666664</v>
      </c>
    </row>
    <row r="2944" spans="2:4" ht="13.5" customHeight="1">
      <c r="B2944" s="336" t="s">
        <v>7151</v>
      </c>
      <c r="C2944" s="388" t="s">
        <v>4242</v>
      </c>
      <c r="D2944" s="386">
        <v>44765.128969907404</v>
      </c>
    </row>
    <row r="2945" spans="2:4" ht="13.5" customHeight="1">
      <c r="B2945" s="336" t="s">
        <v>8164</v>
      </c>
      <c r="C2945" s="388" t="s">
        <v>7016</v>
      </c>
      <c r="D2945" s="386">
        <v>44780.810949074068</v>
      </c>
    </row>
    <row r="2946" spans="2:4" ht="13.5" customHeight="1">
      <c r="B2946" s="336" t="s">
        <v>7152</v>
      </c>
      <c r="C2946" s="388" t="s">
        <v>4276</v>
      </c>
      <c r="D2946" s="386">
        <v>44796.427118055552</v>
      </c>
    </row>
    <row r="2947" spans="2:4" ht="13.5" customHeight="1">
      <c r="B2947" s="336" t="s">
        <v>8165</v>
      </c>
      <c r="C2947" s="388" t="s">
        <v>7017</v>
      </c>
      <c r="D2947" s="386">
        <v>44811.938298611109</v>
      </c>
    </row>
    <row r="2948" spans="2:4" ht="13.5" customHeight="1">
      <c r="B2948" s="336" t="s">
        <v>7153</v>
      </c>
      <c r="C2948" s="389" t="s">
        <v>4278</v>
      </c>
      <c r="D2948" s="386">
        <v>44827.335231481477</v>
      </c>
    </row>
    <row r="2949" spans="2:4" ht="13.5" customHeight="1">
      <c r="B2949" s="336" t="s">
        <v>8166</v>
      </c>
      <c r="C2949" s="388" t="s">
        <v>7018</v>
      </c>
      <c r="D2949" s="386">
        <v>44842.598148148143</v>
      </c>
    </row>
    <row r="2950" spans="2:4" ht="13.5" customHeight="1">
      <c r="B2950" s="336" t="s">
        <v>7154</v>
      </c>
      <c r="C2950" s="388" t="s">
        <v>4280</v>
      </c>
      <c r="D2950" s="386">
        <v>44857.732407407406</v>
      </c>
    </row>
    <row r="2951" spans="2:4" ht="13.5" customHeight="1">
      <c r="B2951" s="336" t="s">
        <v>2416</v>
      </c>
      <c r="C2951" s="388" t="s">
        <v>7019</v>
      </c>
      <c r="D2951" s="386">
        <v>44872.739027777774</v>
      </c>
    </row>
    <row r="2952" spans="2:4" ht="13.5" customHeight="1">
      <c r="B2952" s="336" t="s">
        <v>7155</v>
      </c>
      <c r="C2952" s="388" t="s">
        <v>4282</v>
      </c>
      <c r="D2952" s="386">
        <v>44887.638287037036</v>
      </c>
    </row>
    <row r="2953" spans="2:4" ht="13.5" customHeight="1">
      <c r="B2953" s="336" t="s">
        <v>2417</v>
      </c>
      <c r="C2953" s="388" t="s">
        <v>7020</v>
      </c>
      <c r="D2953" s="386">
        <v>44902.447743055556</v>
      </c>
    </row>
    <row r="2954" spans="2:4" ht="13.5" customHeight="1">
      <c r="B2954" s="336" t="s">
        <v>7156</v>
      </c>
      <c r="C2954" s="389" t="s">
        <v>4284</v>
      </c>
      <c r="D2954" s="386">
        <v>44917.199016203704</v>
      </c>
    </row>
    <row r="2955" spans="2:4" ht="13.5" customHeight="1">
      <c r="B2955" s="336" t="s">
        <v>2418</v>
      </c>
      <c r="C2955" s="390" t="s">
        <v>9317</v>
      </c>
      <c r="D2955" s="386">
        <v>44931.918958333328</v>
      </c>
    </row>
    <row r="2956" spans="2:4" ht="13.5" customHeight="1">
      <c r="B2956" s="336" t="s">
        <v>7157</v>
      </c>
      <c r="C2956" s="388" t="s">
        <v>4230</v>
      </c>
      <c r="D2956" s="386">
        <v>44946.644432870366</v>
      </c>
    </row>
    <row r="2957" spans="2:4" ht="13.5" customHeight="1">
      <c r="B2957" s="336" t="s">
        <v>2419</v>
      </c>
      <c r="C2957" s="388" t="s">
        <v>7010</v>
      </c>
      <c r="D2957" s="386">
        <v>44961.403645833328</v>
      </c>
    </row>
    <row r="2958" spans="2:4" ht="13.5" customHeight="1">
      <c r="B2958" s="336" t="s">
        <v>7158</v>
      </c>
      <c r="C2958" s="388" t="s">
        <v>4232</v>
      </c>
      <c r="D2958" s="386">
        <v>44976.231261574074</v>
      </c>
    </row>
    <row r="2959" spans="2:4" ht="13.5" customHeight="1">
      <c r="B2959" s="336" t="s">
        <v>2420</v>
      </c>
      <c r="C2959" s="388" t="s">
        <v>7011</v>
      </c>
      <c r="D2959" s="386">
        <v>44991.149456018517</v>
      </c>
    </row>
    <row r="2960" spans="2:4" ht="13.5" customHeight="1">
      <c r="B2960" s="336" t="s">
        <v>7159</v>
      </c>
      <c r="C2960" s="389" t="s">
        <v>4234</v>
      </c>
      <c r="D2960" s="386">
        <v>45006.182858796295</v>
      </c>
    </row>
    <row r="2961" spans="2:4" ht="13.5" customHeight="1">
      <c r="B2961" s="336" t="s">
        <v>2421</v>
      </c>
      <c r="C2961" s="388" t="s">
        <v>7012</v>
      </c>
      <c r="D2961" s="386">
        <v>45021.341724537036</v>
      </c>
    </row>
    <row r="2962" spans="2:4" ht="13.5" customHeight="1">
      <c r="B2962" s="336" t="s">
        <v>7160</v>
      </c>
      <c r="C2962" s="388" t="s">
        <v>4236</v>
      </c>
      <c r="D2962" s="386">
        <v>45036.633599537032</v>
      </c>
    </row>
    <row r="2963" spans="2:4" ht="13.5" customHeight="1">
      <c r="B2963" s="336" t="s">
        <v>2422</v>
      </c>
      <c r="C2963" s="388" t="s">
        <v>7013</v>
      </c>
      <c r="D2963" s="386">
        <v>45052.053819444445</v>
      </c>
    </row>
    <row r="2964" spans="2:4" ht="13.5" customHeight="1">
      <c r="B2964" s="336" t="s">
        <v>7161</v>
      </c>
      <c r="C2964" s="388" t="s">
        <v>4238</v>
      </c>
      <c r="D2964" s="386">
        <v>45067.588692129626</v>
      </c>
    </row>
    <row r="2965" spans="2:4" ht="13.5" customHeight="1">
      <c r="B2965" s="336" t="s">
        <v>7532</v>
      </c>
      <c r="C2965" s="388" t="s">
        <v>7014</v>
      </c>
      <c r="D2965" s="386">
        <v>45083.22011574074</v>
      </c>
    </row>
    <row r="2966" spans="2:4" ht="13.5" customHeight="1">
      <c r="B2966" s="336" t="s">
        <v>7162</v>
      </c>
      <c r="C2966" s="389" t="s">
        <v>4240</v>
      </c>
      <c r="D2966" s="386">
        <v>45098.914143518516</v>
      </c>
    </row>
    <row r="2967" spans="2:4" ht="13.5" customHeight="1">
      <c r="B2967" s="336" t="s">
        <v>7533</v>
      </c>
      <c r="C2967" s="388" t="s">
        <v>7015</v>
      </c>
      <c r="D2967" s="386">
        <v>45114.645405092589</v>
      </c>
    </row>
    <row r="2968" spans="2:4" ht="13.5" customHeight="1">
      <c r="B2968" s="336" t="s">
        <v>7163</v>
      </c>
      <c r="C2968" s="388" t="s">
        <v>4242</v>
      </c>
      <c r="D2968" s="386">
        <v>45130.367407407408</v>
      </c>
    </row>
    <row r="2969" spans="2:4" ht="13.5" customHeight="1">
      <c r="B2969" s="336" t="s">
        <v>4887</v>
      </c>
      <c r="C2969" s="388" t="s">
        <v>7016</v>
      </c>
      <c r="D2969" s="386">
        <v>45146.056643518517</v>
      </c>
    </row>
    <row r="2970" spans="2:4" ht="13.5" customHeight="1">
      <c r="B2970" s="336" t="s">
        <v>7164</v>
      </c>
      <c r="C2970" s="388" t="s">
        <v>4276</v>
      </c>
      <c r="D2970" s="386">
        <v>45161.666597222218</v>
      </c>
    </row>
    <row r="2971" spans="2:4" ht="13.5" customHeight="1">
      <c r="B2971" s="336" t="s">
        <v>4888</v>
      </c>
      <c r="C2971" s="388" t="s">
        <v>7017</v>
      </c>
      <c r="D2971" s="386">
        <v>45177.18440972222</v>
      </c>
    </row>
    <row r="2972" spans="2:4" ht="13.5" customHeight="1">
      <c r="B2972" s="336" t="s">
        <v>7165</v>
      </c>
      <c r="C2972" s="389" t="s">
        <v>4278</v>
      </c>
      <c r="D2972" s="386">
        <v>45192.575543981482</v>
      </c>
    </row>
    <row r="2973" spans="2:4" ht="13.5" customHeight="1">
      <c r="B2973" s="336" t="s">
        <v>4889</v>
      </c>
      <c r="C2973" s="388" t="s">
        <v>7018</v>
      </c>
      <c r="D2973" s="386">
        <v>45207.843472222223</v>
      </c>
    </row>
    <row r="2974" spans="2:4" ht="13.5" customHeight="1">
      <c r="B2974" s="336" t="s">
        <v>7166</v>
      </c>
      <c r="C2974" s="388" t="s">
        <v>4280</v>
      </c>
      <c r="D2974" s="386">
        <v>45222.972094907404</v>
      </c>
    </row>
    <row r="2975" spans="2:4" ht="13.5" customHeight="1">
      <c r="B2975" s="336" t="s">
        <v>4799</v>
      </c>
      <c r="C2975" s="388" t="s">
        <v>7019</v>
      </c>
      <c r="D2975" s="386">
        <v>45237.982303240737</v>
      </c>
    </row>
    <row r="2976" spans="2:4" ht="13.5" customHeight="1">
      <c r="B2976" s="336" t="s">
        <v>7167</v>
      </c>
      <c r="C2976" s="388" t="s">
        <v>4282</v>
      </c>
      <c r="D2976" s="386">
        <v>45252.87605324074</v>
      </c>
    </row>
    <row r="2977" spans="2:4" ht="13.5" customHeight="1">
      <c r="B2977" s="336" t="s">
        <v>4800</v>
      </c>
      <c r="C2977" s="388" t="s">
        <v>7020</v>
      </c>
      <c r="D2977" s="386">
        <v>45267.688599537032</v>
      </c>
    </row>
    <row r="2978" spans="2:4" ht="13.5" customHeight="1">
      <c r="B2978" s="336" t="s">
        <v>7168</v>
      </c>
      <c r="C2978" s="389" t="s">
        <v>4284</v>
      </c>
      <c r="D2978" s="386">
        <v>45282.434687499997</v>
      </c>
    </row>
    <row r="2979" spans="2:4" ht="13.5" customHeight="1">
      <c r="B2979" s="336" t="s">
        <v>3690</v>
      </c>
      <c r="C2979" s="390" t="s">
        <v>9317</v>
      </c>
      <c r="D2979" s="386">
        <v>45297.158159722218</v>
      </c>
    </row>
    <row r="2980" spans="2:4" ht="13.5" customHeight="1">
      <c r="B2980" s="336" t="s">
        <v>7169</v>
      </c>
      <c r="C2980" s="388" t="s">
        <v>4230</v>
      </c>
      <c r="D2980" s="386">
        <v>45311.879027777773</v>
      </c>
    </row>
    <row r="2981" spans="2:4" ht="13.5" customHeight="1">
      <c r="B2981" s="336" t="s">
        <v>3691</v>
      </c>
      <c r="C2981" s="388" t="s">
        <v>7010</v>
      </c>
      <c r="D2981" s="386">
        <v>45326.64262731481</v>
      </c>
    </row>
    <row r="2982" spans="2:4" ht="13.5" customHeight="1">
      <c r="B2982" s="336" t="s">
        <v>7170</v>
      </c>
      <c r="C2982" s="388" t="s">
        <v>4232</v>
      </c>
      <c r="D2982" s="386">
        <v>45341.466458333329</v>
      </c>
    </row>
    <row r="2983" spans="2:4" ht="13.5" customHeight="1">
      <c r="B2983" s="336" t="s">
        <v>3692</v>
      </c>
      <c r="C2983" s="388" t="s">
        <v>7011</v>
      </c>
      <c r="D2983" s="386">
        <v>45356.389710648145</v>
      </c>
    </row>
    <row r="2984" spans="2:4" ht="13.5" customHeight="1">
      <c r="B2984" s="336" t="s">
        <v>7171</v>
      </c>
      <c r="C2984" s="389" t="s">
        <v>4234</v>
      </c>
      <c r="D2984" s="386">
        <v>45371.420231481476</v>
      </c>
    </row>
    <row r="2985" spans="2:4" ht="13.5" customHeight="1">
      <c r="B2985" s="336" t="s">
        <v>3693</v>
      </c>
      <c r="C2985" s="388" t="s">
        <v>7012</v>
      </c>
      <c r="D2985" s="386">
        <v>45386.584016203698</v>
      </c>
    </row>
    <row r="2986" spans="2:4" ht="13.5" customHeight="1">
      <c r="B2986" s="336" t="s">
        <v>816</v>
      </c>
      <c r="C2986" s="388" t="s">
        <v>4236</v>
      </c>
      <c r="D2986" s="386">
        <v>45401.874062499999</v>
      </c>
    </row>
    <row r="2987" spans="2:4" ht="13.5" customHeight="1">
      <c r="B2987" s="336" t="s">
        <v>4608</v>
      </c>
      <c r="C2987" s="388" t="s">
        <v>7013</v>
      </c>
      <c r="D2987" s="386">
        <v>45417.297800925924</v>
      </c>
    </row>
    <row r="2988" spans="2:4" ht="13.5" customHeight="1">
      <c r="B2988" s="336" t="s">
        <v>817</v>
      </c>
      <c r="C2988" s="388" t="s">
        <v>4238</v>
      </c>
      <c r="D2988" s="386">
        <v>45432.83216435185</v>
      </c>
    </row>
    <row r="2989" spans="2:4" ht="13.5" customHeight="1">
      <c r="B2989" s="336" t="s">
        <v>4609</v>
      </c>
      <c r="C2989" s="388" t="s">
        <v>7014</v>
      </c>
      <c r="D2989" s="386">
        <v>45448.464340277773</v>
      </c>
    </row>
    <row r="2990" spans="2:4" ht="13.5" customHeight="1">
      <c r="B2990" s="336" t="s">
        <v>818</v>
      </c>
      <c r="C2990" s="389" t="s">
        <v>4240</v>
      </c>
      <c r="D2990" s="386">
        <v>45464.15960648148</v>
      </c>
    </row>
    <row r="2991" spans="2:4" ht="13.5" customHeight="1">
      <c r="B2991" s="336" t="s">
        <v>4610</v>
      </c>
      <c r="C2991" s="388" t="s">
        <v>7015</v>
      </c>
      <c r="D2991" s="386">
        <v>45479.888252314813</v>
      </c>
    </row>
    <row r="2992" spans="2:4" ht="13.5" customHeight="1">
      <c r="B2992" s="336" t="s">
        <v>819</v>
      </c>
      <c r="C2992" s="388" t="s">
        <v>4242</v>
      </c>
      <c r="D2992" s="386">
        <v>45495.613506944443</v>
      </c>
    </row>
    <row r="2993" spans="2:4" ht="13.5" customHeight="1">
      <c r="B2993" s="336" t="s">
        <v>4611</v>
      </c>
      <c r="C2993" s="388" t="s">
        <v>7016</v>
      </c>
      <c r="D2993" s="386">
        <v>45511.297476851847</v>
      </c>
    </row>
    <row r="2994" spans="2:4" ht="13.5" customHeight="1">
      <c r="B2994" s="336" t="s">
        <v>820</v>
      </c>
      <c r="C2994" s="388" t="s">
        <v>4276</v>
      </c>
      <c r="D2994" s="386">
        <v>45526.912488425922</v>
      </c>
    </row>
    <row r="2995" spans="2:4" ht="13.5" customHeight="1">
      <c r="B2995" s="336" t="s">
        <v>4612</v>
      </c>
      <c r="C2995" s="388" t="s">
        <v>7017</v>
      </c>
      <c r="D2995" s="386">
        <v>45542.423819444441</v>
      </c>
    </row>
    <row r="2996" spans="2:4" ht="13.5" customHeight="1">
      <c r="B2996" s="336" t="s">
        <v>821</v>
      </c>
      <c r="C2996" s="389" t="s">
        <v>4278</v>
      </c>
      <c r="D2996" s="386">
        <v>45557.821168981478</v>
      </c>
    </row>
    <row r="2997" spans="2:4" ht="13.5" customHeight="1">
      <c r="B2997" s="336" t="s">
        <v>4613</v>
      </c>
      <c r="C2997" s="388" t="s">
        <v>7018</v>
      </c>
      <c r="D2997" s="386">
        <v>45573.082430555551</v>
      </c>
    </row>
    <row r="2998" spans="2:4" ht="13.5" customHeight="1">
      <c r="B2998" s="336" t="s">
        <v>822</v>
      </c>
      <c r="C2998" s="388" t="s">
        <v>4280</v>
      </c>
      <c r="D2998" s="386">
        <v>45588.217673611107</v>
      </c>
    </row>
    <row r="2999" spans="2:4" ht="13.5" customHeight="1">
      <c r="B2999" s="336" t="s">
        <v>4614</v>
      </c>
      <c r="C2999" s="388" t="s">
        <v>7019</v>
      </c>
      <c r="D2999" s="386">
        <v>45603.221296296295</v>
      </c>
    </row>
    <row r="3000" spans="2:4" ht="13.5" customHeight="1">
      <c r="B3000" s="336" t="s">
        <v>823</v>
      </c>
      <c r="C3000" s="388" t="s">
        <v>4282</v>
      </c>
      <c r="D3000" s="386">
        <v>45618.121539351851</v>
      </c>
    </row>
    <row r="3001" spans="2:4" ht="13.5" customHeight="1">
      <c r="B3001" s="336" t="s">
        <v>4615</v>
      </c>
      <c r="C3001" s="388" t="s">
        <v>7020</v>
      </c>
      <c r="D3001" s="386">
        <v>45632.927488425921</v>
      </c>
    </row>
    <row r="3002" spans="2:4" ht="13.5" customHeight="1">
      <c r="B3002" s="336" t="s">
        <v>824</v>
      </c>
      <c r="C3002" s="389" t="s">
        <v>4284</v>
      </c>
      <c r="D3002" s="386">
        <v>45647.679884259254</v>
      </c>
    </row>
    <row r="3003" spans="2:4" ht="13.5" customHeight="1">
      <c r="B3003" s="336" t="s">
        <v>4616</v>
      </c>
      <c r="C3003" s="390" t="s">
        <v>9317</v>
      </c>
      <c r="D3003" s="386">
        <v>45662.396747685183</v>
      </c>
    </row>
    <row r="3004" spans="2:4" ht="13.5" customHeight="1">
      <c r="B3004" s="336" t="s">
        <v>825</v>
      </c>
      <c r="C3004" s="388" t="s">
        <v>4230</v>
      </c>
      <c r="D3004" s="386">
        <v>45677.124039351853</v>
      </c>
    </row>
    <row r="3005" spans="2:4" ht="13.5" customHeight="1">
      <c r="B3005" s="336" t="s">
        <v>4538</v>
      </c>
      <c r="C3005" s="388" t="s">
        <v>7010</v>
      </c>
      <c r="D3005" s="386">
        <v>45691.881261574068</v>
      </c>
    </row>
    <row r="3006" spans="2:4" ht="13.5" customHeight="1">
      <c r="B3006" s="336" t="s">
        <v>826</v>
      </c>
      <c r="C3006" s="388" t="s">
        <v>4232</v>
      </c>
      <c r="D3006" s="386">
        <v>45706.711875000001</v>
      </c>
    </row>
    <row r="3007" spans="2:4" ht="13.5" customHeight="1">
      <c r="B3007" s="336" t="s">
        <v>5340</v>
      </c>
      <c r="C3007" s="388" t="s">
        <v>7011</v>
      </c>
      <c r="D3007" s="386">
        <v>45721.629062499997</v>
      </c>
    </row>
    <row r="3008" spans="2:4" ht="13.5" customHeight="1">
      <c r="B3008" s="336" t="s">
        <v>827</v>
      </c>
      <c r="C3008" s="389" t="s">
        <v>4234</v>
      </c>
      <c r="D3008" s="386">
        <v>45736.666759259257</v>
      </c>
    </row>
    <row r="3009" spans="2:4" ht="13.5" customHeight="1">
      <c r="B3009" s="336" t="s">
        <v>2205</v>
      </c>
      <c r="C3009" s="388" t="s">
        <v>7012</v>
      </c>
      <c r="D3009" s="386">
        <v>45751.824583333328</v>
      </c>
    </row>
    <row r="3010" spans="2:4" ht="13.5" customHeight="1">
      <c r="B3010" s="336" t="s">
        <v>828</v>
      </c>
      <c r="C3010" s="388" t="s">
        <v>4236</v>
      </c>
      <c r="D3010" s="386">
        <v>45767.121539351851</v>
      </c>
    </row>
    <row r="3011" spans="2:4" ht="13.5" customHeight="1">
      <c r="B3011" s="336" t="s">
        <v>2206</v>
      </c>
      <c r="C3011" s="388" t="s">
        <v>7013</v>
      </c>
      <c r="D3011" s="386">
        <v>45782.539143518516</v>
      </c>
    </row>
    <row r="3012" spans="2:4" ht="13.5" customHeight="1">
      <c r="B3012" s="336" t="s">
        <v>829</v>
      </c>
      <c r="C3012" s="388" t="s">
        <v>4238</v>
      </c>
      <c r="D3012" s="386">
        <v>45798.079027777778</v>
      </c>
    </row>
    <row r="3013" spans="2:4" ht="13.5" customHeight="1">
      <c r="B3013" s="336" t="s">
        <v>2207</v>
      </c>
      <c r="C3013" s="388" t="s">
        <v>7014</v>
      </c>
      <c r="D3013" s="386">
        <v>45813.705208333333</v>
      </c>
    </row>
    <row r="3014" spans="2:4" ht="13.5" customHeight="1">
      <c r="B3014" s="336" t="s">
        <v>297</v>
      </c>
      <c r="C3014" s="389" t="s">
        <v>4240</v>
      </c>
      <c r="D3014" s="386">
        <v>45829.40347222222</v>
      </c>
    </row>
    <row r="3015" spans="2:4" ht="13.5" customHeight="1">
      <c r="B3015" s="336" t="s">
        <v>2208</v>
      </c>
      <c r="C3015" s="388" t="s">
        <v>7015</v>
      </c>
      <c r="D3015" s="386">
        <v>45845.127442129626</v>
      </c>
    </row>
    <row r="3016" spans="2:4" ht="13.5" customHeight="1">
      <c r="B3016" s="336" t="s">
        <v>298</v>
      </c>
      <c r="C3016" s="388" t="s">
        <v>4242</v>
      </c>
      <c r="D3016" s="386">
        <v>45860.852812500001</v>
      </c>
    </row>
    <row r="3017" spans="2:4" ht="13.5" customHeight="1">
      <c r="B3017" s="336" t="s">
        <v>2209</v>
      </c>
      <c r="C3017" s="388" t="s">
        <v>7016</v>
      </c>
      <c r="D3017" s="386">
        <v>45876.534791666665</v>
      </c>
    </row>
    <row r="3018" spans="2:4" ht="13.5" customHeight="1">
      <c r="B3018" s="336" t="s">
        <v>299</v>
      </c>
      <c r="C3018" s="388" t="s">
        <v>4276</v>
      </c>
      <c r="D3018" s="386">
        <v>45892.14770833333</v>
      </c>
    </row>
    <row r="3019" spans="2:4" ht="13.5" customHeight="1">
      <c r="B3019" s="336" t="s">
        <v>2210</v>
      </c>
      <c r="C3019" s="388" t="s">
        <v>7017</v>
      </c>
      <c r="D3019" s="386">
        <v>45907.660196759258</v>
      </c>
    </row>
    <row r="3020" spans="2:4" ht="13.5" customHeight="1">
      <c r="B3020" s="336" t="s">
        <v>300</v>
      </c>
      <c r="C3020" s="389" t="s">
        <v>4278</v>
      </c>
      <c r="D3020" s="386">
        <v>45923.054398148146</v>
      </c>
    </row>
    <row r="3021" spans="2:4" ht="13.5" customHeight="1">
      <c r="B3021" s="336" t="s">
        <v>2211</v>
      </c>
      <c r="C3021" s="388" t="s">
        <v>7018</v>
      </c>
      <c r="D3021" s="386">
        <v>45938.319444444445</v>
      </c>
    </row>
    <row r="3022" spans="2:4" ht="13.5" customHeight="1">
      <c r="B3022" s="336" t="s">
        <v>301</v>
      </c>
      <c r="C3022" s="388" t="s">
        <v>4280</v>
      </c>
      <c r="D3022" s="386">
        <v>45953.451307870368</v>
      </c>
    </row>
    <row r="3023" spans="2:4" ht="13.5" customHeight="1">
      <c r="B3023" s="336" t="s">
        <v>2212</v>
      </c>
      <c r="C3023" s="388" t="s">
        <v>7019</v>
      </c>
      <c r="D3023" s="386">
        <v>45968.460243055553</v>
      </c>
    </row>
    <row r="3024" spans="2:4" ht="13.5" customHeight="1">
      <c r="B3024" s="336" t="s">
        <v>302</v>
      </c>
      <c r="C3024" s="388" t="s">
        <v>4282</v>
      </c>
      <c r="D3024" s="386">
        <v>45983.357152777775</v>
      </c>
    </row>
    <row r="3025" spans="2:4" ht="13.5" customHeight="1">
      <c r="B3025" s="336" t="s">
        <v>2213</v>
      </c>
      <c r="C3025" s="388" t="s">
        <v>7020</v>
      </c>
      <c r="D3025" s="386">
        <v>45998.168854166666</v>
      </c>
    </row>
    <row r="3026" spans="2:4" ht="13.5" customHeight="1">
      <c r="B3026" s="336" t="s">
        <v>1884</v>
      </c>
      <c r="C3026" s="389" t="s">
        <v>4284</v>
      </c>
      <c r="D3026" s="386">
        <v>46012.91778935185</v>
      </c>
    </row>
    <row r="3027" spans="2:4" ht="13.5" customHeight="1">
      <c r="B3027" s="336" t="s">
        <v>2214</v>
      </c>
      <c r="C3027" s="390" t="s">
        <v>9317</v>
      </c>
      <c r="D3027" s="386">
        <v>46027.640057870369</v>
      </c>
    </row>
    <row r="3028" spans="2:4" ht="13.5" customHeight="1">
      <c r="B3028" s="336" t="s">
        <v>1885</v>
      </c>
      <c r="C3028" s="388" t="s">
        <v>4230</v>
      </c>
      <c r="D3028" s="386">
        <v>46042.363460648143</v>
      </c>
    </row>
    <row r="3029" spans="2:4" ht="13.5" customHeight="1">
      <c r="B3029" s="336" t="s">
        <v>2215</v>
      </c>
      <c r="C3029" s="388" t="s">
        <v>7010</v>
      </c>
      <c r="D3029" s="386">
        <v>46057.125416666662</v>
      </c>
    </row>
    <row r="3030" spans="2:4" ht="13.5" customHeight="1">
      <c r="B3030" s="336" t="s">
        <v>1886</v>
      </c>
      <c r="C3030" s="388" t="s">
        <v>4232</v>
      </c>
      <c r="D3030" s="386">
        <v>46071.951516203699</v>
      </c>
    </row>
    <row r="3031" spans="2:4" ht="13.5" customHeight="1">
      <c r="B3031" s="336" t="s">
        <v>2216</v>
      </c>
      <c r="C3031" s="388" t="s">
        <v>7011</v>
      </c>
      <c r="D3031" s="386">
        <v>46086.873136574075</v>
      </c>
    </row>
    <row r="3032" spans="2:4" ht="13.5" customHeight="1">
      <c r="B3032" s="336" t="s">
        <v>4685</v>
      </c>
      <c r="C3032" s="389" t="s">
        <v>4234</v>
      </c>
      <c r="D3032" s="386">
        <v>46101.905613425923</v>
      </c>
    </row>
    <row r="3033" spans="2:4" ht="13.5" customHeight="1">
      <c r="B3033" s="336" t="s">
        <v>2217</v>
      </c>
      <c r="C3033" s="388" t="s">
        <v>7012</v>
      </c>
      <c r="D3033" s="386">
        <v>46117.068333333329</v>
      </c>
    </row>
    <row r="3034" spans="2:4" ht="13.5" customHeight="1">
      <c r="B3034" s="336" t="s">
        <v>4686</v>
      </c>
      <c r="C3034" s="388" t="s">
        <v>4236</v>
      </c>
      <c r="D3034" s="386">
        <v>46132.359421296293</v>
      </c>
    </row>
    <row r="3035" spans="2:4" ht="13.5" customHeight="1">
      <c r="B3035" s="336" t="s">
        <v>2218</v>
      </c>
      <c r="C3035" s="388" t="s">
        <v>7013</v>
      </c>
      <c r="D3035" s="386">
        <v>46147.783078703702</v>
      </c>
    </row>
    <row r="3036" spans="2:4" ht="13.5" customHeight="1">
      <c r="B3036" s="336" t="s">
        <v>4687</v>
      </c>
      <c r="C3036" s="388" t="s">
        <v>4238</v>
      </c>
      <c r="D3036" s="386">
        <v>46163.316562499997</v>
      </c>
    </row>
    <row r="3037" spans="2:4" ht="13.5" customHeight="1">
      <c r="B3037" s="336" t="s">
        <v>2219</v>
      </c>
      <c r="C3037" s="388" t="s">
        <v>7014</v>
      </c>
      <c r="D3037" s="386">
        <v>46178.949733796297</v>
      </c>
    </row>
    <row r="3038" spans="2:4" ht="13.5" customHeight="1">
      <c r="B3038" s="336" t="s">
        <v>4688</v>
      </c>
      <c r="C3038" s="389" t="s">
        <v>4240</v>
      </c>
      <c r="D3038" s="386">
        <v>46194.641377314809</v>
      </c>
    </row>
    <row r="3039" spans="2:4" ht="13.5" customHeight="1">
      <c r="B3039" s="336" t="s">
        <v>2220</v>
      </c>
      <c r="C3039" s="388" t="s">
        <v>7015</v>
      </c>
      <c r="D3039" s="386">
        <v>46210.372118055551</v>
      </c>
    </row>
    <row r="3040" spans="2:4" ht="13.5" customHeight="1">
      <c r="B3040" s="336" t="s">
        <v>4689</v>
      </c>
      <c r="C3040" s="388" t="s">
        <v>4242</v>
      </c>
      <c r="D3040" s="386">
        <v>46226.091423611106</v>
      </c>
    </row>
    <row r="3041" spans="2:4" ht="13.5" customHeight="1">
      <c r="B3041" s="336" t="s">
        <v>636</v>
      </c>
      <c r="C3041" s="388" t="s">
        <v>7016</v>
      </c>
      <c r="D3041" s="386">
        <v>46241.778645833328</v>
      </c>
    </row>
    <row r="3042" spans="2:4" ht="13.5" customHeight="1">
      <c r="B3042" s="336" t="s">
        <v>4690</v>
      </c>
      <c r="C3042" s="388" t="s">
        <v>4276</v>
      </c>
      <c r="D3042" s="386">
        <v>46257.386990740735</v>
      </c>
    </row>
    <row r="3043" spans="2:4" ht="13.5" customHeight="1">
      <c r="B3043" s="336" t="s">
        <v>637</v>
      </c>
      <c r="C3043" s="388" t="s">
        <v>7017</v>
      </c>
      <c r="D3043" s="386">
        <v>46272.902812499997</v>
      </c>
    </row>
    <row r="3044" spans="2:4" ht="13.5" customHeight="1">
      <c r="B3044" s="336" t="s">
        <v>4691</v>
      </c>
      <c r="C3044" s="389" t="s">
        <v>4278</v>
      </c>
      <c r="D3044" s="386">
        <v>46288.294409722221</v>
      </c>
    </row>
    <row r="3045" spans="2:4" ht="13.5" customHeight="1">
      <c r="B3045" s="336" t="s">
        <v>638</v>
      </c>
      <c r="C3045" s="388" t="s">
        <v>7018</v>
      </c>
      <c r="D3045" s="386">
        <v>46303.561284722222</v>
      </c>
    </row>
    <row r="3046" spans="2:4" ht="13.5" customHeight="1">
      <c r="B3046" s="336" t="s">
        <v>4692</v>
      </c>
      <c r="C3046" s="388" t="s">
        <v>4280</v>
      </c>
      <c r="D3046" s="386">
        <v>46318.692141203705</v>
      </c>
    </row>
    <row r="3047" spans="2:4" ht="13.5" customHeight="1">
      <c r="B3047" s="336" t="s">
        <v>639</v>
      </c>
      <c r="C3047" s="388" t="s">
        <v>7019</v>
      </c>
      <c r="D3047" s="386">
        <v>46333.701979166661</v>
      </c>
    </row>
    <row r="3048" spans="2:4" ht="13.5" customHeight="1">
      <c r="B3048" s="336" t="s">
        <v>4693</v>
      </c>
      <c r="C3048" s="388" t="s">
        <v>4282</v>
      </c>
      <c r="D3048" s="386">
        <v>46348.598530092589</v>
      </c>
    </row>
    <row r="3049" spans="2:4" ht="13.5" customHeight="1">
      <c r="B3049" s="336" t="s">
        <v>640</v>
      </c>
      <c r="C3049" s="388" t="s">
        <v>7020</v>
      </c>
      <c r="D3049" s="386">
        <v>46363.410497685181</v>
      </c>
    </row>
    <row r="3050" spans="2:4" ht="13.5" customHeight="1">
      <c r="B3050" s="336" t="s">
        <v>4694</v>
      </c>
      <c r="C3050" s="389" t="s">
        <v>4284</v>
      </c>
      <c r="D3050" s="386">
        <v>46378.158842592587</v>
      </c>
    </row>
    <row r="3051" spans="2:4" ht="13.5" customHeight="1">
      <c r="B3051" s="336" t="s">
        <v>641</v>
      </c>
      <c r="C3051" s="390" t="s">
        <v>9317</v>
      </c>
      <c r="D3051" s="386">
        <v>46392.880925925921</v>
      </c>
    </row>
    <row r="3052" spans="2:4" ht="13.5" customHeight="1">
      <c r="B3052" s="336" t="s">
        <v>4695</v>
      </c>
      <c r="C3052" s="388" t="s">
        <v>4230</v>
      </c>
      <c r="D3052" s="386">
        <v>46407.603113425925</v>
      </c>
    </row>
    <row r="3053" spans="2:4" ht="13.5" customHeight="1">
      <c r="B3053" s="336" t="s">
        <v>642</v>
      </c>
      <c r="C3053" s="388" t="s">
        <v>7010</v>
      </c>
      <c r="D3053" s="386">
        <v>46422.364525462959</v>
      </c>
    </row>
    <row r="3054" spans="2:4" ht="13.5" customHeight="1">
      <c r="B3054" s="336" t="s">
        <v>4696</v>
      </c>
      <c r="C3054" s="388" t="s">
        <v>4232</v>
      </c>
      <c r="D3054" s="386">
        <v>46437.189097222217</v>
      </c>
    </row>
    <row r="3055" spans="2:4" ht="13.5" customHeight="1">
      <c r="B3055" s="336" t="s">
        <v>2083</v>
      </c>
      <c r="C3055" s="388" t="s">
        <v>7011</v>
      </c>
      <c r="D3055" s="386">
        <v>46452.109837962962</v>
      </c>
    </row>
    <row r="3056" spans="2:4" ht="13.5" customHeight="1">
      <c r="B3056" s="336" t="s">
        <v>4697</v>
      </c>
      <c r="C3056" s="389" t="s">
        <v>4234</v>
      </c>
      <c r="D3056" s="386">
        <v>46467.141331018516</v>
      </c>
    </row>
    <row r="3057" spans="2:4" ht="13.5" customHeight="1">
      <c r="B3057" s="336" t="s">
        <v>2084</v>
      </c>
      <c r="C3057" s="388" t="s">
        <v>7012</v>
      </c>
      <c r="D3057" s="386">
        <v>46482.302777777775</v>
      </c>
    </row>
    <row r="3058" spans="2:4" ht="13.5" customHeight="1">
      <c r="B3058" s="336" t="s">
        <v>4698</v>
      </c>
      <c r="C3058" s="388" t="s">
        <v>4236</v>
      </c>
      <c r="D3058" s="386">
        <v>46497.594618055555</v>
      </c>
    </row>
    <row r="3059" spans="2:4" ht="13.5" customHeight="1">
      <c r="B3059" s="336" t="s">
        <v>2085</v>
      </c>
      <c r="C3059" s="388" t="s">
        <v>7013</v>
      </c>
      <c r="D3059" s="386">
        <v>46513.016331018516</v>
      </c>
    </row>
    <row r="3060" spans="2:4" ht="13.5" customHeight="1">
      <c r="B3060" s="336" t="s">
        <v>4699</v>
      </c>
      <c r="C3060" s="388" t="s">
        <v>4238</v>
      </c>
      <c r="D3060" s="386">
        <v>46528.55332175926</v>
      </c>
    </row>
    <row r="3061" spans="2:4" ht="13.5" customHeight="1">
      <c r="B3061" s="336" t="s">
        <v>2086</v>
      </c>
      <c r="C3061" s="388" t="s">
        <v>7014</v>
      </c>
      <c r="D3061" s="386">
        <v>46544.183530092589</v>
      </c>
    </row>
    <row r="3062" spans="2:4" ht="13.5" customHeight="1">
      <c r="B3062" s="336" t="s">
        <v>4700</v>
      </c>
      <c r="C3062" s="389" t="s">
        <v>4240</v>
      </c>
      <c r="D3062" s="386">
        <v>46559.881585648145</v>
      </c>
    </row>
    <row r="3063" spans="2:4" ht="13.5" customHeight="1">
      <c r="B3063" s="336" t="s">
        <v>2087</v>
      </c>
      <c r="C3063" s="388" t="s">
        <v>7015</v>
      </c>
      <c r="D3063" s="386">
        <v>46575.608136574068</v>
      </c>
    </row>
    <row r="3064" spans="2:4" ht="13.5" customHeight="1">
      <c r="B3064" s="336" t="s">
        <v>1348</v>
      </c>
      <c r="C3064" s="388" t="s">
        <v>4242</v>
      </c>
      <c r="D3064" s="386">
        <v>46591.335543981477</v>
      </c>
    </row>
    <row r="3065" spans="2:4" ht="13.5" customHeight="1">
      <c r="B3065" s="336" t="s">
        <v>2088</v>
      </c>
      <c r="C3065" s="388" t="s">
        <v>7016</v>
      </c>
      <c r="D3065" s="386">
        <v>46607.017465277779</v>
      </c>
    </row>
    <row r="3066" spans="2:4" ht="13.5" customHeight="1">
      <c r="B3066" s="336" t="s">
        <v>1349</v>
      </c>
      <c r="C3066" s="388" t="s">
        <v>4276</v>
      </c>
      <c r="D3066" s="386">
        <v>46622.633750000001</v>
      </c>
    </row>
    <row r="3067" spans="2:4" ht="13.5" customHeight="1">
      <c r="B3067" s="336" t="s">
        <v>2089</v>
      </c>
      <c r="C3067" s="388" t="s">
        <v>7017</v>
      </c>
      <c r="D3067" s="386">
        <v>46638.143587962957</v>
      </c>
    </row>
    <row r="3068" spans="2:4" ht="13.5" customHeight="1">
      <c r="B3068" s="336" t="s">
        <v>1350</v>
      </c>
      <c r="C3068" s="389" t="s">
        <v>4278</v>
      </c>
      <c r="D3068" s="386">
        <v>46653.541724537034</v>
      </c>
    </row>
    <row r="3069" spans="2:4" ht="13.5" customHeight="1">
      <c r="B3069" s="336" t="s">
        <v>2090</v>
      </c>
      <c r="C3069" s="388" t="s">
        <v>7018</v>
      </c>
      <c r="D3069" s="386">
        <v>46668.802465277775</v>
      </c>
    </row>
    <row r="3070" spans="2:4" ht="13.5" customHeight="1">
      <c r="B3070" s="336" t="s">
        <v>1351</v>
      </c>
      <c r="C3070" s="388" t="s">
        <v>4280</v>
      </c>
      <c r="D3070" s="386">
        <v>46683.93849537037</v>
      </c>
    </row>
    <row r="3071" spans="2:4" ht="13.5" customHeight="1">
      <c r="B3071" s="336" t="s">
        <v>2091</v>
      </c>
      <c r="C3071" s="388" t="s">
        <v>7019</v>
      </c>
      <c r="D3071" s="386">
        <v>46698.942476851851</v>
      </c>
    </row>
    <row r="3072" spans="2:4" ht="13.5" customHeight="1">
      <c r="B3072" s="336" t="s">
        <v>1352</v>
      </c>
      <c r="C3072" s="388" t="s">
        <v>4282</v>
      </c>
      <c r="D3072" s="386">
        <v>46713.843634259254</v>
      </c>
    </row>
    <row r="3073" spans="2:4" ht="13.5" customHeight="1">
      <c r="B3073" s="336" t="s">
        <v>2092</v>
      </c>
      <c r="C3073" s="388" t="s">
        <v>7020</v>
      </c>
      <c r="D3073" s="386">
        <v>46728.650196759256</v>
      </c>
    </row>
    <row r="3074" spans="2:4" ht="13.5" customHeight="1">
      <c r="B3074" s="336" t="s">
        <v>4758</v>
      </c>
      <c r="C3074" s="389" t="s">
        <v>4284</v>
      </c>
      <c r="D3074" s="386">
        <v>46743.403275462959</v>
      </c>
    </row>
    <row r="3075" spans="2:4" ht="13.5" customHeight="1">
      <c r="B3075" s="336" t="s">
        <v>1768</v>
      </c>
      <c r="C3075" s="390" t="s">
        <v>9317</v>
      </c>
      <c r="D3075" s="386">
        <v>46758.120254629626</v>
      </c>
    </row>
    <row r="3076" spans="2:4" ht="13.5" customHeight="1">
      <c r="B3076" s="336" t="s">
        <v>4759</v>
      </c>
      <c r="C3076" s="388" t="s">
        <v>4230</v>
      </c>
      <c r="D3076" s="386">
        <v>46772.847499999996</v>
      </c>
    </row>
    <row r="3077" spans="2:4" ht="13.5" customHeight="1">
      <c r="B3077" s="336" t="s">
        <v>5793</v>
      </c>
      <c r="C3077" s="388" t="s">
        <v>7010</v>
      </c>
      <c r="D3077" s="386">
        <v>46787.603912037033</v>
      </c>
    </row>
    <row r="3078" spans="2:4" ht="13.5" customHeight="1">
      <c r="B3078" s="336" t="s">
        <v>4760</v>
      </c>
      <c r="C3078" s="388" t="s">
        <v>4232</v>
      </c>
      <c r="D3078" s="386">
        <v>46802.433645833327</v>
      </c>
    </row>
    <row r="3079" spans="2:4" ht="13.5" customHeight="1">
      <c r="B3079" s="336" t="s">
        <v>5794</v>
      </c>
      <c r="C3079" s="388" t="s">
        <v>7011</v>
      </c>
      <c r="D3079" s="386">
        <v>46817.349479166667</v>
      </c>
    </row>
    <row r="3080" spans="2:4" ht="13.5" customHeight="1">
      <c r="B3080" s="336" t="s">
        <v>4761</v>
      </c>
      <c r="C3080" s="389" t="s">
        <v>4234</v>
      </c>
      <c r="D3080" s="386">
        <v>46832.385891203703</v>
      </c>
    </row>
    <row r="3081" spans="2:4" ht="13.5" customHeight="1">
      <c r="B3081" s="336" t="s">
        <v>5795</v>
      </c>
      <c r="C3081" s="388" t="s">
        <v>7012</v>
      </c>
      <c r="D3081" s="386">
        <v>46847.542893518519</v>
      </c>
    </row>
    <row r="3082" spans="2:4" ht="13.5" customHeight="1">
      <c r="B3082" s="336" t="s">
        <v>4762</v>
      </c>
      <c r="C3082" s="388" t="s">
        <v>4236</v>
      </c>
      <c r="D3082" s="386">
        <v>46862.839004629626</v>
      </c>
    </row>
    <row r="3083" spans="2:4" ht="13.5" customHeight="1">
      <c r="B3083" s="336" t="s">
        <v>5796</v>
      </c>
      <c r="C3083" s="388" t="s">
        <v>7013</v>
      </c>
      <c r="D3083" s="386">
        <v>46878.257592592592</v>
      </c>
    </row>
    <row r="3084" spans="2:4" ht="13.5" customHeight="1">
      <c r="B3084" s="336" t="s">
        <v>4763</v>
      </c>
      <c r="C3084" s="388" t="s">
        <v>4238</v>
      </c>
      <c r="D3084" s="386">
        <v>46893.797465277778</v>
      </c>
    </row>
    <row r="3085" spans="2:4" ht="13.5" customHeight="1">
      <c r="B3085" s="336" t="s">
        <v>5797</v>
      </c>
      <c r="C3085" s="388" t="s">
        <v>7014</v>
      </c>
      <c r="D3085" s="386">
        <v>46909.426736111105</v>
      </c>
    </row>
    <row r="3086" spans="2:4" ht="13.5" customHeight="1">
      <c r="B3086" s="336" t="s">
        <v>4764</v>
      </c>
      <c r="C3086" s="389" t="s">
        <v>4240</v>
      </c>
      <c r="D3086" s="386">
        <v>46925.125289351847</v>
      </c>
    </row>
    <row r="3087" spans="2:4" ht="13.5" customHeight="1">
      <c r="B3087" s="336" t="s">
        <v>5798</v>
      </c>
      <c r="C3087" s="388" t="s">
        <v>7015</v>
      </c>
      <c r="D3087" s="386">
        <v>46940.853414351848</v>
      </c>
    </row>
    <row r="3088" spans="2:4" ht="13.5" customHeight="1">
      <c r="B3088" s="336" t="s">
        <v>4765</v>
      </c>
      <c r="C3088" s="388" t="s">
        <v>4242</v>
      </c>
      <c r="D3088" s="386">
        <v>46956.578240740739</v>
      </c>
    </row>
    <row r="3089" spans="2:4" ht="13.5" customHeight="1">
      <c r="B3089" s="336" t="s">
        <v>5799</v>
      </c>
      <c r="C3089" s="388" t="s">
        <v>7016</v>
      </c>
      <c r="D3089" s="386">
        <v>46972.263738425921</v>
      </c>
    </row>
    <row r="3090" spans="2:4" ht="13.5" customHeight="1">
      <c r="B3090" s="336" t="s">
        <v>4766</v>
      </c>
      <c r="C3090" s="388" t="s">
        <v>4276</v>
      </c>
      <c r="D3090" s="386">
        <v>46987.874664351846</v>
      </c>
    </row>
    <row r="3091" spans="2:4" ht="13.5" customHeight="1">
      <c r="B3091" s="336" t="s">
        <v>5800</v>
      </c>
      <c r="C3091" s="388" t="s">
        <v>7017</v>
      </c>
      <c r="D3091" s="386">
        <v>47003.38921296296</v>
      </c>
    </row>
    <row r="3092" spans="2:4" ht="13.5" customHeight="1">
      <c r="B3092" s="336" t="s">
        <v>4767</v>
      </c>
      <c r="C3092" s="389" t="s">
        <v>4278</v>
      </c>
      <c r="D3092" s="386">
        <v>47018.780347222222</v>
      </c>
    </row>
    <row r="3093" spans="2:4" ht="13.5" customHeight="1">
      <c r="B3093" s="336" t="s">
        <v>5801</v>
      </c>
      <c r="C3093" s="388" t="s">
        <v>7018</v>
      </c>
      <c r="D3093" s="386">
        <v>47034.046331018515</v>
      </c>
    </row>
    <row r="3094" spans="2:4" ht="13.5" customHeight="1">
      <c r="B3094" s="336" t="s">
        <v>4768</v>
      </c>
      <c r="C3094" s="388" t="s">
        <v>4280</v>
      </c>
      <c r="D3094" s="386">
        <v>47049.17493055555</v>
      </c>
    </row>
    <row r="3095" spans="2:4" ht="13.5" customHeight="1">
      <c r="B3095" s="336" t="s">
        <v>8001</v>
      </c>
      <c r="C3095" s="388" t="s">
        <v>7019</v>
      </c>
      <c r="D3095" s="386">
        <v>47064.184513888889</v>
      </c>
    </row>
    <row r="3096" spans="2:4" ht="13.5" customHeight="1">
      <c r="B3096" s="336" t="s">
        <v>4769</v>
      </c>
      <c r="C3096" s="388" t="s">
        <v>4282</v>
      </c>
      <c r="D3096" s="386">
        <v>47079.078576388885</v>
      </c>
    </row>
    <row r="3097" spans="2:4" ht="13.5" customHeight="1">
      <c r="B3097" s="336" t="s">
        <v>8002</v>
      </c>
      <c r="C3097" s="388" t="s">
        <v>7020</v>
      </c>
      <c r="D3097" s="386">
        <v>47093.891250000001</v>
      </c>
    </row>
    <row r="3098" spans="2:4" ht="13.5" customHeight="1">
      <c r="B3098" s="336" t="s">
        <v>4770</v>
      </c>
      <c r="C3098" s="389" t="s">
        <v>4284</v>
      </c>
      <c r="D3098" s="386">
        <v>47108.637870370367</v>
      </c>
    </row>
    <row r="3099" spans="2:4" ht="13.5" customHeight="1">
      <c r="B3099" s="336" t="s">
        <v>8003</v>
      </c>
      <c r="C3099" s="390" t="s">
        <v>9317</v>
      </c>
      <c r="D3099" s="386">
        <v>47123.361550925925</v>
      </c>
    </row>
    <row r="3100" spans="2:4" ht="13.5" customHeight="1">
      <c r="B3100" s="336" t="s">
        <v>4771</v>
      </c>
      <c r="C3100" s="388" t="s">
        <v>4230</v>
      </c>
      <c r="D3100" s="386">
        <v>47138.082986111105</v>
      </c>
    </row>
    <row r="3101" spans="2:4" ht="13.5" customHeight="1">
      <c r="B3101" s="336" t="s">
        <v>8004</v>
      </c>
      <c r="C3101" s="388" t="s">
        <v>7010</v>
      </c>
      <c r="D3101" s="386">
        <v>47152.846643518518</v>
      </c>
    </row>
    <row r="3102" spans="2:4" ht="13.5" customHeight="1">
      <c r="B3102" s="336" t="s">
        <v>806</v>
      </c>
      <c r="C3102" s="388" t="s">
        <v>4232</v>
      </c>
      <c r="D3102" s="386">
        <v>47167.670914351853</v>
      </c>
    </row>
    <row r="3103" spans="2:4" ht="13.5" customHeight="1">
      <c r="B3103" s="336" t="s">
        <v>8005</v>
      </c>
      <c r="C3103" s="388" t="s">
        <v>7011</v>
      </c>
      <c r="D3103" s="386">
        <v>47182.594259259255</v>
      </c>
    </row>
    <row r="3104" spans="2:4" ht="13.5" customHeight="1">
      <c r="B3104" s="336" t="s">
        <v>7054</v>
      </c>
      <c r="C3104" s="389" t="s">
        <v>4234</v>
      </c>
      <c r="D3104" s="386">
        <v>47197.625023148146</v>
      </c>
    </row>
    <row r="3105" spans="2:4" ht="13.5" customHeight="1">
      <c r="B3105" s="336" t="s">
        <v>8006</v>
      </c>
      <c r="C3105" s="388" t="s">
        <v>7012</v>
      </c>
      <c r="D3105" s="386">
        <v>47212.78938657407</v>
      </c>
    </row>
    <row r="3106" spans="2:4" ht="13.5" customHeight="1">
      <c r="B3106" s="336" t="s">
        <v>7055</v>
      </c>
      <c r="C3106" s="388" t="s">
        <v>4236</v>
      </c>
      <c r="D3106" s="386">
        <v>47228.079224537032</v>
      </c>
    </row>
    <row r="3107" spans="2:4" ht="13.5" customHeight="1">
      <c r="B3107" s="336" t="s">
        <v>8007</v>
      </c>
      <c r="C3107" s="388" t="s">
        <v>7013</v>
      </c>
      <c r="D3107" s="386">
        <v>47243.504513888889</v>
      </c>
    </row>
    <row r="3108" spans="2:4" ht="13.5" customHeight="1">
      <c r="B3108" s="336" t="s">
        <v>7056</v>
      </c>
      <c r="C3108" s="388" t="s">
        <v>4238</v>
      </c>
      <c r="D3108" s="386">
        <v>47259.037893518514</v>
      </c>
    </row>
    <row r="3109" spans="2:4" ht="13.5" customHeight="1">
      <c r="B3109" s="336" t="s">
        <v>8008</v>
      </c>
      <c r="C3109" s="388" t="s">
        <v>7014</v>
      </c>
      <c r="D3109" s="386">
        <v>47274.672708333332</v>
      </c>
    </row>
    <row r="3110" spans="2:4" ht="13.5" customHeight="1">
      <c r="B3110" s="336" t="s">
        <v>7057</v>
      </c>
      <c r="C3110" s="389" t="s">
        <v>4240</v>
      </c>
      <c r="D3110" s="386">
        <v>47290.36583333333</v>
      </c>
    </row>
    <row r="3111" spans="2:4" ht="13.5" customHeight="1">
      <c r="B3111" s="336" t="s">
        <v>8009</v>
      </c>
      <c r="C3111" s="388" t="s">
        <v>7015</v>
      </c>
      <c r="D3111" s="386">
        <v>47306.097835648143</v>
      </c>
    </row>
    <row r="3112" spans="2:4" ht="13.5" customHeight="1">
      <c r="B3112" s="336" t="s">
        <v>7058</v>
      </c>
      <c r="C3112" s="388" t="s">
        <v>4242</v>
      </c>
      <c r="D3112" s="386">
        <v>47321.819756944446</v>
      </c>
    </row>
    <row r="3113" spans="2:4" ht="13.5" customHeight="1">
      <c r="B3113" s="336" t="s">
        <v>8010</v>
      </c>
      <c r="C3113" s="388" t="s">
        <v>7016</v>
      </c>
      <c r="D3113" s="386">
        <v>47337.507025462961</v>
      </c>
    </row>
    <row r="3114" spans="2:4" ht="13.5" customHeight="1">
      <c r="B3114" s="336" t="s">
        <v>7059</v>
      </c>
      <c r="C3114" s="388" t="s">
        <v>4276</v>
      </c>
      <c r="D3114" s="386">
        <v>47353.117974537032</v>
      </c>
    </row>
    <row r="3115" spans="2:4" ht="13.5" customHeight="1">
      <c r="B3115" s="336" t="s">
        <v>8011</v>
      </c>
      <c r="C3115" s="388" t="s">
        <v>7017</v>
      </c>
      <c r="D3115" s="386">
        <v>47368.63208333333</v>
      </c>
    </row>
    <row r="3116" spans="2:4" ht="13.5" customHeight="1">
      <c r="B3116" s="336" t="s">
        <v>7060</v>
      </c>
      <c r="C3116" s="389" t="s">
        <v>4278</v>
      </c>
      <c r="D3116" s="386">
        <v>47384.025393518517</v>
      </c>
    </row>
    <row r="3117" spans="2:4" ht="13.5" customHeight="1">
      <c r="B3117" s="336" t="s">
        <v>8012</v>
      </c>
      <c r="C3117" s="388" t="s">
        <v>7018</v>
      </c>
      <c r="D3117" s="386">
        <v>47399.289097222223</v>
      </c>
    </row>
    <row r="3118" spans="2:4" ht="13.5" customHeight="1">
      <c r="B3118" s="336" t="s">
        <v>7061</v>
      </c>
      <c r="C3118" s="388" t="s">
        <v>4280</v>
      </c>
      <c r="D3118" s="386">
        <v>47414.420937499999</v>
      </c>
    </row>
    <row r="3119" spans="2:4" ht="13.5" customHeight="1">
      <c r="B3119" s="336" t="s">
        <v>8013</v>
      </c>
      <c r="C3119" s="388" t="s">
        <v>7019</v>
      </c>
      <c r="D3119" s="386">
        <v>47429.427152777775</v>
      </c>
    </row>
    <row r="3120" spans="2:4" ht="13.5" customHeight="1">
      <c r="B3120" s="336" t="s">
        <v>7062</v>
      </c>
      <c r="C3120" s="388" t="s">
        <v>4282</v>
      </c>
      <c r="D3120" s="386">
        <v>47444.324814814812</v>
      </c>
    </row>
    <row r="3121" spans="2:4" ht="13.5" customHeight="1">
      <c r="B3121" s="336" t="s">
        <v>8014</v>
      </c>
      <c r="C3121" s="388" t="s">
        <v>7020</v>
      </c>
      <c r="D3121" s="386">
        <v>47459.133680555555</v>
      </c>
    </row>
    <row r="3122" spans="2:4" ht="13.5" customHeight="1">
      <c r="B3122" s="336" t="s">
        <v>7063</v>
      </c>
      <c r="C3122" s="389" t="s">
        <v>4284</v>
      </c>
      <c r="D3122" s="386">
        <v>47473.883888888886</v>
      </c>
    </row>
    <row r="3123" spans="2:4" ht="13.5" customHeight="1">
      <c r="B3123" s="336" t="s">
        <v>8015</v>
      </c>
      <c r="C3123" s="390" t="s">
        <v>9317</v>
      </c>
      <c r="D3123" s="386">
        <v>47488.603738425925</v>
      </c>
    </row>
    <row r="3124" spans="2:4" ht="13.5" customHeight="1">
      <c r="B3124" s="336" t="s">
        <v>7064</v>
      </c>
      <c r="C3124" s="388" t="s">
        <v>4230</v>
      </c>
      <c r="D3124" s="386">
        <v>47503.328541666662</v>
      </c>
    </row>
    <row r="3125" spans="2:4" ht="13.5" customHeight="1">
      <c r="B3125" s="336" t="s">
        <v>8016</v>
      </c>
      <c r="C3125" s="388" t="s">
        <v>7010</v>
      </c>
      <c r="D3125" s="386">
        <v>47518.088229166664</v>
      </c>
    </row>
    <row r="3126" spans="2:4" ht="13.5" customHeight="1">
      <c r="B3126" s="336" t="s">
        <v>7065</v>
      </c>
      <c r="C3126" s="388" t="s">
        <v>4232</v>
      </c>
      <c r="D3126" s="386">
        <v>47532.915624999994</v>
      </c>
    </row>
    <row r="3127" spans="2:4" ht="13.5" customHeight="1">
      <c r="B3127" s="336" t="s">
        <v>8017</v>
      </c>
      <c r="C3127" s="388" t="s">
        <v>7011</v>
      </c>
      <c r="D3127" s="386">
        <v>47547.834444444445</v>
      </c>
    </row>
    <row r="3128" spans="2:4" ht="13.5" customHeight="1">
      <c r="B3128" s="336" t="s">
        <v>7066</v>
      </c>
      <c r="C3128" s="389" t="s">
        <v>4234</v>
      </c>
      <c r="D3128" s="386">
        <v>47562.868344907401</v>
      </c>
    </row>
    <row r="3129" spans="2:4" ht="13.5" customHeight="1">
      <c r="B3129" s="336" t="s">
        <v>8018</v>
      </c>
      <c r="C3129" s="388" t="s">
        <v>7012</v>
      </c>
      <c r="D3129" s="386">
        <v>47578.02716435185</v>
      </c>
    </row>
    <row r="3130" spans="2:4" ht="13.5" customHeight="1">
      <c r="B3130" s="336" t="s">
        <v>5551</v>
      </c>
      <c r="C3130" s="388" t="s">
        <v>4236</v>
      </c>
      <c r="D3130" s="386">
        <v>47593.320729166662</v>
      </c>
    </row>
    <row r="3131" spans="2:4" ht="13.5" customHeight="1">
      <c r="B3131" s="336" t="s">
        <v>2940</v>
      </c>
      <c r="C3131" s="388" t="s">
        <v>7013</v>
      </c>
      <c r="D3131" s="386">
        <v>47608.739247685182</v>
      </c>
    </row>
    <row r="3132" spans="2:4" ht="13.5" customHeight="1">
      <c r="B3132" s="336" t="s">
        <v>5552</v>
      </c>
      <c r="C3132" s="388" t="s">
        <v>4238</v>
      </c>
      <c r="D3132" s="386">
        <v>47624.277557870366</v>
      </c>
    </row>
    <row r="3133" spans="2:4" ht="13.5" customHeight="1">
      <c r="B3133" s="336" t="s">
        <v>2941</v>
      </c>
      <c r="C3133" s="388" t="s">
        <v>7014</v>
      </c>
      <c r="D3133" s="386">
        <v>47639.90488425926</v>
      </c>
    </row>
    <row r="3134" spans="2:4" ht="13.5" customHeight="1">
      <c r="B3134" s="336" t="s">
        <v>5553</v>
      </c>
      <c r="C3134" s="389" t="s">
        <v>4240</v>
      </c>
      <c r="D3134" s="386">
        <v>47655.60423611111</v>
      </c>
    </row>
    <row r="3135" spans="2:4" ht="13.5" customHeight="1">
      <c r="B3135" s="336" t="s">
        <v>2942</v>
      </c>
      <c r="C3135" s="388" t="s">
        <v>7015</v>
      </c>
      <c r="D3135" s="386">
        <v>47671.329259259255</v>
      </c>
    </row>
    <row r="3136" spans="2:4" ht="13.5" customHeight="1">
      <c r="B3136" s="336" t="s">
        <v>5554</v>
      </c>
      <c r="C3136" s="388" t="s">
        <v>4242</v>
      </c>
      <c r="D3136" s="386">
        <v>47687.058078703703</v>
      </c>
    </row>
    <row r="3137" spans="2:4" ht="13.5" customHeight="1">
      <c r="B3137" s="336" t="s">
        <v>2943</v>
      </c>
      <c r="C3137" s="388" t="s">
        <v>7016</v>
      </c>
      <c r="D3137" s="386">
        <v>47702.740266203698</v>
      </c>
    </row>
    <row r="3138" spans="2:4" ht="13.5" customHeight="1">
      <c r="B3138" s="336" t="s">
        <v>5555</v>
      </c>
      <c r="C3138" s="388" t="s">
        <v>4276</v>
      </c>
      <c r="D3138" s="386">
        <v>47718.357777777775</v>
      </c>
    </row>
    <row r="3139" spans="2:4" ht="13.5" customHeight="1">
      <c r="B3139" s="336" t="s">
        <v>2944</v>
      </c>
      <c r="C3139" s="388" t="s">
        <v>7017</v>
      </c>
      <c r="D3139" s="386">
        <v>47733.86917824074</v>
      </c>
    </row>
    <row r="3140" spans="2:4" ht="13.5" customHeight="1">
      <c r="B3140" s="336" t="s">
        <v>5556</v>
      </c>
      <c r="C3140" s="389" t="s">
        <v>4278</v>
      </c>
      <c r="D3140" s="386">
        <v>47749.267870370371</v>
      </c>
    </row>
    <row r="3141" spans="2:4" ht="13.5" customHeight="1">
      <c r="B3141" s="336" t="s">
        <v>2945</v>
      </c>
      <c r="C3141" s="388" t="s">
        <v>7018</v>
      </c>
      <c r="D3141" s="386">
        <v>47764.53052083333</v>
      </c>
    </row>
    <row r="3142" spans="2:4" ht="13.5" customHeight="1">
      <c r="B3142" s="336" t="s">
        <v>5557</v>
      </c>
      <c r="C3142" s="388" t="s">
        <v>4280</v>
      </c>
      <c r="D3142" s="386">
        <v>47779.666145833333</v>
      </c>
    </row>
    <row r="3143" spans="2:4" ht="13.5" customHeight="1">
      <c r="B3143" s="336" t="s">
        <v>2946</v>
      </c>
      <c r="C3143" s="388" t="s">
        <v>7019</v>
      </c>
      <c r="D3143" s="386">
        <v>47794.671689814815</v>
      </c>
    </row>
    <row r="3144" spans="2:4" ht="13.5" customHeight="1">
      <c r="B3144" s="336" t="s">
        <v>5558</v>
      </c>
      <c r="C3144" s="388" t="s">
        <v>4282</v>
      </c>
      <c r="D3144" s="386">
        <v>47809.571574074071</v>
      </c>
    </row>
    <row r="3145" spans="2:4" ht="13.5" customHeight="1">
      <c r="B3145" s="336" t="s">
        <v>6517</v>
      </c>
      <c r="C3145" s="388" t="s">
        <v>7020</v>
      </c>
      <c r="D3145" s="386">
        <v>47824.379212962958</v>
      </c>
    </row>
    <row r="3146" spans="2:4" ht="13.5" customHeight="1">
      <c r="B3146" s="336" t="s">
        <v>5559</v>
      </c>
      <c r="C3146" s="389" t="s">
        <v>4284</v>
      </c>
      <c r="D3146" s="386">
        <v>47839.130590277775</v>
      </c>
    </row>
    <row r="3147" spans="2:4" ht="13.5" customHeight="1">
      <c r="B3147" s="336" t="s">
        <v>6518</v>
      </c>
      <c r="C3147" s="390" t="s">
        <v>9317</v>
      </c>
      <c r="D3147" s="386">
        <v>47853.84842592592</v>
      </c>
    </row>
    <row r="3148" spans="2:4" ht="13.5" customHeight="1">
      <c r="B3148" s="336" t="s">
        <v>5560</v>
      </c>
      <c r="C3148" s="388" t="s">
        <v>4230</v>
      </c>
      <c r="D3148" s="386">
        <v>47868.573969907404</v>
      </c>
    </row>
    <row r="3149" spans="2:4" ht="13.5" customHeight="1">
      <c r="B3149" s="336" t="s">
        <v>6519</v>
      </c>
      <c r="C3149" s="388" t="s">
        <v>7010</v>
      </c>
      <c r="D3149" s="386">
        <v>47883.331307870365</v>
      </c>
    </row>
    <row r="3150" spans="2:4" ht="13.5" customHeight="1">
      <c r="B3150" s="336" t="s">
        <v>5561</v>
      </c>
      <c r="C3150" s="388" t="s">
        <v>4232</v>
      </c>
      <c r="D3150" s="386">
        <v>47898.159456018519</v>
      </c>
    </row>
    <row r="3151" spans="2:4" ht="13.5" customHeight="1">
      <c r="B3151" s="336" t="s">
        <v>6520</v>
      </c>
      <c r="C3151" s="388" t="s">
        <v>7011</v>
      </c>
      <c r="D3151" s="386">
        <v>47913.076307870368</v>
      </c>
    </row>
    <row r="3152" spans="2:4" ht="13.5" customHeight="1">
      <c r="B3152" s="336" t="s">
        <v>4719</v>
      </c>
      <c r="C3152" s="389" t="s">
        <v>4234</v>
      </c>
      <c r="D3152" s="386">
        <v>47928.110891203702</v>
      </c>
    </row>
    <row r="3153" spans="2:4" ht="13.5" customHeight="1">
      <c r="B3153" s="336" t="s">
        <v>9271</v>
      </c>
      <c r="C3153" s="388" t="s">
        <v>7012</v>
      </c>
      <c r="D3153" s="386">
        <v>47943.268865740742</v>
      </c>
    </row>
    <row r="3154" spans="2:4" ht="13.5" customHeight="1">
      <c r="B3154" s="336" t="s">
        <v>4720</v>
      </c>
      <c r="C3154" s="388" t="s">
        <v>4236</v>
      </c>
      <c r="D3154" s="386">
        <v>47958.562372685185</v>
      </c>
    </row>
    <row r="3155" spans="2:4" ht="13.5" customHeight="1">
      <c r="B3155" s="336" t="s">
        <v>9272</v>
      </c>
      <c r="C3155" s="388" t="s">
        <v>7013</v>
      </c>
      <c r="D3155" s="386">
        <v>47973.981817129628</v>
      </c>
    </row>
    <row r="3156" spans="2:4" ht="13.5" customHeight="1">
      <c r="B3156" s="336" t="s">
        <v>4721</v>
      </c>
      <c r="C3156" s="388" t="s">
        <v>4238</v>
      </c>
      <c r="D3156" s="386">
        <v>47989.518368055556</v>
      </c>
    </row>
    <row r="3157" spans="2:4" ht="13.5" customHeight="1">
      <c r="B3157" s="336" t="s">
        <v>9273</v>
      </c>
      <c r="C3157" s="388" t="s">
        <v>7014</v>
      </c>
      <c r="D3157" s="386">
        <v>48005.148877314816</v>
      </c>
    </row>
    <row r="3158" spans="2:4" ht="13.5" customHeight="1">
      <c r="B3158" s="336" t="s">
        <v>4722</v>
      </c>
      <c r="C3158" s="389" t="s">
        <v>4240</v>
      </c>
      <c r="D3158" s="386">
        <v>48020.844340277778</v>
      </c>
    </row>
    <row r="3159" spans="2:4" ht="13.5" customHeight="1">
      <c r="B3159" s="336" t="s">
        <v>7482</v>
      </c>
      <c r="C3159" s="388" t="s">
        <v>7015</v>
      </c>
      <c r="D3159" s="386">
        <v>48036.574837962959</v>
      </c>
    </row>
    <row r="3160" spans="2:4" ht="13.5" customHeight="1">
      <c r="B3160" s="336" t="s">
        <v>4723</v>
      </c>
      <c r="C3160" s="388" t="s">
        <v>4242</v>
      </c>
      <c r="D3160" s="386">
        <v>48052.298125000001</v>
      </c>
    </row>
    <row r="3161" spans="2:4" ht="13.5" customHeight="1">
      <c r="B3161" s="336" t="s">
        <v>7483</v>
      </c>
      <c r="C3161" s="388" t="s">
        <v>7016</v>
      </c>
      <c r="D3161" s="386">
        <v>48067.987303240741</v>
      </c>
    </row>
    <row r="3162" spans="2:4" ht="13.5" customHeight="1">
      <c r="B3162" s="336" t="s">
        <v>8049</v>
      </c>
      <c r="C3162" s="388" t="s">
        <v>4276</v>
      </c>
      <c r="D3162" s="386">
        <v>48083.598587962959</v>
      </c>
    </row>
    <row r="3163" spans="2:4" ht="13.5" customHeight="1">
      <c r="B3163" s="336" t="s">
        <v>7484</v>
      </c>
      <c r="C3163" s="388" t="s">
        <v>7017</v>
      </c>
      <c r="D3163" s="386">
        <v>48099.117268518516</v>
      </c>
    </row>
    <row r="3164" spans="2:4" ht="13.5" customHeight="1">
      <c r="B3164" s="336" t="s">
        <v>8050</v>
      </c>
      <c r="C3164" s="389" t="s">
        <v>4278</v>
      </c>
      <c r="D3164" s="386">
        <v>48114.509722222218</v>
      </c>
    </row>
    <row r="3165" spans="2:4" ht="13.5" customHeight="1">
      <c r="B3165" s="336" t="s">
        <v>7485</v>
      </c>
      <c r="C3165" s="388" t="s">
        <v>7018</v>
      </c>
      <c r="D3165" s="386">
        <v>48129.778981481482</v>
      </c>
    </row>
    <row r="3166" spans="2:4" ht="13.5" customHeight="1">
      <c r="B3166" s="336" t="s">
        <v>8051</v>
      </c>
      <c r="C3166" s="388" t="s">
        <v>4280</v>
      </c>
      <c r="D3166" s="386">
        <v>48144.908495370371</v>
      </c>
    </row>
    <row r="3167" spans="2:4" ht="13.5" customHeight="1">
      <c r="B3167" s="336" t="s">
        <v>4555</v>
      </c>
      <c r="C3167" s="388" t="s">
        <v>7019</v>
      </c>
      <c r="D3167" s="386">
        <v>48159.919699074075</v>
      </c>
    </row>
    <row r="3168" spans="2:4" ht="13.5" customHeight="1">
      <c r="B3168" s="336" t="s">
        <v>8052</v>
      </c>
      <c r="C3168" s="388" t="s">
        <v>4282</v>
      </c>
      <c r="D3168" s="386">
        <v>48174.813391203701</v>
      </c>
    </row>
    <row r="3169" spans="2:4" ht="13.5" customHeight="1">
      <c r="B3169" s="336" t="s">
        <v>4556</v>
      </c>
      <c r="C3169" s="388" t="s">
        <v>7020</v>
      </c>
      <c r="D3169" s="386">
        <v>48189.626018518517</v>
      </c>
    </row>
    <row r="3170" spans="2:4" ht="13.5" customHeight="1">
      <c r="B3170" s="336" t="s">
        <v>8053</v>
      </c>
      <c r="C3170" s="389" t="s">
        <v>4284</v>
      </c>
      <c r="D3170" s="386">
        <v>48204.370972222219</v>
      </c>
    </row>
    <row r="3171" spans="2:4" ht="13.5" customHeight="1">
      <c r="B3171" s="336" t="s">
        <v>4557</v>
      </c>
      <c r="C3171" s="390" t="s">
        <v>9317</v>
      </c>
      <c r="D3171" s="386">
        <v>48219.093518518515</v>
      </c>
    </row>
    <row r="3172" spans="2:4" ht="13.5" customHeight="1">
      <c r="B3172" s="336" t="s">
        <v>8054</v>
      </c>
      <c r="C3172" s="388" t="s">
        <v>4230</v>
      </c>
      <c r="D3172" s="386">
        <v>48233.8125</v>
      </c>
    </row>
    <row r="3173" spans="2:4" ht="13.5" customHeight="1">
      <c r="B3173" s="336" t="s">
        <v>4558</v>
      </c>
      <c r="C3173" s="388" t="s">
        <v>7010</v>
      </c>
      <c r="D3173" s="386">
        <v>48248.574664351851</v>
      </c>
    </row>
    <row r="3174" spans="2:4" ht="13.5" customHeight="1">
      <c r="B3174" s="336" t="s">
        <v>8055</v>
      </c>
      <c r="C3174" s="388" t="s">
        <v>4232</v>
      </c>
      <c r="D3174" s="386">
        <v>48263.396458333329</v>
      </c>
    </row>
    <row r="3175" spans="2:4" ht="13.5" customHeight="1">
      <c r="B3175" s="336" t="s">
        <v>4559</v>
      </c>
      <c r="C3175" s="388" t="s">
        <v>7011</v>
      </c>
      <c r="D3175" s="386">
        <v>48278.318564814814</v>
      </c>
    </row>
    <row r="3176" spans="2:4" ht="13.5" customHeight="1">
      <c r="B3176" s="336" t="s">
        <v>8648</v>
      </c>
      <c r="C3176" s="389" t="s">
        <v>4234</v>
      </c>
      <c r="D3176" s="386">
        <v>48293.347546296296</v>
      </c>
    </row>
    <row r="3177" spans="2:4" ht="13.5" customHeight="1">
      <c r="B3177" s="336" t="s">
        <v>4560</v>
      </c>
      <c r="C3177" s="388" t="s">
        <v>7012</v>
      </c>
      <c r="D3177" s="386">
        <v>48308.511157407404</v>
      </c>
    </row>
    <row r="3178" spans="2:4" ht="13.5" customHeight="1">
      <c r="B3178" s="336" t="s">
        <v>8649</v>
      </c>
      <c r="C3178" s="388" t="s">
        <v>4236</v>
      </c>
      <c r="D3178" s="386">
        <v>48323.800439814811</v>
      </c>
    </row>
    <row r="3179" spans="2:4" ht="13.5" customHeight="1">
      <c r="B3179" s="336" t="s">
        <v>4561</v>
      </c>
      <c r="C3179" s="388" t="s">
        <v>7013</v>
      </c>
      <c r="D3179" s="386">
        <v>48339.22519675926</v>
      </c>
    </row>
    <row r="3180" spans="2:4" ht="13.5" customHeight="1">
      <c r="B3180" s="336" t="s">
        <v>8650</v>
      </c>
      <c r="C3180" s="388" t="s">
        <v>4238</v>
      </c>
      <c r="D3180" s="386">
        <v>48354.759328703702</v>
      </c>
    </row>
    <row r="3181" spans="2:4" ht="13.5" customHeight="1">
      <c r="B3181" s="336" t="s">
        <v>4562</v>
      </c>
      <c r="C3181" s="388" t="s">
        <v>7014</v>
      </c>
      <c r="D3181" s="386">
        <v>48370.393391203703</v>
      </c>
    </row>
    <row r="3182" spans="2:4" ht="13.5" customHeight="1">
      <c r="B3182" s="336" t="s">
        <v>8651</v>
      </c>
      <c r="C3182" s="389" t="s">
        <v>4240</v>
      </c>
      <c r="D3182" s="386">
        <v>48386.088437499995</v>
      </c>
    </row>
    <row r="3183" spans="2:4" ht="13.5" customHeight="1">
      <c r="B3183" s="336" t="s">
        <v>4563</v>
      </c>
      <c r="C3183" s="388" t="s">
        <v>7015</v>
      </c>
      <c r="D3183" s="386">
        <v>48401.81927083333</v>
      </c>
    </row>
    <row r="3184" spans="2:4" ht="13.5" customHeight="1">
      <c r="B3184" s="336" t="s">
        <v>1745</v>
      </c>
      <c r="C3184" s="388" t="s">
        <v>4242</v>
      </c>
      <c r="D3184" s="386">
        <v>48417.544189814813</v>
      </c>
    </row>
    <row r="3185" spans="2:4" ht="13.5" customHeight="1">
      <c r="B3185" s="336" t="s">
        <v>4564</v>
      </c>
      <c r="C3185" s="388" t="s">
        <v>7016</v>
      </c>
      <c r="D3185" s="386">
        <v>48433.230347222219</v>
      </c>
    </row>
    <row r="3186" spans="2:4" ht="13.5" customHeight="1">
      <c r="B3186" s="336" t="s">
        <v>1746</v>
      </c>
      <c r="C3186" s="388" t="s">
        <v>4276</v>
      </c>
      <c r="D3186" s="386">
        <v>48448.845196759255</v>
      </c>
    </row>
    <row r="3187" spans="2:4" ht="13.5" customHeight="1">
      <c r="B3187" s="336" t="s">
        <v>4565</v>
      </c>
      <c r="C3187" s="388" t="s">
        <v>7017</v>
      </c>
      <c r="D3187" s="386">
        <v>48464.358761574069</v>
      </c>
    </row>
    <row r="3188" spans="2:4" ht="13.5" customHeight="1">
      <c r="B3188" s="336" t="s">
        <v>1747</v>
      </c>
      <c r="C3188" s="389" t="s">
        <v>4278</v>
      </c>
      <c r="D3188" s="386">
        <v>48479.75645833333</v>
      </c>
    </row>
    <row r="3189" spans="2:4" ht="13.5" customHeight="1">
      <c r="B3189" s="336" t="s">
        <v>4566</v>
      </c>
      <c r="C3189" s="388" t="s">
        <v>7018</v>
      </c>
      <c r="D3189" s="386">
        <v>48495.020023148143</v>
      </c>
    </row>
    <row r="3190" spans="2:4" ht="13.5" customHeight="1">
      <c r="B3190" s="336" t="s">
        <v>1748</v>
      </c>
      <c r="C3190" s="388" t="s">
        <v>4280</v>
      </c>
      <c r="D3190" s="386">
        <v>48510.1559375</v>
      </c>
    </row>
    <row r="3191" spans="2:4" ht="13.5" customHeight="1">
      <c r="B3191" s="336" t="s">
        <v>5264</v>
      </c>
      <c r="C3191" s="388" t="s">
        <v>7019</v>
      </c>
      <c r="D3191" s="386">
        <v>48525.161585648144</v>
      </c>
    </row>
    <row r="3192" spans="2:4" ht="13.5" customHeight="1">
      <c r="B3192" s="336" t="s">
        <v>1749</v>
      </c>
      <c r="C3192" s="388" t="s">
        <v>4282</v>
      </c>
      <c r="D3192" s="386">
        <v>48540.062222222223</v>
      </c>
    </row>
    <row r="3193" spans="2:4" ht="13.5" customHeight="1">
      <c r="B3193" s="336" t="s">
        <v>5265</v>
      </c>
      <c r="C3193" s="388" t="s">
        <v>7020</v>
      </c>
      <c r="D3193" s="386">
        <v>48554.869398148148</v>
      </c>
    </row>
    <row r="3194" spans="2:4" ht="13.5" customHeight="1">
      <c r="B3194" s="336" t="s">
        <v>1750</v>
      </c>
      <c r="C3194" s="389" t="s">
        <v>4284</v>
      </c>
      <c r="D3194" s="386">
        <v>48569.621238425927</v>
      </c>
    </row>
    <row r="3195" spans="2:4" ht="13.5" customHeight="1">
      <c r="B3195" s="336" t="s">
        <v>5266</v>
      </c>
      <c r="C3195" s="390" t="s">
        <v>9317</v>
      </c>
      <c r="D3195" s="386">
        <v>48584.338171296295</v>
      </c>
    </row>
    <row r="3196" spans="2:4" ht="13.5" customHeight="1">
      <c r="B3196" s="336" t="s">
        <v>2432</v>
      </c>
      <c r="C3196" s="388" t="s">
        <v>4230</v>
      </c>
      <c r="D3196" s="386">
        <v>48599.063657407401</v>
      </c>
    </row>
    <row r="3197" spans="2:4" ht="13.5" customHeight="1">
      <c r="B3197" s="336" t="s">
        <v>5267</v>
      </c>
      <c r="C3197" s="388" t="s">
        <v>7010</v>
      </c>
      <c r="D3197" s="386">
        <v>48613.819826388884</v>
      </c>
    </row>
    <row r="3198" spans="2:4" ht="13.5" customHeight="1">
      <c r="B3198" s="336" t="s">
        <v>2433</v>
      </c>
      <c r="C3198" s="388" t="s">
        <v>4232</v>
      </c>
      <c r="D3198" s="386">
        <v>48628.647731481477</v>
      </c>
    </row>
    <row r="3199" spans="2:4" ht="13.5" customHeight="1">
      <c r="B3199" s="336" t="s">
        <v>5268</v>
      </c>
      <c r="C3199" s="388" t="s">
        <v>7011</v>
      </c>
      <c r="D3199" s="386">
        <v>48643.563275462962</v>
      </c>
    </row>
    <row r="3200" spans="2:4" ht="13.5" customHeight="1">
      <c r="B3200" s="336" t="s">
        <v>460</v>
      </c>
      <c r="C3200" s="389" t="s">
        <v>4234</v>
      </c>
      <c r="D3200" s="386">
        <v>48658.598194444443</v>
      </c>
    </row>
    <row r="3201" spans="2:4" ht="13.5" customHeight="1">
      <c r="B3201" s="336" t="s">
        <v>5269</v>
      </c>
      <c r="C3201" s="388" t="s">
        <v>7012</v>
      </c>
      <c r="D3201" s="386">
        <v>48673.754606481481</v>
      </c>
    </row>
    <row r="3202" spans="2:4" ht="13.5" customHeight="1">
      <c r="B3202" s="336" t="s">
        <v>5199</v>
      </c>
      <c r="C3202" s="388" t="s">
        <v>4236</v>
      </c>
      <c r="D3202" s="386">
        <v>48689.049768518518</v>
      </c>
    </row>
    <row r="3203" spans="2:4" ht="13.5" customHeight="1">
      <c r="B3203" s="336" t="s">
        <v>5270</v>
      </c>
      <c r="C3203" s="388" t="s">
        <v>7013</v>
      </c>
      <c r="D3203" s="386">
        <v>48704.466863425921</v>
      </c>
    </row>
    <row r="3204" spans="2:4" ht="13.5" customHeight="1">
      <c r="B3204" s="336" t="s">
        <v>5200</v>
      </c>
      <c r="C3204" s="388" t="s">
        <v>4238</v>
      </c>
      <c r="D3204" s="386">
        <v>48720.006631944445</v>
      </c>
    </row>
    <row r="3205" spans="2:4" ht="13.5" customHeight="1">
      <c r="B3205" s="336" t="s">
        <v>5271</v>
      </c>
      <c r="C3205" s="388" t="s">
        <v>7014</v>
      </c>
      <c r="D3205" s="386">
        <v>48735.633252314816</v>
      </c>
    </row>
    <row r="3206" spans="2:4" ht="13.5" customHeight="1">
      <c r="B3206" s="336" t="s">
        <v>5201</v>
      </c>
      <c r="C3206" s="389" t="s">
        <v>4240</v>
      </c>
      <c r="D3206" s="386">
        <v>48751.333020833328</v>
      </c>
    </row>
    <row r="3207" spans="2:4" ht="13.5" customHeight="1">
      <c r="B3207" s="336" t="s">
        <v>5272</v>
      </c>
      <c r="C3207" s="388" t="s">
        <v>7015</v>
      </c>
      <c r="D3207" s="386">
        <v>48767.057812499996</v>
      </c>
    </row>
    <row r="3208" spans="2:4" ht="13.5" customHeight="1">
      <c r="B3208" s="336" t="s">
        <v>5202</v>
      </c>
      <c r="C3208" s="388" t="s">
        <v>4242</v>
      </c>
      <c r="D3208" s="386">
        <v>48782.78561342592</v>
      </c>
    </row>
    <row r="3209" spans="2:4" ht="13.5" customHeight="1">
      <c r="B3209" s="336" t="s">
        <v>5273</v>
      </c>
      <c r="C3209" s="388" t="s">
        <v>7016</v>
      </c>
      <c r="D3209" s="386">
        <v>48798.468194444446</v>
      </c>
    </row>
    <row r="3210" spans="2:4" ht="13.5" customHeight="1">
      <c r="B3210" s="336" t="s">
        <v>5203</v>
      </c>
      <c r="C3210" s="388" t="s">
        <v>4276</v>
      </c>
      <c r="D3210" s="386">
        <v>48814.083796296291</v>
      </c>
    </row>
    <row r="3211" spans="2:4" ht="13.5" customHeight="1">
      <c r="B3211" s="336" t="s">
        <v>5274</v>
      </c>
      <c r="C3211" s="388" t="s">
        <v>7017</v>
      </c>
      <c r="D3211" s="386">
        <v>48829.596574074072</v>
      </c>
    </row>
    <row r="3212" spans="2:4" ht="13.5" customHeight="1">
      <c r="B3212" s="336" t="s">
        <v>7936</v>
      </c>
      <c r="C3212" s="389" t="s">
        <v>4278</v>
      </c>
      <c r="D3212" s="386">
        <v>48844.993425925924</v>
      </c>
    </row>
    <row r="3213" spans="2:4" ht="13.5" customHeight="1">
      <c r="B3213" s="336" t="s">
        <v>5275</v>
      </c>
      <c r="C3213" s="388" t="s">
        <v>7018</v>
      </c>
      <c r="D3213" s="386">
        <v>48860.258657407408</v>
      </c>
    </row>
    <row r="3214" spans="2:4" ht="13.5" customHeight="1">
      <c r="B3214" s="336" t="s">
        <v>7937</v>
      </c>
      <c r="C3214" s="388" t="s">
        <v>4280</v>
      </c>
      <c r="D3214" s="386">
        <v>48875.393159722218</v>
      </c>
    </row>
    <row r="3215" spans="2:4" ht="13.5" customHeight="1">
      <c r="B3215" s="336" t="s">
        <v>5276</v>
      </c>
      <c r="C3215" s="388" t="s">
        <v>7019</v>
      </c>
      <c r="D3215" s="386">
        <v>48890.402268518519</v>
      </c>
    </row>
    <row r="3216" spans="2:4" ht="13.5" customHeight="1">
      <c r="B3216" s="336" t="s">
        <v>7938</v>
      </c>
      <c r="C3216" s="388" t="s">
        <v>4282</v>
      </c>
      <c r="D3216" s="386">
        <v>48905.301631944443</v>
      </c>
    </row>
    <row r="3217" spans="2:4" ht="13.5" customHeight="1">
      <c r="B3217" s="336" t="s">
        <v>5277</v>
      </c>
      <c r="C3217" s="388" t="s">
        <v>7020</v>
      </c>
      <c r="D3217" s="386">
        <v>48920.113194444442</v>
      </c>
    </row>
    <row r="3218" spans="2:4" ht="13.5" customHeight="1">
      <c r="B3218" s="336" t="s">
        <v>6481</v>
      </c>
      <c r="C3218" s="389" t="s">
        <v>4284</v>
      </c>
      <c r="D3218" s="386">
        <v>48934.863981481481</v>
      </c>
    </row>
    <row r="3219" spans="2:4" ht="13.5" customHeight="1">
      <c r="B3219" s="336" t="s">
        <v>5278</v>
      </c>
      <c r="C3219" s="390" t="s">
        <v>9317</v>
      </c>
      <c r="D3219" s="386">
        <v>48949.585300925923</v>
      </c>
    </row>
    <row r="3220" spans="2:4" ht="13.5" customHeight="1">
      <c r="B3220" s="336" t="s">
        <v>6482</v>
      </c>
      <c r="C3220" s="388" t="s">
        <v>4230</v>
      </c>
      <c r="D3220" s="386">
        <v>48964.309502314813</v>
      </c>
    </row>
    <row r="3221" spans="2:4" ht="13.5" customHeight="1">
      <c r="B3221" s="336" t="s">
        <v>5279</v>
      </c>
      <c r="C3221" s="388" t="s">
        <v>7010</v>
      </c>
      <c r="D3221" s="386">
        <v>48979.069305555553</v>
      </c>
    </row>
    <row r="3222" spans="2:4" ht="13.5" customHeight="1">
      <c r="B3222" s="336" t="s">
        <v>6483</v>
      </c>
      <c r="C3222" s="388" t="s">
        <v>4232</v>
      </c>
      <c r="D3222" s="386">
        <v>48993.89498842592</v>
      </c>
    </row>
    <row r="3223" spans="2:4" ht="13.5" customHeight="1">
      <c r="B3223" s="336" t="s">
        <v>5280</v>
      </c>
      <c r="C3223" s="388" t="s">
        <v>7011</v>
      </c>
      <c r="D3223" s="386">
        <v>49008.813310185185</v>
      </c>
    </row>
    <row r="3224" spans="2:4" ht="13.5" customHeight="1">
      <c r="B3224" s="336" t="s">
        <v>6484</v>
      </c>
      <c r="C3224" s="389" t="s">
        <v>4234</v>
      </c>
      <c r="D3224" s="386">
        <v>49023.844502314809</v>
      </c>
    </row>
    <row r="3225" spans="2:4" ht="13.5" customHeight="1">
      <c r="B3225" s="336" t="s">
        <v>5281</v>
      </c>
      <c r="C3225" s="388" t="s">
        <v>7012</v>
      </c>
      <c r="D3225" s="386">
        <v>49039.003483796296</v>
      </c>
    </row>
    <row r="3226" spans="2:4" ht="13.5" customHeight="1">
      <c r="B3226" s="336" t="s">
        <v>6485</v>
      </c>
      <c r="C3226" s="388" t="s">
        <v>4236</v>
      </c>
      <c r="D3226" s="386">
        <v>49054.293287037035</v>
      </c>
    </row>
    <row r="3227" spans="2:4" ht="13.5" customHeight="1">
      <c r="B3227" s="336" t="s">
        <v>5282</v>
      </c>
      <c r="C3227" s="388" t="s">
        <v>7013</v>
      </c>
      <c r="D3227" s="386">
        <v>49069.713912037034</v>
      </c>
    </row>
    <row r="3228" spans="2:4" ht="13.5" customHeight="1">
      <c r="B3228" s="336" t="s">
        <v>6486</v>
      </c>
      <c r="C3228" s="388" t="s">
        <v>4238</v>
      </c>
      <c r="D3228" s="386">
        <v>49085.247060185182</v>
      </c>
    </row>
    <row r="3229" spans="2:4" ht="13.5" customHeight="1">
      <c r="B3229" s="336" t="s">
        <v>5283</v>
      </c>
      <c r="C3229" s="388" t="s">
        <v>7014</v>
      </c>
      <c r="D3229" s="386">
        <v>49100.878946759258</v>
      </c>
    </row>
    <row r="3230" spans="2:4" ht="13.5" customHeight="1">
      <c r="B3230" s="336" t="s">
        <v>6487</v>
      </c>
      <c r="C3230" s="389" t="s">
        <v>4240</v>
      </c>
      <c r="D3230" s="386">
        <v>49116.571597222217</v>
      </c>
    </row>
    <row r="3231" spans="2:4" ht="13.5" customHeight="1">
      <c r="B3231" s="336" t="s">
        <v>5284</v>
      </c>
      <c r="C3231" s="388" t="s">
        <v>7015</v>
      </c>
      <c r="D3231" s="386">
        <v>49132.303078703699</v>
      </c>
    </row>
    <row r="3232" spans="2:4" ht="13.5" customHeight="1">
      <c r="B3232" s="336" t="s">
        <v>5236</v>
      </c>
      <c r="C3232" s="388" t="s">
        <v>4242</v>
      </c>
      <c r="D3232" s="386">
        <v>49148.024201388886</v>
      </c>
    </row>
    <row r="3233" spans="2:4" ht="13.5" customHeight="1">
      <c r="B3233" s="336" t="s">
        <v>2965</v>
      </c>
      <c r="C3233" s="388" t="s">
        <v>7016</v>
      </c>
      <c r="D3233" s="386">
        <v>49163.713564814811</v>
      </c>
    </row>
    <row r="3234" spans="2:4" ht="13.5" customHeight="1">
      <c r="B3234" s="336" t="s">
        <v>5237</v>
      </c>
      <c r="C3234" s="388" t="s">
        <v>4276</v>
      </c>
      <c r="D3234" s="386">
        <v>49179.32366898148</v>
      </c>
    </row>
    <row r="3235" spans="2:4" ht="13.5" customHeight="1">
      <c r="B3235" s="336" t="s">
        <v>8951</v>
      </c>
      <c r="C3235" s="388" t="s">
        <v>7017</v>
      </c>
      <c r="D3235" s="386">
        <v>49194.842048611106</v>
      </c>
    </row>
    <row r="3236" spans="2:4" ht="13.5" customHeight="1">
      <c r="B3236" s="336" t="s">
        <v>5238</v>
      </c>
      <c r="C3236" s="389" t="s">
        <v>4278</v>
      </c>
      <c r="D3236" s="386">
        <v>49210.234768518516</v>
      </c>
    </row>
    <row r="3237" spans="2:4" ht="13.5" customHeight="1">
      <c r="B3237" s="336" t="s">
        <v>8952</v>
      </c>
      <c r="C3237" s="388" t="s">
        <v>7018</v>
      </c>
      <c r="D3237" s="386">
        <v>49225.504050925927</v>
      </c>
    </row>
    <row r="3238" spans="2:4" ht="13.5" customHeight="1">
      <c r="B3238" s="336" t="s">
        <v>5239</v>
      </c>
      <c r="C3238" s="388" t="s">
        <v>4280</v>
      </c>
      <c r="D3238" s="386">
        <v>49240.635381944441</v>
      </c>
    </row>
    <row r="3239" spans="2:4" ht="13.5" customHeight="1">
      <c r="B3239" s="336" t="s">
        <v>7071</v>
      </c>
      <c r="C3239" s="388" t="s">
        <v>7019</v>
      </c>
      <c r="D3239" s="386">
        <v>49255.647314814814</v>
      </c>
    </row>
    <row r="3240" spans="2:4" ht="13.5" customHeight="1">
      <c r="B3240" s="336" t="s">
        <v>4330</v>
      </c>
      <c r="C3240" s="388" t="s">
        <v>4282</v>
      </c>
      <c r="D3240" s="386">
        <v>49270.543935185182</v>
      </c>
    </row>
    <row r="3241" spans="2:4" ht="13.5" customHeight="1">
      <c r="B3241" s="336" t="s">
        <v>7072</v>
      </c>
      <c r="C3241" s="388" t="s">
        <v>7020</v>
      </c>
      <c r="D3241" s="386">
        <v>49285.357719907406</v>
      </c>
    </row>
    <row r="3242" spans="2:4" ht="13.5" customHeight="1">
      <c r="B3242" s="336" t="s">
        <v>4331</v>
      </c>
      <c r="C3242" s="389" t="s">
        <v>4284</v>
      </c>
      <c r="D3242" s="386">
        <v>49300.105787037035</v>
      </c>
    </row>
    <row r="3243" spans="2:4" ht="13.5" customHeight="1">
      <c r="B3243" s="336" t="s">
        <v>7073</v>
      </c>
      <c r="C3243" s="390" t="s">
        <v>9317</v>
      </c>
      <c r="D3243" s="386">
        <v>49314.829247685186</v>
      </c>
    </row>
    <row r="3244" spans="2:4" ht="13.5" customHeight="1">
      <c r="B3244" s="336" t="s">
        <v>4332</v>
      </c>
      <c r="C3244" s="388" t="s">
        <v>4230</v>
      </c>
      <c r="D3244" s="386">
        <v>49329.550613425927</v>
      </c>
    </row>
    <row r="3245" spans="2:4" ht="13.5" customHeight="1">
      <c r="B3245" s="336" t="s">
        <v>7074</v>
      </c>
      <c r="C3245" s="388" t="s">
        <v>7010</v>
      </c>
      <c r="D3245" s="386">
        <v>49344.312662037031</v>
      </c>
    </row>
    <row r="3246" spans="2:4" ht="13.5" customHeight="1">
      <c r="B3246" s="336" t="s">
        <v>4333</v>
      </c>
      <c r="C3246" s="388" t="s">
        <v>4232</v>
      </c>
      <c r="D3246" s="386">
        <v>49359.135509259257</v>
      </c>
    </row>
    <row r="3247" spans="2:4" ht="13.5" customHeight="1">
      <c r="B3247" s="336" t="s">
        <v>7075</v>
      </c>
      <c r="C3247" s="388" t="s">
        <v>7011</v>
      </c>
      <c r="D3247" s="386">
        <v>49374.055925925924</v>
      </c>
    </row>
    <row r="3248" spans="2:4" ht="13.5" customHeight="1">
      <c r="B3248" s="336" t="s">
        <v>4334</v>
      </c>
      <c r="C3248" s="389" t="s">
        <v>4234</v>
      </c>
      <c r="D3248" s="386">
        <v>49389.084606481476</v>
      </c>
    </row>
    <row r="3249" spans="2:4" ht="13.5" customHeight="1">
      <c r="B3249" s="336" t="s">
        <v>7076</v>
      </c>
      <c r="C3249" s="388" t="s">
        <v>7012</v>
      </c>
      <c r="D3249" s="386">
        <v>49404.24491898148</v>
      </c>
    </row>
    <row r="3250" spans="2:4" ht="13.5" customHeight="1">
      <c r="B3250" s="336" t="s">
        <v>4335</v>
      </c>
      <c r="C3250" s="388" t="s">
        <v>4236</v>
      </c>
      <c r="D3250" s="386">
        <v>49419.533206018517</v>
      </c>
    </row>
    <row r="3251" spans="2:4" ht="13.5" customHeight="1">
      <c r="B3251" s="336" t="s">
        <v>7077</v>
      </c>
      <c r="C3251" s="388" t="s">
        <v>7013</v>
      </c>
      <c r="D3251" s="386">
        <v>49434.953703703701</v>
      </c>
    </row>
    <row r="3252" spans="2:4" ht="13.5" customHeight="1">
      <c r="B3252" s="336" t="s">
        <v>4336</v>
      </c>
      <c r="C3252" s="388" t="s">
        <v>4238</v>
      </c>
      <c r="D3252" s="386">
        <v>49450.487384259257</v>
      </c>
    </row>
    <row r="3253" spans="2:4" ht="13.5" customHeight="1">
      <c r="B3253" s="336" t="s">
        <v>7078</v>
      </c>
      <c r="C3253" s="388" t="s">
        <v>7014</v>
      </c>
      <c r="D3253" s="386">
        <v>49466.117337962962</v>
      </c>
    </row>
    <row r="3254" spans="2:4" ht="13.5" customHeight="1">
      <c r="B3254" s="336" t="s">
        <v>4337</v>
      </c>
      <c r="C3254" s="389" t="s">
        <v>4240</v>
      </c>
      <c r="D3254" s="386">
        <v>49481.813460648147</v>
      </c>
    </row>
    <row r="3255" spans="2:4" ht="13.5" customHeight="1">
      <c r="B3255" s="336" t="s">
        <v>7079</v>
      </c>
      <c r="C3255" s="388" t="s">
        <v>7015</v>
      </c>
      <c r="D3255" s="386">
        <v>49497.541354166664</v>
      </c>
    </row>
    <row r="3256" spans="2:4" ht="13.5" customHeight="1">
      <c r="B3256" s="336" t="s">
        <v>4338</v>
      </c>
      <c r="C3256" s="388" t="s">
        <v>4242</v>
      </c>
      <c r="D3256" s="386">
        <v>49513.268831018519</v>
      </c>
    </row>
    <row r="3257" spans="2:4" ht="13.5" customHeight="1">
      <c r="B3257" s="336" t="s">
        <v>1312</v>
      </c>
      <c r="C3257" s="388" t="s">
        <v>7016</v>
      </c>
      <c r="D3257" s="386">
        <v>49528.953379629624</v>
      </c>
    </row>
    <row r="3258" spans="2:4" ht="13.5" customHeight="1">
      <c r="B3258" s="336" t="s">
        <v>4339</v>
      </c>
      <c r="C3258" s="388" t="s">
        <v>4276</v>
      </c>
      <c r="D3258" s="386">
        <v>49544.571284722217</v>
      </c>
    </row>
    <row r="3259" spans="2:4" ht="13.5" customHeight="1">
      <c r="B3259" s="336" t="s">
        <v>1313</v>
      </c>
      <c r="C3259" s="388" t="s">
        <v>7017</v>
      </c>
      <c r="D3259" s="386">
        <v>49560.084027777775</v>
      </c>
    </row>
    <row r="3260" spans="2:4" ht="13.5" customHeight="1">
      <c r="B3260" s="336" t="s">
        <v>4340</v>
      </c>
      <c r="C3260" s="389" t="s">
        <v>4278</v>
      </c>
      <c r="D3260" s="386">
        <v>49575.484282407408</v>
      </c>
    </row>
    <row r="3261" spans="2:4" ht="13.5" customHeight="1">
      <c r="B3261" s="336" t="s">
        <v>1314</v>
      </c>
      <c r="C3261" s="388" t="s">
        <v>7018</v>
      </c>
      <c r="D3261" s="386">
        <v>49590.74732638889</v>
      </c>
    </row>
    <row r="3262" spans="2:4" ht="13.5" customHeight="1">
      <c r="B3262" s="336" t="s">
        <v>4341</v>
      </c>
      <c r="C3262" s="388" t="s">
        <v>4280</v>
      </c>
      <c r="D3262" s="386">
        <v>49605.885138888887</v>
      </c>
    </row>
    <row r="3263" spans="2:4" ht="13.5" customHeight="1">
      <c r="B3263" s="336" t="s">
        <v>1315</v>
      </c>
      <c r="C3263" s="388" t="s">
        <v>7019</v>
      </c>
      <c r="D3263" s="386">
        <v>49620.890474537038</v>
      </c>
    </row>
    <row r="3264" spans="2:4" ht="13.5" customHeight="1">
      <c r="B3264" s="336" t="s">
        <v>4342</v>
      </c>
      <c r="C3264" s="388" t="s">
        <v>4282</v>
      </c>
      <c r="D3264" s="386">
        <v>49635.79278935185</v>
      </c>
    </row>
    <row r="3265" spans="2:4" ht="13.5" customHeight="1">
      <c r="B3265" s="336" t="s">
        <v>2955</v>
      </c>
      <c r="C3265" s="388" t="s">
        <v>7020</v>
      </c>
      <c r="D3265" s="386">
        <v>49650.599942129629</v>
      </c>
    </row>
    <row r="3266" spans="2:4" ht="13.5" customHeight="1">
      <c r="B3266" s="336" t="s">
        <v>4343</v>
      </c>
      <c r="C3266" s="389" t="s">
        <v>4284</v>
      </c>
      <c r="D3266" s="386">
        <v>49665.353599537033</v>
      </c>
    </row>
    <row r="3267" spans="2:4" ht="13.5" customHeight="1">
      <c r="B3267" s="336" t="s">
        <v>2956</v>
      </c>
      <c r="C3267" s="390" t="s">
        <v>9317</v>
      </c>
      <c r="D3267" s="386">
        <v>49680.07068287037</v>
      </c>
    </row>
    <row r="3268" spans="2:4" ht="13.5" customHeight="1">
      <c r="B3268" s="336" t="s">
        <v>4344</v>
      </c>
      <c r="C3268" s="388" t="s">
        <v>4230</v>
      </c>
      <c r="D3268" s="386">
        <v>49694.798078703701</v>
      </c>
    </row>
    <row r="3269" spans="2:4" ht="13.5" customHeight="1">
      <c r="B3269" s="336" t="s">
        <v>2957</v>
      </c>
      <c r="C3269" s="388" t="s">
        <v>7010</v>
      </c>
      <c r="D3269" s="386">
        <v>49709.554201388884</v>
      </c>
    </row>
    <row r="3270" spans="2:4" ht="13.5" customHeight="1">
      <c r="B3270" s="336" t="s">
        <v>4345</v>
      </c>
      <c r="C3270" s="388" t="s">
        <v>4232</v>
      </c>
      <c r="D3270" s="386">
        <v>49724.383634259255</v>
      </c>
    </row>
    <row r="3271" spans="2:4" ht="13.5" customHeight="1">
      <c r="B3271" s="336" t="s">
        <v>8776</v>
      </c>
      <c r="C3271" s="388" t="s">
        <v>7011</v>
      </c>
      <c r="D3271" s="386">
        <v>49739.298587962963</v>
      </c>
    </row>
    <row r="3272" spans="2:4" ht="13.5" customHeight="1">
      <c r="B3272" s="336" t="s">
        <v>4346</v>
      </c>
      <c r="C3272" s="389" t="s">
        <v>4234</v>
      </c>
      <c r="D3272" s="386">
        <v>49754.334120370368</v>
      </c>
    </row>
    <row r="3273" spans="2:4" ht="13.5" customHeight="1">
      <c r="B3273" s="336" t="s">
        <v>8777</v>
      </c>
      <c r="C3273" s="388" t="s">
        <v>7012</v>
      </c>
      <c r="D3273" s="386">
        <v>49769.489386574074</v>
      </c>
    </row>
    <row r="3274" spans="2:4" ht="13.5" customHeight="1">
      <c r="B3274" s="336" t="s">
        <v>4347</v>
      </c>
      <c r="C3274" s="388" t="s">
        <v>4236</v>
      </c>
      <c r="D3274" s="386">
        <v>49784.784074074072</v>
      </c>
    </row>
    <row r="3275" spans="2:4" ht="13.5" customHeight="1">
      <c r="B3275" s="336" t="s">
        <v>8778</v>
      </c>
      <c r="C3275" s="388" t="s">
        <v>7013</v>
      </c>
      <c r="D3275" s="386">
        <v>49800.200023148143</v>
      </c>
    </row>
    <row r="3276" spans="2:4" ht="13.5" customHeight="1">
      <c r="B3276" s="336" t="s">
        <v>4348</v>
      </c>
      <c r="C3276" s="388" t="s">
        <v>4238</v>
      </c>
      <c r="D3276" s="386">
        <v>49815.738437499997</v>
      </c>
    </row>
    <row r="3277" spans="2:4" ht="13.5" customHeight="1">
      <c r="B3277" s="336" t="s">
        <v>8779</v>
      </c>
      <c r="C3277" s="388" t="s">
        <v>7014</v>
      </c>
      <c r="D3277" s="386">
        <v>49831.36478009259</v>
      </c>
    </row>
    <row r="3278" spans="2:4" ht="13.5" customHeight="1">
      <c r="B3278" s="336" t="s">
        <v>4349</v>
      </c>
      <c r="C3278" s="389" t="s">
        <v>4240</v>
      </c>
      <c r="D3278" s="386">
        <v>49847.0627662037</v>
      </c>
    </row>
    <row r="3279" spans="2:4" ht="13.5" customHeight="1">
      <c r="B3279" s="336" t="s">
        <v>8780</v>
      </c>
      <c r="C3279" s="388" t="s">
        <v>7015</v>
      </c>
      <c r="D3279" s="386">
        <v>49862.78875</v>
      </c>
    </row>
    <row r="3280" spans="2:4" ht="13.5" customHeight="1">
      <c r="B3280" s="336" t="s">
        <v>4350</v>
      </c>
      <c r="C3280" s="388" t="s">
        <v>4242</v>
      </c>
      <c r="D3280" s="386">
        <v>49878.514687499999</v>
      </c>
    </row>
    <row r="3281" spans="2:4" ht="13.5" customHeight="1">
      <c r="B3281" s="336" t="s">
        <v>8781</v>
      </c>
      <c r="C3281" s="388" t="s">
        <v>7016</v>
      </c>
      <c r="D3281" s="386">
        <v>49894.199687499997</v>
      </c>
    </row>
    <row r="3282" spans="2:4" ht="13.5" customHeight="1">
      <c r="B3282" s="336" t="s">
        <v>4351</v>
      </c>
      <c r="C3282" s="388" t="s">
        <v>4276</v>
      </c>
      <c r="D3282" s="386">
        <v>49909.813402777778</v>
      </c>
    </row>
    <row r="3283" spans="2:4" ht="13.5" customHeight="1">
      <c r="B3283" s="336" t="s">
        <v>8782</v>
      </c>
      <c r="C3283" s="388" t="s">
        <v>7017</v>
      </c>
      <c r="D3283" s="386">
        <v>49925.328958333332</v>
      </c>
    </row>
    <row r="3284" spans="2:4" ht="13.5" customHeight="1">
      <c r="B3284" s="336" t="s">
        <v>4352</v>
      </c>
      <c r="C3284" s="389" t="s">
        <v>4278</v>
      </c>
      <c r="D3284" s="386">
        <v>49940.723692129628</v>
      </c>
    </row>
    <row r="3285" spans="2:4" ht="13.5" customHeight="1">
      <c r="B3285" s="336" t="s">
        <v>8783</v>
      </c>
      <c r="C3285" s="388" t="s">
        <v>7018</v>
      </c>
      <c r="D3285" s="386">
        <v>49955.991273148145</v>
      </c>
    </row>
    <row r="3286" spans="2:4" ht="13.5" customHeight="1">
      <c r="B3286" s="336" t="s">
        <v>4353</v>
      </c>
      <c r="C3286" s="388" t="s">
        <v>4280</v>
      </c>
      <c r="D3286" s="386">
        <v>49971.123171296291</v>
      </c>
    </row>
    <row r="3287" spans="2:4" ht="13.5" customHeight="1">
      <c r="B3287" s="336" t="s">
        <v>8784</v>
      </c>
      <c r="C3287" s="388" t="s">
        <v>7019</v>
      </c>
      <c r="D3287" s="386">
        <v>49986.133935185186</v>
      </c>
    </row>
    <row r="3288" spans="2:4" ht="13.5" customHeight="1">
      <c r="B3288" s="336" t="s">
        <v>8785</v>
      </c>
      <c r="C3288" s="388" t="s">
        <v>4282</v>
      </c>
      <c r="D3288" s="386">
        <v>50001.030335648145</v>
      </c>
    </row>
    <row r="3289" spans="2:4" ht="13.5" customHeight="1">
      <c r="B3289" s="336" t="s">
        <v>2770</v>
      </c>
      <c r="C3289" s="388" t="s">
        <v>7020</v>
      </c>
      <c r="D3289" s="386">
        <v>50015.843217592592</v>
      </c>
    </row>
    <row r="3290" spans="2:4" ht="13.5" customHeight="1">
      <c r="B3290" s="336" t="s">
        <v>1367</v>
      </c>
      <c r="C3290" s="389" t="s">
        <v>4284</v>
      </c>
      <c r="D3290" s="386">
        <v>50030.591134259259</v>
      </c>
    </row>
    <row r="3291" spans="2:4" ht="13.5" customHeight="1">
      <c r="B3291" s="336" t="s">
        <v>2771</v>
      </c>
      <c r="C3291" s="390" t="s">
        <v>9317</v>
      </c>
      <c r="D3291" s="386">
        <v>50045.31413194444</v>
      </c>
    </row>
    <row r="3292" spans="2:4" ht="13.5" customHeight="1">
      <c r="B3292" s="336" t="s">
        <v>1368</v>
      </c>
      <c r="C3292" s="388" t="s">
        <v>4230</v>
      </c>
      <c r="D3292" s="386">
        <v>50060.036099537036</v>
      </c>
    </row>
    <row r="3293" spans="2:4" ht="13.5" customHeight="1">
      <c r="B3293" s="336" t="s">
        <v>2772</v>
      </c>
      <c r="C3293" s="388" t="s">
        <v>7010</v>
      </c>
      <c r="D3293" s="386">
        <v>50074.798460648148</v>
      </c>
    </row>
    <row r="3294" spans="2:4" ht="13.5" customHeight="1">
      <c r="B3294" s="336" t="s">
        <v>1369</v>
      </c>
      <c r="C3294" s="388" t="s">
        <v>4232</v>
      </c>
      <c r="D3294" s="386">
        <v>50089.622835648144</v>
      </c>
    </row>
    <row r="3295" spans="2:4" ht="13.5" customHeight="1">
      <c r="B3295" s="336" t="s">
        <v>2773</v>
      </c>
      <c r="C3295" s="388" t="s">
        <v>7011</v>
      </c>
      <c r="D3295" s="386">
        <v>50104.544560185182</v>
      </c>
    </row>
    <row r="3296" spans="2:4" ht="13.5" customHeight="1">
      <c r="B3296" s="336" t="s">
        <v>1370</v>
      </c>
      <c r="C3296" s="389" t="s">
        <v>4234</v>
      </c>
      <c r="D3296" s="386">
        <v>50119.575081018513</v>
      </c>
    </row>
    <row r="3297" spans="2:4" ht="13.5" customHeight="1">
      <c r="B3297" s="336" t="s">
        <v>2774</v>
      </c>
      <c r="C3297" s="388" t="s">
        <v>7012</v>
      </c>
      <c r="D3297" s="386">
        <v>50134.737638888888</v>
      </c>
    </row>
    <row r="3298" spans="2:4" ht="13.5" customHeight="1">
      <c r="B3298" s="336" t="s">
        <v>1371</v>
      </c>
      <c r="C3298" s="388" t="s">
        <v>4236</v>
      </c>
      <c r="D3298" s="386">
        <v>50150.026724537034</v>
      </c>
    </row>
    <row r="3299" spans="2:4" ht="13.5" customHeight="1">
      <c r="B3299" s="336" t="s">
        <v>2775</v>
      </c>
      <c r="C3299" s="388" t="s">
        <v>7013</v>
      </c>
      <c r="D3299" s="386">
        <v>50165.450023148143</v>
      </c>
    </row>
    <row r="3300" spans="2:4" ht="13.5" customHeight="1">
      <c r="B3300" s="336" t="s">
        <v>1372</v>
      </c>
      <c r="C3300" s="388" t="s">
        <v>4238</v>
      </c>
      <c r="D3300" s="386">
        <v>50180.981932870367</v>
      </c>
    </row>
    <row r="3301" spans="2:4" ht="13.5" customHeight="1">
      <c r="B3301" s="336" t="s">
        <v>2776</v>
      </c>
      <c r="C3301" s="388" t="s">
        <v>7014</v>
      </c>
      <c r="D3301" s="386">
        <v>50196.614872685182</v>
      </c>
    </row>
    <row r="3302" spans="2:4" ht="13.5" customHeight="1">
      <c r="B3302" s="336" t="s">
        <v>1373</v>
      </c>
      <c r="C3302" s="389" t="s">
        <v>4240</v>
      </c>
      <c r="D3302" s="386">
        <v>50212.306041666663</v>
      </c>
    </row>
    <row r="3303" spans="2:4" ht="13.5" customHeight="1">
      <c r="B3303" s="336" t="s">
        <v>3962</v>
      </c>
      <c r="C3303" s="388" t="s">
        <v>7015</v>
      </c>
      <c r="D3303" s="386">
        <v>50228.036979166667</v>
      </c>
    </row>
    <row r="3304" spans="2:4" ht="13.5" customHeight="1">
      <c r="B3304" s="336" t="s">
        <v>1374</v>
      </c>
      <c r="C3304" s="388" t="s">
        <v>4242</v>
      </c>
      <c r="D3304" s="386">
        <v>50243.757245370369</v>
      </c>
    </row>
    <row r="3305" spans="2:4" ht="13.5" customHeight="1">
      <c r="B3305" s="336" t="s">
        <v>2908</v>
      </c>
      <c r="C3305" s="388" t="s">
        <v>7016</v>
      </c>
      <c r="D3305" s="386">
        <v>50259.445092592592</v>
      </c>
    </row>
    <row r="3306" spans="2:4" ht="13.5" customHeight="1">
      <c r="B3306" s="336" t="s">
        <v>3688</v>
      </c>
      <c r="C3306" s="388" t="s">
        <v>4276</v>
      </c>
      <c r="D3306" s="386">
        <v>50275.055532407408</v>
      </c>
    </row>
    <row r="3307" spans="2:4" ht="13.5" customHeight="1">
      <c r="B3307" s="336" t="s">
        <v>2909</v>
      </c>
      <c r="C3307" s="388" t="s">
        <v>7017</v>
      </c>
      <c r="D3307" s="386">
        <v>50290.572060185186</v>
      </c>
    </row>
    <row r="3308" spans="2:4" ht="13.5" customHeight="1">
      <c r="B3308" s="336" t="s">
        <v>3689</v>
      </c>
      <c r="C3308" s="389" t="s">
        <v>4278</v>
      </c>
      <c r="D3308" s="386">
        <v>50305.966157407405</v>
      </c>
    </row>
    <row r="3309" spans="2:4" ht="13.5" customHeight="1">
      <c r="B3309" s="336" t="s">
        <v>2910</v>
      </c>
      <c r="C3309" s="388" t="s">
        <v>7018</v>
      </c>
      <c r="D3309" s="386">
        <v>50321.233506944445</v>
      </c>
    </row>
    <row r="3310" spans="2:4" ht="13.5" customHeight="1">
      <c r="B3310" s="336" t="s">
        <v>6507</v>
      </c>
      <c r="C3310" s="388" t="s">
        <v>4280</v>
      </c>
      <c r="D3310" s="386">
        <v>50336.366782407407</v>
      </c>
    </row>
    <row r="3311" spans="2:4" ht="13.5" customHeight="1">
      <c r="B3311" s="336" t="s">
        <v>2911</v>
      </c>
      <c r="C3311" s="388" t="s">
        <v>7019</v>
      </c>
      <c r="D3311" s="386">
        <v>50351.376747685186</v>
      </c>
    </row>
    <row r="3312" spans="2:4" ht="13.5" customHeight="1">
      <c r="B3312" s="336" t="s">
        <v>6508</v>
      </c>
      <c r="C3312" s="388" t="s">
        <v>4282</v>
      </c>
      <c r="D3312" s="386">
        <v>50366.275462962964</v>
      </c>
    </row>
    <row r="3313" spans="2:4" ht="13.5" customHeight="1">
      <c r="B3313" s="336" t="s">
        <v>2912</v>
      </c>
      <c r="C3313" s="388" t="s">
        <v>7020</v>
      </c>
      <c r="D3313" s="386">
        <v>50381.087280092594</v>
      </c>
    </row>
    <row r="3314" spans="2:4" ht="13.5" customHeight="1">
      <c r="B3314" s="336" t="s">
        <v>6509</v>
      </c>
      <c r="C3314" s="389" t="s">
        <v>4284</v>
      </c>
      <c r="D3314" s="386">
        <v>50395.837476851848</v>
      </c>
    </row>
    <row r="3315" spans="2:4" ht="13.5" customHeight="1">
      <c r="B3315" s="336" t="s">
        <v>2913</v>
      </c>
      <c r="C3315" s="390" t="s">
        <v>9317</v>
      </c>
      <c r="D3315" s="386">
        <v>50410.55905092592</v>
      </c>
    </row>
    <row r="3316" spans="2:4" ht="13.5" customHeight="1">
      <c r="B3316" s="336" t="s">
        <v>6510</v>
      </c>
      <c r="C3316" s="388" t="s">
        <v>4230</v>
      </c>
      <c r="D3316" s="386">
        <v>50425.282650462963</v>
      </c>
    </row>
    <row r="3317" spans="2:4" ht="13.5" customHeight="1">
      <c r="B3317" s="336" t="s">
        <v>977</v>
      </c>
      <c r="C3317" s="388" t="s">
        <v>7010</v>
      </c>
      <c r="D3317" s="386">
        <v>50440.042997685181</v>
      </c>
    </row>
    <row r="3318" spans="2:4" ht="13.5" customHeight="1">
      <c r="B3318" s="336" t="s">
        <v>6511</v>
      </c>
      <c r="C3318" s="388" t="s">
        <v>4232</v>
      </c>
      <c r="D3318" s="386">
        <v>50454.868310185186</v>
      </c>
    </row>
    <row r="3319" spans="2:4" ht="13.5" customHeight="1">
      <c r="B3319" s="336" t="s">
        <v>978</v>
      </c>
      <c r="C3319" s="388" t="s">
        <v>7011</v>
      </c>
      <c r="D3319" s="386">
        <v>50469.787199074075</v>
      </c>
    </row>
    <row r="3320" spans="2:4" ht="13.5" customHeight="1">
      <c r="B3320" s="336" t="s">
        <v>6512</v>
      </c>
      <c r="C3320" s="389" t="s">
        <v>4234</v>
      </c>
      <c r="D3320" s="386">
        <v>50484.818657407406</v>
      </c>
    </row>
    <row r="3321" spans="2:4" ht="13.5" customHeight="1">
      <c r="B3321" s="336" t="s">
        <v>979</v>
      </c>
      <c r="C3321" s="388" t="s">
        <v>7012</v>
      </c>
      <c r="D3321" s="386">
        <v>50499.977407407408</v>
      </c>
    </row>
    <row r="3322" spans="2:4" ht="13.5" customHeight="1">
      <c r="B3322" s="336" t="s">
        <v>6513</v>
      </c>
      <c r="C3322" s="388" t="s">
        <v>4236</v>
      </c>
      <c r="D3322" s="386">
        <v>50515.268541666665</v>
      </c>
    </row>
    <row r="3323" spans="2:4" ht="13.5" customHeight="1">
      <c r="B3323" s="336" t="s">
        <v>980</v>
      </c>
      <c r="C3323" s="388" t="s">
        <v>7013</v>
      </c>
      <c r="D3323" s="386">
        <v>50530.686979166661</v>
      </c>
    </row>
    <row r="3324" spans="2:4" ht="13.5" customHeight="1">
      <c r="B3324" s="336" t="s">
        <v>2038</v>
      </c>
      <c r="C3324" s="388" t="s">
        <v>4238</v>
      </c>
      <c r="D3324" s="386">
        <v>50546.222974537035</v>
      </c>
    </row>
    <row r="3325" spans="2:4" ht="13.5" customHeight="1">
      <c r="B3325" s="336" t="s">
        <v>5713</v>
      </c>
      <c r="C3325" s="388" t="s">
        <v>7014</v>
      </c>
      <c r="D3325" s="386">
        <v>50561.849976851852</v>
      </c>
    </row>
    <row r="3326" spans="2:4" ht="13.5" customHeight="1">
      <c r="B3326" s="336" t="s">
        <v>2039</v>
      </c>
      <c r="C3326" s="389" t="s">
        <v>4240</v>
      </c>
      <c r="D3326" s="386">
        <v>50577.547233796293</v>
      </c>
    </row>
    <row r="3327" spans="2:4" ht="13.5" customHeight="1">
      <c r="B3327" s="336" t="s">
        <v>5714</v>
      </c>
      <c r="C3327" s="388" t="s">
        <v>7015</v>
      </c>
      <c r="D3327" s="386">
        <v>50593.271539351852</v>
      </c>
    </row>
    <row r="3328" spans="2:4" ht="13.5" customHeight="1">
      <c r="B3328" s="336" t="s">
        <v>2040</v>
      </c>
      <c r="C3328" s="388" t="s">
        <v>4242</v>
      </c>
      <c r="D3328" s="386">
        <v>50608.998888888884</v>
      </c>
    </row>
    <row r="3329" spans="2:4" ht="13.5" customHeight="1">
      <c r="B3329" s="336" t="s">
        <v>5715</v>
      </c>
      <c r="C3329" s="388" t="s">
        <v>7016</v>
      </c>
      <c r="D3329" s="386">
        <v>50624.680300925924</v>
      </c>
    </row>
    <row r="3330" spans="2:4" ht="13.5" customHeight="1">
      <c r="B3330" s="336" t="s">
        <v>2041</v>
      </c>
      <c r="C3330" s="388" t="s">
        <v>4276</v>
      </c>
      <c r="D3330" s="386">
        <v>50640.297581018516</v>
      </c>
    </row>
    <row r="3331" spans="2:4" ht="13.5" customHeight="1">
      <c r="B3331" s="336" t="s">
        <v>5716</v>
      </c>
      <c r="C3331" s="388" t="s">
        <v>7017</v>
      </c>
      <c r="D3331" s="386">
        <v>50655.808819444443</v>
      </c>
    </row>
    <row r="3332" spans="2:4" ht="13.5" customHeight="1">
      <c r="B3332" s="336" t="s">
        <v>2042</v>
      </c>
      <c r="C3332" s="389" t="s">
        <v>4278</v>
      </c>
      <c r="D3332" s="386">
        <v>50671.20890046296</v>
      </c>
    </row>
    <row r="3333" spans="2:4" ht="13.5" customHeight="1">
      <c r="B3333" s="336" t="s">
        <v>5717</v>
      </c>
      <c r="C3333" s="388" t="s">
        <v>7018</v>
      </c>
      <c r="D3333" s="386">
        <v>50686.472384259258</v>
      </c>
    </row>
    <row r="3334" spans="2:4" ht="13.5" customHeight="1">
      <c r="B3334" s="336" t="s">
        <v>2043</v>
      </c>
      <c r="C3334" s="388" t="s">
        <v>4280</v>
      </c>
      <c r="D3334" s="386">
        <v>50701.61069444444</v>
      </c>
    </row>
    <row r="3335" spans="2:4" ht="13.5" customHeight="1">
      <c r="B3335" s="336" t="s">
        <v>5718</v>
      </c>
      <c r="C3335" s="388" t="s">
        <v>7019</v>
      </c>
      <c r="D3335" s="386">
        <v>50716.617696759255</v>
      </c>
    </row>
    <row r="3336" spans="2:4" ht="13.5" customHeight="1">
      <c r="B3336" s="336" t="s">
        <v>2044</v>
      </c>
      <c r="C3336" s="388" t="s">
        <v>4282</v>
      </c>
      <c r="D3336" s="386">
        <v>50731.52071759259</v>
      </c>
    </row>
    <row r="3337" spans="2:4" ht="13.5" customHeight="1">
      <c r="B3337" s="336" t="s">
        <v>5719</v>
      </c>
      <c r="C3337" s="388" t="s">
        <v>7020</v>
      </c>
      <c r="D3337" s="386">
        <v>50746.329675925925</v>
      </c>
    </row>
    <row r="3338" spans="2:4" ht="13.5" customHeight="1">
      <c r="B3338" s="336" t="s">
        <v>2045</v>
      </c>
      <c r="C3338" s="389" t="s">
        <v>4284</v>
      </c>
      <c r="D3338" s="386">
        <v>50761.083657407406</v>
      </c>
    </row>
    <row r="3339" spans="2:4" ht="13.5" customHeight="1">
      <c r="B3339" s="336" t="s">
        <v>5567</v>
      </c>
      <c r="C3339" s="390" t="s">
        <v>9317</v>
      </c>
      <c r="D3339" s="386">
        <v>50775.801932870367</v>
      </c>
    </row>
    <row r="3340" spans="2:4" ht="13.5" customHeight="1">
      <c r="B3340" s="336" t="s">
        <v>2046</v>
      </c>
      <c r="C3340" s="388" t="s">
        <v>4230</v>
      </c>
      <c r="D3340" s="386">
        <v>50790.528923611106</v>
      </c>
    </row>
    <row r="3341" spans="2:4" ht="13.5" customHeight="1">
      <c r="B3341" s="336" t="s">
        <v>5568</v>
      </c>
      <c r="C3341" s="388" t="s">
        <v>7010</v>
      </c>
      <c r="D3341" s="386">
        <v>50805.285462962958</v>
      </c>
    </row>
    <row r="3342" spans="2:4" ht="13.5" customHeight="1">
      <c r="B3342" s="336" t="s">
        <v>2047</v>
      </c>
      <c r="C3342" s="388" t="s">
        <v>4232</v>
      </c>
      <c r="D3342" s="386">
        <v>50820.113854166666</v>
      </c>
    </row>
    <row r="3343" spans="2:4" ht="13.5" customHeight="1">
      <c r="B3343" s="336" t="s">
        <v>5569</v>
      </c>
      <c r="C3343" s="388" t="s">
        <v>7011</v>
      </c>
      <c r="D3343" s="386">
        <v>50835.028831018513</v>
      </c>
    </row>
    <row r="3344" spans="2:4" ht="13.5" customHeight="1">
      <c r="B3344" s="336" t="s">
        <v>2048</v>
      </c>
      <c r="C3344" s="389" t="s">
        <v>4234</v>
      </c>
      <c r="D3344" s="386">
        <v>50850.062916666662</v>
      </c>
    </row>
    <row r="3345" spans="2:4" ht="13.5" customHeight="1">
      <c r="B3345" s="336" t="s">
        <v>424</v>
      </c>
      <c r="C3345" s="388" t="s">
        <v>7012</v>
      </c>
      <c r="D3345" s="386">
        <v>50865.218414351846</v>
      </c>
    </row>
    <row r="3346" spans="2:4" ht="13.5" customHeight="1">
      <c r="B3346" s="336" t="s">
        <v>2049</v>
      </c>
      <c r="C3346" s="388" t="s">
        <v>4236</v>
      </c>
      <c r="D3346" s="386">
        <v>50880.511400462958</v>
      </c>
    </row>
    <row r="3347" spans="2:4" ht="13.5" customHeight="1">
      <c r="B3347" s="336" t="s">
        <v>425</v>
      </c>
      <c r="C3347" s="388" t="s">
        <v>7013</v>
      </c>
      <c r="D3347" s="386">
        <v>50895.928310185183</v>
      </c>
    </row>
    <row r="3348" spans="2:4" ht="13.5" customHeight="1">
      <c r="B3348" s="336" t="s">
        <v>2050</v>
      </c>
      <c r="C3348" s="388" t="s">
        <v>4238</v>
      </c>
      <c r="D3348" s="386">
        <v>50911.464803240735</v>
      </c>
    </row>
    <row r="3349" spans="2:4" ht="13.5" customHeight="1">
      <c r="B3349" s="336" t="s">
        <v>426</v>
      </c>
      <c r="C3349" s="388" t="s">
        <v>7014</v>
      </c>
      <c r="D3349" s="386">
        <v>50927.092997685184</v>
      </c>
    </row>
    <row r="3350" spans="2:4" ht="13.5" customHeight="1">
      <c r="B3350" s="336" t="s">
        <v>2051</v>
      </c>
      <c r="C3350" s="389" t="s">
        <v>4240</v>
      </c>
      <c r="D3350" s="386">
        <v>50942.788773148146</v>
      </c>
    </row>
    <row r="3351" spans="2:4" ht="13.5" customHeight="1">
      <c r="B3351" s="336" t="s">
        <v>427</v>
      </c>
      <c r="C3351" s="388" t="s">
        <v>7015</v>
      </c>
      <c r="D3351" s="386">
        <v>50958.517175925925</v>
      </c>
    </row>
    <row r="3352" spans="2:4" ht="13.5" customHeight="1">
      <c r="B3352" s="336" t="s">
        <v>2052</v>
      </c>
      <c r="C3352" s="388" t="s">
        <v>4242</v>
      </c>
      <c r="D3352" s="386">
        <v>50974.240752314814</v>
      </c>
    </row>
    <row r="3353" spans="2:4" ht="13.5" customHeight="1">
      <c r="B3353" s="336" t="s">
        <v>428</v>
      </c>
      <c r="C3353" s="388" t="s">
        <v>7016</v>
      </c>
      <c r="D3353" s="386">
        <v>50989.928136574068</v>
      </c>
    </row>
    <row r="3354" spans="2:4" ht="13.5" customHeight="1">
      <c r="B3354" s="336" t="s">
        <v>545</v>
      </c>
      <c r="C3354" s="388" t="s">
        <v>4276</v>
      </c>
      <c r="D3354" s="386">
        <v>51005.539560185185</v>
      </c>
    </row>
    <row r="3355" spans="2:4" ht="13.5" customHeight="1">
      <c r="B3355" s="336" t="s">
        <v>429</v>
      </c>
      <c r="C3355" s="388" t="s">
        <v>7017</v>
      </c>
      <c r="D3355" s="386">
        <v>51021.057129629626</v>
      </c>
    </row>
    <row r="3356" spans="2:4" ht="13.5" customHeight="1">
      <c r="B3356" s="336" t="s">
        <v>546</v>
      </c>
      <c r="C3356" s="389" t="s">
        <v>4278</v>
      </c>
      <c r="D3356" s="386">
        <v>51036.449953703705</v>
      </c>
    </row>
    <row r="3357" spans="2:4" ht="13.5" customHeight="1">
      <c r="B3357" s="336" t="s">
        <v>430</v>
      </c>
      <c r="C3357" s="388" t="s">
        <v>7018</v>
      </c>
      <c r="D3357" s="386">
        <v>51051.719189814816</v>
      </c>
    </row>
    <row r="3358" spans="2:4" ht="13.5" customHeight="1">
      <c r="B3358" s="336" t="s">
        <v>476</v>
      </c>
      <c r="C3358" s="388" t="s">
        <v>4280</v>
      </c>
      <c r="D3358" s="386">
        <v>51066.849722222221</v>
      </c>
    </row>
    <row r="3359" spans="2:4" ht="13.5" customHeight="1">
      <c r="B3359" s="336" t="s">
        <v>431</v>
      </c>
      <c r="C3359" s="388" t="s">
        <v>7019</v>
      </c>
      <c r="D3359" s="386">
        <v>51081.86206018518</v>
      </c>
    </row>
    <row r="3360" spans="2:4" ht="13.5" customHeight="1">
      <c r="B3360" s="336" t="s">
        <v>477</v>
      </c>
      <c r="C3360" s="388" t="s">
        <v>4282</v>
      </c>
      <c r="D3360" s="386">
        <v>51096.757476851846</v>
      </c>
    </row>
    <row r="3361" spans="2:4" ht="13.5" customHeight="1">
      <c r="B3361" s="336" t="s">
        <v>432</v>
      </c>
      <c r="C3361" s="388" t="s">
        <v>7020</v>
      </c>
      <c r="D3361" s="386">
        <v>51111.571863425925</v>
      </c>
    </row>
    <row r="3362" spans="2:4" ht="13.5" customHeight="1">
      <c r="B3362" s="336" t="s">
        <v>478</v>
      </c>
      <c r="C3362" s="389" t="s">
        <v>4284</v>
      </c>
      <c r="D3362" s="386">
        <v>51126.318749999999</v>
      </c>
    </row>
    <row r="3363" spans="2:4" ht="13.5" customHeight="1">
      <c r="B3363" s="336" t="s">
        <v>433</v>
      </c>
      <c r="C3363" s="390" t="s">
        <v>9317</v>
      </c>
      <c r="D3363" s="386">
        <v>51141.042939814812</v>
      </c>
    </row>
    <row r="3364" spans="2:4" ht="13.5" customHeight="1">
      <c r="B3364" s="336" t="s">
        <v>479</v>
      </c>
      <c r="C3364" s="388" t="s">
        <v>4230</v>
      </c>
      <c r="D3364" s="386">
        <v>51155.763379629629</v>
      </c>
    </row>
    <row r="3365" spans="2:4" ht="13.5" customHeight="1">
      <c r="B3365" s="336" t="s">
        <v>434</v>
      </c>
      <c r="C3365" s="388" t="s">
        <v>7010</v>
      </c>
      <c r="D3365" s="386">
        <v>51170.526342592588</v>
      </c>
    </row>
    <row r="3366" spans="2:4" ht="13.5" customHeight="1">
      <c r="B3366" s="336" t="s">
        <v>480</v>
      </c>
      <c r="C3366" s="388" t="s">
        <v>4232</v>
      </c>
      <c r="D3366" s="386">
        <v>51185.348530092589</v>
      </c>
    </row>
    <row r="3367" spans="2:4" ht="13.5" customHeight="1">
      <c r="B3367" s="336" t="s">
        <v>435</v>
      </c>
      <c r="C3367" s="388" t="s">
        <v>7011</v>
      </c>
      <c r="D3367" s="386">
        <v>51200.270324074074</v>
      </c>
    </row>
    <row r="3368" spans="2:4" ht="13.5" customHeight="1">
      <c r="B3368" s="336" t="s">
        <v>3238</v>
      </c>
      <c r="C3368" s="389" t="s">
        <v>4234</v>
      </c>
      <c r="D3368" s="386">
        <v>51215.298518518517</v>
      </c>
    </row>
    <row r="3369" spans="2:4" ht="13.5" customHeight="1">
      <c r="B3369" s="336" t="s">
        <v>436</v>
      </c>
      <c r="C3369" s="388" t="s">
        <v>7012</v>
      </c>
      <c r="D3369" s="386">
        <v>51230.461006944439</v>
      </c>
    </row>
    <row r="3370" spans="2:4" ht="13.5" customHeight="1">
      <c r="B3370" s="336" t="s">
        <v>5204</v>
      </c>
      <c r="C3370" s="388" t="s">
        <v>4236</v>
      </c>
      <c r="D3370" s="386">
        <v>51245.748622685183</v>
      </c>
    </row>
    <row r="3371" spans="2:4" ht="13.5" customHeight="1">
      <c r="B3371" s="336" t="s">
        <v>437</v>
      </c>
      <c r="C3371" s="388" t="s">
        <v>7013</v>
      </c>
      <c r="D3371" s="386">
        <v>51261.172222222223</v>
      </c>
    </row>
    <row r="3372" spans="2:4" ht="13.5" customHeight="1">
      <c r="B3372" s="336" t="s">
        <v>5205</v>
      </c>
      <c r="C3372" s="388" t="s">
        <v>4238</v>
      </c>
      <c r="D3372" s="386">
        <v>51276.704409722217</v>
      </c>
    </row>
    <row r="3373" spans="2:4" ht="13.5" customHeight="1">
      <c r="B3373" s="336" t="s">
        <v>438</v>
      </c>
      <c r="C3373" s="388" t="s">
        <v>7014</v>
      </c>
      <c r="D3373" s="386">
        <v>51292.338009259256</v>
      </c>
    </row>
    <row r="3374" spans="2:4" ht="13.5" customHeight="1">
      <c r="B3374" s="336" t="s">
        <v>5206</v>
      </c>
      <c r="C3374" s="389" t="s">
        <v>4240</v>
      </c>
      <c r="D3374" s="386">
        <v>51308.03125</v>
      </c>
    </row>
    <row r="3375" spans="2:4" ht="13.5" customHeight="1">
      <c r="B3375" s="336" t="s">
        <v>439</v>
      </c>
      <c r="C3375" s="388" t="s">
        <v>7015</v>
      </c>
      <c r="D3375" s="386">
        <v>51323.762511574074</v>
      </c>
    </row>
    <row r="3376" spans="2:4" ht="13.5" customHeight="1">
      <c r="B3376" s="336" t="s">
        <v>5207</v>
      </c>
      <c r="C3376" s="388" t="s">
        <v>4242</v>
      </c>
      <c r="D3376" s="386">
        <v>51339.485787037032</v>
      </c>
    </row>
    <row r="3377" spans="2:4" ht="13.5" customHeight="1">
      <c r="B3377" s="336" t="s">
        <v>4321</v>
      </c>
      <c r="C3377" s="388" t="s">
        <v>7016</v>
      </c>
      <c r="D3377" s="386">
        <v>51355.172800925924</v>
      </c>
    </row>
    <row r="3378" spans="2:4" ht="13.5" customHeight="1">
      <c r="B3378" s="336" t="s">
        <v>5208</v>
      </c>
      <c r="C3378" s="388" t="s">
        <v>4276</v>
      </c>
      <c r="D3378" s="386">
        <v>51370.786053240736</v>
      </c>
    </row>
    <row r="3379" spans="2:4" ht="13.5" customHeight="1">
      <c r="B3379" s="336" t="s">
        <v>4322</v>
      </c>
      <c r="C3379" s="388" t="s">
        <v>7017</v>
      </c>
      <c r="D3379" s="386">
        <v>51386.300451388888</v>
      </c>
    </row>
    <row r="3380" spans="2:4" ht="13.5" customHeight="1">
      <c r="B3380" s="336" t="s">
        <v>5209</v>
      </c>
      <c r="C3380" s="389" t="s">
        <v>4278</v>
      </c>
      <c r="D3380" s="386">
        <v>51401.69663194444</v>
      </c>
    </row>
    <row r="3381" spans="2:4" ht="13.5" customHeight="1">
      <c r="B3381" s="336" t="s">
        <v>5755</v>
      </c>
      <c r="C3381" s="388" t="s">
        <v>7018</v>
      </c>
      <c r="D3381" s="386">
        <v>51416.960995370369</v>
      </c>
    </row>
    <row r="3382" spans="2:4" ht="13.5" customHeight="1">
      <c r="B3382" s="336" t="s">
        <v>5210</v>
      </c>
      <c r="C3382" s="388" t="s">
        <v>4280</v>
      </c>
      <c r="D3382" s="386">
        <v>51432.095775462964</v>
      </c>
    </row>
    <row r="3383" spans="2:4" ht="13.5" customHeight="1">
      <c r="B3383" s="336" t="s">
        <v>5756</v>
      </c>
      <c r="C3383" s="388" t="s">
        <v>7019</v>
      </c>
      <c r="D3383" s="386">
        <v>51447.102523148147</v>
      </c>
    </row>
    <row r="3384" spans="2:4" ht="13.5" customHeight="1">
      <c r="B3384" s="336" t="s">
        <v>5211</v>
      </c>
      <c r="C3384" s="388" t="s">
        <v>4282</v>
      </c>
      <c r="D3384" s="386">
        <v>51462.002662037034</v>
      </c>
    </row>
    <row r="3385" spans="2:4" ht="13.5" customHeight="1">
      <c r="B3385" s="336" t="s">
        <v>5901</v>
      </c>
      <c r="C3385" s="388" t="s">
        <v>7020</v>
      </c>
      <c r="D3385" s="386">
        <v>51476.81150462963</v>
      </c>
    </row>
    <row r="3386" spans="2:4" ht="13.5" customHeight="1">
      <c r="B3386" s="336" t="s">
        <v>5212</v>
      </c>
      <c r="C3386" s="389" t="s">
        <v>4284</v>
      </c>
      <c r="D3386" s="386">
        <v>51491.563414351847</v>
      </c>
    </row>
    <row r="3387" spans="2:4" ht="13.5" customHeight="1">
      <c r="B3387" s="336" t="s">
        <v>5902</v>
      </c>
      <c r="C3387" s="390" t="s">
        <v>9317</v>
      </c>
      <c r="D3387" s="386">
        <v>51506.282442129625</v>
      </c>
    </row>
    <row r="3388" spans="2:4" ht="13.5" customHeight="1">
      <c r="B3388" s="336" t="s">
        <v>393</v>
      </c>
      <c r="C3388" s="388" t="s">
        <v>4230</v>
      </c>
      <c r="D3388" s="386">
        <v>51521.008206018516</v>
      </c>
    </row>
    <row r="3389" spans="2:4" ht="13.5" customHeight="1">
      <c r="B3389" s="336" t="s">
        <v>5903</v>
      </c>
      <c r="C3389" s="388" t="s">
        <v>7010</v>
      </c>
      <c r="D3389" s="386">
        <v>51535.766412037032</v>
      </c>
    </row>
    <row r="3390" spans="2:4" ht="13.5" customHeight="1">
      <c r="B3390" s="336" t="s">
        <v>394</v>
      </c>
      <c r="C3390" s="388" t="s">
        <v>4232</v>
      </c>
      <c r="D3390" s="386">
        <v>51550.594224537032</v>
      </c>
    </row>
    <row r="3391" spans="2:4" ht="13.5" customHeight="1">
      <c r="B3391" s="336" t="s">
        <v>5904</v>
      </c>
      <c r="C3391" s="388" t="s">
        <v>7011</v>
      </c>
      <c r="D3391" s="386">
        <v>51565.511145833334</v>
      </c>
    </row>
    <row r="3392" spans="2:4" ht="13.5" customHeight="1">
      <c r="B3392" s="336" t="s">
        <v>395</v>
      </c>
      <c r="C3392" s="389" t="s">
        <v>4234</v>
      </c>
      <c r="D3392" s="386">
        <v>51580.54515046296</v>
      </c>
    </row>
    <row r="3393" spans="2:4" ht="13.5" customHeight="1">
      <c r="B3393" s="336" t="s">
        <v>5905</v>
      </c>
      <c r="C3393" s="388" t="s">
        <v>7012</v>
      </c>
      <c r="D3393" s="386">
        <v>51595.701898148145</v>
      </c>
    </row>
    <row r="3394" spans="2:4" ht="13.5" customHeight="1">
      <c r="B3394" s="336" t="s">
        <v>396</v>
      </c>
      <c r="C3394" s="388" t="s">
        <v>4236</v>
      </c>
      <c r="D3394" s="386">
        <v>51610.995358796295</v>
      </c>
    </row>
    <row r="3395" spans="2:4" ht="13.5" customHeight="1">
      <c r="B3395" s="336" t="s">
        <v>5906</v>
      </c>
      <c r="C3395" s="388" t="s">
        <v>7013</v>
      </c>
      <c r="D3395" s="386">
        <v>51626.411828703698</v>
      </c>
    </row>
    <row r="3396" spans="2:4" ht="13.5" customHeight="1">
      <c r="B3396" s="336" t="s">
        <v>397</v>
      </c>
      <c r="C3396" s="388" t="s">
        <v>4238</v>
      </c>
      <c r="D3396" s="386">
        <v>51641.949756944443</v>
      </c>
    </row>
    <row r="3397" spans="2:4" ht="13.5" customHeight="1">
      <c r="B3397" s="336" t="s">
        <v>5525</v>
      </c>
      <c r="C3397" s="388" t="s">
        <v>7014</v>
      </c>
      <c r="D3397" s="386">
        <v>51657.575312499997</v>
      </c>
    </row>
    <row r="3398" spans="2:4" ht="13.5" customHeight="1">
      <c r="B3398" s="336" t="s">
        <v>398</v>
      </c>
      <c r="C3398" s="389" t="s">
        <v>4240</v>
      </c>
      <c r="D3398" s="386">
        <v>51673.273993055554</v>
      </c>
    </row>
    <row r="3399" spans="2:4" ht="13.5" customHeight="1">
      <c r="B3399" s="336" t="s">
        <v>5526</v>
      </c>
      <c r="C3399" s="388" t="s">
        <v>7015</v>
      </c>
      <c r="D3399" s="386">
        <v>51688.997835648144</v>
      </c>
    </row>
    <row r="3400" spans="2:4" ht="13.5" customHeight="1">
      <c r="B3400" s="336" t="s">
        <v>399</v>
      </c>
      <c r="C3400" s="388" t="s">
        <v>4242</v>
      </c>
      <c r="D3400" s="386">
        <v>51704.725763888884</v>
      </c>
    </row>
    <row r="3401" spans="2:4" ht="13.5" customHeight="1">
      <c r="B3401" s="336" t="s">
        <v>5527</v>
      </c>
      <c r="C3401" s="388" t="s">
        <v>7016</v>
      </c>
      <c r="D3401" s="386">
        <v>51720.407604166663</v>
      </c>
    </row>
    <row r="3402" spans="2:4" ht="13.5" customHeight="1">
      <c r="B3402" s="336" t="s">
        <v>400</v>
      </c>
      <c r="C3402" s="388" t="s">
        <v>4276</v>
      </c>
      <c r="D3402" s="386">
        <v>51736.024212962962</v>
      </c>
    </row>
    <row r="3403" spans="2:4" ht="13.5" customHeight="1">
      <c r="B3403" s="336" t="s">
        <v>5528</v>
      </c>
      <c r="C3403" s="388" t="s">
        <v>7017</v>
      </c>
      <c r="D3403" s="386">
        <v>51751.536134259259</v>
      </c>
    </row>
    <row r="3404" spans="2:4" ht="13.5" customHeight="1">
      <c r="B3404" s="336" t="s">
        <v>401</v>
      </c>
      <c r="C3404" s="389" t="s">
        <v>4278</v>
      </c>
      <c r="D3404" s="386">
        <v>51766.934178240735</v>
      </c>
    </row>
    <row r="3405" spans="2:4" ht="13.5" customHeight="1">
      <c r="B3405" s="336" t="s">
        <v>5529</v>
      </c>
      <c r="C3405" s="388" t="s">
        <v>7018</v>
      </c>
      <c r="D3405" s="386">
        <v>51782.198194444441</v>
      </c>
    </row>
    <row r="3406" spans="2:4" ht="13.5" customHeight="1">
      <c r="B3406" s="336" t="s">
        <v>402</v>
      </c>
      <c r="C3406" s="388" t="s">
        <v>4280</v>
      </c>
      <c r="D3406" s="386">
        <v>51797.333645833329</v>
      </c>
    </row>
    <row r="3407" spans="2:4" ht="13.5" customHeight="1">
      <c r="B3407" s="336" t="s">
        <v>5530</v>
      </c>
      <c r="C3407" s="388" t="s">
        <v>7019</v>
      </c>
      <c r="D3407" s="386">
        <v>51812.341226851851</v>
      </c>
    </row>
    <row r="3408" spans="2:4" ht="13.5" customHeight="1">
      <c r="B3408" s="336" t="s">
        <v>403</v>
      </c>
      <c r="C3408" s="388" t="s">
        <v>4282</v>
      </c>
      <c r="D3408" s="386">
        <v>51827.241388888884</v>
      </c>
    </row>
    <row r="3409" spans="2:4" ht="13.5" customHeight="1">
      <c r="B3409" s="336" t="s">
        <v>5531</v>
      </c>
      <c r="C3409" s="388" t="s">
        <v>7020</v>
      </c>
      <c r="D3409" s="386">
        <v>51842.051435185182</v>
      </c>
    </row>
    <row r="3410" spans="2:4" ht="13.5" customHeight="1">
      <c r="B3410" s="336" t="s">
        <v>4525</v>
      </c>
      <c r="C3410" s="389" t="s">
        <v>4284</v>
      </c>
      <c r="D3410" s="386">
        <v>51856.803206018514</v>
      </c>
    </row>
    <row r="3411" spans="2:4" ht="13.5" customHeight="1">
      <c r="B3411" s="336" t="s">
        <v>8711</v>
      </c>
      <c r="C3411" s="390" t="s">
        <v>9317</v>
      </c>
      <c r="D3411" s="386">
        <v>51871.523333333331</v>
      </c>
    </row>
    <row r="3412" spans="2:4" ht="13.5" customHeight="1">
      <c r="B3412" s="336" t="s">
        <v>4526</v>
      </c>
      <c r="C3412" s="388" t="s">
        <v>4230</v>
      </c>
      <c r="D3412" s="386">
        <v>51886.248900462961</v>
      </c>
    </row>
    <row r="3413" spans="2:4" ht="13.5" customHeight="1">
      <c r="B3413" s="336" t="s">
        <v>3805</v>
      </c>
      <c r="C3413" s="388" t="s">
        <v>7010</v>
      </c>
      <c r="D3413" s="386">
        <v>51901.007905092592</v>
      </c>
    </row>
    <row r="3414" spans="2:4" ht="13.5" customHeight="1">
      <c r="B3414" s="336" t="s">
        <v>5247</v>
      </c>
      <c r="C3414" s="388" t="s">
        <v>4232</v>
      </c>
      <c r="D3414" s="386">
        <v>51915.8352662037</v>
      </c>
    </row>
    <row r="3415" spans="2:4" ht="13.5" customHeight="1">
      <c r="B3415" s="336" t="s">
        <v>3806</v>
      </c>
      <c r="C3415" s="388" t="s">
        <v>7011</v>
      </c>
      <c r="D3415" s="386">
        <v>51930.752905092588</v>
      </c>
    </row>
    <row r="3416" spans="2:4" ht="13.5" customHeight="1">
      <c r="B3416" s="336" t="s">
        <v>5248</v>
      </c>
      <c r="C3416" s="389" t="s">
        <v>4234</v>
      </c>
      <c r="D3416" s="386">
        <v>51945.785729166666</v>
      </c>
    </row>
    <row r="3417" spans="2:4" ht="13.5" customHeight="1">
      <c r="B3417" s="336" t="s">
        <v>3807</v>
      </c>
      <c r="C3417" s="388" t="s">
        <v>7012</v>
      </c>
      <c r="D3417" s="386">
        <v>51960.943703703699</v>
      </c>
    </row>
    <row r="3418" spans="2:4" ht="13.5" customHeight="1">
      <c r="B3418" s="336" t="s">
        <v>5249</v>
      </c>
      <c r="C3418" s="388" t="s">
        <v>4236</v>
      </c>
      <c r="D3418" s="386">
        <v>51976.234664351847</v>
      </c>
    </row>
    <row r="3419" spans="2:4" ht="13.5" customHeight="1">
      <c r="B3419" s="336" t="s">
        <v>3808</v>
      </c>
      <c r="C3419" s="388" t="s">
        <v>7013</v>
      </c>
      <c r="D3419" s="386">
        <v>51991.653692129628</v>
      </c>
    </row>
    <row r="3420" spans="2:4" ht="13.5" customHeight="1">
      <c r="B3420" s="336" t="s">
        <v>5250</v>
      </c>
      <c r="C3420" s="388" t="s">
        <v>4238</v>
      </c>
      <c r="D3420" s="386">
        <v>52007.187361111108</v>
      </c>
    </row>
    <row r="3421" spans="2:4" ht="13.5" customHeight="1">
      <c r="B3421" s="336" t="s">
        <v>3809</v>
      </c>
      <c r="C3421" s="388" t="s">
        <v>7014</v>
      </c>
      <c r="D3421" s="386">
        <v>52022.817361111105</v>
      </c>
    </row>
    <row r="3422" spans="2:4" ht="13.5" customHeight="1">
      <c r="B3422" s="336" t="s">
        <v>5251</v>
      </c>
      <c r="C3422" s="389" t="s">
        <v>4240</v>
      </c>
      <c r="D3422" s="386">
        <v>52038.510150462964</v>
      </c>
    </row>
    <row r="3423" spans="2:4" ht="13.5" customHeight="1">
      <c r="B3423" s="336" t="s">
        <v>3810</v>
      </c>
      <c r="C3423" s="388" t="s">
        <v>7015</v>
      </c>
      <c r="D3423" s="386">
        <v>52054.240266203698</v>
      </c>
    </row>
    <row r="3424" spans="2:4" ht="13.5" customHeight="1">
      <c r="B3424" s="336" t="s">
        <v>5252</v>
      </c>
      <c r="C3424" s="388" t="s">
        <v>4242</v>
      </c>
      <c r="D3424" s="386">
        <v>52069.96162037037</v>
      </c>
    </row>
    <row r="3425" spans="2:4" ht="13.5" customHeight="1">
      <c r="B3425" s="336" t="s">
        <v>3811</v>
      </c>
      <c r="C3425" s="388" t="s">
        <v>7016</v>
      </c>
      <c r="D3425" s="386">
        <v>52085.650740740741</v>
      </c>
    </row>
    <row r="3426" spans="2:4" ht="13.5" customHeight="1">
      <c r="B3426" s="336" t="s">
        <v>5253</v>
      </c>
      <c r="C3426" s="388" t="s">
        <v>4276</v>
      </c>
      <c r="D3426" s="386">
        <v>52101.261319444442</v>
      </c>
    </row>
    <row r="3427" spans="2:4" ht="13.5" customHeight="1">
      <c r="B3427" s="336" t="s">
        <v>3812</v>
      </c>
      <c r="C3427" s="388" t="s">
        <v>7017</v>
      </c>
      <c r="D3427" s="386">
        <v>52116.780486111107</v>
      </c>
    </row>
    <row r="3428" spans="2:4" ht="13.5" customHeight="1">
      <c r="B3428" s="336" t="s">
        <v>5254</v>
      </c>
      <c r="C3428" s="389" t="s">
        <v>4278</v>
      </c>
      <c r="D3428" s="386">
        <v>52132.173587962963</v>
      </c>
    </row>
    <row r="3429" spans="2:4" ht="13.5" customHeight="1">
      <c r="B3429" s="336" t="s">
        <v>3813</v>
      </c>
      <c r="C3429" s="388" t="s">
        <v>7018</v>
      </c>
      <c r="D3429" s="386">
        <v>52147.443912037037</v>
      </c>
    </row>
    <row r="3430" spans="2:4" ht="13.5" customHeight="1">
      <c r="B3430" s="336" t="s">
        <v>6479</v>
      </c>
      <c r="C3430" s="388" t="s">
        <v>4280</v>
      </c>
      <c r="D3430" s="386">
        <v>52162.575023148143</v>
      </c>
    </row>
    <row r="3431" spans="2:4" ht="13.5" customHeight="1">
      <c r="B3431" s="336" t="s">
        <v>3814</v>
      </c>
      <c r="C3431" s="388" t="s">
        <v>7019</v>
      </c>
      <c r="D3431" s="386">
        <v>52177.587581018517</v>
      </c>
    </row>
    <row r="3432" spans="2:4" ht="13.5" customHeight="1">
      <c r="B3432" s="336" t="s">
        <v>6480</v>
      </c>
      <c r="C3432" s="388" t="s">
        <v>4282</v>
      </c>
      <c r="D3432" s="386">
        <v>52192.483159722222</v>
      </c>
    </row>
    <row r="3433" spans="2:4" ht="13.5" customHeight="1">
      <c r="B3433" s="336" t="s">
        <v>3815</v>
      </c>
      <c r="C3433" s="388" t="s">
        <v>7020</v>
      </c>
      <c r="D3433" s="386">
        <v>52207.296944444439</v>
      </c>
    </row>
    <row r="3434" spans="2:4" ht="13.5" customHeight="1">
      <c r="B3434" s="336" t="s">
        <v>8826</v>
      </c>
      <c r="C3434" s="389" t="s">
        <v>4284</v>
      </c>
      <c r="D3434" s="386">
        <v>52222.043402777774</v>
      </c>
    </row>
    <row r="3435" spans="2:4" ht="13.5" customHeight="1">
      <c r="B3435" s="336" t="s">
        <v>3816</v>
      </c>
      <c r="C3435" s="390" t="s">
        <v>9317</v>
      </c>
      <c r="D3435" s="386">
        <v>52236.766504629624</v>
      </c>
    </row>
    <row r="3436" spans="2:4" ht="13.5" customHeight="1">
      <c r="B3436" s="336" t="s">
        <v>8827</v>
      </c>
      <c r="C3436" s="388" t="s">
        <v>4230</v>
      </c>
      <c r="D3436" s="386">
        <v>52251.486203703702</v>
      </c>
    </row>
    <row r="3437" spans="2:4" ht="13.5" customHeight="1">
      <c r="B3437" s="336" t="s">
        <v>3817</v>
      </c>
      <c r="C3437" s="388" t="s">
        <v>7010</v>
      </c>
      <c r="D3437" s="386">
        <v>52266.248043981483</v>
      </c>
    </row>
    <row r="3438" spans="2:4" ht="13.5" customHeight="1">
      <c r="B3438" s="336" t="s">
        <v>8828</v>
      </c>
      <c r="C3438" s="388" t="s">
        <v>4232</v>
      </c>
      <c r="D3438" s="386">
        <v>52281.069594907407</v>
      </c>
    </row>
    <row r="3439" spans="2:4" ht="13.5" customHeight="1">
      <c r="B3439" s="336" t="s">
        <v>3818</v>
      </c>
      <c r="C3439" s="388" t="s">
        <v>7011</v>
      </c>
      <c r="D3439" s="386">
        <v>52295.990347222221</v>
      </c>
    </row>
    <row r="3440" spans="2:4" ht="13.5" customHeight="1">
      <c r="B3440" s="336" t="s">
        <v>8829</v>
      </c>
      <c r="C3440" s="389" t="s">
        <v>4234</v>
      </c>
      <c r="D3440" s="386">
        <v>52311.018217592587</v>
      </c>
    </row>
    <row r="3441" spans="2:4" ht="13.5" customHeight="1">
      <c r="B3441" s="336" t="s">
        <v>3819</v>
      </c>
      <c r="C3441" s="388" t="s">
        <v>7012</v>
      </c>
      <c r="D3441" s="386">
        <v>52326.179479166662</v>
      </c>
    </row>
    <row r="3442" spans="2:4" ht="13.5" customHeight="1">
      <c r="B3442" s="336" t="s">
        <v>8830</v>
      </c>
      <c r="C3442" s="388" t="s">
        <v>4236</v>
      </c>
      <c r="D3442" s="386">
        <v>52341.467106481476</v>
      </c>
    </row>
    <row r="3443" spans="2:4" ht="13.5" customHeight="1">
      <c r="B3443" s="336" t="s">
        <v>3820</v>
      </c>
      <c r="C3443" s="388" t="s">
        <v>7013</v>
      </c>
      <c r="D3443" s="386">
        <v>52356.888877314814</v>
      </c>
    </row>
    <row r="3444" spans="2:4" ht="13.5" customHeight="1">
      <c r="B3444" s="336" t="s">
        <v>8831</v>
      </c>
      <c r="C3444" s="388" t="s">
        <v>4238</v>
      </c>
      <c r="D3444" s="386">
        <v>52372.4215625</v>
      </c>
    </row>
    <row r="3445" spans="2:4" ht="13.5" customHeight="1">
      <c r="B3445" s="336" t="s">
        <v>3821</v>
      </c>
      <c r="C3445" s="388" t="s">
        <v>7014</v>
      </c>
      <c r="D3445" s="386">
        <v>52388.052731481483</v>
      </c>
    </row>
    <row r="3446" spans="2:4" ht="13.5" customHeight="1">
      <c r="B3446" s="336" t="s">
        <v>8832</v>
      </c>
      <c r="C3446" s="389" t="s">
        <v>4240</v>
      </c>
      <c r="D3446" s="386">
        <v>52403.747453703698</v>
      </c>
    </row>
    <row r="3447" spans="2:4" ht="13.5" customHeight="1">
      <c r="B3447" s="336" t="s">
        <v>3822</v>
      </c>
      <c r="C3447" s="388" t="s">
        <v>7015</v>
      </c>
      <c r="D3447" s="386">
        <v>52419.476400462961</v>
      </c>
    </row>
    <row r="3448" spans="2:4" ht="13.5" customHeight="1">
      <c r="B3448" s="336" t="s">
        <v>8833</v>
      </c>
      <c r="C3448" s="388" t="s">
        <v>4242</v>
      </c>
      <c r="D3448" s="386">
        <v>52435.202523148146</v>
      </c>
    </row>
    <row r="3449" spans="2:4" ht="13.5" customHeight="1">
      <c r="B3449" s="336" t="s">
        <v>3823</v>
      </c>
      <c r="C3449" s="388" t="s">
        <v>7016</v>
      </c>
      <c r="D3449" s="386">
        <v>52450.888206018513</v>
      </c>
    </row>
    <row r="3450" spans="2:4" ht="13.5" customHeight="1">
      <c r="B3450" s="336" t="s">
        <v>8834</v>
      </c>
      <c r="C3450" s="388" t="s">
        <v>4276</v>
      </c>
      <c r="D3450" s="386">
        <v>52466.50545138889</v>
      </c>
    </row>
    <row r="3451" spans="2:4" ht="13.5" customHeight="1">
      <c r="B3451" s="336" t="s">
        <v>3824</v>
      </c>
      <c r="C3451" s="388" t="s">
        <v>7017</v>
      </c>
      <c r="D3451" s="386">
        <v>52482.019629629627</v>
      </c>
    </row>
    <row r="3452" spans="2:4" ht="13.5" customHeight="1">
      <c r="B3452" s="336" t="s">
        <v>8835</v>
      </c>
      <c r="C3452" s="389" t="s">
        <v>4278</v>
      </c>
      <c r="D3452" s="386">
        <v>52497.420057870368</v>
      </c>
    </row>
    <row r="3453" spans="2:4" ht="13.5" customHeight="1">
      <c r="B3453" s="336" t="s">
        <v>3825</v>
      </c>
      <c r="C3453" s="388" t="s">
        <v>7018</v>
      </c>
      <c r="D3453" s="386">
        <v>52512.684560185182</v>
      </c>
    </row>
    <row r="3454" spans="2:4" ht="13.5" customHeight="1">
      <c r="B3454" s="336" t="s">
        <v>8836</v>
      </c>
      <c r="C3454" s="388" t="s">
        <v>4280</v>
      </c>
      <c r="D3454" s="386">
        <v>52527.822835648149</v>
      </c>
    </row>
    <row r="3455" spans="2:4" ht="13.5" customHeight="1">
      <c r="B3455" s="336" t="s">
        <v>3826</v>
      </c>
      <c r="C3455" s="388" t="s">
        <v>7019</v>
      </c>
      <c r="D3455" s="386">
        <v>52542.829155092593</v>
      </c>
    </row>
    <row r="3456" spans="2:4" ht="13.5" customHeight="1">
      <c r="B3456" s="336" t="s">
        <v>1157</v>
      </c>
      <c r="C3456" s="388" t="s">
        <v>4282</v>
      </c>
      <c r="D3456" s="386">
        <v>52557.731435185182</v>
      </c>
    </row>
    <row r="3457" spans="2:4" ht="13.5" customHeight="1">
      <c r="B3457" s="336" t="s">
        <v>3827</v>
      </c>
      <c r="C3457" s="388" t="s">
        <v>7020</v>
      </c>
      <c r="D3457" s="386">
        <v>52572.538645833331</v>
      </c>
    </row>
    <row r="3458" spans="2:4" ht="13.5" customHeight="1">
      <c r="B3458" s="336" t="s">
        <v>1158</v>
      </c>
      <c r="C3458" s="389" t="s">
        <v>4284</v>
      </c>
      <c r="D3458" s="386">
        <v>52587.291342592587</v>
      </c>
    </row>
    <row r="3459" spans="2:4" ht="13.5" customHeight="1">
      <c r="B3459" s="336" t="s">
        <v>3828</v>
      </c>
      <c r="C3459" s="390" t="s">
        <v>9317</v>
      </c>
      <c r="D3459" s="386">
        <v>52602.007546296292</v>
      </c>
    </row>
    <row r="3460" spans="2:4" ht="13.5" customHeight="1">
      <c r="B3460" s="336" t="s">
        <v>1159</v>
      </c>
      <c r="C3460" s="388" t="s">
        <v>4230</v>
      </c>
      <c r="D3460" s="386">
        <v>52616.733136574068</v>
      </c>
    </row>
    <row r="3461" spans="2:4" ht="13.5" customHeight="1">
      <c r="B3461" s="336" t="s">
        <v>3829</v>
      </c>
      <c r="C3461" s="388" t="s">
        <v>7010</v>
      </c>
      <c r="D3461" s="386">
        <v>52631.487847222219</v>
      </c>
    </row>
    <row r="3462" spans="2:4" ht="13.5" customHeight="1">
      <c r="B3462" s="336" t="s">
        <v>1160</v>
      </c>
      <c r="C3462" s="388" t="s">
        <v>4232</v>
      </c>
      <c r="D3462" s="386">
        <v>52646.315243055556</v>
      </c>
    </row>
    <row r="3463" spans="2:4" ht="13.5" customHeight="1">
      <c r="B3463" s="336" t="s">
        <v>3830</v>
      </c>
      <c r="C3463" s="388" t="s">
        <v>7011</v>
      </c>
      <c r="D3463" s="386">
        <v>52661.228888888887</v>
      </c>
    </row>
    <row r="3464" spans="2:4" ht="13.5" customHeight="1">
      <c r="B3464" s="336" t="s">
        <v>1161</v>
      </c>
      <c r="C3464" s="389" t="s">
        <v>4234</v>
      </c>
      <c r="D3464" s="386">
        <v>52676.262962962959</v>
      </c>
    </row>
    <row r="3465" spans="2:4" ht="13.5" customHeight="1">
      <c r="B3465" s="336" t="s">
        <v>3831</v>
      </c>
      <c r="C3465" s="388" t="s">
        <v>7012</v>
      </c>
      <c r="D3465" s="386">
        <v>52691.417511574073</v>
      </c>
    </row>
    <row r="3466" spans="2:4" ht="13.5" customHeight="1">
      <c r="B3466" s="336" t="s">
        <v>1132</v>
      </c>
      <c r="C3466" s="388" t="s">
        <v>4236</v>
      </c>
      <c r="D3466" s="386">
        <v>52706.711817129624</v>
      </c>
    </row>
    <row r="3467" spans="2:4" ht="13.5" customHeight="1">
      <c r="B3467" s="336" t="s">
        <v>3832</v>
      </c>
      <c r="C3467" s="388" t="s">
        <v>7013</v>
      </c>
      <c r="D3467" s="386">
        <v>52722.127662037034</v>
      </c>
    </row>
    <row r="3468" spans="2:4" ht="13.5" customHeight="1">
      <c r="B3468" s="336" t="s">
        <v>1133</v>
      </c>
      <c r="C3468" s="388" t="s">
        <v>4238</v>
      </c>
      <c r="D3468" s="386">
        <v>52737.666782407403</v>
      </c>
    </row>
    <row r="3469" spans="2:4" ht="13.5" customHeight="1">
      <c r="B3469" s="336" t="s">
        <v>3833</v>
      </c>
      <c r="C3469" s="388" t="s">
        <v>7014</v>
      </c>
      <c r="D3469" s="386">
        <v>52753.293124999997</v>
      </c>
    </row>
    <row r="3470" spans="2:4" ht="13.5" customHeight="1">
      <c r="B3470" s="336" t="s">
        <v>1134</v>
      </c>
      <c r="C3470" s="389" t="s">
        <v>4240</v>
      </c>
      <c r="D3470" s="386">
        <v>52768.992442129624</v>
      </c>
    </row>
    <row r="3471" spans="2:4" ht="13.5" customHeight="1">
      <c r="B3471" s="336" t="s">
        <v>3834</v>
      </c>
      <c r="C3471" s="388" t="s">
        <v>7015</v>
      </c>
      <c r="D3471" s="386">
        <v>52784.718032407407</v>
      </c>
    </row>
    <row r="3472" spans="2:4" ht="13.5" customHeight="1">
      <c r="B3472" s="336" t="s">
        <v>1135</v>
      </c>
      <c r="C3472" s="388" t="s">
        <v>4242</v>
      </c>
      <c r="D3472" s="386">
        <v>52800.445543981477</v>
      </c>
    </row>
    <row r="3473" spans="2:4" ht="13.5" customHeight="1">
      <c r="B3473" s="336" t="s">
        <v>3746</v>
      </c>
      <c r="C3473" s="388" t="s">
        <v>7016</v>
      </c>
      <c r="D3473" s="386">
        <v>52816.129780092589</v>
      </c>
    </row>
    <row r="3474" spans="2:4" ht="13.5" customHeight="1">
      <c r="B3474" s="336" t="s">
        <v>1136</v>
      </c>
      <c r="C3474" s="388" t="s">
        <v>4276</v>
      </c>
      <c r="D3474" s="386">
        <v>52831.745254629626</v>
      </c>
    </row>
    <row r="3475" spans="2:4" ht="13.5" customHeight="1">
      <c r="B3475" s="336" t="s">
        <v>1916</v>
      </c>
      <c r="C3475" s="388" t="s">
        <v>7017</v>
      </c>
      <c r="D3475" s="386">
        <v>52847.260208333333</v>
      </c>
    </row>
    <row r="3476" spans="2:4" ht="13.5" customHeight="1">
      <c r="B3476" s="336" t="s">
        <v>1137</v>
      </c>
      <c r="C3476" s="389" t="s">
        <v>4278</v>
      </c>
      <c r="D3476" s="386">
        <v>52862.656979166662</v>
      </c>
    </row>
    <row r="3477" spans="2:4" ht="13.5" customHeight="1">
      <c r="B3477" s="336" t="s">
        <v>1917</v>
      </c>
      <c r="C3477" s="388" t="s">
        <v>7018</v>
      </c>
      <c r="D3477" s="386">
        <v>52877.924398148149</v>
      </c>
    </row>
    <row r="3478" spans="2:4" ht="13.5" customHeight="1">
      <c r="B3478" s="336" t="s">
        <v>1138</v>
      </c>
      <c r="C3478" s="388" t="s">
        <v>4280</v>
      </c>
      <c r="D3478" s="386">
        <v>52893.058553240735</v>
      </c>
    </row>
    <row r="3479" spans="2:4" ht="13.5" customHeight="1">
      <c r="B3479" s="336" t="s">
        <v>1918</v>
      </c>
      <c r="C3479" s="388" t="s">
        <v>7019</v>
      </c>
      <c r="D3479" s="386">
        <v>52908.06931712963</v>
      </c>
    </row>
    <row r="3480" spans="2:4" ht="13.5" customHeight="1">
      <c r="B3480" s="336" t="s">
        <v>1139</v>
      </c>
      <c r="C3480" s="388" t="s">
        <v>4282</v>
      </c>
      <c r="D3480" s="386">
        <v>52922.96769675926</v>
      </c>
    </row>
    <row r="3481" spans="2:4" ht="13.5" customHeight="1">
      <c r="B3481" s="336" t="s">
        <v>1919</v>
      </c>
      <c r="C3481" s="388" t="s">
        <v>7020</v>
      </c>
      <c r="D3481" s="386">
        <v>52937.780138888884</v>
      </c>
    </row>
    <row r="3482" spans="2:4" ht="13.5" customHeight="1">
      <c r="B3482" s="336" t="s">
        <v>1140</v>
      </c>
      <c r="C3482" s="389" t="s">
        <v>4284</v>
      </c>
      <c r="D3482" s="386">
        <v>52952.52921296296</v>
      </c>
    </row>
    <row r="3483" spans="2:4" ht="13.5" customHeight="1">
      <c r="B3483" s="336" t="s">
        <v>1920</v>
      </c>
      <c r="C3483" s="390" t="s">
        <v>9317</v>
      </c>
      <c r="D3483" s="386">
        <v>52967.250729166662</v>
      </c>
    </row>
    <row r="3484" spans="2:4" ht="13.5" customHeight="1">
      <c r="B3484" s="336" t="s">
        <v>1141</v>
      </c>
      <c r="C3484" s="388" t="s">
        <v>4230</v>
      </c>
      <c r="D3484" s="386">
        <v>52981.97274305555</v>
      </c>
    </row>
    <row r="3485" spans="2:4" ht="13.5" customHeight="1">
      <c r="B3485" s="336" t="s">
        <v>1921</v>
      </c>
      <c r="C3485" s="388" t="s">
        <v>7010</v>
      </c>
      <c r="D3485" s="386">
        <v>52996.732499999998</v>
      </c>
    </row>
    <row r="3486" spans="2:4" ht="13.5" customHeight="1">
      <c r="B3486" s="336" t="s">
        <v>1142</v>
      </c>
      <c r="C3486" s="388" t="s">
        <v>4232</v>
      </c>
      <c r="D3486" s="386">
        <v>53011.555972222217</v>
      </c>
    </row>
    <row r="3487" spans="2:4" ht="13.5" customHeight="1">
      <c r="B3487" s="336" t="s">
        <v>1922</v>
      </c>
      <c r="C3487" s="388" t="s">
        <v>7011</v>
      </c>
      <c r="D3487" s="386">
        <v>53026.47446759259</v>
      </c>
    </row>
    <row r="3488" spans="2:4" ht="13.5" customHeight="1">
      <c r="B3488" s="336" t="s">
        <v>1143</v>
      </c>
      <c r="C3488" s="389" t="s">
        <v>4234</v>
      </c>
      <c r="D3488" s="386">
        <v>53041.503807870366</v>
      </c>
    </row>
    <row r="3489" spans="2:4" ht="13.5" customHeight="1">
      <c r="B3489" s="336" t="s">
        <v>1923</v>
      </c>
      <c r="C3489" s="388" t="s">
        <v>7012</v>
      </c>
      <c r="D3489" s="386">
        <v>53056.6633912037</v>
      </c>
    </row>
    <row r="3490" spans="2:4" ht="13.5" customHeight="1">
      <c r="B3490" s="336" t="s">
        <v>8861</v>
      </c>
      <c r="C3490" s="388" t="s">
        <v>4236</v>
      </c>
      <c r="D3490" s="386">
        <v>53071.951851851853</v>
      </c>
    </row>
    <row r="3491" spans="2:4" ht="13.5" customHeight="1">
      <c r="B3491" s="336" t="s">
        <v>1924</v>
      </c>
      <c r="C3491" s="388" t="s">
        <v>7013</v>
      </c>
      <c r="D3491" s="386">
        <v>53087.373379629629</v>
      </c>
    </row>
    <row r="3492" spans="2:4" ht="13.5" customHeight="1">
      <c r="B3492" s="336" t="s">
        <v>8862</v>
      </c>
      <c r="C3492" s="388" t="s">
        <v>4238</v>
      </c>
      <c r="D3492" s="386">
        <v>53102.905636574069</v>
      </c>
    </row>
    <row r="3493" spans="2:4" ht="13.5" customHeight="1">
      <c r="B3493" s="336" t="s">
        <v>1925</v>
      </c>
      <c r="C3493" s="388" t="s">
        <v>7014</v>
      </c>
      <c r="D3493" s="386">
        <v>53118.5383912037</v>
      </c>
    </row>
    <row r="3494" spans="2:4" ht="13.5" customHeight="1">
      <c r="B3494" s="336" t="s">
        <v>8863</v>
      </c>
      <c r="C3494" s="389" t="s">
        <v>4240</v>
      </c>
      <c r="D3494" s="386">
        <v>53134.230567129627</v>
      </c>
    </row>
    <row r="3495" spans="2:4" ht="13.5" customHeight="1">
      <c r="B3495" s="336" t="s">
        <v>1926</v>
      </c>
      <c r="C3495" s="388" t="s">
        <v>7015</v>
      </c>
      <c r="D3495" s="386">
        <v>53149.962604166663</v>
      </c>
    </row>
    <row r="3496" spans="2:4" ht="13.5" customHeight="1">
      <c r="B3496" s="336" t="s">
        <v>8864</v>
      </c>
      <c r="C3496" s="388" t="s">
        <v>4242</v>
      </c>
      <c r="D3496" s="386">
        <v>53165.683807870366</v>
      </c>
    </row>
    <row r="3497" spans="2:4" ht="13.5" customHeight="1">
      <c r="B3497" s="336" t="s">
        <v>1927</v>
      </c>
      <c r="C3497" s="388" t="s">
        <v>7016</v>
      </c>
      <c r="D3497" s="386">
        <v>53181.373344907406</v>
      </c>
    </row>
    <row r="3498" spans="2:4" ht="13.5" customHeight="1">
      <c r="B3498" s="336" t="s">
        <v>8865</v>
      </c>
      <c r="C3498" s="388" t="s">
        <v>4276</v>
      </c>
      <c r="D3498" s="386">
        <v>53196.984155092592</v>
      </c>
    </row>
    <row r="3499" spans="2:4" ht="13.5" customHeight="1">
      <c r="B3499" s="336" t="s">
        <v>1928</v>
      </c>
      <c r="C3499" s="388" t="s">
        <v>7017</v>
      </c>
      <c r="D3499" s="386">
        <v>53212.502546296295</v>
      </c>
    </row>
    <row r="3500" spans="2:4" ht="13.5" customHeight="1">
      <c r="B3500" s="336" t="s">
        <v>8866</v>
      </c>
      <c r="C3500" s="389" t="s">
        <v>4278</v>
      </c>
      <c r="D3500" s="386">
        <v>53227.896585648145</v>
      </c>
    </row>
    <row r="3501" spans="2:4" ht="13.5" customHeight="1">
      <c r="B3501" s="336" t="s">
        <v>1929</v>
      </c>
      <c r="C3501" s="388" t="s">
        <v>7018</v>
      </c>
      <c r="D3501" s="386">
        <v>53243.165925925925</v>
      </c>
    </row>
    <row r="3502" spans="2:4" ht="13.5" customHeight="1">
      <c r="B3502" s="336" t="s">
        <v>8867</v>
      </c>
      <c r="C3502" s="388" t="s">
        <v>4280</v>
      </c>
      <c r="D3502" s="386">
        <v>53258.299039351848</v>
      </c>
    </row>
    <row r="3503" spans="2:4" ht="13.5" customHeight="1">
      <c r="B3503" s="336" t="s">
        <v>1930</v>
      </c>
      <c r="C3503" s="388" t="s">
        <v>7019</v>
      </c>
      <c r="D3503" s="386">
        <v>53273.311111111107</v>
      </c>
    </row>
    <row r="3504" spans="2:4" ht="13.5" customHeight="1">
      <c r="B3504" s="336" t="s">
        <v>8868</v>
      </c>
      <c r="C3504" s="388" t="s">
        <v>4282</v>
      </c>
      <c r="D3504" s="386">
        <v>53288.209618055553</v>
      </c>
    </row>
    <row r="3505" spans="2:4" ht="13.5" customHeight="1">
      <c r="B3505" s="336" t="s">
        <v>1931</v>
      </c>
      <c r="C3505" s="388" t="s">
        <v>7020</v>
      </c>
      <c r="D3505" s="386">
        <v>53303.023379629631</v>
      </c>
    </row>
    <row r="3506" spans="2:4" ht="13.5" customHeight="1">
      <c r="B3506" s="336" t="s">
        <v>412</v>
      </c>
      <c r="C3506" s="389" t="s">
        <v>4284</v>
      </c>
      <c r="D3506" s="386">
        <v>53317.772986111107</v>
      </c>
    </row>
    <row r="3507" spans="2:4" ht="13.5" customHeight="1">
      <c r="B3507" s="336" t="s">
        <v>1932</v>
      </c>
      <c r="C3507" s="390" t="s">
        <v>9317</v>
      </c>
      <c r="D3507" s="386">
        <v>53332.495856481481</v>
      </c>
    </row>
    <row r="3508" spans="2:4" ht="13.5" customHeight="1">
      <c r="B3508" s="336" t="s">
        <v>413</v>
      </c>
      <c r="C3508" s="388" t="s">
        <v>4230</v>
      </c>
      <c r="D3508" s="386">
        <v>53347.218009259253</v>
      </c>
    </row>
    <row r="3509" spans="2:4" ht="13.5" customHeight="1">
      <c r="B3509" s="336" t="s">
        <v>1933</v>
      </c>
      <c r="C3509" s="388" t="s">
        <v>7010</v>
      </c>
      <c r="D3509" s="386">
        <v>53361.97861111111</v>
      </c>
    </row>
    <row r="3510" spans="2:4" ht="13.5" customHeight="1">
      <c r="B3510" s="336" t="s">
        <v>414</v>
      </c>
      <c r="C3510" s="388" t="s">
        <v>4232</v>
      </c>
      <c r="D3510" s="386">
        <v>53376.80133101852</v>
      </c>
    </row>
    <row r="3511" spans="2:4" ht="13.5" customHeight="1">
      <c r="B3511" s="336" t="s">
        <v>1934</v>
      </c>
      <c r="C3511" s="388" t="s">
        <v>7011</v>
      </c>
      <c r="D3511" s="386">
        <v>53391.719421296293</v>
      </c>
    </row>
    <row r="3512" spans="2:4" ht="13.5" customHeight="1">
      <c r="B3512" s="336" t="s">
        <v>415</v>
      </c>
      <c r="C3512" s="389" t="s">
        <v>4234</v>
      </c>
      <c r="D3512" s="386">
        <v>53406.747384259259</v>
      </c>
    </row>
    <row r="3513" spans="2:4" ht="13.5" customHeight="1">
      <c r="B3513" s="336" t="s">
        <v>1935</v>
      </c>
      <c r="C3513" s="388" t="s">
        <v>7012</v>
      </c>
      <c r="D3513" s="386">
        <v>53421.90488425926</v>
      </c>
    </row>
    <row r="3514" spans="2:4" ht="13.5" customHeight="1">
      <c r="B3514" s="336" t="s">
        <v>416</v>
      </c>
      <c r="C3514" s="388" t="s">
        <v>4236</v>
      </c>
      <c r="D3514" s="386">
        <v>53437.192430555551</v>
      </c>
    </row>
    <row r="3515" spans="2:4" ht="13.5" customHeight="1">
      <c r="B3515" s="336" t="s">
        <v>1936</v>
      </c>
      <c r="C3515" s="388" t="s">
        <v>7013</v>
      </c>
      <c r="D3515" s="386">
        <v>53452.610138888886</v>
      </c>
    </row>
    <row r="3516" spans="2:4" ht="13.5" customHeight="1">
      <c r="B3516" s="336" t="s">
        <v>417</v>
      </c>
      <c r="C3516" s="388" t="s">
        <v>4238</v>
      </c>
      <c r="D3516" s="386">
        <v>53468.143530092588</v>
      </c>
    </row>
    <row r="3517" spans="2:4" ht="13.5" customHeight="1">
      <c r="B3517" s="336" t="s">
        <v>1937</v>
      </c>
      <c r="C3517" s="388" t="s">
        <v>7014</v>
      </c>
      <c r="D3517" s="386">
        <v>53483.771111111106</v>
      </c>
    </row>
    <row r="3518" spans="2:4" ht="13.5" customHeight="1">
      <c r="B3518" s="336" t="s">
        <v>418</v>
      </c>
      <c r="C3518" s="389" t="s">
        <v>4240</v>
      </c>
      <c r="D3518" s="386">
        <v>53499.467465277776</v>
      </c>
    </row>
    <row r="3519" spans="2:4" ht="13.5" customHeight="1">
      <c r="B3519" s="336" t="s">
        <v>1938</v>
      </c>
      <c r="C3519" s="388" t="s">
        <v>7015</v>
      </c>
      <c r="D3519" s="386">
        <v>53515.193622685183</v>
      </c>
    </row>
    <row r="3520" spans="2:4" ht="13.5" customHeight="1">
      <c r="B3520" s="336" t="s">
        <v>419</v>
      </c>
      <c r="C3520" s="388" t="s">
        <v>4242</v>
      </c>
      <c r="D3520" s="386">
        <v>53530.921666666662</v>
      </c>
    </row>
    <row r="3521" spans="2:4" ht="13.5" customHeight="1">
      <c r="B3521" s="336" t="s">
        <v>1939</v>
      </c>
      <c r="C3521" s="388" t="s">
        <v>7016</v>
      </c>
      <c r="D3521" s="386">
        <v>53546.605347222219</v>
      </c>
    </row>
    <row r="3522" spans="2:4" ht="13.5" customHeight="1">
      <c r="B3522" s="336" t="s">
        <v>420</v>
      </c>
      <c r="C3522" s="388" t="s">
        <v>4276</v>
      </c>
      <c r="D3522" s="386">
        <v>53562.224178240736</v>
      </c>
    </row>
    <row r="3523" spans="2:4" ht="13.5" customHeight="1">
      <c r="B3523" s="336" t="s">
        <v>1940</v>
      </c>
      <c r="C3523" s="388" t="s">
        <v>7017</v>
      </c>
      <c r="D3523" s="386">
        <v>53577.737199074072</v>
      </c>
    </row>
    <row r="3524" spans="2:4" ht="13.5" customHeight="1">
      <c r="B3524" s="336" t="s">
        <v>421</v>
      </c>
      <c r="C3524" s="389" t="s">
        <v>4278</v>
      </c>
      <c r="D3524" s="386">
        <v>53593.138888888883</v>
      </c>
    </row>
    <row r="3525" spans="2:4" ht="13.5" customHeight="1">
      <c r="B3525" s="336" t="s">
        <v>1941</v>
      </c>
      <c r="C3525" s="388" t="s">
        <v>7018</v>
      </c>
      <c r="D3525" s="386">
        <v>53608.403344907405</v>
      </c>
    </row>
    <row r="3526" spans="2:4" ht="13.5" customHeight="1">
      <c r="B3526" s="336" t="s">
        <v>422</v>
      </c>
      <c r="C3526" s="388" t="s">
        <v>4280</v>
      </c>
      <c r="D3526" s="386">
        <v>53623.543020833327</v>
      </c>
    </row>
    <row r="3527" spans="2:4" ht="13.5" customHeight="1">
      <c r="B3527" s="336" t="s">
        <v>2777</v>
      </c>
      <c r="C3527" s="388" t="s">
        <v>7019</v>
      </c>
      <c r="D3527" s="386">
        <v>53638.550370370365</v>
      </c>
    </row>
    <row r="3528" spans="2:4" ht="13.5" customHeight="1">
      <c r="B3528" s="336" t="s">
        <v>423</v>
      </c>
      <c r="C3528" s="388" t="s">
        <v>4282</v>
      </c>
      <c r="D3528" s="386">
        <v>53653.454502314809</v>
      </c>
    </row>
    <row r="3529" spans="2:4" ht="13.5" customHeight="1">
      <c r="B3529" s="336" t="s">
        <v>2778</v>
      </c>
      <c r="C3529" s="388" t="s">
        <v>7020</v>
      </c>
      <c r="D3529" s="386">
        <v>53668.263483796291</v>
      </c>
    </row>
    <row r="3530" spans="2:4" ht="13.5" customHeight="1">
      <c r="B3530" s="336" t="s">
        <v>1319</v>
      </c>
      <c r="C3530" s="389" t="s">
        <v>4284</v>
      </c>
      <c r="D3530" s="386">
        <v>53683.018333333333</v>
      </c>
    </row>
    <row r="3531" spans="2:4" ht="13.5" customHeight="1">
      <c r="B3531" s="336" t="s">
        <v>7795</v>
      </c>
      <c r="C3531" s="390" t="s">
        <v>9317</v>
      </c>
      <c r="D3531" s="386">
        <v>53697.736307870371</v>
      </c>
    </row>
    <row r="3532" spans="2:4" ht="13.5" customHeight="1">
      <c r="B3532" s="336" t="s">
        <v>1320</v>
      </c>
      <c r="C3532" s="388" t="s">
        <v>4230</v>
      </c>
      <c r="D3532" s="386">
        <v>53712.463761574072</v>
      </c>
    </row>
    <row r="3533" spans="2:4" ht="13.5" customHeight="1">
      <c r="B3533" s="336" t="s">
        <v>5361</v>
      </c>
      <c r="C3533" s="388" t="s">
        <v>7010</v>
      </c>
      <c r="D3533" s="386">
        <v>53727.219456018516</v>
      </c>
    </row>
    <row r="3534" spans="2:4" ht="13.5" customHeight="1">
      <c r="B3534" s="336" t="s">
        <v>2612</v>
      </c>
      <c r="C3534" s="388" t="s">
        <v>4232</v>
      </c>
      <c r="D3534" s="386">
        <v>53742.047569444439</v>
      </c>
    </row>
    <row r="3535" spans="2:4" ht="13.5" customHeight="1">
      <c r="B3535" s="336" t="s">
        <v>5362</v>
      </c>
      <c r="C3535" s="388" t="s">
        <v>7011</v>
      </c>
      <c r="D3535" s="386">
        <v>53756.960821759254</v>
      </c>
    </row>
    <row r="3536" spans="2:4" ht="13.5" customHeight="1">
      <c r="B3536" s="336" t="s">
        <v>2613</v>
      </c>
      <c r="C3536" s="389" t="s">
        <v>4234</v>
      </c>
      <c r="D3536" s="386">
        <v>53771.993831018517</v>
      </c>
    </row>
    <row r="3537" spans="2:4" ht="13.5" customHeight="1">
      <c r="B3537" s="336" t="s">
        <v>5363</v>
      </c>
      <c r="C3537" s="388" t="s">
        <v>7012</v>
      </c>
      <c r="D3537" s="386">
        <v>53787.146655092591</v>
      </c>
    </row>
    <row r="3538" spans="2:4" ht="13.5" customHeight="1">
      <c r="B3538" s="336" t="s">
        <v>2614</v>
      </c>
      <c r="C3538" s="388" t="s">
        <v>4236</v>
      </c>
      <c r="D3538" s="386">
        <v>53802.43813657407</v>
      </c>
    </row>
    <row r="3539" spans="2:4" ht="13.5" customHeight="1">
      <c r="B3539" s="336" t="s">
        <v>5364</v>
      </c>
      <c r="C3539" s="388" t="s">
        <v>7013</v>
      </c>
      <c r="D3539" s="386">
        <v>53817.851921296293</v>
      </c>
    </row>
    <row r="3540" spans="2:4" ht="13.5" customHeight="1">
      <c r="B3540" s="336" t="s">
        <v>2615</v>
      </c>
      <c r="C3540" s="388" t="s">
        <v>4238</v>
      </c>
      <c r="D3540" s="386">
        <v>53833.387430555551</v>
      </c>
    </row>
    <row r="3541" spans="2:4" ht="13.5" customHeight="1">
      <c r="B3541" s="336" t="s">
        <v>5866</v>
      </c>
      <c r="C3541" s="388" t="s">
        <v>7014</v>
      </c>
      <c r="D3541" s="386">
        <v>53849.013020833328</v>
      </c>
    </row>
    <row r="3542" spans="2:4" ht="13.5" customHeight="1">
      <c r="B3542" s="336" t="s">
        <v>2616</v>
      </c>
      <c r="C3542" s="389" t="s">
        <v>4240</v>
      </c>
      <c r="D3542" s="386">
        <v>53864.709305555552</v>
      </c>
    </row>
    <row r="3543" spans="2:4" ht="13.5" customHeight="1">
      <c r="B3543" s="336" t="s">
        <v>7144</v>
      </c>
      <c r="C3543" s="388" t="s">
        <v>7015</v>
      </c>
      <c r="D3543" s="386">
        <v>53880.436550925922</v>
      </c>
    </row>
    <row r="3544" spans="2:4" ht="13.5" customHeight="1">
      <c r="B3544" s="336" t="s">
        <v>3796</v>
      </c>
      <c r="C3544" s="388" t="s">
        <v>4242</v>
      </c>
      <c r="D3544" s="386">
        <v>53896.162326388883</v>
      </c>
    </row>
    <row r="3545" spans="2:4" ht="13.5" customHeight="1">
      <c r="B3545" s="336" t="s">
        <v>7145</v>
      </c>
      <c r="C3545" s="388" t="s">
        <v>7016</v>
      </c>
      <c r="D3545" s="386">
        <v>53911.850138888884</v>
      </c>
    </row>
    <row r="3546" spans="2:4" ht="13.5" customHeight="1">
      <c r="B3546" s="336" t="s">
        <v>3797</v>
      </c>
      <c r="C3546" s="388" t="s">
        <v>4276</v>
      </c>
      <c r="D3546" s="386">
        <v>53927.464733796296</v>
      </c>
    </row>
    <row r="3547" spans="2:4" ht="13.5" customHeight="1">
      <c r="B3547" s="336" t="s">
        <v>3387</v>
      </c>
      <c r="C3547" s="388" t="s">
        <v>7017</v>
      </c>
      <c r="D3547" s="386">
        <v>53942.983587962961</v>
      </c>
    </row>
    <row r="3548" spans="2:4" ht="13.5" customHeight="1">
      <c r="B3548" s="336" t="s">
        <v>3798</v>
      </c>
      <c r="C3548" s="389" t="s">
        <v>4278</v>
      </c>
      <c r="D3548" s="386">
        <v>53958.379432870366</v>
      </c>
    </row>
    <row r="3549" spans="2:4" ht="13.5" customHeight="1">
      <c r="B3549" s="336" t="s">
        <v>3388</v>
      </c>
      <c r="C3549" s="388" t="s">
        <v>7018</v>
      </c>
      <c r="D3549" s="386">
        <v>53973.649895833332</v>
      </c>
    </row>
    <row r="3550" spans="2:4" ht="13.5" customHeight="1">
      <c r="B3550" s="336" t="s">
        <v>3799</v>
      </c>
      <c r="C3550" s="388" t="s">
        <v>4280</v>
      </c>
      <c r="D3550" s="386">
        <v>53988.782604166663</v>
      </c>
    </row>
    <row r="3551" spans="2:4" ht="13.5" customHeight="1">
      <c r="B3551" s="336" t="s">
        <v>3389</v>
      </c>
      <c r="C3551" s="388" t="s">
        <v>7019</v>
      </c>
      <c r="D3551" s="386">
        <v>54003.79552083333</v>
      </c>
    </row>
    <row r="3552" spans="2:4" ht="13.5" customHeight="1">
      <c r="B3552" s="336" t="s">
        <v>3800</v>
      </c>
      <c r="C3552" s="388" t="s">
        <v>4282</v>
      </c>
      <c r="D3552" s="386">
        <v>54018.692152777774</v>
      </c>
    </row>
    <row r="3553" spans="2:4" ht="13.5" customHeight="1">
      <c r="B3553" s="336" t="s">
        <v>3390</v>
      </c>
      <c r="C3553" s="388" t="s">
        <v>7020</v>
      </c>
      <c r="D3553" s="386">
        <v>54033.50645833333</v>
      </c>
    </row>
    <row r="3554" spans="2:4" ht="13.5" customHeight="1">
      <c r="B3554" s="336" t="s">
        <v>3801</v>
      </c>
      <c r="C3554" s="389" t="s">
        <v>4284</v>
      </c>
      <c r="D3554" s="386">
        <v>54048.253912037035</v>
      </c>
    </row>
    <row r="3555" spans="2:4" ht="13.5" customHeight="1">
      <c r="B3555" s="336" t="s">
        <v>3391</v>
      </c>
      <c r="C3555" s="390" t="s">
        <v>9317</v>
      </c>
      <c r="D3555" s="386">
        <v>54062.977534722217</v>
      </c>
    </row>
    <row r="3556" spans="2:4" ht="13.5" customHeight="1">
      <c r="B3556" s="336" t="s">
        <v>5738</v>
      </c>
      <c r="C3556" s="388" t="s">
        <v>4230</v>
      </c>
      <c r="D3556" s="386">
        <v>54077.698171296295</v>
      </c>
    </row>
    <row r="3557" spans="2:4" ht="13.5" customHeight="1">
      <c r="B3557" s="336" t="s">
        <v>3392</v>
      </c>
      <c r="C3557" s="388" t="s">
        <v>7010</v>
      </c>
      <c r="D3557" s="386">
        <v>54092.460231481477</v>
      </c>
    </row>
    <row r="3558" spans="2:4" ht="13.5" customHeight="1">
      <c r="B3558" s="336" t="s">
        <v>5739</v>
      </c>
      <c r="C3558" s="388" t="s">
        <v>4232</v>
      </c>
      <c r="D3558" s="386">
        <v>54107.282326388886</v>
      </c>
    </row>
    <row r="3559" spans="2:4" ht="13.5" customHeight="1">
      <c r="B3559" s="336" t="s">
        <v>3393</v>
      </c>
      <c r="C3559" s="388" t="s">
        <v>7011</v>
      </c>
      <c r="D3559" s="386">
        <v>54122.202858796292</v>
      </c>
    </row>
    <row r="3560" spans="2:4" ht="13.5" customHeight="1">
      <c r="B3560" s="336" t="s">
        <v>5740</v>
      </c>
      <c r="C3560" s="389" t="s">
        <v>4234</v>
      </c>
      <c r="D3560" s="386">
        <v>54137.230428240735</v>
      </c>
    </row>
    <row r="3561" spans="2:4" ht="13.5" customHeight="1">
      <c r="B3561" s="336" t="s">
        <v>3394</v>
      </c>
      <c r="C3561" s="388" t="s">
        <v>7012</v>
      </c>
      <c r="D3561" s="386">
        <v>54152.391250000001</v>
      </c>
    </row>
    <row r="3562" spans="2:4" ht="13.5" customHeight="1">
      <c r="B3562" s="336" t="s">
        <v>5741</v>
      </c>
      <c r="C3562" s="388" t="s">
        <v>4236</v>
      </c>
      <c r="D3562" s="386">
        <v>54167.677488425921</v>
      </c>
    </row>
    <row r="3563" spans="2:4" ht="13.5" customHeight="1">
      <c r="B3563" s="336" t="s">
        <v>3395</v>
      </c>
      <c r="C3563" s="388" t="s">
        <v>7013</v>
      </c>
      <c r="D3563" s="386">
        <v>54183.099224537036</v>
      </c>
    </row>
    <row r="3564" spans="2:4" ht="13.5" customHeight="1">
      <c r="B3564" s="336" t="s">
        <v>5742</v>
      </c>
      <c r="C3564" s="388" t="s">
        <v>4238</v>
      </c>
      <c r="D3564" s="386">
        <v>54198.62940972222</v>
      </c>
    </row>
    <row r="3565" spans="2:4" ht="13.5" customHeight="1">
      <c r="B3565" s="336" t="s">
        <v>3396</v>
      </c>
      <c r="C3565" s="388" t="s">
        <v>7014</v>
      </c>
      <c r="D3565" s="386">
        <v>54214.261620370366</v>
      </c>
    </row>
    <row r="3566" spans="2:4" ht="13.5" customHeight="1">
      <c r="B3566" s="336" t="s">
        <v>5743</v>
      </c>
      <c r="C3566" s="389" t="s">
        <v>4240</v>
      </c>
      <c r="D3566" s="386">
        <v>54229.952928240738</v>
      </c>
    </row>
    <row r="3567" spans="2:4" ht="13.5" customHeight="1">
      <c r="B3567" s="336" t="s">
        <v>3397</v>
      </c>
      <c r="C3567" s="388" t="s">
        <v>7015</v>
      </c>
      <c r="D3567" s="386">
        <v>54245.684224537035</v>
      </c>
    </row>
    <row r="3568" spans="2:4" ht="13.5" customHeight="1">
      <c r="B3568" s="336" t="s">
        <v>5744</v>
      </c>
      <c r="C3568" s="388" t="s">
        <v>4242</v>
      </c>
      <c r="D3568" s="386">
        <v>54261.406527777777</v>
      </c>
    </row>
    <row r="3569" spans="2:4" ht="13.5" customHeight="1">
      <c r="B3569" s="336" t="s">
        <v>3398</v>
      </c>
      <c r="C3569" s="388" t="s">
        <v>7016</v>
      </c>
      <c r="D3569" s="386">
        <v>54277.095497685186</v>
      </c>
    </row>
    <row r="3570" spans="2:4" ht="13.5" customHeight="1">
      <c r="B3570" s="336" t="s">
        <v>5745</v>
      </c>
      <c r="C3570" s="388" t="s">
        <v>4276</v>
      </c>
      <c r="D3570" s="386">
        <v>54292.709120370368</v>
      </c>
    </row>
    <row r="3571" spans="2:4" ht="13.5" customHeight="1">
      <c r="B3571" s="336" t="s">
        <v>3399</v>
      </c>
      <c r="C3571" s="388" t="s">
        <v>7017</v>
      </c>
      <c r="D3571" s="386">
        <v>54308.226921296293</v>
      </c>
    </row>
    <row r="3572" spans="2:4" ht="13.5" customHeight="1">
      <c r="B3572" s="336" t="s">
        <v>5746</v>
      </c>
      <c r="C3572" s="389" t="s">
        <v>4278</v>
      </c>
      <c r="D3572" s="386">
        <v>54323.62431712963</v>
      </c>
    </row>
    <row r="3573" spans="2:4" ht="13.5" customHeight="1">
      <c r="B3573" s="336" t="s">
        <v>3400</v>
      </c>
      <c r="C3573" s="388" t="s">
        <v>7018</v>
      </c>
      <c r="D3573" s="386">
        <v>54338.892418981479</v>
      </c>
    </row>
    <row r="3574" spans="2:4" ht="13.5" customHeight="1">
      <c r="B3574" s="336" t="s">
        <v>5747</v>
      </c>
      <c r="C3574" s="388" t="s">
        <v>4280</v>
      </c>
      <c r="D3574" s="386">
        <v>54354.028287037036</v>
      </c>
    </row>
    <row r="3575" spans="2:4" ht="13.5" customHeight="1">
      <c r="B3575" s="336" t="s">
        <v>3401</v>
      </c>
      <c r="C3575" s="388" t="s">
        <v>7019</v>
      </c>
      <c r="D3575" s="386">
        <v>54369.038090277776</v>
      </c>
    </row>
    <row r="3576" spans="2:4" ht="13.5" customHeight="1">
      <c r="B3576" s="336" t="s">
        <v>5748</v>
      </c>
      <c r="C3576" s="388" t="s">
        <v>4282</v>
      </c>
      <c r="D3576" s="386">
        <v>54383.938437500001</v>
      </c>
    </row>
    <row r="3577" spans="2:4" ht="13.5" customHeight="1">
      <c r="B3577" s="336" t="s">
        <v>3402</v>
      </c>
      <c r="C3577" s="388" t="s">
        <v>7020</v>
      </c>
      <c r="D3577" s="386">
        <v>54398.749178240738</v>
      </c>
    </row>
    <row r="3578" spans="2:4" ht="13.5" customHeight="1">
      <c r="B3578" s="336" t="s">
        <v>4516</v>
      </c>
      <c r="C3578" s="389" t="s">
        <v>4284</v>
      </c>
      <c r="D3578" s="386">
        <v>54413.500231481477</v>
      </c>
    </row>
    <row r="3579" spans="2:4" ht="13.5" customHeight="1">
      <c r="B3579" s="336" t="s">
        <v>3403</v>
      </c>
      <c r="C3579" s="390" t="s">
        <v>9317</v>
      </c>
      <c r="D3579" s="386">
        <v>54428.220162037032</v>
      </c>
    </row>
    <row r="3580" spans="2:4" ht="13.5" customHeight="1">
      <c r="B3580" s="336" t="s">
        <v>4517</v>
      </c>
      <c r="C3580" s="388" t="s">
        <v>4230</v>
      </c>
      <c r="D3580" s="386">
        <v>54442.944224537037</v>
      </c>
    </row>
    <row r="3581" spans="2:4" ht="13.5" customHeight="1">
      <c r="B3581" s="336" t="s">
        <v>3404</v>
      </c>
      <c r="C3581" s="388" t="s">
        <v>7010</v>
      </c>
      <c r="D3581" s="386">
        <v>54457.702719907407</v>
      </c>
    </row>
    <row r="3582" spans="2:4" ht="13.5" customHeight="1">
      <c r="B3582" s="336" t="s">
        <v>4518</v>
      </c>
      <c r="C3582" s="388" t="s">
        <v>4232</v>
      </c>
      <c r="D3582" s="386">
        <v>54472.528414351851</v>
      </c>
    </row>
    <row r="3583" spans="2:4" ht="13.5" customHeight="1">
      <c r="B3583" s="336" t="s">
        <v>3405</v>
      </c>
      <c r="C3583" s="388" t="s">
        <v>7011</v>
      </c>
      <c r="D3583" s="386">
        <v>54487.445381944439</v>
      </c>
    </row>
    <row r="3584" spans="2:4" ht="13.5" customHeight="1">
      <c r="B3584" s="336" t="s">
        <v>1456</v>
      </c>
      <c r="C3584" s="389" t="s">
        <v>4234</v>
      </c>
      <c r="D3584" s="386">
        <v>54502.477141203701</v>
      </c>
    </row>
    <row r="3585" spans="2:4" ht="13.5" customHeight="1">
      <c r="B3585" s="336" t="s">
        <v>3406</v>
      </c>
      <c r="C3585" s="388" t="s">
        <v>7012</v>
      </c>
      <c r="D3585" s="386">
        <v>54517.63380787037</v>
      </c>
    </row>
    <row r="3586" spans="2:4" ht="13.5" customHeight="1">
      <c r="B3586" s="336" t="s">
        <v>1457</v>
      </c>
      <c r="C3586" s="388" t="s">
        <v>4236</v>
      </c>
      <c r="D3586" s="386">
        <v>54532.924976851849</v>
      </c>
    </row>
    <row r="3587" spans="2:4" ht="13.5" customHeight="1">
      <c r="B3587" s="336" t="s">
        <v>3407</v>
      </c>
      <c r="C3587" s="388" t="s">
        <v>7013</v>
      </c>
      <c r="D3587" s="386">
        <v>54548.34107638889</v>
      </c>
    </row>
    <row r="3588" spans="2:4" ht="13.5" customHeight="1">
      <c r="B3588" s="336" t="s">
        <v>1458</v>
      </c>
      <c r="C3588" s="388" t="s">
        <v>4238</v>
      </c>
      <c r="D3588" s="386">
        <v>54563.876759259256</v>
      </c>
    </row>
    <row r="3589" spans="2:4" ht="13.5" customHeight="1">
      <c r="B3589" s="336" t="s">
        <v>3408</v>
      </c>
      <c r="C3589" s="388" t="s">
        <v>7014</v>
      </c>
      <c r="D3589" s="386">
        <v>54579.501550925925</v>
      </c>
    </row>
    <row r="3590" spans="2:4" ht="13.5" customHeight="1">
      <c r="B3590" s="336" t="s">
        <v>1459</v>
      </c>
      <c r="C3590" s="389" t="s">
        <v>4240</v>
      </c>
      <c r="D3590" s="386">
        <v>54595.198449074072</v>
      </c>
    </row>
    <row r="3591" spans="2:4" ht="13.5" customHeight="1">
      <c r="B3591" s="336" t="s">
        <v>3409</v>
      </c>
      <c r="C3591" s="388" t="s">
        <v>7015</v>
      </c>
      <c r="D3591" s="386">
        <v>54610.921446759254</v>
      </c>
    </row>
    <row r="3592" spans="2:4" ht="13.5" customHeight="1">
      <c r="B3592" s="336" t="s">
        <v>1460</v>
      </c>
      <c r="C3592" s="388" t="s">
        <v>4242</v>
      </c>
      <c r="D3592" s="386">
        <v>54626.648831018516</v>
      </c>
    </row>
    <row r="3593" spans="2:4" ht="13.5" customHeight="1">
      <c r="B3593" s="336" t="s">
        <v>3410</v>
      </c>
      <c r="C3593" s="388" t="s">
        <v>7016</v>
      </c>
      <c r="D3593" s="386">
        <v>54642.330370370371</v>
      </c>
    </row>
    <row r="3594" spans="2:4" ht="13.5" customHeight="1">
      <c r="B3594" s="336" t="s">
        <v>1461</v>
      </c>
      <c r="C3594" s="388" t="s">
        <v>4276</v>
      </c>
      <c r="D3594" s="386">
        <v>54657.948252314811</v>
      </c>
    </row>
    <row r="3595" spans="2:4" ht="13.5" customHeight="1">
      <c r="B3595" s="336" t="s">
        <v>3411</v>
      </c>
      <c r="C3595" s="388" t="s">
        <v>7017</v>
      </c>
      <c r="D3595" s="386">
        <v>54673.460902777777</v>
      </c>
    </row>
    <row r="3596" spans="2:4" ht="13.5" customHeight="1">
      <c r="B3596" s="336" t="s">
        <v>1462</v>
      </c>
      <c r="C3596" s="389" t="s">
        <v>4278</v>
      </c>
      <c r="D3596" s="386">
        <v>54688.861851851849</v>
      </c>
    </row>
    <row r="3597" spans="2:4" ht="13.5" customHeight="1">
      <c r="B3597" s="336" t="s">
        <v>3412</v>
      </c>
      <c r="C3597" s="388" t="s">
        <v>7018</v>
      </c>
      <c r="D3597" s="386">
        <v>54704.12736111111</v>
      </c>
    </row>
    <row r="3598" spans="2:4" ht="13.5" customHeight="1">
      <c r="B3598" s="336" t="s">
        <v>1463</v>
      </c>
      <c r="C3598" s="388" t="s">
        <v>4280</v>
      </c>
      <c r="D3598" s="386">
        <v>54719.266412037032</v>
      </c>
    </row>
    <row r="3599" spans="2:4" ht="13.5" customHeight="1">
      <c r="B3599" s="336" t="s">
        <v>3413</v>
      </c>
      <c r="C3599" s="388" t="s">
        <v>7019</v>
      </c>
      <c r="D3599" s="386">
        <v>54734.27543981481</v>
      </c>
    </row>
    <row r="3600" spans="2:4" ht="13.5" customHeight="1">
      <c r="B3600" s="336" t="s">
        <v>1464</v>
      </c>
      <c r="C3600" s="388" t="s">
        <v>4282</v>
      </c>
      <c r="D3600" s="386">
        <v>54749.178796296292</v>
      </c>
    </row>
    <row r="3601" spans="2:4" ht="13.5" customHeight="1">
      <c r="B3601" s="336" t="s">
        <v>3414</v>
      </c>
      <c r="C3601" s="388" t="s">
        <v>7020</v>
      </c>
      <c r="D3601" s="386">
        <v>54763.989398148144</v>
      </c>
    </row>
    <row r="3602" spans="2:4" ht="13.5" customHeight="1">
      <c r="B3602" s="336" t="s">
        <v>1465</v>
      </c>
      <c r="C3602" s="389" t="s">
        <v>4284</v>
      </c>
      <c r="D3602" s="386">
        <v>54778.74319444444</v>
      </c>
    </row>
    <row r="3603" spans="2:4" ht="13.5" customHeight="1">
      <c r="B3603" s="336" t="s">
        <v>3415</v>
      </c>
      <c r="C3603" s="390" t="s">
        <v>9317</v>
      </c>
      <c r="D3603" s="386">
        <v>54793.462581018517</v>
      </c>
    </row>
    <row r="3604" spans="2:4" ht="13.5" customHeight="1">
      <c r="B3604" s="336" t="s">
        <v>1466</v>
      </c>
      <c r="C3604" s="388" t="s">
        <v>4230</v>
      </c>
      <c r="D3604" s="386">
        <v>54808.188888888886</v>
      </c>
    </row>
    <row r="3605" spans="2:4" ht="13.5" customHeight="1">
      <c r="B3605" s="336" t="s">
        <v>3416</v>
      </c>
      <c r="C3605" s="388" t="s">
        <v>7010</v>
      </c>
      <c r="D3605" s="386">
        <v>54822.946030092593</v>
      </c>
    </row>
    <row r="3606" spans="2:4" ht="13.5" customHeight="1">
      <c r="B3606" s="336" t="s">
        <v>1467</v>
      </c>
      <c r="C3606" s="388" t="s">
        <v>4232</v>
      </c>
      <c r="D3606" s="386">
        <v>54837.773229166662</v>
      </c>
    </row>
    <row r="3607" spans="2:4" ht="13.5" customHeight="1">
      <c r="B3607" s="336" t="s">
        <v>3417</v>
      </c>
      <c r="C3607" s="388" t="s">
        <v>7011</v>
      </c>
      <c r="D3607" s="386">
        <v>54852.688356481478</v>
      </c>
    </row>
    <row r="3608" spans="2:4" ht="13.5" customHeight="1">
      <c r="B3608" s="336" t="s">
        <v>1468</v>
      </c>
      <c r="C3608" s="389" t="s">
        <v>4234</v>
      </c>
      <c r="D3608" s="386">
        <v>54867.720787037033</v>
      </c>
    </row>
    <row r="3609" spans="2:4" ht="13.5" customHeight="1">
      <c r="B3609" s="336" t="s">
        <v>3418</v>
      </c>
      <c r="C3609" s="388" t="s">
        <v>7012</v>
      </c>
      <c r="D3609" s="386">
        <v>54882.876157407401</v>
      </c>
    </row>
    <row r="3610" spans="2:4" ht="13.5" customHeight="1">
      <c r="B3610" s="336" t="s">
        <v>1469</v>
      </c>
      <c r="C3610" s="388" t="s">
        <v>4236</v>
      </c>
      <c r="D3610" s="386">
        <v>54898.167002314811</v>
      </c>
    </row>
    <row r="3611" spans="2:4" ht="13.5" customHeight="1">
      <c r="B3611" s="336" t="s">
        <v>3419</v>
      </c>
      <c r="C3611" s="388" t="s">
        <v>7013</v>
      </c>
      <c r="D3611" s="386">
        <v>54913.583634259259</v>
      </c>
    </row>
    <row r="3612" spans="2:4" ht="13.5" customHeight="1">
      <c r="B3612" s="336" t="s">
        <v>1470</v>
      </c>
      <c r="C3612" s="388" t="s">
        <v>4238</v>
      </c>
      <c r="D3612" s="386">
        <v>54929.11755787037</v>
      </c>
    </row>
    <row r="3613" spans="2:4" ht="13.5" customHeight="1">
      <c r="B3613" s="336" t="s">
        <v>3420</v>
      </c>
      <c r="C3613" s="388" t="s">
        <v>7014</v>
      </c>
      <c r="D3613" s="386">
        <v>54944.745428240742</v>
      </c>
    </row>
    <row r="3614" spans="2:4" ht="13.5" customHeight="1">
      <c r="B3614" s="336" t="s">
        <v>1471</v>
      </c>
      <c r="C3614" s="389" t="s">
        <v>4240</v>
      </c>
      <c r="D3614" s="386">
        <v>54960.438587962963</v>
      </c>
    </row>
    <row r="3615" spans="2:4" ht="13.5" customHeight="1">
      <c r="B3615" s="336" t="s">
        <v>3421</v>
      </c>
      <c r="C3615" s="388" t="s">
        <v>7015</v>
      </c>
      <c r="D3615" s="386">
        <v>54976.166932870365</v>
      </c>
    </row>
    <row r="3616" spans="2:4" ht="13.5" customHeight="1">
      <c r="B3616" s="336" t="s">
        <v>1472</v>
      </c>
      <c r="C3616" s="388" t="s">
        <v>4242</v>
      </c>
      <c r="D3616" s="386">
        <v>54991.888657407406</v>
      </c>
    </row>
    <row r="3617" spans="2:4" ht="13.5" customHeight="1">
      <c r="B3617" s="336" t="s">
        <v>3422</v>
      </c>
      <c r="C3617" s="388" t="s">
        <v>7016</v>
      </c>
      <c r="D3617" s="386">
        <v>55007.576817129629</v>
      </c>
    </row>
    <row r="3618" spans="2:4" ht="13.5" customHeight="1">
      <c r="B3618" s="336" t="s">
        <v>1473</v>
      </c>
      <c r="C3618" s="388" t="s">
        <v>4276</v>
      </c>
      <c r="D3618" s="386">
        <v>55023.188020833331</v>
      </c>
    </row>
    <row r="3619" spans="2:4" ht="13.5" customHeight="1">
      <c r="B3619" s="336" t="s">
        <v>1674</v>
      </c>
      <c r="C3619" s="388" t="s">
        <v>7017</v>
      </c>
      <c r="D3619" s="386">
        <v>55038.707557870366</v>
      </c>
    </row>
    <row r="3620" spans="2:4" ht="13.5" customHeight="1">
      <c r="B3620" s="336" t="s">
        <v>1474</v>
      </c>
      <c r="C3620" s="389" t="s">
        <v>4278</v>
      </c>
      <c r="D3620" s="386">
        <v>55054.10193287037</v>
      </c>
    </row>
    <row r="3621" spans="2:4" ht="13.5" customHeight="1">
      <c r="B3621" s="336" t="s">
        <v>1675</v>
      </c>
      <c r="C3621" s="388" t="s">
        <v>7018</v>
      </c>
      <c r="D3621" s="386">
        <v>55069.374016203699</v>
      </c>
    </row>
    <row r="3622" spans="2:4" ht="13.5" customHeight="1">
      <c r="B3622" s="336" t="s">
        <v>1475</v>
      </c>
      <c r="C3622" s="388" t="s">
        <v>4280</v>
      </c>
      <c r="D3622" s="386">
        <v>55084.507060185184</v>
      </c>
    </row>
    <row r="3623" spans="2:4" ht="13.5" customHeight="1">
      <c r="B3623" s="336" t="s">
        <v>1676</v>
      </c>
      <c r="C3623" s="388" t="s">
        <v>7019</v>
      </c>
      <c r="D3623" s="386">
        <v>55099.522175925922</v>
      </c>
    </row>
    <row r="3624" spans="2:4" ht="13.5" customHeight="1">
      <c r="B3624" s="336" t="s">
        <v>1476</v>
      </c>
      <c r="C3624" s="388" t="s">
        <v>4282</v>
      </c>
      <c r="D3624" s="386">
        <v>55114.419791666667</v>
      </c>
    </row>
    <row r="3625" spans="2:4" ht="13.5" customHeight="1">
      <c r="B3625" s="336" t="s">
        <v>1677</v>
      </c>
      <c r="C3625" s="388" t="s">
        <v>7020</v>
      </c>
      <c r="D3625" s="386">
        <v>55129.235995370371</v>
      </c>
    </row>
    <row r="3626" spans="2:4" ht="13.5" customHeight="1">
      <c r="B3626" s="336" t="s">
        <v>1477</v>
      </c>
      <c r="C3626" s="389" t="s">
        <v>4284</v>
      </c>
      <c r="D3626" s="386">
        <v>55143.983854166661</v>
      </c>
    </row>
  </sheetData>
  <sheetProtection password="C2DF" sheet="1" objects="1" scenarios="1" selectLockedCells="1"/>
  <mergeCells count="2">
    <mergeCell ref="C1:D1"/>
    <mergeCell ref="C2:D2"/>
  </mergeCells>
  <phoneticPr fontId="3" type="noConversion"/>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85C1-C8C7-4587-85A5-CB3D08298591}">
  <sheetPr codeName="Sheet8"/>
  <dimension ref="A1:IL124"/>
  <sheetViews>
    <sheetView topLeftCell="BU1" workbookViewId="0">
      <selection activeCell="CA24" sqref="CA24"/>
    </sheetView>
  </sheetViews>
  <sheetFormatPr defaultRowHeight="12.95" customHeight="1"/>
  <cols>
    <col min="1" max="1" width="20.28515625" style="9" hidden="1" customWidth="1"/>
    <col min="2" max="2" width="17.28515625" style="17" hidden="1" customWidth="1"/>
    <col min="3" max="3" width="3.85546875" style="17" hidden="1" customWidth="1"/>
    <col min="4" max="4" width="5.28515625" style="14" hidden="1" customWidth="1"/>
    <col min="5" max="5" width="4.7109375" style="9" hidden="1" customWidth="1"/>
    <col min="6" max="6" width="4.28515625" style="9" hidden="1" customWidth="1"/>
    <col min="7" max="7" width="4" style="9" hidden="1" customWidth="1"/>
    <col min="8" max="8" width="4.5703125" style="9" hidden="1" customWidth="1"/>
    <col min="9" max="9" width="4.85546875" style="9" hidden="1" customWidth="1"/>
    <col min="10" max="10" width="4.28515625" style="17" hidden="1" customWidth="1"/>
    <col min="11" max="11" width="6.7109375" style="17" hidden="1" customWidth="1"/>
    <col min="12" max="13" width="4.85546875" style="9" hidden="1" customWidth="1"/>
    <col min="14" max="14" width="5.28515625" style="9" hidden="1" customWidth="1"/>
    <col min="15" max="16" width="4.85546875" style="9" hidden="1" customWidth="1"/>
    <col min="17" max="17" width="6.5703125" style="9" hidden="1" customWidth="1"/>
    <col min="18" max="18" width="5.140625" style="9" hidden="1" customWidth="1"/>
    <col min="19" max="19" width="8.42578125" style="9" hidden="1" customWidth="1"/>
    <col min="20" max="20" width="5.42578125" style="9" hidden="1" customWidth="1"/>
    <col min="21" max="21" width="8.7109375" style="1" hidden="1" customWidth="1"/>
    <col min="22" max="22" width="5.140625" style="1" hidden="1" customWidth="1"/>
    <col min="23" max="23" width="7" style="1" hidden="1" customWidth="1"/>
    <col min="24" max="24" width="15.140625" style="241" hidden="1" customWidth="1"/>
    <col min="25" max="25" width="4.7109375" style="9" hidden="1" customWidth="1"/>
    <col min="26" max="26" width="5.7109375" style="9" hidden="1" customWidth="1"/>
    <col min="27" max="27" width="5.28515625" style="9" hidden="1" customWidth="1"/>
    <col min="28" max="28" width="2.85546875" style="9" hidden="1" customWidth="1"/>
    <col min="29" max="29" width="5.7109375" style="9" hidden="1" customWidth="1"/>
    <col min="30" max="30" width="2.140625" style="9" hidden="1" customWidth="1"/>
    <col min="31" max="31" width="3" style="9" hidden="1" customWidth="1"/>
    <col min="32" max="32" width="5.7109375" style="9" hidden="1" customWidth="1"/>
    <col min="33" max="33" width="2.140625" style="9" hidden="1" customWidth="1"/>
    <col min="34" max="34" width="3.140625" style="9" hidden="1" customWidth="1"/>
    <col min="35" max="35" width="5.7109375" style="9" hidden="1" customWidth="1"/>
    <col min="36" max="36" width="2.140625" style="34" hidden="1" customWidth="1"/>
    <col min="37" max="37" width="2.7109375" style="213" hidden="1" customWidth="1"/>
    <col min="38" max="38" width="2.85546875" style="213" hidden="1" customWidth="1"/>
    <col min="39" max="39" width="1.7109375" style="213" hidden="1" customWidth="1"/>
    <col min="40" max="40" width="2.85546875" style="213" hidden="1" customWidth="1"/>
    <col min="41" max="41" width="2" style="213" hidden="1" customWidth="1"/>
    <col min="42" max="42" width="4.7109375" style="455" hidden="1" customWidth="1"/>
    <col min="43" max="43" width="7.42578125" style="212" hidden="1" customWidth="1"/>
    <col min="44" max="44" width="3.5703125" style="212" hidden="1" customWidth="1"/>
    <col min="45" max="45" width="7.42578125" style="647" hidden="1" customWidth="1"/>
    <col min="46" max="46" width="5.28515625" style="212" hidden="1" customWidth="1"/>
    <col min="47" max="47" width="5.7109375" style="10" hidden="1" customWidth="1"/>
    <col min="48" max="48" width="6.7109375" style="625" hidden="1" customWidth="1"/>
    <col min="49" max="49" width="4.42578125" style="8" hidden="1" customWidth="1"/>
    <col min="50" max="50" width="4.140625" style="212" hidden="1" customWidth="1"/>
    <col min="51" max="51" width="6.42578125" style="9" hidden="1" customWidth="1"/>
    <col min="52" max="52" width="4.42578125" style="9" hidden="1" customWidth="1"/>
    <col min="53" max="53" width="3.85546875" style="9" hidden="1" customWidth="1"/>
    <col min="54" max="54" width="5.28515625" style="9" hidden="1" customWidth="1"/>
    <col min="55" max="55" width="5.42578125" style="9" hidden="1" customWidth="1"/>
    <col min="56" max="56" width="1.7109375" style="9" hidden="1" customWidth="1"/>
    <col min="57" max="57" width="5.28515625" style="17" hidden="1" customWidth="1"/>
    <col min="58" max="58" width="5" style="9" hidden="1" customWidth="1"/>
    <col min="59" max="59" width="4.85546875" style="9" hidden="1" customWidth="1"/>
    <col min="60" max="60" width="6.5703125" style="9" hidden="1" customWidth="1"/>
    <col min="61" max="61" width="4.5703125" style="9" hidden="1" customWidth="1"/>
    <col min="62" max="62" width="5.28515625" style="9" hidden="1" customWidth="1"/>
    <col min="63" max="63" width="4.7109375" style="9" hidden="1" customWidth="1"/>
    <col min="64" max="64" width="4.28515625" style="17" hidden="1" customWidth="1"/>
    <col min="65" max="65" width="5.140625" style="720" hidden="1" customWidth="1"/>
    <col min="66" max="66" width="5.42578125" style="17" hidden="1" customWidth="1"/>
    <col min="67" max="67" width="3.140625" style="17" hidden="1" customWidth="1"/>
    <col min="68" max="68" width="4.7109375" style="17" hidden="1" customWidth="1"/>
    <col min="69" max="69" width="5.28515625" style="17" hidden="1" customWidth="1"/>
    <col min="70" max="70" width="6.85546875" style="17" hidden="1" customWidth="1"/>
    <col min="71" max="72" width="3.7109375" style="17" hidden="1" customWidth="1"/>
    <col min="73" max="73" width="3.42578125" style="244" customWidth="1"/>
    <col min="74" max="74" width="9.140625" style="1"/>
    <col min="75" max="75" width="22" style="9" bestFit="1" customWidth="1"/>
    <col min="76" max="76" width="2" style="9" bestFit="1" customWidth="1"/>
    <col min="77" max="77" width="6.5703125" style="9" bestFit="1" customWidth="1"/>
    <col min="78" max="78" width="4.85546875" style="9" bestFit="1" customWidth="1"/>
    <col min="79" max="79" width="5" style="9" bestFit="1" customWidth="1"/>
    <col min="80" max="80" width="3" style="9" customWidth="1"/>
    <col min="81" max="81" width="3.140625" style="9" customWidth="1"/>
    <col min="82" max="82" width="24.85546875" style="9" bestFit="1" customWidth="1"/>
    <col min="83" max="83" width="8" style="9" bestFit="1" customWidth="1"/>
    <col min="84" max="84" width="11.42578125" style="9" bestFit="1" customWidth="1"/>
    <col min="85" max="85" width="8.140625" style="9" bestFit="1" customWidth="1"/>
    <col min="86" max="86" width="7.5703125" style="9" bestFit="1" customWidth="1"/>
    <col min="87" max="87" width="5" style="9" bestFit="1" customWidth="1"/>
    <col min="88" max="88" width="9.85546875" style="9" bestFit="1" customWidth="1"/>
    <col min="89" max="89" width="6.5703125" style="9" bestFit="1" customWidth="1"/>
    <col min="90" max="90" width="11" style="9" bestFit="1" customWidth="1"/>
    <col min="91" max="91" width="5.28515625" style="9" bestFit="1" customWidth="1"/>
    <col min="92" max="92" width="8.42578125" style="9" bestFit="1" customWidth="1"/>
    <col min="93" max="93" width="5.5703125" style="9" bestFit="1" customWidth="1"/>
    <col min="94" max="94" width="4.28515625" style="9" bestFit="1" customWidth="1"/>
    <col min="95" max="97" width="3.7109375" style="9" bestFit="1" customWidth="1"/>
    <col min="98" max="100" width="9.140625" style="9"/>
    <col min="101" max="101" width="22.85546875" style="9" bestFit="1" customWidth="1"/>
    <col min="102" max="102" width="2" style="9" bestFit="1" customWidth="1"/>
    <col min="103" max="103" width="9.85546875" style="9" bestFit="1" customWidth="1"/>
    <col min="104" max="104" width="9" style="9" bestFit="1" customWidth="1"/>
    <col min="105" max="105" width="7" style="9" bestFit="1" customWidth="1"/>
    <col min="106" max="107" width="7.85546875" style="9" bestFit="1" customWidth="1"/>
    <col min="108" max="108" width="7" style="9" bestFit="1" customWidth="1"/>
    <col min="109" max="110" width="7.85546875" style="9" bestFit="1" customWidth="1"/>
    <col min="111" max="111" width="7" style="9" bestFit="1" customWidth="1"/>
    <col min="112" max="112" width="7.85546875" style="9" bestFit="1" customWidth="1"/>
    <col min="113" max="113" width="7" style="9" bestFit="1" customWidth="1"/>
    <col min="114" max="115" width="7.85546875" style="9" bestFit="1" customWidth="1"/>
    <col min="116" max="116" width="7" style="9" bestFit="1" customWidth="1"/>
    <col min="117" max="118" width="7.85546875" style="9" bestFit="1" customWidth="1"/>
    <col min="119" max="119" width="7" style="9" bestFit="1" customWidth="1"/>
    <col min="120" max="123" width="7.85546875" style="9" bestFit="1" customWidth="1"/>
    <col min="124" max="124" width="7" style="9" bestFit="1" customWidth="1"/>
    <col min="125" max="126" width="7.85546875" style="9" bestFit="1" customWidth="1"/>
    <col min="127" max="127" width="7" style="9" bestFit="1" customWidth="1"/>
    <col min="128" max="129" width="7.85546875" style="9" bestFit="1" customWidth="1"/>
    <col min="130" max="130" width="7" style="9" bestFit="1" customWidth="1"/>
    <col min="131" max="131" width="7.85546875" style="9" bestFit="1" customWidth="1"/>
    <col min="132" max="132" width="7" style="9" bestFit="1" customWidth="1"/>
    <col min="133" max="134" width="7.85546875" style="9" bestFit="1" customWidth="1"/>
    <col min="135" max="135" width="7" style="9" bestFit="1" customWidth="1"/>
    <col min="136" max="137" width="7.85546875" style="9" bestFit="1" customWidth="1"/>
    <col min="138" max="138" width="7" style="9" bestFit="1" customWidth="1"/>
    <col min="139" max="142" width="7.85546875" style="9" bestFit="1" customWidth="1"/>
    <col min="143" max="143" width="7" style="9" bestFit="1" customWidth="1"/>
    <col min="144" max="145" width="7.85546875" style="9" bestFit="1" customWidth="1"/>
    <col min="146" max="146" width="7" style="9" bestFit="1" customWidth="1"/>
    <col min="147" max="148" width="7.85546875" style="9" bestFit="1" customWidth="1"/>
    <col min="149" max="149" width="7" style="9" bestFit="1" customWidth="1"/>
    <col min="150" max="150" width="7.85546875" style="9" bestFit="1" customWidth="1"/>
    <col min="151" max="151" width="7" style="9" bestFit="1" customWidth="1"/>
    <col min="152" max="153" width="7.85546875" style="9" bestFit="1" customWidth="1"/>
    <col min="154" max="154" width="7" style="9" bestFit="1" customWidth="1"/>
    <col min="155" max="156" width="7.85546875" style="9" bestFit="1" customWidth="1"/>
    <col min="157" max="157" width="7" style="9" bestFit="1" customWidth="1"/>
    <col min="158" max="161" width="7.85546875" style="9" bestFit="1" customWidth="1"/>
    <col min="162" max="162" width="7" style="9" bestFit="1" customWidth="1"/>
    <col min="163" max="164" width="7.85546875" style="9" bestFit="1" customWidth="1"/>
    <col min="165" max="165" width="7" style="9" bestFit="1" customWidth="1"/>
    <col min="166" max="167" width="7.85546875" style="9" bestFit="1" customWidth="1"/>
    <col min="168" max="168" width="7" style="9" bestFit="1" customWidth="1"/>
    <col min="169" max="169" width="7.85546875" style="9" bestFit="1" customWidth="1"/>
    <col min="170" max="170" width="7" style="9" bestFit="1" customWidth="1"/>
    <col min="171" max="172" width="7.85546875" style="9" bestFit="1" customWidth="1"/>
    <col min="173" max="173" width="7" style="9" bestFit="1" customWidth="1"/>
    <col min="174" max="175" width="7.85546875" style="9" bestFit="1" customWidth="1"/>
    <col min="176" max="176" width="7" style="9" bestFit="1" customWidth="1"/>
    <col min="177" max="180" width="7.85546875" style="9" bestFit="1" customWidth="1"/>
    <col min="181" max="181" width="7" style="9" bestFit="1" customWidth="1"/>
    <col min="182" max="183" width="7.85546875" style="9" bestFit="1" customWidth="1"/>
    <col min="184" max="184" width="7" style="9" bestFit="1" customWidth="1"/>
    <col min="185" max="186" width="7.85546875" style="9" bestFit="1" customWidth="1"/>
    <col min="187" max="187" width="7" style="9" bestFit="1" customWidth="1"/>
    <col min="188" max="188" width="7.85546875" style="9" bestFit="1" customWidth="1"/>
    <col min="189" max="189" width="7" style="9" bestFit="1" customWidth="1"/>
    <col min="190" max="191" width="7.85546875" style="9" bestFit="1" customWidth="1"/>
    <col min="192" max="192" width="7" style="9" bestFit="1" customWidth="1"/>
    <col min="193" max="194" width="7.85546875" style="9" bestFit="1" customWidth="1"/>
    <col min="195" max="195" width="7" style="9" bestFit="1" customWidth="1"/>
    <col min="196" max="196" width="7.85546875" style="9" bestFit="1" customWidth="1"/>
    <col min="197" max="197" width="7" style="9" bestFit="1" customWidth="1"/>
    <col min="198" max="199" width="7.85546875" style="9" bestFit="1" customWidth="1"/>
    <col min="200" max="200" width="7" style="9" bestFit="1" customWidth="1"/>
    <col min="201" max="202" width="7.85546875" style="9" bestFit="1" customWidth="1"/>
    <col min="203" max="203" width="7.140625" style="9" bestFit="1" customWidth="1"/>
    <col min="204" max="207" width="7.85546875" style="9" bestFit="1" customWidth="1"/>
    <col min="208" max="208" width="7.140625" style="9" bestFit="1" customWidth="1"/>
    <col min="209" max="210" width="7.85546875" style="9" bestFit="1" customWidth="1"/>
    <col min="211" max="211" width="7.140625" style="9" bestFit="1" customWidth="1"/>
    <col min="212" max="213" width="7.85546875" style="9" bestFit="1" customWidth="1"/>
    <col min="214" max="214" width="7" style="9" bestFit="1" customWidth="1"/>
    <col min="215" max="215" width="7.85546875" style="9" bestFit="1" customWidth="1"/>
    <col min="216" max="216" width="7" style="9" bestFit="1" customWidth="1"/>
    <col min="217" max="218" width="7.85546875" style="9" bestFit="1" customWidth="1"/>
    <col min="219" max="219" width="7" style="9" bestFit="1" customWidth="1"/>
    <col min="220" max="221" width="7.85546875" style="9" bestFit="1" customWidth="1"/>
    <col min="222" max="222" width="7" style="9" bestFit="1" customWidth="1"/>
    <col min="223" max="226" width="7.85546875" style="9" bestFit="1" customWidth="1"/>
    <col min="227" max="227" width="7.140625" style="9" bestFit="1" customWidth="1"/>
    <col min="228" max="229" width="7.85546875" style="9" bestFit="1" customWidth="1"/>
    <col min="230" max="230" width="7.140625" style="9" bestFit="1" customWidth="1"/>
    <col min="231" max="232" width="7.85546875" style="9" bestFit="1" customWidth="1"/>
    <col min="233" max="233" width="7.140625" style="9" bestFit="1" customWidth="1"/>
    <col min="234" max="237" width="7.85546875" style="9" bestFit="1" customWidth="1"/>
    <col min="238" max="238" width="7.140625" style="9" bestFit="1" customWidth="1"/>
    <col min="239" max="240" width="7.85546875" style="9" bestFit="1" customWidth="1"/>
    <col min="241" max="241" width="7.140625" style="9" bestFit="1" customWidth="1"/>
    <col min="242" max="245" width="7.85546875" style="9" bestFit="1" customWidth="1"/>
    <col min="246" max="16384" width="9.140625" style="9"/>
  </cols>
  <sheetData>
    <row r="1" spans="1:246" ht="12.95" customHeight="1">
      <c r="AU1" s="21"/>
      <c r="AY1" s="14"/>
      <c r="AZ1" s="14"/>
      <c r="BA1" s="14"/>
      <c r="BD1" s="14"/>
      <c r="BE1" s="5"/>
      <c r="BF1" s="5"/>
      <c r="BG1" s="14"/>
      <c r="BH1" s="14"/>
      <c r="BI1" s="14"/>
      <c r="BJ1" s="14"/>
      <c r="BK1" s="14"/>
      <c r="BL1" s="19"/>
      <c r="BM1" s="9"/>
      <c r="BN1" s="632"/>
      <c r="BO1" s="633"/>
      <c r="BP1" s="634"/>
      <c r="BQ1" s="634"/>
      <c r="BR1" s="634"/>
      <c r="BS1" s="634"/>
      <c r="BT1" s="634"/>
    </row>
    <row r="2" spans="1:246" s="49" customFormat="1" ht="18">
      <c r="A2" s="399" t="s">
        <v>3587</v>
      </c>
      <c r="B2" s="505"/>
      <c r="C2" s="505"/>
      <c r="D2" s="399"/>
      <c r="E2" s="399"/>
      <c r="F2" s="399"/>
      <c r="G2" s="399"/>
      <c r="H2" s="399"/>
      <c r="I2" s="399"/>
      <c r="J2" s="208"/>
      <c r="K2" s="208"/>
      <c r="U2" s="242"/>
      <c r="V2" s="242"/>
      <c r="W2" s="242"/>
      <c r="X2" s="243"/>
      <c r="Y2" s="398" t="s">
        <v>2160</v>
      </c>
      <c r="AJ2" s="209"/>
      <c r="AK2" s="398" t="s">
        <v>4986</v>
      </c>
      <c r="AL2" s="453"/>
      <c r="AM2" s="453"/>
      <c r="AN2" s="453"/>
      <c r="AO2" s="453"/>
      <c r="AP2" s="635" t="s">
        <v>459</v>
      </c>
      <c r="AR2" s="505"/>
      <c r="AS2" s="648"/>
      <c r="AT2" s="399"/>
      <c r="AU2" s="399"/>
      <c r="AV2" s="693"/>
      <c r="AW2" s="694"/>
      <c r="AX2" s="695"/>
      <c r="AY2" s="696"/>
      <c r="AZ2" s="696"/>
      <c r="BA2" s="696"/>
      <c r="BB2" s="696"/>
      <c r="BC2" s="696"/>
      <c r="BD2" s="696"/>
      <c r="BE2" s="696"/>
      <c r="BF2" s="694"/>
      <c r="BG2" s="696"/>
      <c r="BH2" s="696"/>
      <c r="BI2" s="696"/>
      <c r="BJ2" s="696"/>
      <c r="BK2" s="696"/>
      <c r="BL2" s="697"/>
      <c r="BM2" s="694"/>
      <c r="BN2" s="698"/>
      <c r="BO2" s="698"/>
      <c r="BP2" s="698"/>
      <c r="BQ2" s="698"/>
      <c r="BR2" s="698"/>
      <c r="BS2" s="698"/>
      <c r="BT2" s="698"/>
      <c r="BU2" s="699"/>
      <c r="BW2" s="1003" t="s">
        <v>443</v>
      </c>
      <c r="BX2" s="1003"/>
      <c r="BY2" s="1003"/>
      <c r="BZ2" s="1003"/>
      <c r="CA2" s="1003"/>
      <c r="CB2" s="1003"/>
      <c r="CC2" s="1003"/>
    </row>
    <row r="3" spans="1:246" ht="12.95" customHeight="1" thickBot="1">
      <c r="A3" s="33" t="s">
        <v>4317</v>
      </c>
      <c r="B3" s="477">
        <f ca="1">DATE(BY8,BY7,BY6)</f>
        <v>37304</v>
      </c>
      <c r="C3" s="33" t="s">
        <v>1725</v>
      </c>
      <c r="D3" s="9" t="s">
        <v>3735</v>
      </c>
      <c r="E3" s="8" t="s">
        <v>507</v>
      </c>
      <c r="S3" s="573"/>
      <c r="T3" s="573"/>
      <c r="AK3" s="240">
        <v>5</v>
      </c>
      <c r="AL3" s="28"/>
      <c r="AM3" s="28"/>
      <c r="AN3" s="28"/>
      <c r="AO3" s="28"/>
      <c r="AP3" s="220">
        <f t="shared" ref="AP3:AP8" ca="1" si="0">IF(AS3="———",1,0)</f>
        <v>1</v>
      </c>
      <c r="AQ3" s="639" t="s">
        <v>3642</v>
      </c>
      <c r="AR3" s="256" t="str">
        <f ca="1">IF(AQ8=6,"*","")</f>
        <v/>
      </c>
      <c r="AS3" s="216" t="str">
        <f ca="1">HLOOKUP(AQ7,'64Quẻ'!B5:DX11,2,0)</f>
        <v>———</v>
      </c>
      <c r="AT3" s="16" t="s">
        <v>969</v>
      </c>
      <c r="AU3" s="9" t="str">
        <f ca="1">V9</f>
        <v>111</v>
      </c>
      <c r="AV3" s="637"/>
      <c r="AW3" s="700"/>
      <c r="AX3" s="256"/>
      <c r="AY3" s="701"/>
      <c r="BD3" s="233"/>
      <c r="BE3" s="1012"/>
      <c r="BF3" s="1012"/>
      <c r="BG3" s="1012"/>
      <c r="BH3" s="702"/>
      <c r="BJ3" s="703"/>
      <c r="BK3" s="703"/>
      <c r="BL3" s="9"/>
      <c r="BM3" s="1011"/>
      <c r="BN3" s="1011"/>
      <c r="BO3" s="1011"/>
      <c r="BP3" s="9"/>
      <c r="BQ3" s="9"/>
      <c r="BR3" s="9"/>
      <c r="BT3" s="704"/>
      <c r="BV3" s="9"/>
      <c r="BW3" s="51"/>
      <c r="BX3" s="51"/>
      <c r="BY3" s="51"/>
      <c r="BZ3" s="51"/>
      <c r="CA3" s="51"/>
      <c r="CB3" s="51"/>
      <c r="CC3" s="52"/>
      <c r="CD3" s="53"/>
      <c r="CE3" s="54"/>
      <c r="CF3" s="55"/>
      <c r="CG3" s="55"/>
      <c r="CH3" s="55"/>
      <c r="CI3" s="55"/>
      <c r="CJ3" s="55"/>
      <c r="CK3" s="55"/>
      <c r="CL3" s="55"/>
      <c r="CM3" s="55"/>
      <c r="CN3" s="55"/>
      <c r="CO3" s="55"/>
      <c r="CP3" s="55"/>
      <c r="CQ3" s="55"/>
      <c r="CR3" s="55"/>
      <c r="CS3" s="55"/>
      <c r="CT3" s="55"/>
      <c r="CU3" s="55"/>
      <c r="CV3" s="56"/>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55"/>
      <c r="GU3" s="55"/>
      <c r="GV3" s="55"/>
      <c r="GW3" s="55"/>
      <c r="GX3" s="55"/>
      <c r="GY3" s="55"/>
      <c r="GZ3" s="55"/>
      <c r="HA3" s="55"/>
      <c r="HB3" s="55"/>
      <c r="HC3" s="55"/>
      <c r="HD3" s="55"/>
      <c r="HE3" s="55"/>
      <c r="HF3" s="55"/>
      <c r="HG3" s="55"/>
      <c r="HH3" s="55"/>
      <c r="HI3" s="55"/>
      <c r="HJ3" s="55"/>
      <c r="HK3" s="55"/>
      <c r="HL3" s="55"/>
      <c r="HM3" s="55"/>
      <c r="HN3" s="55"/>
      <c r="HO3" s="55"/>
      <c r="HP3" s="55"/>
      <c r="HQ3" s="55"/>
      <c r="HR3" s="55"/>
      <c r="HS3" s="51"/>
      <c r="HT3" s="51"/>
      <c r="HU3" s="51"/>
      <c r="HV3" s="51"/>
      <c r="HW3" s="51"/>
      <c r="HX3" s="51"/>
      <c r="HY3" s="51"/>
      <c r="HZ3" s="51"/>
      <c r="IA3" s="51"/>
      <c r="IB3" s="51"/>
      <c r="IC3" s="51"/>
      <c r="ID3" s="51"/>
      <c r="IE3" s="51"/>
      <c r="IF3" s="51"/>
      <c r="IG3" s="51"/>
      <c r="IH3" s="51"/>
      <c r="II3" s="51"/>
      <c r="IJ3" s="51"/>
      <c r="IK3" s="51"/>
      <c r="IL3" s="51"/>
    </row>
    <row r="4" spans="1:246" ht="12.95" customHeight="1" thickTop="1" thickBot="1">
      <c r="A4" s="33" t="s">
        <v>4318</v>
      </c>
      <c r="B4" s="478">
        <f ca="1">TIME(BY9,BZ9,0)</f>
        <v>0.29166666666666669</v>
      </c>
      <c r="C4" s="33" t="s">
        <v>1726</v>
      </c>
      <c r="D4" s="9" t="s">
        <v>1876</v>
      </c>
      <c r="E4" s="9" t="s">
        <v>9297</v>
      </c>
      <c r="F4" s="456" t="s">
        <v>9005</v>
      </c>
      <c r="G4" s="396" t="s">
        <v>9006</v>
      </c>
      <c r="H4" s="396" t="s">
        <v>9007</v>
      </c>
      <c r="I4" s="396" t="s">
        <v>9008</v>
      </c>
      <c r="J4" s="396" t="s">
        <v>9009</v>
      </c>
      <c r="K4" s="396" t="s">
        <v>9010</v>
      </c>
      <c r="L4" s="396" t="s">
        <v>3733</v>
      </c>
      <c r="M4" s="396" t="s">
        <v>3734</v>
      </c>
      <c r="N4" s="396" t="s">
        <v>3735</v>
      </c>
      <c r="O4" s="396" t="s">
        <v>1876</v>
      </c>
      <c r="P4" s="396"/>
      <c r="Q4" s="457"/>
      <c r="R4" s="575" t="s">
        <v>2736</v>
      </c>
      <c r="S4" s="28"/>
      <c r="T4" s="447"/>
      <c r="U4" s="450" t="s">
        <v>4284</v>
      </c>
      <c r="V4" s="28">
        <v>12</v>
      </c>
      <c r="W4" s="451" t="str">
        <f ca="1">V4&amp;BY8&amp;"b"</f>
        <v>122002b</v>
      </c>
      <c r="X4" s="452">
        <f ca="1">VLOOKUP(W4,TiếtKhí!B3:D3626,3,0)</f>
        <v>37612.343240740738</v>
      </c>
      <c r="Z4" s="1007" t="s">
        <v>4215</v>
      </c>
      <c r="AA4" s="1007"/>
      <c r="AB4" s="1008">
        <f ca="1">VLOOKUP(AH4,TiếtKhí!B3:D3626,3,0)</f>
        <v>37428.850358796291</v>
      </c>
      <c r="AC4" s="1008"/>
      <c r="AD4" s="1008"/>
      <c r="AE4" s="1008"/>
      <c r="AF4" s="1008"/>
      <c r="AH4" s="1014" t="str">
        <f ca="1">"6"&amp;BY8&amp;"b"</f>
        <v>62002b</v>
      </c>
      <c r="AI4" s="1014"/>
      <c r="AJ4" s="213"/>
      <c r="AK4" s="18">
        <f ca="1">IF(M23="1",1,AK5+1)</f>
        <v>2</v>
      </c>
      <c r="AL4" s="16">
        <f t="shared" ref="AL4:AL9" ca="1" si="1">M23</f>
        <v>10</v>
      </c>
      <c r="AM4" s="17" t="s">
        <v>9013</v>
      </c>
      <c r="AN4" s="213">
        <f t="shared" ref="AN4:AN9" ca="1" si="2">N23</f>
        <v>18</v>
      </c>
      <c r="AO4" s="9">
        <v>6</v>
      </c>
      <c r="AP4" s="221">
        <f t="shared" ca="1" si="0"/>
        <v>1</v>
      </c>
      <c r="AQ4" s="641" t="str">
        <f ca="1">IF(AND(B14&lt;=12,B14&gt;1),INDEX(E4:E15,MOD(B15,12)+1),IF(B14=1,INDEX(E3:E14,MOD(B15,12)+1),""))</f>
        <v>Ngọ</v>
      </c>
      <c r="AR4" s="7" t="str">
        <f ca="1">IF(AQ8=5,"*","")</f>
        <v/>
      </c>
      <c r="AS4" s="216" t="str">
        <f ca="1">HLOOKUP(AQ7,'64Quẻ'!B5:DX11,3,0)</f>
        <v>———</v>
      </c>
      <c r="AT4" s="33" t="s">
        <v>970</v>
      </c>
      <c r="AU4" s="10" t="str">
        <f ca="1">X9</f>
        <v>101</v>
      </c>
      <c r="AV4" s="705"/>
      <c r="AW4" s="700"/>
      <c r="AX4" s="7"/>
      <c r="AY4" s="701"/>
      <c r="BD4" s="233"/>
      <c r="BE4" s="1006"/>
      <c r="BF4" s="1006"/>
      <c r="BG4" s="1006"/>
      <c r="BH4" s="16"/>
      <c r="BI4" s="213"/>
      <c r="BL4" s="16"/>
      <c r="BM4" s="702"/>
      <c r="BN4" s="706"/>
      <c r="BO4" s="706"/>
      <c r="BS4" s="707"/>
      <c r="BT4" s="707"/>
      <c r="BW4" s="988" t="s">
        <v>444</v>
      </c>
      <c r="BX4" s="988"/>
      <c r="BY4" s="988"/>
      <c r="BZ4" s="988"/>
      <c r="CA4" s="988"/>
      <c r="CB4" s="51"/>
      <c r="CC4" s="52"/>
      <c r="CD4" s="57" t="s">
        <v>2687</v>
      </c>
      <c r="CE4" s="58" t="s">
        <v>2688</v>
      </c>
      <c r="CF4" s="59">
        <f>CY4</f>
        <v>366</v>
      </c>
      <c r="CG4" s="993" t="s">
        <v>2689</v>
      </c>
      <c r="CH4" s="993"/>
      <c r="CI4" s="994"/>
      <c r="CJ4" s="55"/>
      <c r="CK4" s="55"/>
      <c r="CL4" s="55"/>
      <c r="CM4" s="55"/>
      <c r="CN4" s="55"/>
      <c r="CO4" s="55"/>
      <c r="CP4" s="55"/>
      <c r="CQ4" s="55"/>
      <c r="CR4" s="55"/>
      <c r="CS4" s="55"/>
      <c r="CT4" s="55"/>
      <c r="CU4" s="55"/>
      <c r="CV4" s="56"/>
      <c r="CW4" s="60" t="s">
        <v>4944</v>
      </c>
      <c r="CX4" s="61" t="s">
        <v>2688</v>
      </c>
      <c r="CY4" s="62">
        <v>366</v>
      </c>
      <c r="CZ4" s="63">
        <v>415</v>
      </c>
      <c r="DA4" s="64">
        <v>769</v>
      </c>
      <c r="DB4" s="64">
        <v>1124</v>
      </c>
      <c r="DC4" s="64">
        <v>1507</v>
      </c>
      <c r="DD4" s="64">
        <v>1861</v>
      </c>
      <c r="DE4" s="64">
        <v>2216</v>
      </c>
      <c r="DF4" s="64">
        <v>2600</v>
      </c>
      <c r="DG4" s="64">
        <v>2954</v>
      </c>
      <c r="DH4" s="64">
        <v>3309</v>
      </c>
      <c r="DI4" s="64">
        <v>3693</v>
      </c>
      <c r="DJ4" s="64">
        <v>4047</v>
      </c>
      <c r="DK4" s="64">
        <v>4431</v>
      </c>
      <c r="DL4" s="64">
        <v>4785</v>
      </c>
      <c r="DM4" s="64">
        <v>5139</v>
      </c>
      <c r="DN4" s="64">
        <v>5523</v>
      </c>
      <c r="DO4" s="64">
        <v>5877</v>
      </c>
      <c r="DP4" s="64">
        <v>6232</v>
      </c>
      <c r="DQ4" s="64">
        <v>6616</v>
      </c>
      <c r="DR4" s="64">
        <v>6971</v>
      </c>
      <c r="DS4" s="64">
        <v>7355</v>
      </c>
      <c r="DT4" s="64">
        <v>7709</v>
      </c>
      <c r="DU4" s="64">
        <v>8063</v>
      </c>
      <c r="DV4" s="64">
        <v>8447</v>
      </c>
      <c r="DW4" s="64">
        <v>8801</v>
      </c>
      <c r="DX4" s="64">
        <v>9156</v>
      </c>
      <c r="DY4" s="64">
        <v>9540</v>
      </c>
      <c r="DZ4" s="64">
        <v>9894</v>
      </c>
      <c r="EA4" s="64">
        <v>10249</v>
      </c>
      <c r="EB4" s="64">
        <v>10633</v>
      </c>
      <c r="EC4" s="64">
        <v>10987</v>
      </c>
      <c r="ED4" s="64">
        <v>11370</v>
      </c>
      <c r="EE4" s="64">
        <v>11724</v>
      </c>
      <c r="EF4" s="64">
        <v>12079</v>
      </c>
      <c r="EG4" s="64">
        <v>12463</v>
      </c>
      <c r="EH4" s="64">
        <v>12818</v>
      </c>
      <c r="EI4" s="64">
        <v>13172</v>
      </c>
      <c r="EJ4" s="64">
        <v>13556</v>
      </c>
      <c r="EK4" s="64">
        <v>13910</v>
      </c>
      <c r="EL4" s="64">
        <v>14294</v>
      </c>
      <c r="EM4" s="64">
        <v>14648</v>
      </c>
      <c r="EN4" s="64">
        <v>15002</v>
      </c>
      <c r="EO4" s="64">
        <v>15386</v>
      </c>
      <c r="EP4" s="64">
        <v>15741</v>
      </c>
      <c r="EQ4" s="64">
        <v>16095</v>
      </c>
      <c r="ER4" s="64">
        <v>16480</v>
      </c>
      <c r="ES4" s="64">
        <v>16834</v>
      </c>
      <c r="ET4" s="64">
        <v>17188</v>
      </c>
      <c r="EU4" s="64">
        <v>17572</v>
      </c>
      <c r="EV4" s="64">
        <v>17926</v>
      </c>
      <c r="EW4" s="64">
        <v>18310</v>
      </c>
      <c r="EX4" s="64">
        <v>18664</v>
      </c>
      <c r="EY4" s="64">
        <v>19019</v>
      </c>
      <c r="EZ4" s="64">
        <v>19403</v>
      </c>
      <c r="FA4" s="64">
        <v>19757</v>
      </c>
      <c r="FB4" s="64">
        <v>20112</v>
      </c>
      <c r="FC4" s="64">
        <v>20496</v>
      </c>
      <c r="FD4" s="64">
        <v>20850</v>
      </c>
      <c r="FE4" s="64">
        <v>21233</v>
      </c>
      <c r="FF4" s="64">
        <v>21588</v>
      </c>
      <c r="FG4" s="64">
        <v>21942</v>
      </c>
      <c r="FH4" s="64">
        <v>22326</v>
      </c>
      <c r="FI4" s="64">
        <v>22681</v>
      </c>
      <c r="FJ4" s="64">
        <v>23035</v>
      </c>
      <c r="FK4" s="64">
        <v>23419</v>
      </c>
      <c r="FL4" s="64">
        <v>23774</v>
      </c>
      <c r="FM4" s="64">
        <v>24127</v>
      </c>
      <c r="FN4" s="64">
        <v>24511</v>
      </c>
      <c r="FO4" s="64">
        <v>24865</v>
      </c>
      <c r="FP4" s="64">
        <v>25249</v>
      </c>
      <c r="FQ4" s="64">
        <v>25604</v>
      </c>
      <c r="FR4" s="64">
        <v>25959</v>
      </c>
      <c r="FS4" s="64">
        <v>26343</v>
      </c>
      <c r="FT4" s="64">
        <v>26697</v>
      </c>
      <c r="FU4" s="64">
        <v>27051</v>
      </c>
      <c r="FV4" s="64">
        <v>27435</v>
      </c>
      <c r="FW4" s="64">
        <v>27789</v>
      </c>
      <c r="FX4" s="64">
        <v>28173</v>
      </c>
      <c r="FY4" s="64">
        <v>28527</v>
      </c>
      <c r="FZ4" s="64">
        <v>28882</v>
      </c>
      <c r="GA4" s="64">
        <v>29266</v>
      </c>
      <c r="GB4" s="64">
        <v>29621</v>
      </c>
      <c r="GC4" s="64">
        <v>29975</v>
      </c>
      <c r="GD4" s="64">
        <v>30359</v>
      </c>
      <c r="GE4" s="64">
        <v>30713</v>
      </c>
      <c r="GF4" s="64">
        <v>31067</v>
      </c>
      <c r="GG4" s="64">
        <v>31451</v>
      </c>
      <c r="GH4" s="64">
        <v>31805</v>
      </c>
      <c r="GI4" s="64">
        <v>32189</v>
      </c>
      <c r="GJ4" s="64">
        <v>32544</v>
      </c>
      <c r="GK4" s="64">
        <v>32899</v>
      </c>
      <c r="GL4" s="64">
        <v>33283</v>
      </c>
      <c r="GM4" s="64">
        <v>33637</v>
      </c>
      <c r="GN4" s="64">
        <v>33991</v>
      </c>
      <c r="GO4" s="64">
        <v>34374</v>
      </c>
      <c r="GP4" s="64">
        <v>34729</v>
      </c>
      <c r="GQ4" s="64">
        <v>35113</v>
      </c>
      <c r="GR4" s="64">
        <v>35467</v>
      </c>
      <c r="GS4" s="64">
        <v>35822</v>
      </c>
      <c r="GT4" s="64">
        <v>36206</v>
      </c>
      <c r="GU4" s="64">
        <v>36560</v>
      </c>
      <c r="GV4" s="64">
        <v>36914</v>
      </c>
      <c r="GW4" s="64">
        <v>37298</v>
      </c>
      <c r="GX4" s="64">
        <v>37652</v>
      </c>
      <c r="GY4" s="64">
        <v>38007</v>
      </c>
      <c r="GZ4" s="64">
        <v>38391</v>
      </c>
      <c r="HA4" s="64">
        <v>38745</v>
      </c>
      <c r="HB4" s="64">
        <v>39130</v>
      </c>
      <c r="HC4" s="64">
        <v>39484</v>
      </c>
      <c r="HD4" s="64">
        <v>39838</v>
      </c>
      <c r="HE4" s="64">
        <v>40222</v>
      </c>
      <c r="HF4" s="64">
        <v>40576</v>
      </c>
      <c r="HG4" s="64">
        <v>40930</v>
      </c>
      <c r="HH4" s="64">
        <v>41314</v>
      </c>
      <c r="HI4" s="64">
        <v>41669</v>
      </c>
      <c r="HJ4" s="64">
        <v>42053</v>
      </c>
      <c r="HK4" s="64">
        <v>42407</v>
      </c>
      <c r="HL4" s="64">
        <v>42762</v>
      </c>
      <c r="HM4" s="64">
        <v>43146</v>
      </c>
      <c r="HN4" s="64">
        <v>43500</v>
      </c>
      <c r="HO4" s="64">
        <v>43854</v>
      </c>
      <c r="HP4" s="64">
        <v>44238</v>
      </c>
      <c r="HQ4" s="64">
        <v>44592</v>
      </c>
      <c r="HR4" s="64">
        <v>44947</v>
      </c>
      <c r="HS4" s="64">
        <v>45331</v>
      </c>
      <c r="HT4" s="64">
        <v>45685</v>
      </c>
      <c r="HU4" s="64">
        <v>46069</v>
      </c>
      <c r="HV4" s="64">
        <v>46423</v>
      </c>
      <c r="HW4" s="64">
        <v>46777</v>
      </c>
      <c r="HX4" s="64">
        <v>47161</v>
      </c>
      <c r="HY4" s="64">
        <v>47516</v>
      </c>
      <c r="HZ4" s="64">
        <v>47870</v>
      </c>
      <c r="IA4" s="64">
        <v>48254</v>
      </c>
      <c r="IB4" s="64">
        <v>48609</v>
      </c>
      <c r="IC4" s="64">
        <v>48993</v>
      </c>
      <c r="ID4" s="64">
        <v>49347</v>
      </c>
      <c r="IE4" s="64">
        <v>49701</v>
      </c>
      <c r="IF4" s="64">
        <v>50085</v>
      </c>
      <c r="IG4" s="64">
        <v>50439</v>
      </c>
      <c r="IH4" s="64">
        <v>50793</v>
      </c>
      <c r="II4" s="64">
        <v>51177</v>
      </c>
      <c r="IJ4" s="64">
        <v>51532</v>
      </c>
      <c r="IK4" s="65">
        <v>51887</v>
      </c>
      <c r="IL4" s="51"/>
    </row>
    <row r="5" spans="1:246" ht="12.95" customHeight="1" thickTop="1">
      <c r="A5" s="33"/>
      <c r="B5" s="479">
        <f ca="1">IF(ISNA(VLOOKUP('Thể cách'!D3,'Nhập liệu'!C5:L1004,10,0)),NOW(),'Thể cách'!E5)</f>
        <v>37304.291666666664</v>
      </c>
      <c r="C5" s="33" t="s">
        <v>1727</v>
      </c>
      <c r="D5" s="9" t="s">
        <v>9005</v>
      </c>
      <c r="E5" s="9" t="s">
        <v>9298</v>
      </c>
      <c r="F5" s="455">
        <v>6</v>
      </c>
      <c r="G5" s="17">
        <v>2</v>
      </c>
      <c r="H5" s="17">
        <v>8</v>
      </c>
      <c r="I5" s="17">
        <v>7</v>
      </c>
      <c r="J5" s="17">
        <v>1</v>
      </c>
      <c r="K5" s="17">
        <v>9</v>
      </c>
      <c r="L5" s="17">
        <v>3</v>
      </c>
      <c r="M5" s="17">
        <v>4</v>
      </c>
      <c r="N5" s="17">
        <v>6</v>
      </c>
      <c r="O5" s="17">
        <v>2</v>
      </c>
      <c r="P5" s="17"/>
      <c r="Q5" s="458"/>
      <c r="R5" s="574" t="str">
        <f ca="1">IF(AND(B14&gt;1,B14&lt;=12),INDEX(C11:C20,MOD(B15,10)+1),IF(B14=1,INDEX(C10:C19,MOD(B15,10)+1),""))&amp;IF(AND(B14&lt;=12,B14&gt;1),INDEX(E4:E15,MOD(B15,12)+1),IF(B14=1,INDEX(E3:E14,MOD(B15,12)+1),""))</f>
        <v>N.Ngọ</v>
      </c>
      <c r="S5" s="26"/>
      <c r="T5" s="406"/>
      <c r="U5" s="403" t="s">
        <v>4234</v>
      </c>
      <c r="V5" s="9">
        <v>3</v>
      </c>
      <c r="W5" s="16" t="str">
        <f ca="1">V5&amp;BY8&amp;"b"</f>
        <v>32002b</v>
      </c>
      <c r="X5" s="245">
        <f ca="1">VLOOKUP(W5,TiếtKhí!B3:D3626,3,0)</f>
        <v>37336.094305555554</v>
      </c>
      <c r="Z5" s="1007" t="s">
        <v>4216</v>
      </c>
      <c r="AA5" s="1007"/>
      <c r="AB5" s="1008">
        <f ca="1">VLOOKUP(AH5,TiếtKhí!B3:D3626,3,0)</f>
        <v>37612.343240740738</v>
      </c>
      <c r="AC5" s="1008"/>
      <c r="AD5" s="1008"/>
      <c r="AE5" s="1008"/>
      <c r="AF5" s="1008"/>
      <c r="AH5" s="1014" t="str">
        <f ca="1">"12"&amp;BY8&amp;"b"</f>
        <v>122002b</v>
      </c>
      <c r="AI5" s="1014"/>
      <c r="AJ5" s="213"/>
      <c r="AK5" s="18">
        <f ca="1">IF(M24="1",1,AK6+1)</f>
        <v>1</v>
      </c>
      <c r="AL5" s="16" t="str">
        <f t="shared" ca="1" si="1"/>
        <v>1</v>
      </c>
      <c r="AM5" s="17" t="s">
        <v>9013</v>
      </c>
      <c r="AN5" s="213">
        <f t="shared" ca="1" si="2"/>
        <v>9</v>
      </c>
      <c r="AO5" s="9">
        <v>5</v>
      </c>
      <c r="AP5" s="221">
        <f t="shared" ca="1" si="0"/>
        <v>1</v>
      </c>
      <c r="AQ5" s="649" t="str">
        <f ca="1">(B15-1+VLOOKUP(AK3,AK4:AO15,2,0))&amp;"-"&amp;B15-1+VLOOKUP(AK3,AK4:AO15,4,0)</f>
        <v>2032-2037</v>
      </c>
      <c r="AR5" s="7" t="str">
        <f ca="1">IF(AQ8=4,"*","")</f>
        <v/>
      </c>
      <c r="AS5" s="216" t="str">
        <f ca="1">HLOOKUP(AQ7,'64Quẻ'!B5:DX11,4,0)</f>
        <v>———</v>
      </c>
      <c r="AT5" s="33" t="s">
        <v>971</v>
      </c>
      <c r="AU5" s="10" t="str">
        <f ca="1">W8</f>
        <v>010</v>
      </c>
      <c r="AV5" s="708"/>
      <c r="AW5" s="700"/>
      <c r="AX5" s="7"/>
      <c r="AY5" s="701"/>
      <c r="BD5" s="233"/>
      <c r="BE5" s="212"/>
      <c r="BF5" s="212"/>
      <c r="BG5" s="212"/>
      <c r="BH5" s="16"/>
      <c r="BI5" s="213"/>
      <c r="BK5" s="703"/>
      <c r="BL5" s="9"/>
      <c r="BM5" s="9"/>
      <c r="BN5" s="1015"/>
      <c r="BO5" s="1015"/>
      <c r="BS5" s="704"/>
      <c r="BT5" s="704"/>
      <c r="BW5" s="264" t="s">
        <v>4945</v>
      </c>
      <c r="BX5" s="66" t="s">
        <v>2688</v>
      </c>
      <c r="BY5" s="1001" t="str">
        <f>'Thể cách'!D3</f>
        <v>Lá số</v>
      </c>
      <c r="BZ5" s="1001"/>
      <c r="CA5" s="1002"/>
      <c r="CB5" s="51"/>
      <c r="CC5" s="52"/>
      <c r="CD5" s="67" t="s">
        <v>4946</v>
      </c>
      <c r="CE5" s="54" t="s">
        <v>2688</v>
      </c>
      <c r="CF5" s="68">
        <v>315</v>
      </c>
      <c r="CG5" s="55"/>
      <c r="CH5" s="55"/>
      <c r="CI5" s="55"/>
      <c r="CJ5" s="55"/>
      <c r="CK5" s="55"/>
      <c r="CL5" s="55"/>
      <c r="CM5" s="55"/>
      <c r="CN5" s="55"/>
      <c r="CO5" s="55"/>
      <c r="CP5" s="55"/>
      <c r="CQ5" s="55"/>
      <c r="CR5" s="55"/>
      <c r="CS5" s="55"/>
      <c r="CT5" s="55"/>
      <c r="CU5" s="55"/>
      <c r="CV5" s="56"/>
      <c r="CW5" s="56" t="s">
        <v>4552</v>
      </c>
      <c r="CX5" s="54" t="s">
        <v>2688</v>
      </c>
      <c r="CY5" s="55"/>
      <c r="CZ5" s="55">
        <f t="shared" ref="CZ5:EE5" si="3">CZ4-CY4</f>
        <v>49</v>
      </c>
      <c r="DA5" s="55">
        <f t="shared" si="3"/>
        <v>354</v>
      </c>
      <c r="DB5" s="55">
        <f t="shared" si="3"/>
        <v>355</v>
      </c>
      <c r="DC5" s="55">
        <f t="shared" si="3"/>
        <v>383</v>
      </c>
      <c r="DD5" s="55">
        <f t="shared" si="3"/>
        <v>354</v>
      </c>
      <c r="DE5" s="55">
        <f t="shared" si="3"/>
        <v>355</v>
      </c>
      <c r="DF5" s="55">
        <f t="shared" si="3"/>
        <v>384</v>
      </c>
      <c r="DG5" s="55">
        <f t="shared" si="3"/>
        <v>354</v>
      </c>
      <c r="DH5" s="55">
        <f t="shared" si="3"/>
        <v>355</v>
      </c>
      <c r="DI5" s="55">
        <f t="shared" si="3"/>
        <v>384</v>
      </c>
      <c r="DJ5" s="55">
        <f t="shared" si="3"/>
        <v>354</v>
      </c>
      <c r="DK5" s="55">
        <f t="shared" si="3"/>
        <v>384</v>
      </c>
      <c r="DL5" s="55">
        <f t="shared" si="3"/>
        <v>354</v>
      </c>
      <c r="DM5" s="55">
        <f t="shared" si="3"/>
        <v>354</v>
      </c>
      <c r="DN5" s="55">
        <f t="shared" si="3"/>
        <v>384</v>
      </c>
      <c r="DO5" s="55">
        <f t="shared" si="3"/>
        <v>354</v>
      </c>
      <c r="DP5" s="55">
        <f t="shared" si="3"/>
        <v>355</v>
      </c>
      <c r="DQ5" s="55">
        <f t="shared" si="3"/>
        <v>384</v>
      </c>
      <c r="DR5" s="55">
        <f t="shared" si="3"/>
        <v>355</v>
      </c>
      <c r="DS5" s="55">
        <f t="shared" si="3"/>
        <v>384</v>
      </c>
      <c r="DT5" s="55">
        <f t="shared" si="3"/>
        <v>354</v>
      </c>
      <c r="DU5" s="55">
        <f t="shared" si="3"/>
        <v>354</v>
      </c>
      <c r="DV5" s="55">
        <f t="shared" si="3"/>
        <v>384</v>
      </c>
      <c r="DW5" s="55">
        <f t="shared" si="3"/>
        <v>354</v>
      </c>
      <c r="DX5" s="55">
        <f t="shared" si="3"/>
        <v>355</v>
      </c>
      <c r="DY5" s="55">
        <f t="shared" si="3"/>
        <v>384</v>
      </c>
      <c r="DZ5" s="55">
        <f t="shared" si="3"/>
        <v>354</v>
      </c>
      <c r="EA5" s="55">
        <f t="shared" si="3"/>
        <v>355</v>
      </c>
      <c r="EB5" s="55">
        <f t="shared" si="3"/>
        <v>384</v>
      </c>
      <c r="EC5" s="55">
        <f t="shared" si="3"/>
        <v>354</v>
      </c>
      <c r="ED5" s="55">
        <f t="shared" si="3"/>
        <v>383</v>
      </c>
      <c r="EE5" s="55">
        <f t="shared" si="3"/>
        <v>354</v>
      </c>
      <c r="EF5" s="55">
        <f t="shared" ref="EF5:FK5" si="4">EF4-EE4</f>
        <v>355</v>
      </c>
      <c r="EG5" s="55">
        <f t="shared" si="4"/>
        <v>384</v>
      </c>
      <c r="EH5" s="55">
        <f t="shared" si="4"/>
        <v>355</v>
      </c>
      <c r="EI5" s="55">
        <f t="shared" si="4"/>
        <v>354</v>
      </c>
      <c r="EJ5" s="55">
        <f t="shared" si="4"/>
        <v>384</v>
      </c>
      <c r="EK5" s="55">
        <f t="shared" si="4"/>
        <v>354</v>
      </c>
      <c r="EL5" s="55">
        <f t="shared" si="4"/>
        <v>384</v>
      </c>
      <c r="EM5" s="55">
        <f t="shared" si="4"/>
        <v>354</v>
      </c>
      <c r="EN5" s="55">
        <f t="shared" si="4"/>
        <v>354</v>
      </c>
      <c r="EO5" s="55">
        <f t="shared" si="4"/>
        <v>384</v>
      </c>
      <c r="EP5" s="55">
        <f t="shared" si="4"/>
        <v>355</v>
      </c>
      <c r="EQ5" s="55">
        <f t="shared" si="4"/>
        <v>354</v>
      </c>
      <c r="ER5" s="55">
        <f t="shared" si="4"/>
        <v>385</v>
      </c>
      <c r="ES5" s="55">
        <f t="shared" si="4"/>
        <v>354</v>
      </c>
      <c r="ET5" s="55">
        <f t="shared" si="4"/>
        <v>354</v>
      </c>
      <c r="EU5" s="55">
        <f t="shared" si="4"/>
        <v>384</v>
      </c>
      <c r="EV5" s="55">
        <f t="shared" si="4"/>
        <v>354</v>
      </c>
      <c r="EW5" s="55">
        <f t="shared" si="4"/>
        <v>384</v>
      </c>
      <c r="EX5" s="55">
        <f t="shared" si="4"/>
        <v>354</v>
      </c>
      <c r="EY5" s="55">
        <f t="shared" si="4"/>
        <v>355</v>
      </c>
      <c r="EZ5" s="55">
        <f t="shared" si="4"/>
        <v>384</v>
      </c>
      <c r="FA5" s="55">
        <f t="shared" si="4"/>
        <v>354</v>
      </c>
      <c r="FB5" s="55">
        <f t="shared" si="4"/>
        <v>355</v>
      </c>
      <c r="FC5" s="55">
        <f t="shared" si="4"/>
        <v>384</v>
      </c>
      <c r="FD5" s="55">
        <f t="shared" si="4"/>
        <v>354</v>
      </c>
      <c r="FE5" s="55">
        <f t="shared" si="4"/>
        <v>383</v>
      </c>
      <c r="FF5" s="55">
        <f t="shared" si="4"/>
        <v>355</v>
      </c>
      <c r="FG5" s="55">
        <f t="shared" si="4"/>
        <v>354</v>
      </c>
      <c r="FH5" s="55">
        <f t="shared" si="4"/>
        <v>384</v>
      </c>
      <c r="FI5" s="55">
        <f t="shared" si="4"/>
        <v>355</v>
      </c>
      <c r="FJ5" s="55">
        <f t="shared" si="4"/>
        <v>354</v>
      </c>
      <c r="FK5" s="55">
        <f t="shared" si="4"/>
        <v>384</v>
      </c>
      <c r="FL5" s="55">
        <f t="shared" ref="FL5:GQ5" si="5">FL4-FK4</f>
        <v>355</v>
      </c>
      <c r="FM5" s="55">
        <f t="shared" si="5"/>
        <v>353</v>
      </c>
      <c r="FN5" s="55">
        <f t="shared" si="5"/>
        <v>384</v>
      </c>
      <c r="FO5" s="55">
        <f t="shared" si="5"/>
        <v>354</v>
      </c>
      <c r="FP5" s="55">
        <f t="shared" si="5"/>
        <v>384</v>
      </c>
      <c r="FQ5" s="55">
        <f t="shared" si="5"/>
        <v>355</v>
      </c>
      <c r="FR5" s="55">
        <f t="shared" si="5"/>
        <v>355</v>
      </c>
      <c r="FS5" s="55">
        <f t="shared" si="5"/>
        <v>384</v>
      </c>
      <c r="FT5" s="55">
        <f t="shared" si="5"/>
        <v>354</v>
      </c>
      <c r="FU5" s="55">
        <f t="shared" si="5"/>
        <v>354</v>
      </c>
      <c r="FV5" s="55">
        <f t="shared" si="5"/>
        <v>384</v>
      </c>
      <c r="FW5" s="55">
        <f t="shared" si="5"/>
        <v>354</v>
      </c>
      <c r="FX5" s="55">
        <f t="shared" si="5"/>
        <v>384</v>
      </c>
      <c r="FY5" s="55">
        <f t="shared" si="5"/>
        <v>354</v>
      </c>
      <c r="FZ5" s="55">
        <f t="shared" si="5"/>
        <v>355</v>
      </c>
      <c r="GA5" s="55">
        <f t="shared" si="5"/>
        <v>384</v>
      </c>
      <c r="GB5" s="55">
        <f t="shared" si="5"/>
        <v>355</v>
      </c>
      <c r="GC5" s="55">
        <f t="shared" si="5"/>
        <v>354</v>
      </c>
      <c r="GD5" s="55">
        <f t="shared" si="5"/>
        <v>384</v>
      </c>
      <c r="GE5" s="55">
        <f t="shared" si="5"/>
        <v>354</v>
      </c>
      <c r="GF5" s="55">
        <f t="shared" si="5"/>
        <v>354</v>
      </c>
      <c r="GG5" s="55">
        <f t="shared" si="5"/>
        <v>384</v>
      </c>
      <c r="GH5" s="55">
        <f t="shared" si="5"/>
        <v>354</v>
      </c>
      <c r="GI5" s="55">
        <f t="shared" si="5"/>
        <v>384</v>
      </c>
      <c r="GJ5" s="55">
        <f t="shared" si="5"/>
        <v>355</v>
      </c>
      <c r="GK5" s="55">
        <f t="shared" si="5"/>
        <v>355</v>
      </c>
      <c r="GL5" s="55">
        <f t="shared" si="5"/>
        <v>384</v>
      </c>
      <c r="GM5" s="55">
        <f t="shared" si="5"/>
        <v>354</v>
      </c>
      <c r="GN5" s="55">
        <f t="shared" si="5"/>
        <v>354</v>
      </c>
      <c r="GO5" s="55">
        <f t="shared" si="5"/>
        <v>383</v>
      </c>
      <c r="GP5" s="55">
        <f t="shared" si="5"/>
        <v>355</v>
      </c>
      <c r="GQ5" s="55">
        <f t="shared" si="5"/>
        <v>384</v>
      </c>
      <c r="GR5" s="55">
        <f t="shared" ref="GR5:HW5" si="6">GR4-GQ4</f>
        <v>354</v>
      </c>
      <c r="GS5" s="55">
        <f t="shared" si="6"/>
        <v>355</v>
      </c>
      <c r="GT5" s="55">
        <f t="shared" si="6"/>
        <v>384</v>
      </c>
      <c r="GU5" s="55">
        <f t="shared" si="6"/>
        <v>354</v>
      </c>
      <c r="GV5" s="55">
        <f t="shared" si="6"/>
        <v>354</v>
      </c>
      <c r="GW5" s="55">
        <f t="shared" si="6"/>
        <v>384</v>
      </c>
      <c r="GX5" s="55">
        <f t="shared" si="6"/>
        <v>354</v>
      </c>
      <c r="GY5" s="55">
        <f t="shared" si="6"/>
        <v>355</v>
      </c>
      <c r="GZ5" s="55">
        <f t="shared" si="6"/>
        <v>384</v>
      </c>
      <c r="HA5" s="55">
        <f t="shared" si="6"/>
        <v>354</v>
      </c>
      <c r="HB5" s="55">
        <f t="shared" si="6"/>
        <v>385</v>
      </c>
      <c r="HC5" s="55">
        <f t="shared" si="6"/>
        <v>354</v>
      </c>
      <c r="HD5" s="55">
        <f t="shared" si="6"/>
        <v>354</v>
      </c>
      <c r="HE5" s="55">
        <f t="shared" si="6"/>
        <v>384</v>
      </c>
      <c r="HF5" s="55">
        <f t="shared" si="6"/>
        <v>354</v>
      </c>
      <c r="HG5" s="55">
        <f t="shared" si="6"/>
        <v>354</v>
      </c>
      <c r="HH5" s="55">
        <f t="shared" si="6"/>
        <v>384</v>
      </c>
      <c r="HI5" s="55">
        <f t="shared" si="6"/>
        <v>355</v>
      </c>
      <c r="HJ5" s="55">
        <f t="shared" si="6"/>
        <v>384</v>
      </c>
      <c r="HK5" s="55">
        <f t="shared" si="6"/>
        <v>354</v>
      </c>
      <c r="HL5" s="55">
        <f t="shared" si="6"/>
        <v>355</v>
      </c>
      <c r="HM5" s="55">
        <f t="shared" si="6"/>
        <v>384</v>
      </c>
      <c r="HN5" s="55">
        <f t="shared" si="6"/>
        <v>354</v>
      </c>
      <c r="HO5" s="55">
        <f t="shared" si="6"/>
        <v>354</v>
      </c>
      <c r="HP5" s="55">
        <f t="shared" si="6"/>
        <v>384</v>
      </c>
      <c r="HQ5" s="55">
        <f t="shared" si="6"/>
        <v>354</v>
      </c>
      <c r="HR5" s="55">
        <f t="shared" si="6"/>
        <v>355</v>
      </c>
      <c r="HS5" s="55">
        <f t="shared" si="6"/>
        <v>384</v>
      </c>
      <c r="HT5" s="55">
        <f t="shared" si="6"/>
        <v>354</v>
      </c>
      <c r="HU5" s="55">
        <f t="shared" si="6"/>
        <v>384</v>
      </c>
      <c r="HV5" s="55">
        <f t="shared" si="6"/>
        <v>354</v>
      </c>
      <c r="HW5" s="55">
        <f t="shared" si="6"/>
        <v>354</v>
      </c>
      <c r="HX5" s="55">
        <f t="shared" ref="HX5:IK5" si="7">HX4-HW4</f>
        <v>384</v>
      </c>
      <c r="HY5" s="55">
        <f t="shared" si="7"/>
        <v>355</v>
      </c>
      <c r="HZ5" s="55">
        <f t="shared" si="7"/>
        <v>354</v>
      </c>
      <c r="IA5" s="55">
        <f t="shared" si="7"/>
        <v>384</v>
      </c>
      <c r="IB5" s="55">
        <f t="shared" si="7"/>
        <v>355</v>
      </c>
      <c r="IC5" s="55">
        <f t="shared" si="7"/>
        <v>384</v>
      </c>
      <c r="ID5" s="55">
        <f t="shared" si="7"/>
        <v>354</v>
      </c>
      <c r="IE5" s="55">
        <f t="shared" si="7"/>
        <v>354</v>
      </c>
      <c r="IF5" s="55">
        <f t="shared" si="7"/>
        <v>384</v>
      </c>
      <c r="IG5" s="55">
        <f t="shared" si="7"/>
        <v>354</v>
      </c>
      <c r="IH5" s="55">
        <f t="shared" si="7"/>
        <v>354</v>
      </c>
      <c r="II5" s="55">
        <f t="shared" si="7"/>
        <v>384</v>
      </c>
      <c r="IJ5" s="55">
        <f t="shared" si="7"/>
        <v>355</v>
      </c>
      <c r="IK5" s="69">
        <f t="shared" si="7"/>
        <v>355</v>
      </c>
      <c r="IL5" s="51"/>
    </row>
    <row r="6" spans="1:246" ht="12.95" customHeight="1">
      <c r="A6" s="33" t="s">
        <v>4319</v>
      </c>
      <c r="B6" s="480">
        <f ca="1">B3</f>
        <v>37304</v>
      </c>
      <c r="C6" s="33" t="s">
        <v>1728</v>
      </c>
      <c r="D6" s="9" t="s">
        <v>9006</v>
      </c>
      <c r="E6" s="9" t="s">
        <v>9299</v>
      </c>
      <c r="F6" s="455" t="s">
        <v>1402</v>
      </c>
      <c r="G6" s="17" t="s">
        <v>9301</v>
      </c>
      <c r="H6" s="17" t="s">
        <v>353</v>
      </c>
      <c r="I6" s="17" t="s">
        <v>1399</v>
      </c>
      <c r="J6" s="17" t="s">
        <v>505</v>
      </c>
      <c r="K6" s="17" t="s">
        <v>9011</v>
      </c>
      <c r="L6" s="17" t="s">
        <v>506</v>
      </c>
      <c r="M6" s="17" t="s">
        <v>507</v>
      </c>
      <c r="N6" s="17" t="s">
        <v>9297</v>
      </c>
      <c r="O6" s="17" t="s">
        <v>9298</v>
      </c>
      <c r="P6" s="17" t="s">
        <v>9299</v>
      </c>
      <c r="Q6" s="458" t="s">
        <v>9300</v>
      </c>
      <c r="R6" s="297" t="s">
        <v>459</v>
      </c>
      <c r="S6" s="293" t="str">
        <f ca="1">IF(AND(B14&gt;1,B14&lt;=12),INDEX(D11:D20,MOD(B15,10)+1),IF(B14=1,INDEX(D10:D19,MOD(B15,10)+1),""))</f>
        <v>Nhâm</v>
      </c>
      <c r="T6" s="294" t="str">
        <f ca="1">IF(AND(B14&lt;=12,B14&gt;1),INDEX(E4:E15,MOD(B15,12)+1),IF(B14=1,INDEX(E3:E14,MOD(B15,12)+1),""))</f>
        <v>Ngọ</v>
      </c>
      <c r="U6" s="403" t="s">
        <v>4240</v>
      </c>
      <c r="V6" s="9">
        <v>6</v>
      </c>
      <c r="W6" s="16" t="str">
        <f ca="1">V6&amp;BY8&amp;"b"</f>
        <v>62002b</v>
      </c>
      <c r="X6" s="245">
        <f ca="1">VLOOKUP(W6,TiếtKhí!B3:D3626,3,0)</f>
        <v>37428.850358796291</v>
      </c>
      <c r="AC6" s="16"/>
      <c r="AD6" s="16"/>
      <c r="AE6" s="35"/>
      <c r="AF6" s="16"/>
      <c r="AJ6" s="213"/>
      <c r="AK6" s="18">
        <f ca="1">IF(M25="1",1,AK7+1)</f>
        <v>6</v>
      </c>
      <c r="AL6" s="16">
        <f t="shared" ca="1" si="1"/>
        <v>37</v>
      </c>
      <c r="AM6" s="17" t="s">
        <v>9013</v>
      </c>
      <c r="AN6" s="213">
        <f t="shared" ca="1" si="2"/>
        <v>45</v>
      </c>
      <c r="AO6" s="9">
        <v>4</v>
      </c>
      <c r="AP6" s="221">
        <f t="shared" ca="1" si="0"/>
        <v>0</v>
      </c>
      <c r="AQ6" s="646" t="str">
        <f ca="1">VLOOKUP(AK3,AK4:AO15,2,0)&amp;"-"&amp;VLOOKUP(AK3,AK4:AO15,4,0)&amp;" Tuổi"</f>
        <v>31-36 Tuổi</v>
      </c>
      <c r="AR6" s="7" t="str">
        <f ca="1">IF(AQ8=3,"*","")</f>
        <v>*</v>
      </c>
      <c r="AS6" s="228" t="str">
        <f ca="1">HLOOKUP(AQ7,'64Quẻ'!B5:DX11,5,0)</f>
        <v>—   —</v>
      </c>
      <c r="AV6" s="709"/>
      <c r="AW6" s="700"/>
      <c r="AX6" s="7"/>
      <c r="AY6" s="228"/>
      <c r="BD6" s="233"/>
      <c r="BE6" s="700"/>
      <c r="BF6" s="629"/>
      <c r="BG6" s="710"/>
      <c r="BK6" s="8"/>
      <c r="BM6" s="702"/>
      <c r="BO6" s="711"/>
      <c r="BQ6" s="706"/>
      <c r="BR6" s="212"/>
      <c r="BS6" s="704"/>
      <c r="BT6" s="704"/>
      <c r="BW6" s="265" t="s">
        <v>4553</v>
      </c>
      <c r="BX6" s="71" t="s">
        <v>2688</v>
      </c>
      <c r="BY6" s="266">
        <f ca="1">DAY(B5)</f>
        <v>17</v>
      </c>
      <c r="BZ6" s="73"/>
      <c r="CA6" s="74"/>
      <c r="CB6" s="51"/>
      <c r="CC6" s="52"/>
      <c r="CD6" s="75" t="s">
        <v>4554</v>
      </c>
      <c r="CE6" s="54" t="s">
        <v>2688</v>
      </c>
      <c r="CF6" s="76" t="s">
        <v>9009</v>
      </c>
      <c r="CG6" s="55"/>
      <c r="CH6" s="55"/>
      <c r="CI6" s="55"/>
      <c r="CJ6" s="55"/>
      <c r="CK6" s="55"/>
      <c r="CL6" s="77"/>
      <c r="CM6" s="77"/>
      <c r="CN6" s="77"/>
      <c r="CO6" s="55"/>
      <c r="CP6" s="55"/>
      <c r="CQ6" s="55"/>
      <c r="CR6" s="55"/>
      <c r="CS6" s="55"/>
      <c r="CT6" s="55"/>
      <c r="CU6" s="55"/>
      <c r="CV6" s="56"/>
      <c r="CW6" s="56"/>
      <c r="CX6" s="54"/>
      <c r="CY6" s="55"/>
      <c r="CZ6" s="55">
        <f>SUM($CY$5:CZ5)</f>
        <v>49</v>
      </c>
      <c r="DA6" s="55">
        <f>SUM($CY$5:DA5)</f>
        <v>403</v>
      </c>
      <c r="DB6" s="55">
        <f>SUM($CY$5:DB5)</f>
        <v>758</v>
      </c>
      <c r="DC6" s="55">
        <f>SUM($CY$5:DC5)</f>
        <v>1141</v>
      </c>
      <c r="DD6" s="55">
        <f>SUM($CY$5:DD5)</f>
        <v>1495</v>
      </c>
      <c r="DE6" s="55">
        <f>SUM($CY$5:DE5)</f>
        <v>1850</v>
      </c>
      <c r="DF6" s="55">
        <f>SUM($CY$5:DF5)</f>
        <v>2234</v>
      </c>
      <c r="DG6" s="55">
        <f>SUM($CY$5:DG5)</f>
        <v>2588</v>
      </c>
      <c r="DH6" s="55">
        <f>SUM($CY$5:DH5)</f>
        <v>2943</v>
      </c>
      <c r="DI6" s="55">
        <f>SUM($CY$5:DI5)</f>
        <v>3327</v>
      </c>
      <c r="DJ6" s="55">
        <f>SUM($CY$5:DJ5)</f>
        <v>3681</v>
      </c>
      <c r="DK6" s="55">
        <f>SUM($CY$5:DK5)</f>
        <v>4065</v>
      </c>
      <c r="DL6" s="55">
        <f>SUM($CY$5:DL5)</f>
        <v>4419</v>
      </c>
      <c r="DM6" s="55">
        <f>SUM($CY$5:DM5)</f>
        <v>4773</v>
      </c>
      <c r="DN6" s="55">
        <f>SUM($CY$5:DN5)</f>
        <v>5157</v>
      </c>
      <c r="DO6" s="55">
        <f>SUM($CY$5:DO5)</f>
        <v>5511</v>
      </c>
      <c r="DP6" s="55">
        <f>SUM($CY$5:DP5)</f>
        <v>5866</v>
      </c>
      <c r="DQ6" s="55">
        <f>SUM($CY$5:DQ5)</f>
        <v>6250</v>
      </c>
      <c r="DR6" s="55">
        <f>SUM($CY$5:DR5)</f>
        <v>6605</v>
      </c>
      <c r="DS6" s="55">
        <f>SUM($CY$5:DS5)</f>
        <v>6989</v>
      </c>
      <c r="DT6" s="55">
        <f>SUM($CY$5:DT5)</f>
        <v>7343</v>
      </c>
      <c r="DU6" s="55">
        <f>SUM($CY$5:DU5)</f>
        <v>7697</v>
      </c>
      <c r="DV6" s="55">
        <f>SUM($CY$5:DV5)</f>
        <v>8081</v>
      </c>
      <c r="DW6" s="55">
        <f>SUM($CY$5:DW5)</f>
        <v>8435</v>
      </c>
      <c r="DX6" s="55">
        <f>SUM($CY$5:DX5)</f>
        <v>8790</v>
      </c>
      <c r="DY6" s="55">
        <f>SUM($CY$5:DY5)</f>
        <v>9174</v>
      </c>
      <c r="DZ6" s="55">
        <f>SUM($CY$5:DZ5)</f>
        <v>9528</v>
      </c>
      <c r="EA6" s="55">
        <f>SUM($CY$5:EA5)</f>
        <v>9883</v>
      </c>
      <c r="EB6" s="55">
        <f>SUM($CY$5:EB5)</f>
        <v>10267</v>
      </c>
      <c r="EC6" s="55">
        <f>SUM($CY$5:EC5)</f>
        <v>10621</v>
      </c>
      <c r="ED6" s="55">
        <f>SUM($CY$5:ED5)</f>
        <v>11004</v>
      </c>
      <c r="EE6" s="55">
        <f>SUM($CY$5:EE5)</f>
        <v>11358</v>
      </c>
      <c r="EF6" s="55">
        <f>SUM($CY$5:EF5)</f>
        <v>11713</v>
      </c>
      <c r="EG6" s="55">
        <f>SUM($CY$5:EG5)</f>
        <v>12097</v>
      </c>
      <c r="EH6" s="55">
        <f>SUM($CY$5:EH5)</f>
        <v>12452</v>
      </c>
      <c r="EI6" s="55">
        <f>SUM($CY$5:EI5)</f>
        <v>12806</v>
      </c>
      <c r="EJ6" s="55">
        <f>SUM($CY$5:EJ5)</f>
        <v>13190</v>
      </c>
      <c r="EK6" s="55">
        <f>SUM($CY$5:EK5)</f>
        <v>13544</v>
      </c>
      <c r="EL6" s="55">
        <f>SUM($CY$5:EL5)</f>
        <v>13928</v>
      </c>
      <c r="EM6" s="55">
        <f>SUM($CY$5:EM5)</f>
        <v>14282</v>
      </c>
      <c r="EN6" s="55">
        <f>SUM($CY$5:EN5)</f>
        <v>14636</v>
      </c>
      <c r="EO6" s="55">
        <f>SUM($CY$5:EO5)</f>
        <v>15020</v>
      </c>
      <c r="EP6" s="55">
        <f>SUM($CY$5:EP5)</f>
        <v>15375</v>
      </c>
      <c r="EQ6" s="55">
        <f>SUM($CY$5:EQ5)</f>
        <v>15729</v>
      </c>
      <c r="ER6" s="55">
        <f>SUM($CY$5:ER5)</f>
        <v>16114</v>
      </c>
      <c r="ES6" s="55">
        <f>SUM($CY$5:ES5)</f>
        <v>16468</v>
      </c>
      <c r="ET6" s="55">
        <f>SUM($CY$5:ET5)</f>
        <v>16822</v>
      </c>
      <c r="EU6" s="55">
        <f>SUM($CY$5:EU5)</f>
        <v>17206</v>
      </c>
      <c r="EV6" s="55">
        <f>SUM($CY$5:EV5)</f>
        <v>17560</v>
      </c>
      <c r="EW6" s="55">
        <f>SUM($CY$5:EW5)</f>
        <v>17944</v>
      </c>
      <c r="EX6" s="55">
        <f>SUM($CY$5:EX5)</f>
        <v>18298</v>
      </c>
      <c r="EY6" s="55">
        <f>SUM($CY$5:EY5)</f>
        <v>18653</v>
      </c>
      <c r="EZ6" s="55">
        <f>SUM($CY$5:EZ5)</f>
        <v>19037</v>
      </c>
      <c r="FA6" s="55">
        <f>SUM($CY$5:FA5)</f>
        <v>19391</v>
      </c>
      <c r="FB6" s="55">
        <f>SUM($CY$5:FB5)</f>
        <v>19746</v>
      </c>
      <c r="FC6" s="55">
        <f>SUM($CY$5:FC5)</f>
        <v>20130</v>
      </c>
      <c r="FD6" s="55">
        <f>SUM($CY$5:FD5)</f>
        <v>20484</v>
      </c>
      <c r="FE6" s="55">
        <f>SUM($CY$5:FE5)</f>
        <v>20867</v>
      </c>
      <c r="FF6" s="55">
        <f>SUM($CY$5:FF5)</f>
        <v>21222</v>
      </c>
      <c r="FG6" s="55">
        <f>SUM($CY$5:FG5)</f>
        <v>21576</v>
      </c>
      <c r="FH6" s="55">
        <f>SUM($CY$5:FH5)</f>
        <v>21960</v>
      </c>
      <c r="FI6" s="55">
        <f>SUM($CY$5:FI5)</f>
        <v>22315</v>
      </c>
      <c r="FJ6" s="55">
        <f>SUM($CY$5:FJ5)</f>
        <v>22669</v>
      </c>
      <c r="FK6" s="55">
        <f>SUM($CY$5:FK5)</f>
        <v>23053</v>
      </c>
      <c r="FL6" s="55">
        <f>SUM($CY$5:FL5)</f>
        <v>23408</v>
      </c>
      <c r="FM6" s="55">
        <f>SUM($CY$5:FM5)</f>
        <v>23761</v>
      </c>
      <c r="FN6" s="55">
        <f>SUM($CY$5:FN5)</f>
        <v>24145</v>
      </c>
      <c r="FO6" s="55">
        <f>SUM($CY$5:FO5)</f>
        <v>24499</v>
      </c>
      <c r="FP6" s="55">
        <f>SUM($CY$5:FP5)</f>
        <v>24883</v>
      </c>
      <c r="FQ6" s="55">
        <f>SUM($CY$5:FQ5)</f>
        <v>25238</v>
      </c>
      <c r="FR6" s="55">
        <f>SUM($CY$5:FR5)</f>
        <v>25593</v>
      </c>
      <c r="FS6" s="55">
        <f>SUM($CY$5:FS5)</f>
        <v>25977</v>
      </c>
      <c r="FT6" s="55">
        <f>SUM($CY$5:FT5)</f>
        <v>26331</v>
      </c>
      <c r="FU6" s="55">
        <f>SUM($CY$5:FU5)</f>
        <v>26685</v>
      </c>
      <c r="FV6" s="55">
        <f>SUM($CY$5:FV5)</f>
        <v>27069</v>
      </c>
      <c r="FW6" s="55">
        <f>SUM($CY$5:FW5)</f>
        <v>27423</v>
      </c>
      <c r="FX6" s="55">
        <f>SUM($CY$5:FX5)</f>
        <v>27807</v>
      </c>
      <c r="FY6" s="55">
        <f>SUM($CY$5:FY5)</f>
        <v>28161</v>
      </c>
      <c r="FZ6" s="55">
        <f>SUM($CY$5:FZ5)</f>
        <v>28516</v>
      </c>
      <c r="GA6" s="55">
        <f>SUM($CY$5:GA5)</f>
        <v>28900</v>
      </c>
      <c r="GB6" s="55">
        <f>SUM($CY$5:GB5)</f>
        <v>29255</v>
      </c>
      <c r="GC6" s="55">
        <f>SUM($CY$5:GC5)</f>
        <v>29609</v>
      </c>
      <c r="GD6" s="55">
        <f>SUM($CY$5:GD5)</f>
        <v>29993</v>
      </c>
      <c r="GE6" s="55">
        <f>SUM($CY$5:GE5)</f>
        <v>30347</v>
      </c>
      <c r="GF6" s="55">
        <f>SUM($CY$5:GF5)</f>
        <v>30701</v>
      </c>
      <c r="GG6" s="55">
        <f>SUM($CY$5:GG5)</f>
        <v>31085</v>
      </c>
      <c r="GH6" s="55">
        <f>SUM($CY$5:GH5)</f>
        <v>31439</v>
      </c>
      <c r="GI6" s="55">
        <f>SUM($CY$5:GI5)</f>
        <v>31823</v>
      </c>
      <c r="GJ6" s="55">
        <f>SUM($CY$5:GJ5)</f>
        <v>32178</v>
      </c>
      <c r="GK6" s="55">
        <f>SUM($CY$5:GK5)</f>
        <v>32533</v>
      </c>
      <c r="GL6" s="55">
        <f>SUM($CY$5:GL5)</f>
        <v>32917</v>
      </c>
      <c r="GM6" s="55">
        <f>SUM($CY$5:GM5)</f>
        <v>33271</v>
      </c>
      <c r="GN6" s="55">
        <f>SUM($CY$5:GN5)</f>
        <v>33625</v>
      </c>
      <c r="GO6" s="55">
        <f>SUM($CY$5:GO5)</f>
        <v>34008</v>
      </c>
      <c r="GP6" s="55">
        <f>SUM($CY$5:GP5)</f>
        <v>34363</v>
      </c>
      <c r="GQ6" s="55">
        <f>SUM($CY$5:GQ5)</f>
        <v>34747</v>
      </c>
      <c r="GR6" s="55">
        <f>SUM($CY$5:GR5)</f>
        <v>35101</v>
      </c>
      <c r="GS6" s="55">
        <f>SUM($CY$5:GS5)</f>
        <v>35456</v>
      </c>
      <c r="GT6" s="55">
        <f>SUM($CY$5:GT5)</f>
        <v>35840</v>
      </c>
      <c r="GU6" s="55">
        <f>SUM($CY$5:GU5)</f>
        <v>36194</v>
      </c>
      <c r="GV6" s="55">
        <f>SUM($CY$5:GV5)</f>
        <v>36548</v>
      </c>
      <c r="GW6" s="55">
        <f>SUM($CY$5:GW5)</f>
        <v>36932</v>
      </c>
      <c r="GX6" s="55">
        <f>SUM($CY$5:GX5)</f>
        <v>37286</v>
      </c>
      <c r="GY6" s="55">
        <f>SUM($CY$5:GY5)</f>
        <v>37641</v>
      </c>
      <c r="GZ6" s="55">
        <f>SUM($CY$5:GZ5)</f>
        <v>38025</v>
      </c>
      <c r="HA6" s="55">
        <f>SUM($CY$5:HA5)</f>
        <v>38379</v>
      </c>
      <c r="HB6" s="55">
        <f>SUM($CY$5:HB5)</f>
        <v>38764</v>
      </c>
      <c r="HC6" s="55">
        <f>SUM($CY$5:HC5)</f>
        <v>39118</v>
      </c>
      <c r="HD6" s="55">
        <f>SUM($CY$5:HD5)</f>
        <v>39472</v>
      </c>
      <c r="HE6" s="55">
        <f>SUM($CY$5:HE5)</f>
        <v>39856</v>
      </c>
      <c r="HF6" s="55">
        <f>SUM($CY$5:HF5)</f>
        <v>40210</v>
      </c>
      <c r="HG6" s="55">
        <f>SUM($CY$5:HG5)</f>
        <v>40564</v>
      </c>
      <c r="HH6" s="55">
        <f>SUM($CY$5:HH5)</f>
        <v>40948</v>
      </c>
      <c r="HI6" s="55">
        <f>SUM($CY$5:HI5)</f>
        <v>41303</v>
      </c>
      <c r="HJ6" s="55">
        <f>SUM($CY$5:HJ5)</f>
        <v>41687</v>
      </c>
      <c r="HK6" s="55">
        <f>SUM($CY$5:HK5)</f>
        <v>42041</v>
      </c>
      <c r="HL6" s="55">
        <f>SUM($CY$5:HL5)</f>
        <v>42396</v>
      </c>
      <c r="HM6" s="55">
        <f>SUM($CY$5:HM5)</f>
        <v>42780</v>
      </c>
      <c r="HN6" s="55">
        <f>SUM($CY$5:HN5)</f>
        <v>43134</v>
      </c>
      <c r="HO6" s="55">
        <f>SUM($CY$5:HO5)</f>
        <v>43488</v>
      </c>
      <c r="HP6" s="55">
        <f>SUM($CY$5:HP5)</f>
        <v>43872</v>
      </c>
      <c r="HQ6" s="55">
        <f>SUM($CY$5:HQ5)</f>
        <v>44226</v>
      </c>
      <c r="HR6" s="55">
        <f>SUM($CY$5:HR5)</f>
        <v>44581</v>
      </c>
      <c r="HS6" s="55">
        <f>SUM($CY$5:HS5)</f>
        <v>44965</v>
      </c>
      <c r="HT6" s="55">
        <f>SUM($CY$5:HT5)</f>
        <v>45319</v>
      </c>
      <c r="HU6" s="55">
        <f>SUM($CY$5:HU5)</f>
        <v>45703</v>
      </c>
      <c r="HV6" s="55">
        <f>SUM($CY$5:HV5)</f>
        <v>46057</v>
      </c>
      <c r="HW6" s="55">
        <f>SUM($CY$5:HW5)</f>
        <v>46411</v>
      </c>
      <c r="HX6" s="55">
        <f>SUM($CY$5:HX5)</f>
        <v>46795</v>
      </c>
      <c r="HY6" s="55">
        <f>SUM($CY$5:HY5)</f>
        <v>47150</v>
      </c>
      <c r="HZ6" s="55">
        <f>SUM($CY$5:HZ5)</f>
        <v>47504</v>
      </c>
      <c r="IA6" s="55">
        <f>SUM($CY$5:IA5)</f>
        <v>47888</v>
      </c>
      <c r="IB6" s="55">
        <f>SUM($CY$5:IB5)</f>
        <v>48243</v>
      </c>
      <c r="IC6" s="55">
        <f>SUM($CY$5:IC5)</f>
        <v>48627</v>
      </c>
      <c r="ID6" s="55">
        <f>SUM($CY$5:ID5)</f>
        <v>48981</v>
      </c>
      <c r="IE6" s="55">
        <f>SUM($CY$5:IE5)</f>
        <v>49335</v>
      </c>
      <c r="IF6" s="55">
        <f>SUM($CY$5:IF5)</f>
        <v>49719</v>
      </c>
      <c r="IG6" s="55">
        <f>SUM($CY$5:IG5)</f>
        <v>50073</v>
      </c>
      <c r="IH6" s="55">
        <f>SUM($CY$5:IH5)</f>
        <v>50427</v>
      </c>
      <c r="II6" s="55">
        <f>SUM($CY$5:II5)</f>
        <v>50811</v>
      </c>
      <c r="IJ6" s="55">
        <f>SUM($CY$5:IJ5)</f>
        <v>51166</v>
      </c>
      <c r="IK6" s="69"/>
      <c r="IL6" s="51"/>
    </row>
    <row r="7" spans="1:246" ht="12.95" customHeight="1" thickBot="1">
      <c r="A7" s="33" t="s">
        <v>4315</v>
      </c>
      <c r="B7" s="481" t="str">
        <f ca="1">BY7&amp;BY8</f>
        <v>22002</v>
      </c>
      <c r="C7" s="33" t="s">
        <v>1729</v>
      </c>
      <c r="D7" s="9" t="s">
        <v>9007</v>
      </c>
      <c r="E7" s="9" t="s">
        <v>9300</v>
      </c>
      <c r="F7" s="455">
        <v>1</v>
      </c>
      <c r="G7" s="17">
        <v>5</v>
      </c>
      <c r="H7" s="17">
        <v>3</v>
      </c>
      <c r="I7" s="17">
        <v>3</v>
      </c>
      <c r="J7" s="17">
        <v>5</v>
      </c>
      <c r="K7" s="17">
        <v>2</v>
      </c>
      <c r="L7" s="17">
        <v>2</v>
      </c>
      <c r="M7" s="17">
        <v>5</v>
      </c>
      <c r="N7" s="17">
        <v>4</v>
      </c>
      <c r="O7" s="17">
        <v>4</v>
      </c>
      <c r="P7" s="17">
        <v>5</v>
      </c>
      <c r="Q7" s="458">
        <v>1</v>
      </c>
      <c r="R7" s="297" t="s">
        <v>352</v>
      </c>
      <c r="S7" s="293" t="str">
        <f ca="1">IF(AND(B14&gt;0,B14&lt;13),INDEX(D8:D27,MOD((B15*12),10)+B14),"")</f>
        <v>Nhâm</v>
      </c>
      <c r="T7" s="294" t="str">
        <f ca="1">IF(AND(B14&gt;0,B14&lt;13),INDEX(E9:E20,MOD((BY8*12),12)+B14),"1-&gt;12")</f>
        <v>Dần</v>
      </c>
      <c r="U7" s="405" t="s">
        <v>4278</v>
      </c>
      <c r="V7" s="26">
        <v>9</v>
      </c>
      <c r="W7" s="531" t="str">
        <f ca="1">V7&amp;BY8&amp;"b"</f>
        <v>92002b</v>
      </c>
      <c r="X7" s="532">
        <f ca="1">VLOOKUP(W7,TiếtKhí!B3:D3626,3,0)</f>
        <v>37522.496527777774</v>
      </c>
      <c r="Y7" s="36" t="s">
        <v>2159</v>
      </c>
      <c r="Z7" s="42">
        <f ca="1">IF(Z8="","",VLOOKUP(T9,Z15:AA38,2,0))</f>
        <v>5</v>
      </c>
      <c r="AA7" s="42"/>
      <c r="AC7" s="42" t="str">
        <f ca="1">IF(AC8="","",VLOOKUP(T9,AC15:AD38,2,0))</f>
        <v/>
      </c>
      <c r="AD7" s="42"/>
      <c r="AF7" s="42" t="str">
        <f ca="1">IF(AF8="","",VLOOKUP(T9,AF15:AG38,2,0))</f>
        <v/>
      </c>
      <c r="AG7" s="42"/>
      <c r="AI7" s="44" t="str">
        <f ca="1">IF(AI8="","",VLOOKUP(T9,AI15:AJ38,2,0))</f>
        <v/>
      </c>
      <c r="AJ7" s="222"/>
      <c r="AK7" s="18">
        <f ca="1">IF(M26="1",1,AK8+1)</f>
        <v>5</v>
      </c>
      <c r="AL7" s="16">
        <f t="shared" ca="1" si="1"/>
        <v>31</v>
      </c>
      <c r="AM7" s="17" t="s">
        <v>9013</v>
      </c>
      <c r="AN7" s="213">
        <f t="shared" ca="1" si="2"/>
        <v>36</v>
      </c>
      <c r="AO7" s="9">
        <v>3</v>
      </c>
      <c r="AP7" s="221">
        <f t="shared" ca="1" si="0"/>
        <v>0</v>
      </c>
      <c r="AQ7" s="650" t="str">
        <f ca="1">VLOOKUP(AQ6,AS18:AT29,2,0)</f>
        <v>Bĩ</v>
      </c>
      <c r="AR7" s="7" t="str">
        <f ca="1">IF(AQ8=2,"*","")</f>
        <v/>
      </c>
      <c r="AS7" s="228" t="str">
        <f ca="1">HLOOKUP(AQ7,'64Quẻ'!B5:DX11,6,0)</f>
        <v>—   —</v>
      </c>
      <c r="AV7" s="638"/>
      <c r="AW7" s="700"/>
      <c r="AX7" s="7"/>
      <c r="AY7" s="228"/>
      <c r="BD7" s="233"/>
      <c r="BE7" s="700"/>
      <c r="BF7" s="629"/>
      <c r="BG7" s="710"/>
      <c r="BM7" s="16"/>
      <c r="BO7" s="711"/>
      <c r="BP7" s="712"/>
      <c r="BQ7" s="706"/>
      <c r="BR7" s="212"/>
      <c r="BS7" s="704"/>
      <c r="BT7" s="704"/>
      <c r="BW7" s="265" t="s">
        <v>3423</v>
      </c>
      <c r="BX7" s="71" t="s">
        <v>2688</v>
      </c>
      <c r="BY7" s="266">
        <f ca="1">MONTH(B5)</f>
        <v>2</v>
      </c>
      <c r="BZ7" s="73"/>
      <c r="CA7" s="74"/>
      <c r="CB7" s="51"/>
      <c r="CC7" s="52"/>
      <c r="CD7" s="78" t="s">
        <v>3424</v>
      </c>
      <c r="CE7" s="79" t="s">
        <v>2688</v>
      </c>
      <c r="CF7" s="80" t="s">
        <v>353</v>
      </c>
      <c r="CG7" s="81" t="s">
        <v>3425</v>
      </c>
      <c r="CH7" s="82">
        <v>18</v>
      </c>
      <c r="CI7" s="55"/>
      <c r="CJ7" s="60" t="s">
        <v>3426</v>
      </c>
      <c r="CK7" s="83">
        <f ca="1">BY8-1</f>
        <v>2001</v>
      </c>
      <c r="CL7" s="84" t="s">
        <v>3427</v>
      </c>
      <c r="CM7" s="85"/>
      <c r="CN7" s="86" t="s">
        <v>2876</v>
      </c>
      <c r="CO7" s="85" t="s">
        <v>2877</v>
      </c>
      <c r="CP7" s="55"/>
      <c r="CQ7" s="55"/>
      <c r="CR7" s="55"/>
      <c r="CS7" s="55"/>
      <c r="CT7" s="55"/>
      <c r="CU7" s="55"/>
      <c r="CV7" s="56"/>
      <c r="CW7" s="56"/>
      <c r="CX7" s="54"/>
      <c r="CY7" s="55"/>
      <c r="CZ7" s="55"/>
      <c r="DA7" s="55"/>
      <c r="DB7" s="53" t="s">
        <v>2878</v>
      </c>
      <c r="DC7" s="55"/>
      <c r="DD7" s="55"/>
      <c r="DE7" s="53" t="s">
        <v>2878</v>
      </c>
      <c r="DF7" s="55"/>
      <c r="DG7" s="55"/>
      <c r="DH7" s="53" t="s">
        <v>2878</v>
      </c>
      <c r="DI7" s="55"/>
      <c r="DJ7" s="53" t="s">
        <v>2878</v>
      </c>
      <c r="DK7" s="55"/>
      <c r="DL7" s="55"/>
      <c r="DM7" s="53" t="s">
        <v>2878</v>
      </c>
      <c r="DN7" s="55"/>
      <c r="DO7" s="55"/>
      <c r="DP7" s="53" t="s">
        <v>2878</v>
      </c>
      <c r="DQ7" s="55"/>
      <c r="DR7" s="53" t="s">
        <v>2878</v>
      </c>
      <c r="DS7" s="55"/>
      <c r="DT7" s="55"/>
      <c r="DU7" s="53" t="s">
        <v>2878</v>
      </c>
      <c r="DV7" s="55"/>
      <c r="DW7" s="55"/>
      <c r="DX7" s="53" t="s">
        <v>2878</v>
      </c>
      <c r="DY7" s="55"/>
      <c r="DZ7" s="55"/>
      <c r="EA7" s="53" t="s">
        <v>2878</v>
      </c>
      <c r="EB7" s="55"/>
      <c r="EC7" s="53" t="s">
        <v>2878</v>
      </c>
      <c r="ED7" s="55"/>
      <c r="EE7" s="55"/>
      <c r="EF7" s="53" t="s">
        <v>2878</v>
      </c>
      <c r="EG7" s="55"/>
      <c r="EH7" s="55"/>
      <c r="EI7" s="53" t="s">
        <v>2878</v>
      </c>
      <c r="EJ7" s="55"/>
      <c r="EK7" s="53" t="s">
        <v>2878</v>
      </c>
      <c r="EL7" s="55"/>
      <c r="EM7" s="55"/>
      <c r="EN7" s="53" t="s">
        <v>2878</v>
      </c>
      <c r="EO7" s="55"/>
      <c r="EP7" s="55"/>
      <c r="EQ7" s="53" t="s">
        <v>2878</v>
      </c>
      <c r="ER7" s="55"/>
      <c r="ES7" s="55"/>
      <c r="ET7" s="53" t="s">
        <v>2878</v>
      </c>
      <c r="EU7" s="55"/>
      <c r="EV7" s="53" t="s">
        <v>2878</v>
      </c>
      <c r="EW7" s="55"/>
      <c r="EX7" s="55"/>
      <c r="EY7" s="53" t="s">
        <v>2878</v>
      </c>
      <c r="EZ7" s="55"/>
      <c r="FA7" s="55"/>
      <c r="FB7" s="53" t="s">
        <v>2878</v>
      </c>
      <c r="FC7" s="55"/>
      <c r="FD7" s="53" t="s">
        <v>2878</v>
      </c>
      <c r="FE7" s="55"/>
      <c r="FF7" s="55"/>
      <c r="FG7" s="53" t="s">
        <v>2878</v>
      </c>
      <c r="FH7" s="55"/>
      <c r="FI7" s="55"/>
      <c r="FJ7" s="53" t="s">
        <v>2878</v>
      </c>
      <c r="FK7" s="55"/>
      <c r="FL7" s="55"/>
      <c r="FM7" s="53" t="s">
        <v>2878</v>
      </c>
      <c r="FN7" s="55"/>
      <c r="FO7" s="53" t="s">
        <v>2878</v>
      </c>
      <c r="FP7" s="55"/>
      <c r="FQ7" s="55"/>
      <c r="FR7" s="53" t="s">
        <v>2878</v>
      </c>
      <c r="FS7" s="55"/>
      <c r="FT7" s="55"/>
      <c r="FU7" s="53" t="s">
        <v>2878</v>
      </c>
      <c r="FV7" s="55"/>
      <c r="FW7" s="53" t="s">
        <v>2878</v>
      </c>
      <c r="FX7" s="55"/>
      <c r="FY7" s="55"/>
      <c r="FZ7" s="53" t="s">
        <v>2878</v>
      </c>
      <c r="GA7" s="55"/>
      <c r="GB7" s="55"/>
      <c r="GC7" s="53" t="s">
        <v>2878</v>
      </c>
      <c r="GD7" s="55"/>
      <c r="GE7" s="55"/>
      <c r="GF7" s="53" t="s">
        <v>2878</v>
      </c>
      <c r="GG7" s="55"/>
      <c r="GH7" s="53" t="s">
        <v>2878</v>
      </c>
      <c r="GI7" s="55"/>
      <c r="GJ7" s="55"/>
      <c r="GK7" s="53" t="s">
        <v>2878</v>
      </c>
      <c r="GL7" s="55"/>
      <c r="GM7" s="55"/>
      <c r="GN7" s="53" t="s">
        <v>2878</v>
      </c>
      <c r="GO7" s="55"/>
      <c r="GP7" s="53" t="s">
        <v>2878</v>
      </c>
      <c r="GQ7" s="55"/>
      <c r="GR7" s="55"/>
      <c r="GS7" s="53" t="s">
        <v>2878</v>
      </c>
      <c r="GT7" s="55"/>
      <c r="GU7" s="55"/>
      <c r="GV7" s="53" t="s">
        <v>2878</v>
      </c>
      <c r="GW7" s="55"/>
      <c r="GX7" s="55"/>
      <c r="GY7" s="53" t="s">
        <v>2878</v>
      </c>
      <c r="GZ7" s="55"/>
      <c r="HA7" s="53" t="s">
        <v>2878</v>
      </c>
      <c r="HB7" s="55"/>
      <c r="HC7" s="55"/>
      <c r="HD7" s="53" t="s">
        <v>2878</v>
      </c>
      <c r="HE7" s="55"/>
      <c r="HF7" s="55"/>
      <c r="HG7" s="53" t="s">
        <v>2878</v>
      </c>
      <c r="HH7" s="55"/>
      <c r="HI7" s="53" t="s">
        <v>2878</v>
      </c>
      <c r="HJ7" s="55"/>
      <c r="HK7" s="55"/>
      <c r="HL7" s="53" t="s">
        <v>2878</v>
      </c>
      <c r="HM7" s="55"/>
      <c r="HN7" s="55"/>
      <c r="HO7" s="53" t="s">
        <v>2878</v>
      </c>
      <c r="HP7" s="55"/>
      <c r="HQ7" s="55"/>
      <c r="HR7" s="53" t="s">
        <v>2878</v>
      </c>
      <c r="HS7" s="55"/>
      <c r="HT7" s="53" t="s">
        <v>2878</v>
      </c>
      <c r="HU7" s="55"/>
      <c r="HV7" s="55"/>
      <c r="HW7" s="53" t="s">
        <v>2878</v>
      </c>
      <c r="HX7" s="55"/>
      <c r="HY7" s="55"/>
      <c r="HZ7" s="53" t="s">
        <v>2878</v>
      </c>
      <c r="IA7" s="55"/>
      <c r="IB7" s="53" t="s">
        <v>2878</v>
      </c>
      <c r="IC7" s="55"/>
      <c r="ID7" s="55"/>
      <c r="IE7" s="53" t="s">
        <v>2878</v>
      </c>
      <c r="IF7" s="55"/>
      <c r="IG7" s="55"/>
      <c r="IH7" s="53" t="s">
        <v>2878</v>
      </c>
      <c r="II7" s="55"/>
      <c r="IJ7" s="55"/>
      <c r="IK7" s="69"/>
      <c r="IL7" s="51"/>
    </row>
    <row r="8" spans="1:246" ht="12.95" customHeight="1" thickTop="1">
      <c r="A8" s="33" t="s">
        <v>4659</v>
      </c>
      <c r="B8" s="482">
        <f ca="1">IF(BY8="","",VLOOKUP(B7,TiếtKhí!B3:D3626,3,0))</f>
        <v>37291.308194444442</v>
      </c>
      <c r="C8" s="33" t="s">
        <v>1730</v>
      </c>
      <c r="D8" s="8" t="s">
        <v>9008</v>
      </c>
      <c r="E8" s="9" t="s">
        <v>1402</v>
      </c>
      <c r="F8" s="455">
        <v>6</v>
      </c>
      <c r="G8" s="17">
        <v>10</v>
      </c>
      <c r="H8" s="17">
        <v>8</v>
      </c>
      <c r="I8" s="17">
        <v>8</v>
      </c>
      <c r="J8" s="17">
        <v>10</v>
      </c>
      <c r="K8" s="17">
        <v>7</v>
      </c>
      <c r="L8" s="17">
        <v>7</v>
      </c>
      <c r="M8" s="17">
        <v>10</v>
      </c>
      <c r="N8" s="17">
        <v>9</v>
      </c>
      <c r="O8" s="17">
        <v>9</v>
      </c>
      <c r="P8" s="17">
        <v>10</v>
      </c>
      <c r="Q8" s="458">
        <v>6</v>
      </c>
      <c r="R8" s="297" t="s">
        <v>9303</v>
      </c>
      <c r="S8" s="293" t="str">
        <f ca="1">IF(BY9=23,INDEX(D4:D13,MOD(B6,10)+1),INDEX(D3:D12,MOD(B6,10)+1))</f>
        <v>Bính</v>
      </c>
      <c r="T8" s="294" t="str">
        <f ca="1">IF(BY9=23,INDEX(E5:E16,MOD(B6,12)+1),INDEX(E4:E15,MOD(B6,12)+1))</f>
        <v>Thìn</v>
      </c>
      <c r="U8" s="533" t="s">
        <v>4580</v>
      </c>
      <c r="V8" s="534" t="str">
        <f ca="1">IF(B5&gt;X4,"Khảm",IF(B5&lt;X5,"Khảm",IF(AND(B5&gt;X5,B5&lt;X6),"Chấn",IF(AND(B5&gt;X6,B5&lt;X7),"Ly",IF(AND(B5&gt;X7,B5&lt;X4),"Đoài","")))))</f>
        <v>Khảm</v>
      </c>
      <c r="W8" s="396" t="str">
        <f ca="1">HLOOKUP(V8,K11:T16,6,0)</f>
        <v>010</v>
      </c>
      <c r="X8" s="447"/>
      <c r="Y8" s="36" t="s">
        <v>4323</v>
      </c>
      <c r="Z8" s="43" t="str">
        <f ca="1">IF(I27="Càn","",IF(I27="Khôn","",I27))</f>
        <v>Bĩ</v>
      </c>
      <c r="AA8" s="43" t="str">
        <f ca="1">Z8&amp;1</f>
        <v>Bĩ1</v>
      </c>
      <c r="AB8" s="4"/>
      <c r="AC8" s="43" t="str">
        <f ca="1">IF(AND(I27="Càn",G18="Nam"),"CànNam",IF(AND(I27="Khôn",G18="Nữ"),"KhônNữ",""))</f>
        <v/>
      </c>
      <c r="AD8" s="43" t="str">
        <f ca="1">AC8&amp;1</f>
        <v>1</v>
      </c>
      <c r="AE8" s="4"/>
      <c r="AF8" s="43" t="str">
        <f ca="1">IF(AND(I27="Càn",G18="Nữ",AB4&gt;B5),"CànNữsauĐC",IF(AND(I27="Càn",G18="Nữ",AB5&lt;B5),"CànNữsauĐC",IF(AND(I27="Càn",G18="Nữ",AB4&lt;B5,B5&lt;AB5),"CànNữtrướcĐC","")))</f>
        <v/>
      </c>
      <c r="AG8" s="43" t="str">
        <f ca="1">AF8&amp;1</f>
        <v>1</v>
      </c>
      <c r="AH8" s="4"/>
      <c r="AI8" s="43" t="str">
        <f ca="1">IF(AND(I27="Khôn",G18="Nam",AB4&gt;B5),"KhônNamsauĐC",IF(AND(I27="Khôn",G18="Nam",AB5&lt;B5),"KhônNamsauĐC",IF(AND(I27="Khôn",G18="Nam",AB4&lt;B5,B5&lt;AB5),"KhônNamtrướcĐC","")))</f>
        <v/>
      </c>
      <c r="AJ8" s="223" t="str">
        <f ca="1">AI8&amp;1</f>
        <v>1</v>
      </c>
      <c r="AK8" s="18">
        <f ca="1">IF(M27="1",1,AK9+1)</f>
        <v>4</v>
      </c>
      <c r="AL8" s="16">
        <f t="shared" ca="1" si="1"/>
        <v>25</v>
      </c>
      <c r="AM8" s="17" t="s">
        <v>9013</v>
      </c>
      <c r="AN8" s="213">
        <f t="shared" ca="1" si="2"/>
        <v>30</v>
      </c>
      <c r="AO8" s="9">
        <v>2</v>
      </c>
      <c r="AP8" s="400">
        <f t="shared" ca="1" si="0"/>
        <v>0</v>
      </c>
      <c r="AQ8" s="640">
        <f ca="1">VLOOKUP(AQ6,AS18:AU29,3,0)</f>
        <v>3</v>
      </c>
      <c r="AR8" s="401" t="str">
        <f ca="1">IF(AQ8=1,"*","")</f>
        <v/>
      </c>
      <c r="AS8" s="402" t="str">
        <f ca="1">HLOOKUP(AQ7,'64Quẻ'!B5:DX11,7,0)</f>
        <v>—   —</v>
      </c>
      <c r="AT8" s="491"/>
      <c r="AU8" s="656"/>
      <c r="AW8" s="700"/>
      <c r="AX8" s="7"/>
      <c r="AY8" s="228"/>
      <c r="BD8" s="233"/>
      <c r="BE8" s="700"/>
      <c r="BF8" s="629"/>
      <c r="BG8" s="710"/>
      <c r="BM8" s="16"/>
      <c r="BO8" s="711"/>
      <c r="BP8" s="661"/>
      <c r="BQ8" s="706"/>
      <c r="BR8" s="212"/>
      <c r="BS8" s="704"/>
      <c r="BT8" s="704"/>
      <c r="BW8" s="265" t="s">
        <v>2879</v>
      </c>
      <c r="BX8" s="71" t="s">
        <v>2688</v>
      </c>
      <c r="BY8" s="266">
        <f ca="1">YEAR(B5)</f>
        <v>2002</v>
      </c>
      <c r="BZ8" s="73"/>
      <c r="CA8" s="74"/>
      <c r="CB8" s="51"/>
      <c r="CC8" s="52"/>
      <c r="CD8" s="53"/>
      <c r="CE8" s="55"/>
      <c r="CF8" s="55"/>
      <c r="CG8" s="55"/>
      <c r="CH8" s="55"/>
      <c r="CI8" s="55"/>
      <c r="CJ8" s="56"/>
      <c r="CK8" s="87">
        <f ca="1">(BY8-1900)*365+INT((BY8-1-1900)/4+1)</f>
        <v>37256</v>
      </c>
      <c r="CL8" s="88">
        <f ca="1">IF(BY7&gt;2,IF(CL10=0,1,2),0)</f>
        <v>0</v>
      </c>
      <c r="CM8" s="89"/>
      <c r="CN8" s="90">
        <f ca="1">30*(BY7-1)+CN9</f>
        <v>31</v>
      </c>
      <c r="CO8" s="87">
        <f ca="1">BY6</f>
        <v>17</v>
      </c>
      <c r="CP8" s="55"/>
      <c r="CQ8" s="55"/>
      <c r="CR8" s="55"/>
      <c r="CS8" s="55"/>
      <c r="CT8" s="55"/>
      <c r="CU8" s="55"/>
      <c r="CV8" s="56"/>
      <c r="CW8" s="56"/>
      <c r="CX8" s="54"/>
      <c r="CY8" s="55"/>
      <c r="CZ8" s="55"/>
      <c r="DA8" s="55"/>
      <c r="DB8" s="55">
        <v>5</v>
      </c>
      <c r="DC8" s="55"/>
      <c r="DD8" s="55"/>
      <c r="DE8" s="55">
        <v>4</v>
      </c>
      <c r="DF8" s="55"/>
      <c r="DG8" s="55"/>
      <c r="DH8" s="55">
        <v>2</v>
      </c>
      <c r="DI8" s="55"/>
      <c r="DJ8" s="55">
        <v>6</v>
      </c>
      <c r="DK8" s="55"/>
      <c r="DL8" s="55"/>
      <c r="DM8" s="55">
        <v>5</v>
      </c>
      <c r="DN8" s="55"/>
      <c r="DO8" s="55"/>
      <c r="DP8" s="55">
        <v>2</v>
      </c>
      <c r="DQ8" s="55"/>
      <c r="DR8" s="55">
        <v>7</v>
      </c>
      <c r="DS8" s="55"/>
      <c r="DT8" s="55"/>
      <c r="DU8" s="55">
        <v>5</v>
      </c>
      <c r="DV8" s="55"/>
      <c r="DW8" s="55"/>
      <c r="DX8" s="55">
        <v>4</v>
      </c>
      <c r="DY8" s="55"/>
      <c r="DZ8" s="55"/>
      <c r="EA8" s="55">
        <v>2</v>
      </c>
      <c r="EB8" s="55"/>
      <c r="EC8" s="55">
        <v>6</v>
      </c>
      <c r="ED8" s="55"/>
      <c r="EE8" s="55"/>
      <c r="EF8" s="55">
        <v>5</v>
      </c>
      <c r="EG8" s="55"/>
      <c r="EH8" s="55"/>
      <c r="EI8" s="55">
        <v>3</v>
      </c>
      <c r="EJ8" s="55"/>
      <c r="EK8" s="55">
        <v>7</v>
      </c>
      <c r="EL8" s="55"/>
      <c r="EM8" s="55"/>
      <c r="EN8" s="55">
        <v>6</v>
      </c>
      <c r="EO8" s="55"/>
      <c r="EP8" s="55"/>
      <c r="EQ8" s="55">
        <v>4</v>
      </c>
      <c r="ER8" s="55"/>
      <c r="ES8" s="55"/>
      <c r="ET8" s="55">
        <v>2</v>
      </c>
      <c r="EU8" s="55"/>
      <c r="EV8" s="55">
        <v>7</v>
      </c>
      <c r="EW8" s="55"/>
      <c r="EX8" s="55"/>
      <c r="EY8" s="55">
        <v>5</v>
      </c>
      <c r="EZ8" s="55"/>
      <c r="FA8" s="55"/>
      <c r="FB8" s="55">
        <v>3</v>
      </c>
      <c r="FC8" s="55"/>
      <c r="FD8" s="55">
        <v>8</v>
      </c>
      <c r="FE8" s="55"/>
      <c r="FF8" s="55"/>
      <c r="FG8" s="55">
        <v>6</v>
      </c>
      <c r="FH8" s="55"/>
      <c r="FI8" s="55"/>
      <c r="FJ8" s="55">
        <v>4</v>
      </c>
      <c r="FK8" s="55"/>
      <c r="FL8" s="55"/>
      <c r="FM8" s="55">
        <v>3</v>
      </c>
      <c r="FN8" s="55"/>
      <c r="FO8" s="55">
        <v>7</v>
      </c>
      <c r="FP8" s="55"/>
      <c r="FQ8" s="55"/>
      <c r="FR8" s="55">
        <v>5</v>
      </c>
      <c r="FS8" s="55"/>
      <c r="FT8" s="55"/>
      <c r="FU8" s="55">
        <v>4</v>
      </c>
      <c r="FV8" s="55"/>
      <c r="FW8" s="55">
        <v>8</v>
      </c>
      <c r="FX8" s="55"/>
      <c r="FY8" s="55"/>
      <c r="FZ8" s="55">
        <v>6</v>
      </c>
      <c r="GA8" s="55"/>
      <c r="GB8" s="55"/>
      <c r="GC8" s="55">
        <v>4</v>
      </c>
      <c r="GD8" s="55"/>
      <c r="GE8" s="55"/>
      <c r="GF8" s="55">
        <v>2</v>
      </c>
      <c r="GG8" s="55"/>
      <c r="GH8" s="55">
        <v>7</v>
      </c>
      <c r="GI8" s="55"/>
      <c r="GJ8" s="55"/>
      <c r="GK8" s="55">
        <v>5</v>
      </c>
      <c r="GL8" s="55"/>
      <c r="GM8" s="55"/>
      <c r="GN8" s="55">
        <v>3</v>
      </c>
      <c r="GO8" s="55"/>
      <c r="GP8" s="55">
        <v>8</v>
      </c>
      <c r="GQ8" s="55"/>
      <c r="GR8" s="55"/>
      <c r="GS8" s="55">
        <v>5</v>
      </c>
      <c r="GT8" s="55"/>
      <c r="GU8" s="55"/>
      <c r="GV8" s="55">
        <v>4</v>
      </c>
      <c r="GW8" s="55"/>
      <c r="GX8" s="55"/>
      <c r="GY8" s="55">
        <v>2</v>
      </c>
      <c r="GZ8" s="55"/>
      <c r="HA8" s="55">
        <v>7</v>
      </c>
      <c r="HB8" s="55"/>
      <c r="HC8" s="55"/>
      <c r="HD8" s="55">
        <v>5</v>
      </c>
      <c r="HE8" s="55"/>
      <c r="HF8" s="55"/>
      <c r="HG8" s="55">
        <v>4</v>
      </c>
      <c r="HH8" s="55"/>
      <c r="HI8" s="55">
        <v>9</v>
      </c>
      <c r="HJ8" s="55"/>
      <c r="HK8" s="55"/>
      <c r="HL8" s="55">
        <v>6</v>
      </c>
      <c r="HM8" s="55"/>
      <c r="HN8" s="55"/>
      <c r="HO8" s="55">
        <v>4</v>
      </c>
      <c r="HP8" s="55"/>
      <c r="HQ8" s="55"/>
      <c r="HR8" s="55">
        <v>2</v>
      </c>
      <c r="HS8" s="55"/>
      <c r="HT8" s="55">
        <v>6</v>
      </c>
      <c r="HU8" s="55"/>
      <c r="HV8" s="55"/>
      <c r="HW8" s="55">
        <v>5</v>
      </c>
      <c r="HX8" s="55"/>
      <c r="HY8" s="55"/>
      <c r="HZ8" s="55">
        <v>3</v>
      </c>
      <c r="IA8" s="55"/>
      <c r="IB8" s="55">
        <v>11</v>
      </c>
      <c r="IC8" s="55"/>
      <c r="ID8" s="55"/>
      <c r="IE8" s="55">
        <v>6</v>
      </c>
      <c r="IF8" s="55"/>
      <c r="IG8" s="55"/>
      <c r="IH8" s="55">
        <v>5</v>
      </c>
      <c r="II8" s="55"/>
      <c r="IJ8" s="55"/>
      <c r="IK8" s="69"/>
      <c r="IL8" s="51"/>
    </row>
    <row r="9" spans="1:246" ht="12.95" customHeight="1">
      <c r="A9" s="33" t="s">
        <v>4660</v>
      </c>
      <c r="B9" s="483">
        <f ca="1">VLOOKUP(B16,TiếtKhí!B3:D3626,3,0)</f>
        <v>37291.308194444442</v>
      </c>
      <c r="C9" s="33" t="s">
        <v>3378</v>
      </c>
      <c r="D9" s="8" t="s">
        <v>9009</v>
      </c>
      <c r="E9" s="8" t="s">
        <v>9301</v>
      </c>
      <c r="F9" s="459" t="s">
        <v>4210</v>
      </c>
      <c r="G9" s="397" t="s">
        <v>4211</v>
      </c>
      <c r="H9" s="397" t="s">
        <v>4210</v>
      </c>
      <c r="I9" s="397" t="s">
        <v>4211</v>
      </c>
      <c r="J9" s="397" t="s">
        <v>4210</v>
      </c>
      <c r="K9" s="397" t="s">
        <v>4211</v>
      </c>
      <c r="L9" s="397" t="s">
        <v>4210</v>
      </c>
      <c r="M9" s="397" t="s">
        <v>4211</v>
      </c>
      <c r="N9" s="397" t="s">
        <v>4210</v>
      </c>
      <c r="O9" s="397" t="s">
        <v>4211</v>
      </c>
      <c r="P9" s="397"/>
      <c r="Q9" s="460"/>
      <c r="R9" s="552" t="s">
        <v>5021</v>
      </c>
      <c r="S9" s="295" t="str">
        <f ca="1">IF(AND(BY9&gt;=0,BY9&lt;24),INDEX(D11:D20,MOD(B6*12+BY9/2+1/2,10)+1),"")</f>
        <v>Nhâm</v>
      </c>
      <c r="T9" s="296" t="str">
        <f ca="1">IF(AND(BY9&gt;=0,BY9&lt;24),INDEX(E8:E19,MOD(BY9/2+1/2,12)+1),"")</f>
        <v>Thìn</v>
      </c>
      <c r="U9" s="448" t="s">
        <v>4581</v>
      </c>
      <c r="V9" s="397" t="str">
        <f ca="1">HLOOKUP(V20,K11:T16,6,0)</f>
        <v>111</v>
      </c>
      <c r="W9" s="535" t="s">
        <v>4582</v>
      </c>
      <c r="X9" s="406" t="str">
        <f ca="1">HLOOKUP(V21,K11:T16,6,0)</f>
        <v>101</v>
      </c>
      <c r="Z9" s="40" t="s">
        <v>9332</v>
      </c>
      <c r="AA9" s="12"/>
      <c r="AB9" s="12"/>
      <c r="AC9" s="12" t="s">
        <v>9332</v>
      </c>
      <c r="AD9" s="12"/>
      <c r="AE9" s="12"/>
      <c r="AF9" s="12" t="s">
        <v>9332</v>
      </c>
      <c r="AG9" s="12"/>
      <c r="AH9" s="12"/>
      <c r="AI9" s="12" t="s">
        <v>9332</v>
      </c>
      <c r="AJ9" s="224"/>
      <c r="AK9" s="18">
        <f ca="1">IF(M28="1",1,AK4+1)</f>
        <v>3</v>
      </c>
      <c r="AL9" s="9">
        <f t="shared" ca="1" si="1"/>
        <v>19</v>
      </c>
      <c r="AM9" s="17" t="s">
        <v>9013</v>
      </c>
      <c r="AN9" s="213">
        <f t="shared" ca="1" si="2"/>
        <v>24</v>
      </c>
      <c r="AO9" s="9">
        <v>1</v>
      </c>
      <c r="AP9" s="659">
        <f ca="1">IF(AND(AT32=8,AU32=0),AP3,IF(AND('Vận Năm'!B6="*",AP3=0),1,IF(AND('Vận Năm'!B6="*",AP3=1),0,AP3)))</f>
        <v>1</v>
      </c>
      <c r="AQ9" s="544">
        <f ca="1">AT30</f>
        <v>2032</v>
      </c>
      <c r="AR9" s="494" t="str">
        <f ca="1">AP9&amp;AP10&amp;AP11</f>
        <v>111</v>
      </c>
      <c r="AS9" s="651">
        <f ca="1">'Vận Năm'!B4</f>
        <v>2032</v>
      </c>
      <c r="AT9" s="219" t="str">
        <f ca="1">'Vận Năm'!C12</f>
        <v>Độn</v>
      </c>
      <c r="AU9" s="495">
        <f ca="1">IF('Vận Năm'!B6="*",6,IF('Vận Năm'!B7="*",5,IF('Vận Năm'!B8="*",4,IF('Vận Năm'!B9="*",3,IF('Vận Năm'!B10="*",2,IF('Vận Năm'!B11="*",1,""))))))</f>
        <v>3</v>
      </c>
      <c r="AV9" s="713"/>
      <c r="AW9" s="714"/>
      <c r="AY9" s="715"/>
      <c r="AZ9" s="714"/>
      <c r="BA9" s="212"/>
      <c r="BB9" s="12"/>
      <c r="BC9" s="12"/>
      <c r="BE9" s="700"/>
      <c r="BF9" s="629"/>
      <c r="BG9" s="716"/>
      <c r="BM9" s="702"/>
      <c r="BN9" s="687"/>
      <c r="BO9" s="711"/>
      <c r="BP9" s="661"/>
      <c r="BQ9" s="706"/>
      <c r="BR9" s="212"/>
      <c r="BS9" s="704"/>
      <c r="BT9" s="704"/>
      <c r="BW9" s="265" t="s">
        <v>4469</v>
      </c>
      <c r="BX9" s="71" t="s">
        <v>2688</v>
      </c>
      <c r="BY9" s="267">
        <f ca="1">HOUR(B5)</f>
        <v>7</v>
      </c>
      <c r="BZ9" s="266">
        <f ca="1">MINUTE(B5)</f>
        <v>0</v>
      </c>
      <c r="CA9" s="74"/>
      <c r="CB9" s="51"/>
      <c r="CC9" s="52"/>
      <c r="CD9" s="53" t="s">
        <v>2880</v>
      </c>
      <c r="CE9" s="55"/>
      <c r="CF9" s="91">
        <f ca="1">CK8-CL8+CN8+CO8</f>
        <v>37304</v>
      </c>
      <c r="CG9" s="55">
        <f ca="1">CF9-CF4</f>
        <v>36938</v>
      </c>
      <c r="CH9" s="55"/>
      <c r="CI9" s="55"/>
      <c r="CJ9" s="56"/>
      <c r="CK9" s="69"/>
      <c r="CL9" s="88">
        <f ca="1">BY8/4</f>
        <v>500.5</v>
      </c>
      <c r="CM9" s="69">
        <f ca="1">INT(CL9)</f>
        <v>500</v>
      </c>
      <c r="CN9" s="90">
        <f ca="1">IF(BY7&lt;8,INT((BY7-1)/2+0.5),INT((BY7-1)/2+1))</f>
        <v>1</v>
      </c>
      <c r="CO9" s="69"/>
      <c r="CP9" s="55"/>
      <c r="CQ9" s="55"/>
      <c r="CR9" s="55"/>
      <c r="CS9" s="55"/>
      <c r="CT9" s="55"/>
      <c r="CU9" s="55"/>
      <c r="CV9" s="56"/>
      <c r="CW9" s="92" t="s">
        <v>4310</v>
      </c>
      <c r="CX9" s="93" t="s">
        <v>2688</v>
      </c>
      <c r="CY9" s="94">
        <v>1900</v>
      </c>
      <c r="CZ9" s="94">
        <v>1901</v>
      </c>
      <c r="DA9" s="94">
        <v>1902</v>
      </c>
      <c r="DB9" s="94">
        <v>1903</v>
      </c>
      <c r="DC9" s="94">
        <v>1904</v>
      </c>
      <c r="DD9" s="94">
        <v>1905</v>
      </c>
      <c r="DE9" s="94">
        <v>1906</v>
      </c>
      <c r="DF9" s="94">
        <v>1907</v>
      </c>
      <c r="DG9" s="94">
        <v>1908</v>
      </c>
      <c r="DH9" s="94">
        <v>1909</v>
      </c>
      <c r="DI9" s="94">
        <v>1910</v>
      </c>
      <c r="DJ9" s="94">
        <v>1911</v>
      </c>
      <c r="DK9" s="94">
        <v>1912</v>
      </c>
      <c r="DL9" s="94">
        <v>1913</v>
      </c>
      <c r="DM9" s="94">
        <v>1914</v>
      </c>
      <c r="DN9" s="94">
        <v>1915</v>
      </c>
      <c r="DO9" s="94">
        <v>1916</v>
      </c>
      <c r="DP9" s="94">
        <v>1917</v>
      </c>
      <c r="DQ9" s="94">
        <v>1918</v>
      </c>
      <c r="DR9" s="94">
        <v>1919</v>
      </c>
      <c r="DS9" s="94">
        <v>1920</v>
      </c>
      <c r="DT9" s="94">
        <v>1921</v>
      </c>
      <c r="DU9" s="94">
        <v>1922</v>
      </c>
      <c r="DV9" s="94">
        <v>1923</v>
      </c>
      <c r="DW9" s="94">
        <v>1924</v>
      </c>
      <c r="DX9" s="94">
        <v>1925</v>
      </c>
      <c r="DY9" s="94">
        <v>1926</v>
      </c>
      <c r="DZ9" s="94">
        <v>1927</v>
      </c>
      <c r="EA9" s="94">
        <v>1928</v>
      </c>
      <c r="EB9" s="94">
        <v>1929</v>
      </c>
      <c r="EC9" s="94">
        <v>1930</v>
      </c>
      <c r="ED9" s="94">
        <v>1931</v>
      </c>
      <c r="EE9" s="94">
        <v>1932</v>
      </c>
      <c r="EF9" s="94">
        <v>1933</v>
      </c>
      <c r="EG9" s="94">
        <v>1934</v>
      </c>
      <c r="EH9" s="94">
        <v>1935</v>
      </c>
      <c r="EI9" s="94">
        <v>1936</v>
      </c>
      <c r="EJ9" s="94">
        <v>1937</v>
      </c>
      <c r="EK9" s="94">
        <v>1938</v>
      </c>
      <c r="EL9" s="94">
        <v>1939</v>
      </c>
      <c r="EM9" s="94">
        <v>1940</v>
      </c>
      <c r="EN9" s="94">
        <v>1941</v>
      </c>
      <c r="EO9" s="94">
        <v>1942</v>
      </c>
      <c r="EP9" s="94">
        <v>1943</v>
      </c>
      <c r="EQ9" s="94">
        <v>1944</v>
      </c>
      <c r="ER9" s="94">
        <v>1945</v>
      </c>
      <c r="ES9" s="94">
        <v>1946</v>
      </c>
      <c r="ET9" s="94">
        <v>1947</v>
      </c>
      <c r="EU9" s="94">
        <v>1948</v>
      </c>
      <c r="EV9" s="94">
        <v>1949</v>
      </c>
      <c r="EW9" s="94">
        <v>1950</v>
      </c>
      <c r="EX9" s="94">
        <v>1951</v>
      </c>
      <c r="EY9" s="94">
        <v>1952</v>
      </c>
      <c r="EZ9" s="94">
        <v>1953</v>
      </c>
      <c r="FA9" s="94">
        <v>1954</v>
      </c>
      <c r="FB9" s="94">
        <v>1955</v>
      </c>
      <c r="FC9" s="94">
        <v>1956</v>
      </c>
      <c r="FD9" s="94">
        <v>1957</v>
      </c>
      <c r="FE9" s="94">
        <v>1958</v>
      </c>
      <c r="FF9" s="94">
        <v>1959</v>
      </c>
      <c r="FG9" s="94">
        <v>1960</v>
      </c>
      <c r="FH9" s="94">
        <v>1961</v>
      </c>
      <c r="FI9" s="94">
        <v>1962</v>
      </c>
      <c r="FJ9" s="94">
        <v>1963</v>
      </c>
      <c r="FK9" s="94">
        <v>1964</v>
      </c>
      <c r="FL9" s="94">
        <v>1965</v>
      </c>
      <c r="FM9" s="94">
        <v>1966</v>
      </c>
      <c r="FN9" s="94">
        <v>1967</v>
      </c>
      <c r="FO9" s="94">
        <v>1968</v>
      </c>
      <c r="FP9" s="94">
        <v>1969</v>
      </c>
      <c r="FQ9" s="94">
        <v>1970</v>
      </c>
      <c r="FR9" s="94">
        <v>1971</v>
      </c>
      <c r="FS9" s="94">
        <v>1972</v>
      </c>
      <c r="FT9" s="94">
        <v>1973</v>
      </c>
      <c r="FU9" s="94">
        <v>1974</v>
      </c>
      <c r="FV9" s="94">
        <v>1975</v>
      </c>
      <c r="FW9" s="94">
        <v>1976</v>
      </c>
      <c r="FX9" s="94">
        <v>1977</v>
      </c>
      <c r="FY9" s="94">
        <v>1978</v>
      </c>
      <c r="FZ9" s="94">
        <v>1979</v>
      </c>
      <c r="GA9" s="94">
        <v>1980</v>
      </c>
      <c r="GB9" s="94">
        <v>1981</v>
      </c>
      <c r="GC9" s="94">
        <v>1982</v>
      </c>
      <c r="GD9" s="94">
        <v>1983</v>
      </c>
      <c r="GE9" s="94">
        <v>1984</v>
      </c>
      <c r="GF9" s="94">
        <v>1985</v>
      </c>
      <c r="GG9" s="94">
        <v>1986</v>
      </c>
      <c r="GH9" s="94">
        <v>1987</v>
      </c>
      <c r="GI9" s="94">
        <v>1988</v>
      </c>
      <c r="GJ9" s="94">
        <v>1989</v>
      </c>
      <c r="GK9" s="94">
        <v>1990</v>
      </c>
      <c r="GL9" s="94">
        <v>1991</v>
      </c>
      <c r="GM9" s="94">
        <v>1992</v>
      </c>
      <c r="GN9" s="94">
        <v>1993</v>
      </c>
      <c r="GO9" s="94">
        <v>1994</v>
      </c>
      <c r="GP9" s="94">
        <v>1995</v>
      </c>
      <c r="GQ9" s="94">
        <v>1996</v>
      </c>
      <c r="GR9" s="94">
        <v>1997</v>
      </c>
      <c r="GS9" s="94">
        <v>1998</v>
      </c>
      <c r="GT9" s="94">
        <v>1999</v>
      </c>
      <c r="GU9" s="94">
        <v>2000</v>
      </c>
      <c r="GV9" s="94">
        <v>2001</v>
      </c>
      <c r="GW9" s="94">
        <v>2002</v>
      </c>
      <c r="GX9" s="94">
        <v>2003</v>
      </c>
      <c r="GY9" s="94">
        <v>2004</v>
      </c>
      <c r="GZ9" s="94">
        <v>2005</v>
      </c>
      <c r="HA9" s="94">
        <v>2006</v>
      </c>
      <c r="HB9" s="94">
        <v>2007</v>
      </c>
      <c r="HC9" s="94">
        <v>2008</v>
      </c>
      <c r="HD9" s="94">
        <v>2009</v>
      </c>
      <c r="HE9" s="94">
        <v>2010</v>
      </c>
      <c r="HF9" s="94">
        <v>2011</v>
      </c>
      <c r="HG9" s="94">
        <v>2012</v>
      </c>
      <c r="HH9" s="94">
        <v>2013</v>
      </c>
      <c r="HI9" s="94">
        <v>2014</v>
      </c>
      <c r="HJ9" s="94">
        <v>2015</v>
      </c>
      <c r="HK9" s="94">
        <v>2016</v>
      </c>
      <c r="HL9" s="94">
        <v>2017</v>
      </c>
      <c r="HM9" s="94">
        <v>2018</v>
      </c>
      <c r="HN9" s="94">
        <v>2019</v>
      </c>
      <c r="HO9" s="94">
        <v>2020</v>
      </c>
      <c r="HP9" s="94">
        <v>2021</v>
      </c>
      <c r="HQ9" s="94">
        <v>2022</v>
      </c>
      <c r="HR9" s="94">
        <v>2023</v>
      </c>
      <c r="HS9" s="94">
        <v>2024</v>
      </c>
      <c r="HT9" s="94">
        <v>2025</v>
      </c>
      <c r="HU9" s="94">
        <v>2026</v>
      </c>
      <c r="HV9" s="94">
        <v>2027</v>
      </c>
      <c r="HW9" s="94">
        <v>2028</v>
      </c>
      <c r="HX9" s="94">
        <v>2029</v>
      </c>
      <c r="HY9" s="94">
        <v>2030</v>
      </c>
      <c r="HZ9" s="94">
        <v>2031</v>
      </c>
      <c r="IA9" s="94">
        <v>2032</v>
      </c>
      <c r="IB9" s="94">
        <v>2033</v>
      </c>
      <c r="IC9" s="94">
        <v>2034</v>
      </c>
      <c r="ID9" s="94">
        <v>2035</v>
      </c>
      <c r="IE9" s="94">
        <v>2036</v>
      </c>
      <c r="IF9" s="94">
        <v>2037</v>
      </c>
      <c r="IG9" s="94">
        <v>2038</v>
      </c>
      <c r="IH9" s="94">
        <v>2039</v>
      </c>
      <c r="II9" s="94">
        <v>2040</v>
      </c>
      <c r="IJ9" s="94">
        <v>2041</v>
      </c>
      <c r="IK9" s="95"/>
      <c r="IL9" s="51"/>
    </row>
    <row r="10" spans="1:246" ht="12.95" customHeight="1">
      <c r="A10" s="33"/>
      <c r="B10" s="476"/>
      <c r="C10" s="628" t="s">
        <v>1722</v>
      </c>
      <c r="D10" s="8" t="s">
        <v>9010</v>
      </c>
      <c r="E10" s="8" t="s">
        <v>353</v>
      </c>
      <c r="F10" s="456">
        <f ca="1">HLOOKUP(S8,F4:O5,2,0)</f>
        <v>8</v>
      </c>
      <c r="G10" s="396">
        <f ca="1">HLOOKUP(T8,F6:Q8,2,0)</f>
        <v>5</v>
      </c>
      <c r="H10" s="396">
        <f ca="1">HLOOKUP(T8,F6:Q8,3,0)</f>
        <v>10</v>
      </c>
      <c r="I10" s="18" t="s">
        <v>4212</v>
      </c>
      <c r="J10" s="18" t="s">
        <v>4213</v>
      </c>
      <c r="K10" s="396">
        <v>1</v>
      </c>
      <c r="L10" s="396">
        <v>2</v>
      </c>
      <c r="M10" s="396">
        <v>3</v>
      </c>
      <c r="N10" s="396">
        <v>4</v>
      </c>
      <c r="O10" s="396">
        <v>5</v>
      </c>
      <c r="P10" s="396">
        <v>5</v>
      </c>
      <c r="Q10" s="396">
        <v>6</v>
      </c>
      <c r="R10" s="396">
        <v>7</v>
      </c>
      <c r="S10" s="396">
        <v>8</v>
      </c>
      <c r="T10" s="457">
        <v>9</v>
      </c>
      <c r="U10" s="446" t="s">
        <v>9005</v>
      </c>
      <c r="V10" s="28" t="s">
        <v>5934</v>
      </c>
      <c r="W10" s="28" t="s">
        <v>1402</v>
      </c>
      <c r="X10" s="447" t="s">
        <v>7208</v>
      </c>
      <c r="Z10" s="38" t="s">
        <v>9334</v>
      </c>
      <c r="AA10" s="12"/>
      <c r="AB10" s="12"/>
      <c r="AC10" s="2" t="s">
        <v>9334</v>
      </c>
      <c r="AD10" s="12"/>
      <c r="AE10" s="12"/>
      <c r="AF10" s="2" t="s">
        <v>9334</v>
      </c>
      <c r="AG10" s="12"/>
      <c r="AH10" s="12"/>
      <c r="AI10" s="2" t="s">
        <v>9334</v>
      </c>
      <c r="AJ10" s="224"/>
      <c r="AK10" s="18">
        <f ca="1">IF(AK7=1,7,AK11+1)</f>
        <v>11</v>
      </c>
      <c r="AL10" s="9">
        <f t="shared" ref="AL10:AL15" ca="1" si="8">O23</f>
        <v>73</v>
      </c>
      <c r="AM10" s="17" t="s">
        <v>9013</v>
      </c>
      <c r="AN10" s="213">
        <f t="shared" ref="AN10:AN15" ca="1" si="9">P23</f>
        <v>78</v>
      </c>
      <c r="AO10" s="9">
        <v>6</v>
      </c>
      <c r="AP10" s="660">
        <f ca="1">IF(AND(AT32=8,AU32=0),AP4,IF(AND('Vận Năm'!B7="*",AP4=0),1,IF(AND('Vận Năm'!B7="*",AP4=1),0,AP4)))</f>
        <v>1</v>
      </c>
      <c r="AQ10" s="661" t="str">
        <f ca="1">INDEX(E4:E15,MOD(AQ9,12)+1)</f>
        <v>Tý</v>
      </c>
      <c r="AR10" s="495" t="str">
        <f ca="1">AP12&amp;AP13&amp;AP14</f>
        <v>100</v>
      </c>
      <c r="AS10" s="651">
        <f ca="1">'Vận Năm'!B16</f>
        <v>2033</v>
      </c>
      <c r="AT10" s="219" t="str">
        <f ca="1">'Vận Năm'!C24</f>
        <v>Tiệm</v>
      </c>
      <c r="AU10" s="495">
        <f ca="1">IF('Vận Năm'!B18="*",6,IF('Vận Năm'!B19="*",5,IF('Vận Năm'!B20="*",4,IF('Vận Năm'!B21="*",3,IF('Vận Năm'!B22="*",2,IF('Vận Năm'!B23="*",1,""))))))</f>
        <v>4</v>
      </c>
      <c r="AV10" s="717"/>
      <c r="AW10" s="714"/>
      <c r="AY10" s="712"/>
      <c r="AZ10" s="714"/>
      <c r="BA10" s="212"/>
      <c r="BB10" s="718"/>
      <c r="BC10" s="719"/>
      <c r="BE10" s="700"/>
      <c r="BF10" s="629"/>
      <c r="BG10" s="716"/>
      <c r="BO10" s="711"/>
      <c r="BP10" s="721"/>
      <c r="BQ10" s="706"/>
      <c r="BR10" s="722"/>
      <c r="BS10" s="704"/>
      <c r="BT10" s="704"/>
      <c r="BW10" s="265" t="s">
        <v>4311</v>
      </c>
      <c r="BX10" s="71" t="s">
        <v>2688</v>
      </c>
      <c r="BY10" s="266" t="str">
        <f>G18</f>
        <v>Nữ</v>
      </c>
      <c r="BZ10" s="73"/>
      <c r="CA10" s="74"/>
      <c r="CB10" s="51"/>
      <c r="CC10" s="52"/>
      <c r="CD10" s="53"/>
      <c r="CE10" s="55"/>
      <c r="CF10" s="55"/>
      <c r="CG10" s="55"/>
      <c r="CH10" s="55"/>
      <c r="CI10" s="55"/>
      <c r="CJ10" s="92"/>
      <c r="CK10" s="95"/>
      <c r="CL10" s="96">
        <f ca="1">CL9-CM9</f>
        <v>0.5</v>
      </c>
      <c r="CM10" s="95"/>
      <c r="CN10" s="97"/>
      <c r="CO10" s="95"/>
      <c r="CP10" s="55"/>
      <c r="CQ10" s="55"/>
      <c r="CR10" s="55"/>
      <c r="CS10" s="55"/>
      <c r="CT10" s="55"/>
      <c r="CU10" s="55"/>
      <c r="CV10" s="56"/>
      <c r="CW10" s="55"/>
      <c r="CX10" s="55"/>
      <c r="CY10" s="55"/>
      <c r="CZ10" s="55"/>
      <c r="DA10" s="55"/>
      <c r="DB10" s="55"/>
      <c r="DC10" s="55"/>
      <c r="DD10" s="55"/>
      <c r="DE10" s="55"/>
      <c r="DF10" s="55"/>
      <c r="DG10" s="55"/>
      <c r="DH10" s="55"/>
      <c r="DI10" s="55"/>
      <c r="DJ10" s="55"/>
      <c r="DK10" s="55"/>
      <c r="DL10" s="55"/>
      <c r="DM10" s="55"/>
      <c r="DN10" s="55"/>
      <c r="DO10" s="55"/>
      <c r="DP10" s="55"/>
      <c r="DQ10" s="55"/>
      <c r="DR10" s="55"/>
      <c r="DS10" s="55"/>
      <c r="DT10" s="55"/>
      <c r="DU10" s="55"/>
      <c r="DV10" s="55"/>
      <c r="DW10" s="55"/>
      <c r="DX10" s="55"/>
      <c r="DY10" s="55"/>
      <c r="DZ10" s="55"/>
      <c r="EA10" s="55"/>
      <c r="EB10" s="55"/>
      <c r="EC10" s="55"/>
      <c r="ED10" s="55"/>
      <c r="EE10" s="55"/>
      <c r="EF10" s="55"/>
      <c r="EG10" s="55"/>
      <c r="EH10" s="55"/>
      <c r="EI10" s="55"/>
      <c r="EJ10" s="55"/>
      <c r="EK10" s="55"/>
      <c r="EL10" s="55"/>
      <c r="EM10" s="55"/>
      <c r="EN10" s="55"/>
      <c r="EO10" s="55"/>
      <c r="EP10" s="55"/>
      <c r="EQ10" s="55"/>
      <c r="ER10" s="55"/>
      <c r="ES10" s="55"/>
      <c r="ET10" s="55"/>
      <c r="EU10" s="55"/>
      <c r="EV10" s="55"/>
      <c r="EW10" s="55"/>
      <c r="EX10" s="55"/>
      <c r="EY10" s="55"/>
      <c r="EZ10" s="55"/>
      <c r="FA10" s="55"/>
      <c r="FB10" s="55"/>
      <c r="FC10" s="55"/>
      <c r="FD10" s="55"/>
      <c r="FE10" s="55"/>
      <c r="FF10" s="55"/>
      <c r="FG10" s="55"/>
      <c r="FH10" s="55"/>
      <c r="FI10" s="55"/>
      <c r="FJ10" s="55"/>
      <c r="FK10" s="55"/>
      <c r="FL10" s="55"/>
      <c r="FM10" s="55"/>
      <c r="FN10" s="55"/>
      <c r="FO10" s="55"/>
      <c r="FP10" s="55"/>
      <c r="FQ10" s="55"/>
      <c r="FR10" s="55"/>
      <c r="FS10" s="55"/>
      <c r="FT10" s="55"/>
      <c r="FU10" s="55"/>
      <c r="FV10" s="55"/>
      <c r="FW10" s="55"/>
      <c r="FX10" s="55"/>
      <c r="FY10" s="55"/>
      <c r="FZ10" s="55"/>
      <c r="GA10" s="55"/>
      <c r="GB10" s="55"/>
      <c r="GC10" s="55"/>
      <c r="GD10" s="55"/>
      <c r="GE10" s="55"/>
      <c r="GF10" s="55"/>
      <c r="GG10" s="55"/>
      <c r="GH10" s="55"/>
      <c r="GI10" s="55"/>
      <c r="GJ10" s="55"/>
      <c r="GK10" s="55"/>
      <c r="GL10" s="55"/>
      <c r="GM10" s="55"/>
      <c r="GN10" s="55"/>
      <c r="GO10" s="55"/>
      <c r="GP10" s="55"/>
      <c r="GQ10" s="55"/>
      <c r="GR10" s="55"/>
      <c r="GS10" s="55"/>
      <c r="GT10" s="55"/>
      <c r="GU10" s="55"/>
      <c r="GV10" s="55"/>
      <c r="GW10" s="55"/>
      <c r="GX10" s="55"/>
      <c r="GY10" s="55"/>
      <c r="GZ10" s="55"/>
      <c r="HA10" s="55"/>
      <c r="HB10" s="55"/>
      <c r="HC10" s="55"/>
      <c r="HD10" s="55"/>
      <c r="HE10" s="55"/>
      <c r="HF10" s="55"/>
      <c r="HG10" s="55"/>
      <c r="HH10" s="55"/>
      <c r="HI10" s="55"/>
      <c r="HJ10" s="55"/>
      <c r="HK10" s="55"/>
      <c r="HL10" s="55"/>
      <c r="HM10" s="55"/>
      <c r="HN10" s="55"/>
      <c r="HO10" s="55"/>
      <c r="HP10" s="55"/>
      <c r="HQ10" s="55"/>
      <c r="HR10" s="55"/>
      <c r="HS10" s="51"/>
      <c r="HT10" s="51"/>
      <c r="HU10" s="51"/>
      <c r="HV10" s="51"/>
      <c r="HW10" s="51"/>
      <c r="HX10" s="51"/>
      <c r="HY10" s="51"/>
      <c r="HZ10" s="51"/>
      <c r="IA10" s="51"/>
      <c r="IB10" s="51"/>
      <c r="IC10" s="51"/>
      <c r="ID10" s="51"/>
      <c r="IE10" s="51"/>
      <c r="IF10" s="51"/>
      <c r="IG10" s="51"/>
      <c r="IH10" s="51"/>
      <c r="II10" s="51"/>
      <c r="IJ10" s="51"/>
      <c r="IK10" s="51"/>
      <c r="IL10" s="51"/>
    </row>
    <row r="11" spans="1:246" ht="12.95" customHeight="1">
      <c r="A11" s="33" t="s">
        <v>4202</v>
      </c>
      <c r="B11" s="484">
        <f ca="1">IF(BY8="","",MONTH(B3))</f>
        <v>2</v>
      </c>
      <c r="C11" s="33" t="s">
        <v>1723</v>
      </c>
      <c r="D11" s="10" t="s">
        <v>3733</v>
      </c>
      <c r="E11" s="8" t="s">
        <v>1399</v>
      </c>
      <c r="F11" s="455">
        <f ca="1">HLOOKUP(S7,F4:O5,2,0)</f>
        <v>6</v>
      </c>
      <c r="G11" s="17">
        <f ca="1">HLOOKUP(T7,F6:Q8,2,0)</f>
        <v>3</v>
      </c>
      <c r="H11" s="17">
        <f ca="1">HLOOKUP(T7,F6:Q8,3,0)</f>
        <v>8</v>
      </c>
      <c r="I11" s="470" t="str">
        <f ca="1">IF(MOD(F10,2)=1,F10,"")</f>
        <v/>
      </c>
      <c r="J11" s="471">
        <f ca="1">IF(MOD(F10,2)=0,F10,"")</f>
        <v>8</v>
      </c>
      <c r="K11" s="461" t="s">
        <v>7208</v>
      </c>
      <c r="L11" s="461" t="s">
        <v>9015</v>
      </c>
      <c r="M11" s="461" t="s">
        <v>4288</v>
      </c>
      <c r="N11" s="461" t="s">
        <v>835</v>
      </c>
      <c r="O11" s="461" t="s">
        <v>4201</v>
      </c>
      <c r="P11" s="461" t="s">
        <v>4203</v>
      </c>
      <c r="Q11" s="461" t="s">
        <v>5934</v>
      </c>
      <c r="R11" s="461" t="s">
        <v>456</v>
      </c>
      <c r="S11" s="461" t="s">
        <v>9014</v>
      </c>
      <c r="T11" s="462" t="s">
        <v>6353</v>
      </c>
      <c r="U11" s="297" t="s">
        <v>9006</v>
      </c>
      <c r="V11" s="9" t="s">
        <v>9015</v>
      </c>
      <c r="W11" s="8" t="s">
        <v>9301</v>
      </c>
      <c r="X11" s="244" t="s">
        <v>9014</v>
      </c>
      <c r="Z11" s="38" t="s">
        <v>9334</v>
      </c>
      <c r="AA11" s="12"/>
      <c r="AB11" s="12"/>
      <c r="AC11" s="2" t="s">
        <v>9334</v>
      </c>
      <c r="AD11" s="12"/>
      <c r="AE11" s="12"/>
      <c r="AF11" s="2" t="s">
        <v>9334</v>
      </c>
      <c r="AG11" s="12"/>
      <c r="AH11" s="12"/>
      <c r="AI11" s="2" t="s">
        <v>9334</v>
      </c>
      <c r="AJ11" s="224"/>
      <c r="AK11" s="18">
        <f ca="1">IF(AK8=1,7,AK12+1)</f>
        <v>10</v>
      </c>
      <c r="AL11" s="9">
        <f t="shared" ca="1" si="8"/>
        <v>67</v>
      </c>
      <c r="AM11" s="17" t="s">
        <v>9013</v>
      </c>
      <c r="AN11" s="213">
        <f t="shared" ca="1" si="9"/>
        <v>72</v>
      </c>
      <c r="AO11" s="9">
        <v>5</v>
      </c>
      <c r="AP11" s="660">
        <f ca="1">IF(AND(AT32=8,AU32=0),AP5,IF(AND('Vận Năm'!B8="*",AP5=0),1,IF(AND('Vận Năm'!B8="*",AP5=1),0,AP5)))</f>
        <v>1</v>
      </c>
      <c r="AQ11" s="19" t="str">
        <f ca="1">HLOOKUP(AP15,'64Quẻ'!B4:DX5,2,0)</f>
        <v>Độn</v>
      </c>
      <c r="AR11" s="495" t="str">
        <f ca="1">AP10&amp;AP11&amp;AP12</f>
        <v>111</v>
      </c>
      <c r="AS11" s="651">
        <f ca="1">'Vận Năm'!B28</f>
        <v>2034</v>
      </c>
      <c r="AT11" s="219" t="str">
        <f ca="1">'Vận Năm'!C36</f>
        <v>Cấn</v>
      </c>
      <c r="AU11" s="495">
        <f ca="1">IF('Vận Năm'!B30="*",6,IF('Vận Năm'!B31="*",5,IF('Vận Năm'!B32="*",4,IF('Vận Năm'!B33="*",3,IF('Vận Năm'!B34="*",2,IF('Vận Năm'!B35="*",1,""))))))</f>
        <v>5</v>
      </c>
      <c r="AV11" s="498"/>
      <c r="AW11" s="714"/>
      <c r="AY11" s="661"/>
      <c r="AZ11" s="714"/>
      <c r="BA11" s="212"/>
      <c r="BB11" s="718"/>
      <c r="BC11" s="719"/>
      <c r="BE11" s="700"/>
      <c r="BF11" s="629"/>
      <c r="BG11" s="716"/>
      <c r="BJ11" s="8"/>
      <c r="BO11" s="723"/>
      <c r="BP11" s="721"/>
      <c r="BQ11" s="706"/>
      <c r="BR11" s="722"/>
      <c r="BS11" s="707"/>
      <c r="BT11" s="707"/>
      <c r="BW11" s="265"/>
      <c r="BX11" s="71"/>
      <c r="BY11" s="268"/>
      <c r="BZ11" s="73"/>
      <c r="CA11" s="74"/>
      <c r="CB11" s="51"/>
      <c r="CC11" s="52"/>
      <c r="CD11" s="53" t="s">
        <v>4312</v>
      </c>
      <c r="CE11" s="54" t="s">
        <v>2688</v>
      </c>
      <c r="CF11" s="88">
        <f ca="1">IF(BY9&lt;23,CG9,CG9+1)</f>
        <v>36938</v>
      </c>
      <c r="CG11" s="55"/>
      <c r="CH11" s="99">
        <f ca="1">CF11/60</f>
        <v>615.63333333333333</v>
      </c>
      <c r="CI11" s="100">
        <f ca="1">INT(CH11)</f>
        <v>615</v>
      </c>
      <c r="CJ11" s="88">
        <f ca="1">CF11-CI11*60</f>
        <v>38</v>
      </c>
      <c r="CK11" s="55">
        <f ca="1">CJ11+CH7</f>
        <v>56</v>
      </c>
      <c r="CL11" s="55"/>
      <c r="CM11" s="55"/>
      <c r="CN11" s="55"/>
      <c r="CO11" s="55"/>
      <c r="CP11" s="55"/>
      <c r="CQ11" s="55"/>
      <c r="CR11" s="55"/>
      <c r="CS11" s="55"/>
      <c r="CT11" s="55"/>
      <c r="CU11" s="55"/>
      <c r="CV11" s="56"/>
      <c r="CW11" s="55"/>
      <c r="CX11" s="55"/>
      <c r="CY11" s="101"/>
      <c r="CZ11" s="1013" t="s">
        <v>4313</v>
      </c>
      <c r="DA11" s="1013"/>
      <c r="DB11" s="1013"/>
      <c r="DC11" s="1013"/>
      <c r="DD11" s="1013"/>
      <c r="DE11" s="1013"/>
      <c r="DF11" s="1013"/>
      <c r="DG11" s="1013"/>
      <c r="DH11" s="1013"/>
      <c r="DI11" s="102"/>
      <c r="DJ11" s="102"/>
      <c r="DK11" s="102"/>
      <c r="DL11" s="102"/>
      <c r="DM11" s="102"/>
      <c r="DN11" s="102"/>
      <c r="DO11" s="102"/>
      <c r="DP11" s="102"/>
      <c r="DQ11" s="102"/>
      <c r="DR11" s="102"/>
      <c r="DS11" s="102"/>
      <c r="DT11" s="102"/>
      <c r="DU11" s="102"/>
      <c r="DV11" s="102"/>
      <c r="DW11" s="102"/>
      <c r="DX11" s="102"/>
      <c r="DY11" s="102"/>
      <c r="DZ11" s="103"/>
      <c r="EA11" s="103"/>
      <c r="EB11" s="103"/>
      <c r="EC11" s="103"/>
      <c r="ED11" s="103"/>
      <c r="EE11" s="103"/>
      <c r="EF11" s="103"/>
      <c r="EG11" s="103"/>
      <c r="EH11" s="103"/>
      <c r="EI11" s="103"/>
      <c r="EJ11" s="103"/>
      <c r="EK11" s="103"/>
      <c r="EL11" s="103"/>
      <c r="EM11" s="103"/>
      <c r="EN11" s="103"/>
      <c r="EO11" s="103"/>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3"/>
      <c r="FO11" s="103"/>
      <c r="FP11" s="103"/>
      <c r="FQ11" s="103"/>
      <c r="FR11" s="103"/>
      <c r="FS11" s="103"/>
      <c r="FT11" s="103"/>
      <c r="FU11" s="103"/>
      <c r="FV11" s="103"/>
      <c r="FW11" s="103"/>
      <c r="FX11" s="103"/>
      <c r="FY11" s="103"/>
      <c r="FZ11" s="103"/>
      <c r="GA11" s="103"/>
      <c r="GB11" s="103"/>
      <c r="GC11" s="103"/>
      <c r="GD11" s="103"/>
      <c r="GE11" s="103"/>
      <c r="GF11" s="103"/>
      <c r="GG11" s="103"/>
      <c r="GH11" s="103"/>
      <c r="GI11" s="103"/>
      <c r="GJ11" s="103"/>
      <c r="GK11" s="103"/>
      <c r="GL11" s="103"/>
      <c r="GM11" s="103"/>
      <c r="GN11" s="103"/>
      <c r="GO11" s="103"/>
      <c r="GP11" s="103"/>
      <c r="GQ11" s="103"/>
      <c r="GR11" s="103"/>
      <c r="GS11" s="103"/>
      <c r="GT11" s="103"/>
      <c r="GU11" s="103"/>
      <c r="GV11" s="103"/>
      <c r="GW11" s="103"/>
      <c r="GX11" s="103"/>
      <c r="GY11" s="103"/>
      <c r="GZ11" s="103"/>
      <c r="HA11" s="103"/>
      <c r="HB11" s="103"/>
      <c r="HC11" s="103"/>
      <c r="HD11" s="103"/>
      <c r="HE11" s="103"/>
      <c r="HF11" s="103"/>
      <c r="HG11" s="103"/>
      <c r="HH11" s="103"/>
      <c r="HI11" s="103"/>
      <c r="HJ11" s="103"/>
      <c r="HK11" s="103"/>
      <c r="HL11" s="103"/>
      <c r="HM11" s="103"/>
      <c r="HN11" s="103"/>
      <c r="HO11" s="103"/>
      <c r="HP11" s="103"/>
      <c r="HQ11" s="103"/>
      <c r="HR11" s="103"/>
      <c r="HS11" s="103"/>
      <c r="HT11" s="103"/>
      <c r="HU11" s="103"/>
      <c r="HV11" s="103"/>
      <c r="HW11" s="103"/>
      <c r="HX11" s="103"/>
      <c r="HY11" s="103"/>
      <c r="HZ11" s="103"/>
      <c r="IA11" s="103"/>
      <c r="IB11" s="103"/>
      <c r="IC11" s="103"/>
      <c r="ID11" s="103"/>
      <c r="IE11" s="103"/>
      <c r="IF11" s="103"/>
      <c r="IG11" s="103"/>
      <c r="IH11" s="103"/>
      <c r="II11" s="103"/>
      <c r="IJ11" s="104"/>
      <c r="IK11" s="51"/>
      <c r="IL11" s="51"/>
    </row>
    <row r="12" spans="1:246" ht="12.95" customHeight="1" thickBot="1">
      <c r="A12" s="33" t="s">
        <v>4658</v>
      </c>
      <c r="B12" s="481">
        <f ca="1">BY8</f>
        <v>2002</v>
      </c>
      <c r="C12" s="33" t="s">
        <v>1724</v>
      </c>
      <c r="D12" s="10" t="s">
        <v>3734</v>
      </c>
      <c r="E12" s="8" t="s">
        <v>505</v>
      </c>
      <c r="F12" s="455">
        <f ca="1">HLOOKUP(S6,F4:O5,2,0)</f>
        <v>6</v>
      </c>
      <c r="G12" s="17">
        <f ca="1">HLOOKUP(T6,F6:Q8,2,0)</f>
        <v>2</v>
      </c>
      <c r="H12" s="17">
        <f ca="1">HLOOKUP(T6,F6:Q8,3,0)</f>
        <v>7</v>
      </c>
      <c r="I12" s="472" t="str">
        <f ca="1">IF(MOD(F11,2)=1,F11,"")</f>
        <v/>
      </c>
      <c r="J12" s="473">
        <f ca="1">IF(MOD(F11,2)=0,F11,"")</f>
        <v>6</v>
      </c>
      <c r="K12" s="17" t="s">
        <v>4204</v>
      </c>
      <c r="L12" s="17"/>
      <c r="M12" s="17"/>
      <c r="N12" s="17"/>
      <c r="O12" s="17" t="s">
        <v>9014</v>
      </c>
      <c r="P12" s="17" t="s">
        <v>9015</v>
      </c>
      <c r="Q12" s="17"/>
      <c r="R12" s="17"/>
      <c r="S12" s="17" t="s">
        <v>4208</v>
      </c>
      <c r="T12" s="458"/>
      <c r="U12" s="297" t="s">
        <v>9007</v>
      </c>
      <c r="V12" s="9" t="s">
        <v>9014</v>
      </c>
      <c r="W12" s="8" t="s">
        <v>353</v>
      </c>
      <c r="X12" s="244" t="s">
        <v>9014</v>
      </c>
      <c r="Z12" s="38" t="s">
        <v>9334</v>
      </c>
      <c r="AA12" s="12"/>
      <c r="AB12" s="12"/>
      <c r="AC12" s="2" t="s">
        <v>9334</v>
      </c>
      <c r="AD12" s="12"/>
      <c r="AE12" s="12"/>
      <c r="AF12" s="2" t="s">
        <v>9334</v>
      </c>
      <c r="AG12" s="12"/>
      <c r="AH12" s="12"/>
      <c r="AI12" s="2" t="s">
        <v>9334</v>
      </c>
      <c r="AJ12" s="224"/>
      <c r="AK12" s="18">
        <f ca="1">IF(AK9=1,7,AK13+1)</f>
        <v>9</v>
      </c>
      <c r="AL12" s="9">
        <f t="shared" ca="1" si="8"/>
        <v>61</v>
      </c>
      <c r="AM12" s="17" t="s">
        <v>9013</v>
      </c>
      <c r="AN12" s="213">
        <f t="shared" ca="1" si="9"/>
        <v>66</v>
      </c>
      <c r="AO12" s="9">
        <v>4</v>
      </c>
      <c r="AP12" s="660">
        <f ca="1">IF(AND(AT32=8,AU32=0),AP6,IF(AND('Vận Năm'!B9="*",AP6=0),1,IF(AND('Vận Năm'!B9="*",AP6=1),0,AP6)))</f>
        <v>1</v>
      </c>
      <c r="AQ12" s="216">
        <f ca="1">IF('Vận Năm'!B11="*",1,IF('Vận Năm'!B10="*",2,IF('Vận Năm'!B9="*",3,IF('Vận Năm'!B8="*",4,IF('Vận Năm'!B7="*",5,IF('Vận Năm'!B6="*",6,""))))))</f>
        <v>3</v>
      </c>
      <c r="AR12" s="495" t="str">
        <f ca="1">AP11&amp;AP12&amp;AP13</f>
        <v>110</v>
      </c>
      <c r="AS12" s="651">
        <f ca="1">'Vận Năm'!B40</f>
        <v>2035</v>
      </c>
      <c r="AT12" s="219" t="str">
        <f ca="1">'Vận Năm'!C48</f>
        <v>Khiêm</v>
      </c>
      <c r="AU12" s="495">
        <f ca="1">IF('Vận Năm'!B42="*",6,IF('Vận Năm'!B43="*",5,IF('Vận Năm'!B44="*",4,IF('Vận Năm'!B45="*",3,IF('Vận Năm'!B46="*",2,IF('Vận Năm'!B47="*",1,""))))))</f>
        <v>6</v>
      </c>
      <c r="AV12" s="498"/>
      <c r="AW12" s="714"/>
      <c r="AY12" s="661"/>
      <c r="AZ12" s="714"/>
      <c r="BA12" s="212"/>
      <c r="BC12" s="724"/>
      <c r="BD12" s="16"/>
      <c r="BF12" s="725"/>
      <c r="BG12" s="726"/>
      <c r="BJ12" s="8"/>
      <c r="BK12" s="8"/>
      <c r="BP12" s="247"/>
      <c r="BQ12" s="727"/>
      <c r="BR12" s="722"/>
      <c r="BS12" s="704"/>
      <c r="BT12" s="704"/>
      <c r="BW12" s="989"/>
      <c r="BX12" s="990"/>
      <c r="BY12" s="990"/>
      <c r="BZ12" s="990"/>
      <c r="CA12" s="991"/>
      <c r="CB12" s="51"/>
      <c r="CC12" s="52"/>
      <c r="CD12" s="53"/>
      <c r="CE12" s="54"/>
      <c r="CF12" s="105"/>
      <c r="CG12" s="55"/>
      <c r="CH12" s="99"/>
      <c r="CI12" s="100"/>
      <c r="CJ12" s="55"/>
      <c r="CK12" s="55"/>
      <c r="CL12" s="55"/>
      <c r="CM12" s="55"/>
      <c r="CN12" s="55"/>
      <c r="CO12" s="55"/>
      <c r="CP12" s="55"/>
      <c r="CQ12" s="55"/>
      <c r="CR12" s="55"/>
      <c r="CS12" s="55"/>
      <c r="CT12" s="55"/>
      <c r="CU12" s="55"/>
      <c r="CV12" s="56"/>
      <c r="CW12" s="55"/>
      <c r="CX12" s="55"/>
      <c r="CY12" s="52"/>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c r="HG12" s="51"/>
      <c r="HH12" s="51"/>
      <c r="HI12" s="51"/>
      <c r="HJ12" s="51"/>
      <c r="HK12" s="51"/>
      <c r="HL12" s="51"/>
      <c r="HM12" s="51"/>
      <c r="HN12" s="51"/>
      <c r="HO12" s="51"/>
      <c r="HP12" s="51"/>
      <c r="HQ12" s="51"/>
      <c r="HR12" s="51"/>
      <c r="HS12" s="51"/>
      <c r="HT12" s="51"/>
      <c r="HU12" s="51"/>
      <c r="HV12" s="51"/>
      <c r="HW12" s="51"/>
      <c r="HX12" s="51"/>
      <c r="HY12" s="51"/>
      <c r="HZ12" s="51"/>
      <c r="IA12" s="51"/>
      <c r="IB12" s="51"/>
      <c r="IC12" s="51"/>
      <c r="ID12" s="51"/>
      <c r="IE12" s="51"/>
      <c r="IF12" s="51"/>
      <c r="IG12" s="51"/>
      <c r="IH12" s="51"/>
      <c r="II12" s="51"/>
      <c r="IJ12" s="106"/>
      <c r="IK12" s="51"/>
      <c r="IL12" s="51"/>
    </row>
    <row r="13" spans="1:246" ht="12.95" customHeight="1" thickTop="1">
      <c r="A13" s="526" t="s">
        <v>2722</v>
      </c>
      <c r="B13" s="527">
        <f ca="1">IF(B14=1,12,B14-1)</f>
        <v>1</v>
      </c>
      <c r="C13" s="33" t="s">
        <v>1725</v>
      </c>
      <c r="D13" s="10" t="s">
        <v>3735</v>
      </c>
      <c r="E13" s="8" t="s">
        <v>9011</v>
      </c>
      <c r="F13" s="459">
        <f ca="1">HLOOKUP(S9,F4:O5,2,0)</f>
        <v>6</v>
      </c>
      <c r="G13" s="397">
        <f ca="1">HLOOKUP(T9,F6:Q8,2,0)</f>
        <v>5</v>
      </c>
      <c r="H13" s="397">
        <f ca="1">HLOOKUP(T9,F6:Q8,3,0)</f>
        <v>10</v>
      </c>
      <c r="I13" s="472" t="str">
        <f ca="1">IF(MOD(F12,2)=1,F12,"")</f>
        <v/>
      </c>
      <c r="J13" s="473">
        <f ca="1">IF(MOD(F12,2)=0,F12,"")</f>
        <v>6</v>
      </c>
      <c r="K13" s="17" t="s">
        <v>4205</v>
      </c>
      <c r="L13" s="17"/>
      <c r="M13" s="17"/>
      <c r="N13" s="17"/>
      <c r="O13" s="17" t="s">
        <v>6353</v>
      </c>
      <c r="P13" s="17" t="s">
        <v>456</v>
      </c>
      <c r="Q13" s="17"/>
      <c r="R13" s="17"/>
      <c r="S13" s="17" t="s">
        <v>4214</v>
      </c>
      <c r="T13" s="458"/>
      <c r="U13" s="297" t="s">
        <v>9008</v>
      </c>
      <c r="V13" s="9" t="s">
        <v>456</v>
      </c>
      <c r="W13" s="8" t="s">
        <v>1399</v>
      </c>
      <c r="X13" s="244" t="s">
        <v>4288</v>
      </c>
      <c r="Z13" s="38" t="s">
        <v>9334</v>
      </c>
      <c r="AA13" s="12"/>
      <c r="AB13" s="12"/>
      <c r="AC13" s="2" t="s">
        <v>9334</v>
      </c>
      <c r="AD13" s="12"/>
      <c r="AE13" s="12"/>
      <c r="AF13" s="2" t="s">
        <v>9334</v>
      </c>
      <c r="AG13" s="12"/>
      <c r="AH13" s="12"/>
      <c r="AI13" s="2" t="s">
        <v>9334</v>
      </c>
      <c r="AJ13" s="224"/>
      <c r="AK13" s="18">
        <f ca="1">IF(AK4=1,7,AK14+1)</f>
        <v>8</v>
      </c>
      <c r="AL13" s="9">
        <f t="shared" ca="1" si="8"/>
        <v>52</v>
      </c>
      <c r="AM13" s="17" t="s">
        <v>9013</v>
      </c>
      <c r="AN13" s="213">
        <f t="shared" ca="1" si="9"/>
        <v>60</v>
      </c>
      <c r="AO13" s="9">
        <v>3</v>
      </c>
      <c r="AP13" s="660">
        <f ca="1">IF(AND(AT32=8,AU32=0),AP7,IF(AND('Vận Năm'!B10="*",AP7=0),1,IF(AND('Vận Năm'!B10="*",AP7=1),0,AP7)))</f>
        <v>0</v>
      </c>
      <c r="AQ13" s="662"/>
      <c r="AR13" s="663" t="str">
        <f ca="1">IF(OR(AU3=AR9,AU3=AR10,AU3=AR11,AU3=AR12),"TNK","")</f>
        <v>TNK</v>
      </c>
      <c r="AS13" s="651">
        <f ca="1">'Vận Năm'!B52</f>
        <v>2036</v>
      </c>
      <c r="AT13" s="219" t="str">
        <f ca="1">'Vận Năm'!C60</f>
        <v>M.Di</v>
      </c>
      <c r="AU13" s="495">
        <f ca="1">IF('Vận Năm'!B54="*",6,IF('Vận Năm'!B55="*",5,IF('Vận Năm'!B56="*",4,IF('Vận Năm'!B57="*",3,IF('Vận Năm'!B58="*",2,IF('Vận Năm'!B59="*",1,""))))))</f>
        <v>1</v>
      </c>
      <c r="AV13" s="728"/>
      <c r="AW13" s="714"/>
      <c r="AY13" s="721"/>
      <c r="AZ13" s="714"/>
      <c r="BA13" s="212"/>
      <c r="BE13" s="120"/>
      <c r="BF13" s="212"/>
      <c r="BG13" s="729"/>
      <c r="BH13" s="17"/>
      <c r="BI13" s="14"/>
      <c r="BJ13" s="10"/>
      <c r="BK13" s="8"/>
      <c r="BL13" s="718"/>
      <c r="BM13" s="14"/>
      <c r="BN13" s="9"/>
      <c r="BO13" s="9"/>
      <c r="BQ13" s="706"/>
      <c r="BR13" s="212"/>
      <c r="BS13" s="704"/>
      <c r="BT13" s="704"/>
      <c r="BW13" s="107"/>
      <c r="BX13" s="107"/>
      <c r="BY13" s="107"/>
      <c r="BZ13" s="108"/>
      <c r="CA13" s="108"/>
      <c r="CB13" s="51"/>
      <c r="CC13" s="52"/>
      <c r="CD13" s="109" t="s">
        <v>1420</v>
      </c>
      <c r="CE13" s="61" t="s">
        <v>2688</v>
      </c>
      <c r="CF13" s="84"/>
      <c r="CG13" s="61">
        <f ca="1">IF(CK11&gt;59,CK11-60,CK11)</f>
        <v>56</v>
      </c>
      <c r="CH13" s="110" t="str">
        <f ca="1">VLOOKUP(CG13,CZ50:DD109,3,FALSE)</f>
        <v>Bính</v>
      </c>
      <c r="CI13" s="111" t="str">
        <f ca="1">VLOOKUP(CG13,CZ50:DD109,5,FALSE)</f>
        <v>Thìn</v>
      </c>
      <c r="CJ13" s="84"/>
      <c r="CK13" s="84"/>
      <c r="CL13" s="84"/>
      <c r="CM13" s="85"/>
      <c r="CN13" s="55"/>
      <c r="CO13" s="55"/>
      <c r="CP13" s="55"/>
      <c r="CQ13" s="55"/>
      <c r="CR13" s="55"/>
      <c r="CS13" s="55"/>
      <c r="CT13" s="55"/>
      <c r="CU13" s="55"/>
      <c r="CV13" s="56"/>
      <c r="CW13" s="55"/>
      <c r="CX13" s="55"/>
      <c r="CY13" s="52" t="s">
        <v>352</v>
      </c>
      <c r="CZ13" s="112">
        <v>1901</v>
      </c>
      <c r="DA13" s="112">
        <v>1902</v>
      </c>
      <c r="DB13" s="112">
        <v>1903</v>
      </c>
      <c r="DC13" s="112">
        <v>1904</v>
      </c>
      <c r="DD13" s="112">
        <v>1905</v>
      </c>
      <c r="DE13" s="112">
        <v>1906</v>
      </c>
      <c r="DF13" s="112">
        <v>1907</v>
      </c>
      <c r="DG13" s="112">
        <v>1908</v>
      </c>
      <c r="DH13" s="112">
        <v>1909</v>
      </c>
      <c r="DI13" s="112">
        <v>1910</v>
      </c>
      <c r="DJ13" s="112">
        <v>1911</v>
      </c>
      <c r="DK13" s="112">
        <v>1912</v>
      </c>
      <c r="DL13" s="112">
        <v>1913</v>
      </c>
      <c r="DM13" s="112">
        <v>1914</v>
      </c>
      <c r="DN13" s="112">
        <v>1915</v>
      </c>
      <c r="DO13" s="112">
        <v>1916</v>
      </c>
      <c r="DP13" s="112">
        <v>1917</v>
      </c>
      <c r="DQ13" s="112">
        <v>1918</v>
      </c>
      <c r="DR13" s="112">
        <v>1919</v>
      </c>
      <c r="DS13" s="112">
        <v>1920</v>
      </c>
      <c r="DT13" s="112">
        <v>1921</v>
      </c>
      <c r="DU13" s="112">
        <v>1922</v>
      </c>
      <c r="DV13" s="112">
        <v>1923</v>
      </c>
      <c r="DW13" s="112">
        <v>1924</v>
      </c>
      <c r="DX13" s="112">
        <v>1925</v>
      </c>
      <c r="DY13" s="112">
        <v>1926</v>
      </c>
      <c r="DZ13" s="112">
        <v>1927</v>
      </c>
      <c r="EA13" s="112">
        <v>1928</v>
      </c>
      <c r="EB13" s="112">
        <v>1929</v>
      </c>
      <c r="EC13" s="112">
        <v>1930</v>
      </c>
      <c r="ED13" s="112">
        <v>1931</v>
      </c>
      <c r="EE13" s="112">
        <v>1932</v>
      </c>
      <c r="EF13" s="112">
        <v>1933</v>
      </c>
      <c r="EG13" s="112">
        <v>1934</v>
      </c>
      <c r="EH13" s="112">
        <v>1935</v>
      </c>
      <c r="EI13" s="112">
        <v>1936</v>
      </c>
      <c r="EJ13" s="112">
        <v>1937</v>
      </c>
      <c r="EK13" s="112">
        <v>1938</v>
      </c>
      <c r="EL13" s="112">
        <v>1939</v>
      </c>
      <c r="EM13" s="112">
        <v>1940</v>
      </c>
      <c r="EN13" s="112">
        <v>1941</v>
      </c>
      <c r="EO13" s="112">
        <v>1942</v>
      </c>
      <c r="EP13" s="112">
        <v>1943</v>
      </c>
      <c r="EQ13" s="112">
        <v>1944</v>
      </c>
      <c r="ER13" s="112">
        <v>1945</v>
      </c>
      <c r="ES13" s="112">
        <v>1946</v>
      </c>
      <c r="ET13" s="112">
        <v>1947</v>
      </c>
      <c r="EU13" s="112">
        <v>1948</v>
      </c>
      <c r="EV13" s="112">
        <v>1949</v>
      </c>
      <c r="EW13" s="112">
        <v>1950</v>
      </c>
      <c r="EX13" s="112">
        <v>1951</v>
      </c>
      <c r="EY13" s="112">
        <v>1952</v>
      </c>
      <c r="EZ13" s="112">
        <v>1953</v>
      </c>
      <c r="FA13" s="112">
        <v>1954</v>
      </c>
      <c r="FB13" s="112">
        <v>1955</v>
      </c>
      <c r="FC13" s="112">
        <v>1956</v>
      </c>
      <c r="FD13" s="112">
        <v>1957</v>
      </c>
      <c r="FE13" s="112">
        <v>1958</v>
      </c>
      <c r="FF13" s="112">
        <v>1959</v>
      </c>
      <c r="FG13" s="112">
        <v>1960</v>
      </c>
      <c r="FH13" s="112">
        <v>1961</v>
      </c>
      <c r="FI13" s="112">
        <v>1962</v>
      </c>
      <c r="FJ13" s="112">
        <v>1963</v>
      </c>
      <c r="FK13" s="112">
        <v>1964</v>
      </c>
      <c r="FL13" s="112">
        <v>1965</v>
      </c>
      <c r="FM13" s="112">
        <v>1966</v>
      </c>
      <c r="FN13" s="112">
        <v>1967</v>
      </c>
      <c r="FO13" s="112">
        <v>1968</v>
      </c>
      <c r="FP13" s="112">
        <v>1969</v>
      </c>
      <c r="FQ13" s="112">
        <v>1970</v>
      </c>
      <c r="FR13" s="112">
        <v>1971</v>
      </c>
      <c r="FS13" s="112">
        <v>1972</v>
      </c>
      <c r="FT13" s="112">
        <v>1973</v>
      </c>
      <c r="FU13" s="112">
        <v>1974</v>
      </c>
      <c r="FV13" s="112">
        <v>1975</v>
      </c>
      <c r="FW13" s="112">
        <v>1976</v>
      </c>
      <c r="FX13" s="112">
        <v>1977</v>
      </c>
      <c r="FY13" s="112">
        <v>1978</v>
      </c>
      <c r="FZ13" s="112">
        <v>1979</v>
      </c>
      <c r="GA13" s="112">
        <v>1980</v>
      </c>
      <c r="GB13" s="112">
        <v>1981</v>
      </c>
      <c r="GC13" s="112">
        <v>1982</v>
      </c>
      <c r="GD13" s="112">
        <v>1983</v>
      </c>
      <c r="GE13" s="112">
        <v>1984</v>
      </c>
      <c r="GF13" s="112">
        <v>1985</v>
      </c>
      <c r="GG13" s="112">
        <v>1986</v>
      </c>
      <c r="GH13" s="112">
        <v>1987</v>
      </c>
      <c r="GI13" s="112">
        <v>1988</v>
      </c>
      <c r="GJ13" s="112">
        <v>1989</v>
      </c>
      <c r="GK13" s="112">
        <v>1990</v>
      </c>
      <c r="GL13" s="112">
        <v>1991</v>
      </c>
      <c r="GM13" s="112">
        <v>1992</v>
      </c>
      <c r="GN13" s="112">
        <v>1993</v>
      </c>
      <c r="GO13" s="112">
        <v>1994</v>
      </c>
      <c r="GP13" s="112">
        <v>1995</v>
      </c>
      <c r="GQ13" s="112">
        <v>1996</v>
      </c>
      <c r="GR13" s="112">
        <v>1997</v>
      </c>
      <c r="GS13" s="112">
        <v>1998</v>
      </c>
      <c r="GT13" s="112">
        <v>1999</v>
      </c>
      <c r="GU13" s="112">
        <v>2000</v>
      </c>
      <c r="GV13" s="112">
        <v>2001</v>
      </c>
      <c r="GW13" s="112">
        <v>2002</v>
      </c>
      <c r="GX13" s="112">
        <v>2003</v>
      </c>
      <c r="GY13" s="112">
        <v>2004</v>
      </c>
      <c r="GZ13" s="112">
        <v>2005</v>
      </c>
      <c r="HA13" s="112">
        <v>2006</v>
      </c>
      <c r="HB13" s="112">
        <v>2007</v>
      </c>
      <c r="HC13" s="112">
        <v>2008</v>
      </c>
      <c r="HD13" s="112">
        <v>2009</v>
      </c>
      <c r="HE13" s="112">
        <v>2010</v>
      </c>
      <c r="HF13" s="112">
        <v>2011</v>
      </c>
      <c r="HG13" s="112">
        <v>2012</v>
      </c>
      <c r="HH13" s="112">
        <v>2013</v>
      </c>
      <c r="HI13" s="112">
        <v>2014</v>
      </c>
      <c r="HJ13" s="112">
        <v>2015</v>
      </c>
      <c r="HK13" s="112">
        <v>2016</v>
      </c>
      <c r="HL13" s="112">
        <v>2017</v>
      </c>
      <c r="HM13" s="112">
        <v>2018</v>
      </c>
      <c r="HN13" s="112">
        <v>2019</v>
      </c>
      <c r="HO13" s="112">
        <v>2020</v>
      </c>
      <c r="HP13" s="112">
        <v>2021</v>
      </c>
      <c r="HQ13" s="112">
        <v>2022</v>
      </c>
      <c r="HR13" s="112">
        <v>2023</v>
      </c>
      <c r="HS13" s="112">
        <v>2024</v>
      </c>
      <c r="HT13" s="112">
        <v>2025</v>
      </c>
      <c r="HU13" s="112">
        <v>2026</v>
      </c>
      <c r="HV13" s="112">
        <v>2027</v>
      </c>
      <c r="HW13" s="112">
        <v>2028</v>
      </c>
      <c r="HX13" s="112">
        <v>2029</v>
      </c>
      <c r="HY13" s="112">
        <v>2030</v>
      </c>
      <c r="HZ13" s="112">
        <v>2031</v>
      </c>
      <c r="IA13" s="112">
        <v>2032</v>
      </c>
      <c r="IB13" s="112">
        <v>2033</v>
      </c>
      <c r="IC13" s="112">
        <v>2034</v>
      </c>
      <c r="ID13" s="112">
        <v>2035</v>
      </c>
      <c r="IE13" s="112">
        <v>2036</v>
      </c>
      <c r="IF13" s="112">
        <v>2037</v>
      </c>
      <c r="IG13" s="112">
        <v>2038</v>
      </c>
      <c r="IH13" s="112">
        <v>2039</v>
      </c>
      <c r="II13" s="112">
        <v>2040</v>
      </c>
      <c r="IJ13" s="113">
        <v>2041</v>
      </c>
      <c r="IK13" s="51"/>
      <c r="IL13" s="51"/>
    </row>
    <row r="14" spans="1:246" ht="12.95" customHeight="1" thickBot="1">
      <c r="A14" s="33" t="s">
        <v>4578</v>
      </c>
      <c r="B14" s="481">
        <f ca="1">IF(AND(B5&lt;B8,B11&gt;1),B11-1,IF(AND(B5&lt;B8,B11=1),12,B11))</f>
        <v>2</v>
      </c>
      <c r="C14" s="33" t="s">
        <v>1726</v>
      </c>
      <c r="D14" s="10" t="s">
        <v>1876</v>
      </c>
      <c r="E14" s="8" t="s">
        <v>506</v>
      </c>
      <c r="I14" s="472" t="str">
        <f ca="1">IF(MOD(F13,2)=1,F13,"")</f>
        <v/>
      </c>
      <c r="J14" s="473">
        <f ca="1">IF(MOD(F13,2)=0,F13,"")</f>
        <v>6</v>
      </c>
      <c r="K14" s="17" t="s">
        <v>4206</v>
      </c>
      <c r="L14" s="17"/>
      <c r="M14" s="17"/>
      <c r="N14" s="17" t="s">
        <v>4207</v>
      </c>
      <c r="O14" s="17" t="s">
        <v>9014</v>
      </c>
      <c r="P14" s="17" t="s">
        <v>9014</v>
      </c>
      <c r="Q14" s="17" t="s">
        <v>9013</v>
      </c>
      <c r="R14" s="17"/>
      <c r="S14" s="17" t="s">
        <v>4209</v>
      </c>
      <c r="T14" s="458"/>
      <c r="U14" s="297" t="s">
        <v>9009</v>
      </c>
      <c r="V14" s="9" t="s">
        <v>7208</v>
      </c>
      <c r="W14" s="8" t="s">
        <v>505</v>
      </c>
      <c r="X14" s="244" t="s">
        <v>835</v>
      </c>
      <c r="Z14" s="39" t="s">
        <v>9334</v>
      </c>
      <c r="AA14" s="12"/>
      <c r="AB14" s="12"/>
      <c r="AC14" s="25" t="s">
        <v>9334</v>
      </c>
      <c r="AD14" s="12"/>
      <c r="AE14" s="12"/>
      <c r="AF14" s="25" t="s">
        <v>9334</v>
      </c>
      <c r="AG14" s="12"/>
      <c r="AH14" s="12"/>
      <c r="AI14" s="25" t="s">
        <v>9334</v>
      </c>
      <c r="AJ14" s="224"/>
      <c r="AK14" s="18">
        <f ca="1">IF(AK5=1,7,AK15+1)</f>
        <v>7</v>
      </c>
      <c r="AL14" s="9">
        <f t="shared" ca="1" si="8"/>
        <v>46</v>
      </c>
      <c r="AM14" s="17" t="s">
        <v>9013</v>
      </c>
      <c r="AN14" s="213">
        <f t="shared" ca="1" si="9"/>
        <v>51</v>
      </c>
      <c r="AO14" s="9">
        <v>2</v>
      </c>
      <c r="AP14" s="660">
        <f ca="1">IF(AND(AT32=8,AU32=0),AP8,IF(AND('Vận Năm'!B11="*",AP8=0),1,IF(AND('Vận Năm'!B11="*",AP8=1),0,AP8)))</f>
        <v>0</v>
      </c>
      <c r="AQ14" s="662"/>
      <c r="AR14" s="663" t="str">
        <f ca="1">IF(OR(AU4=AR9,AU4=AR10,AU4=AR11,AU4=AR12),"ĐNK","")</f>
        <v/>
      </c>
      <c r="AS14" s="651">
        <f ca="1">'Vận Năm'!B64</f>
        <v>2037</v>
      </c>
      <c r="AT14" s="219" t="str">
        <f ca="1">'Vận Năm'!C72</f>
        <v>Thái</v>
      </c>
      <c r="AU14" s="495">
        <f ca="1">IF('Vận Năm'!B66="*",6,IF('Vận Năm'!B67="*",5,IF('Vận Năm'!B68="*",4,IF('Vận Năm'!B69="*",3,IF('Vận Năm'!B70="*",2,IF('Vận Năm'!B71="*",1,""))))))</f>
        <v>2</v>
      </c>
      <c r="AV14" s="728"/>
      <c r="AW14" s="714"/>
      <c r="AY14" s="721"/>
      <c r="AZ14" s="714"/>
      <c r="BA14" s="212"/>
      <c r="BB14" s="730"/>
      <c r="BC14" s="647"/>
      <c r="BD14" s="730"/>
      <c r="BE14" s="120"/>
      <c r="BF14" s="212"/>
      <c r="BG14" s="729"/>
      <c r="BH14" s="17"/>
      <c r="BI14" s="14"/>
      <c r="BJ14" s="10"/>
      <c r="BK14" s="8"/>
      <c r="BM14" s="729"/>
      <c r="BN14" s="731"/>
      <c r="BO14" s="707"/>
      <c r="BP14" s="712"/>
      <c r="BQ14" s="706"/>
      <c r="BR14" s="212"/>
      <c r="BS14" s="704"/>
      <c r="BT14" s="704"/>
      <c r="BW14" s="992" t="s">
        <v>4470</v>
      </c>
      <c r="BX14" s="992"/>
      <c r="BY14" s="992"/>
      <c r="BZ14" s="992"/>
      <c r="CA14" s="992"/>
      <c r="CB14" s="51"/>
      <c r="CC14" s="52"/>
      <c r="CD14" s="114" t="s">
        <v>1421</v>
      </c>
      <c r="CE14" s="54" t="s">
        <v>2688</v>
      </c>
      <c r="CF14" s="115">
        <f ca="1">IF(AND(51522&gt;CF11,CF11&gt;49),IF(CF11=CF17,HLOOKUP(CF11-1,CZ6:IJ9,4),HLOOKUP(CF11,CZ6:IJ9,4)),"Vượt phạm vi đổi DL-ÂL")</f>
        <v>2002</v>
      </c>
      <c r="CG14" s="116">
        <f ca="1">HLOOKUP(CF11,CZ6:IJ9,2)</f>
        <v>0</v>
      </c>
      <c r="CH14" s="117" t="s">
        <v>1422</v>
      </c>
      <c r="CI14" s="118">
        <f ca="1">HLOOKUP(CF11,CZ6:IJ9,3)</f>
        <v>0</v>
      </c>
      <c r="CJ14" s="55"/>
      <c r="CK14" s="119">
        <f ca="1">CF14/60</f>
        <v>33.366666666666667</v>
      </c>
      <c r="CL14" s="119">
        <f ca="1">INT(CK14)</f>
        <v>33</v>
      </c>
      <c r="CM14" s="89">
        <f ca="1">CF14-60*CL14</f>
        <v>22</v>
      </c>
      <c r="CN14" s="55"/>
      <c r="CO14" s="55"/>
      <c r="CP14" s="55"/>
      <c r="CQ14" s="55"/>
      <c r="CR14" s="55"/>
      <c r="CS14" s="55"/>
      <c r="CT14" s="55"/>
      <c r="CU14" s="55"/>
      <c r="CV14" s="56"/>
      <c r="CW14" s="55"/>
      <c r="CX14" s="55"/>
      <c r="CY14" s="52">
        <v>1</v>
      </c>
      <c r="CZ14" s="120">
        <v>29</v>
      </c>
      <c r="DA14" s="120">
        <v>30</v>
      </c>
      <c r="DB14" s="120">
        <v>29</v>
      </c>
      <c r="DC14" s="120">
        <v>30</v>
      </c>
      <c r="DD14" s="120">
        <v>30</v>
      </c>
      <c r="DE14" s="120">
        <v>29</v>
      </c>
      <c r="DF14" s="120">
        <v>29</v>
      </c>
      <c r="DG14" s="120">
        <v>30</v>
      </c>
      <c r="DH14" s="120">
        <v>29</v>
      </c>
      <c r="DI14" s="120">
        <v>29</v>
      </c>
      <c r="DJ14" s="120">
        <v>30</v>
      </c>
      <c r="DK14" s="120">
        <v>30</v>
      </c>
      <c r="DL14" s="120">
        <v>30</v>
      </c>
      <c r="DM14" s="120">
        <v>30</v>
      </c>
      <c r="DN14" s="120">
        <v>30</v>
      </c>
      <c r="DO14" s="120">
        <v>30</v>
      </c>
      <c r="DP14" s="120">
        <v>30</v>
      </c>
      <c r="DQ14" s="120">
        <v>30</v>
      </c>
      <c r="DR14" s="120">
        <v>29</v>
      </c>
      <c r="DS14" s="120">
        <v>29</v>
      </c>
      <c r="DT14" s="120">
        <v>30</v>
      </c>
      <c r="DU14" s="120">
        <v>30</v>
      </c>
      <c r="DV14" s="120">
        <v>29</v>
      </c>
      <c r="DW14" s="120">
        <v>30</v>
      </c>
      <c r="DX14" s="120">
        <v>29</v>
      </c>
      <c r="DY14" s="120">
        <v>29</v>
      </c>
      <c r="DZ14" s="120">
        <v>30</v>
      </c>
      <c r="EA14" s="120">
        <v>29</v>
      </c>
      <c r="EB14" s="120">
        <v>29</v>
      </c>
      <c r="EC14" s="120">
        <v>29</v>
      </c>
      <c r="ED14" s="120">
        <v>30</v>
      </c>
      <c r="EE14" s="120">
        <v>30</v>
      </c>
      <c r="EF14" s="120">
        <v>29</v>
      </c>
      <c r="EG14" s="120">
        <v>29</v>
      </c>
      <c r="EH14" s="120">
        <v>29</v>
      </c>
      <c r="EI14" s="120">
        <v>30</v>
      </c>
      <c r="EJ14" s="120">
        <v>30</v>
      </c>
      <c r="EK14" s="120">
        <v>30</v>
      </c>
      <c r="EL14" s="120">
        <v>30</v>
      </c>
      <c r="EM14" s="120">
        <v>30</v>
      </c>
      <c r="EN14" s="120">
        <v>30</v>
      </c>
      <c r="EO14" s="120">
        <v>30</v>
      </c>
      <c r="EP14" s="120">
        <v>29</v>
      </c>
      <c r="EQ14" s="120">
        <v>30</v>
      </c>
      <c r="ER14" s="120">
        <v>29</v>
      </c>
      <c r="ES14" s="120">
        <v>30</v>
      </c>
      <c r="ET14" s="120">
        <v>30</v>
      </c>
      <c r="EU14" s="120">
        <v>30</v>
      </c>
      <c r="EV14" s="120">
        <v>30</v>
      </c>
      <c r="EW14" s="120">
        <v>29</v>
      </c>
      <c r="EX14" s="120">
        <v>30</v>
      </c>
      <c r="EY14" s="120">
        <v>29</v>
      </c>
      <c r="EZ14" s="120">
        <v>29</v>
      </c>
      <c r="FA14" s="120">
        <v>30</v>
      </c>
      <c r="FB14" s="120">
        <v>29</v>
      </c>
      <c r="FC14" s="120">
        <v>29</v>
      </c>
      <c r="FD14" s="120">
        <v>30</v>
      </c>
      <c r="FE14" s="120">
        <v>30</v>
      </c>
      <c r="FF14" s="120">
        <v>29</v>
      </c>
      <c r="FG14" s="120">
        <v>30</v>
      </c>
      <c r="FH14" s="120">
        <v>30</v>
      </c>
      <c r="FI14" s="120">
        <v>29</v>
      </c>
      <c r="FJ14" s="120">
        <v>30</v>
      </c>
      <c r="FK14" s="120">
        <v>30</v>
      </c>
      <c r="FL14" s="120">
        <v>29</v>
      </c>
      <c r="FM14" s="120">
        <v>30</v>
      </c>
      <c r="FN14" s="120">
        <v>30</v>
      </c>
      <c r="FO14" s="120">
        <v>30</v>
      </c>
      <c r="FP14" s="120">
        <v>30</v>
      </c>
      <c r="FQ14" s="120">
        <v>30</v>
      </c>
      <c r="FR14" s="120">
        <v>29</v>
      </c>
      <c r="FS14" s="120">
        <v>29</v>
      </c>
      <c r="FT14" s="120">
        <v>30</v>
      </c>
      <c r="FU14" s="120">
        <v>30</v>
      </c>
      <c r="FV14" s="120">
        <v>30</v>
      </c>
      <c r="FW14" s="120">
        <v>30</v>
      </c>
      <c r="FX14" s="120">
        <v>30</v>
      </c>
      <c r="FY14" s="120">
        <v>30</v>
      </c>
      <c r="FZ14" s="120">
        <v>29</v>
      </c>
      <c r="GA14" s="120">
        <v>30</v>
      </c>
      <c r="GB14" s="120">
        <v>29</v>
      </c>
      <c r="GC14" s="120">
        <v>30</v>
      </c>
      <c r="GD14" s="120">
        <v>30</v>
      </c>
      <c r="GE14" s="120">
        <v>30</v>
      </c>
      <c r="GF14" s="120">
        <v>30</v>
      </c>
      <c r="GG14" s="120">
        <v>29</v>
      </c>
      <c r="GH14" s="120">
        <v>30</v>
      </c>
      <c r="GI14" s="120">
        <v>30</v>
      </c>
      <c r="GJ14" s="120">
        <v>30</v>
      </c>
      <c r="GK14" s="120">
        <v>29</v>
      </c>
      <c r="GL14" s="120">
        <v>29</v>
      </c>
      <c r="GM14" s="120">
        <v>29</v>
      </c>
      <c r="GN14" s="120">
        <v>29</v>
      </c>
      <c r="GO14" s="120">
        <v>30</v>
      </c>
      <c r="GP14" s="120">
        <v>29</v>
      </c>
      <c r="GQ14" s="120">
        <v>29</v>
      </c>
      <c r="GR14" s="120">
        <v>30</v>
      </c>
      <c r="GS14" s="120">
        <v>30</v>
      </c>
      <c r="GT14" s="120">
        <v>30</v>
      </c>
      <c r="GU14" s="120">
        <v>30</v>
      </c>
      <c r="GV14" s="120">
        <v>30</v>
      </c>
      <c r="GW14" s="120">
        <v>30</v>
      </c>
      <c r="GX14" s="120">
        <v>30</v>
      </c>
      <c r="GY14" s="120">
        <v>29</v>
      </c>
      <c r="GZ14" s="120">
        <v>29</v>
      </c>
      <c r="HA14" s="120">
        <v>30</v>
      </c>
      <c r="HB14" s="120">
        <v>29</v>
      </c>
      <c r="HC14" s="120">
        <v>30</v>
      </c>
      <c r="HD14" s="120">
        <v>30</v>
      </c>
      <c r="HE14" s="120">
        <v>30</v>
      </c>
      <c r="HF14" s="120">
        <v>30</v>
      </c>
      <c r="HG14" s="120">
        <v>30</v>
      </c>
      <c r="HH14" s="120">
        <v>30</v>
      </c>
      <c r="HI14" s="120">
        <v>29</v>
      </c>
      <c r="HJ14" s="120">
        <v>29</v>
      </c>
      <c r="HK14" s="120">
        <v>30</v>
      </c>
      <c r="HL14" s="120">
        <v>29</v>
      </c>
      <c r="HM14" s="120">
        <v>29</v>
      </c>
      <c r="HN14" s="120">
        <v>30</v>
      </c>
      <c r="HO14" s="120">
        <v>29</v>
      </c>
      <c r="HP14" s="120">
        <v>29</v>
      </c>
      <c r="HQ14" s="120">
        <v>30</v>
      </c>
      <c r="HR14" s="120">
        <v>29</v>
      </c>
      <c r="HS14" s="120">
        <v>29</v>
      </c>
      <c r="HT14" s="120">
        <v>30</v>
      </c>
      <c r="HU14" s="120">
        <v>30</v>
      </c>
      <c r="HV14" s="120">
        <v>30</v>
      </c>
      <c r="HW14" s="120">
        <v>30</v>
      </c>
      <c r="HX14" s="120">
        <v>30</v>
      </c>
      <c r="HY14" s="120">
        <v>29</v>
      </c>
      <c r="HZ14" s="120">
        <v>29</v>
      </c>
      <c r="IA14" s="120">
        <v>30</v>
      </c>
      <c r="IB14" s="120">
        <v>29</v>
      </c>
      <c r="IC14" s="120">
        <v>29</v>
      </c>
      <c r="ID14" s="120">
        <v>30</v>
      </c>
      <c r="IE14" s="120">
        <v>30</v>
      </c>
      <c r="IF14" s="120">
        <v>30</v>
      </c>
      <c r="IG14" s="120">
        <v>30</v>
      </c>
      <c r="IH14" s="120">
        <v>30</v>
      </c>
      <c r="II14" s="120">
        <v>30</v>
      </c>
      <c r="IJ14" s="121">
        <v>29</v>
      </c>
      <c r="IK14" s="51"/>
      <c r="IL14" s="51"/>
    </row>
    <row r="15" spans="1:246" ht="12.95" customHeight="1" thickTop="1">
      <c r="A15" s="33" t="s">
        <v>4579</v>
      </c>
      <c r="B15" s="481">
        <f ca="1">IF(AND(B5&lt;B8,B11=1),B12-1,B12)</f>
        <v>2002</v>
      </c>
      <c r="C15" s="33" t="s">
        <v>1727</v>
      </c>
      <c r="D15" s="10" t="s">
        <v>9005</v>
      </c>
      <c r="E15" s="8" t="s">
        <v>507</v>
      </c>
      <c r="G15" s="240" t="str">
        <f>VLOOKUP('Thể cách'!D3,'Nhập liệu'!C5:L1004,9,0)</f>
        <v>Nữ</v>
      </c>
      <c r="H15" s="447"/>
      <c r="I15" s="474">
        <f ca="1">IF(MOD(G10,2)=1,G10,"")</f>
        <v>5</v>
      </c>
      <c r="J15" s="473" t="str">
        <f ca="1">IF(MOD(G10,2)=0,G10,"")</f>
        <v/>
      </c>
      <c r="L15" s="17"/>
      <c r="M15" s="17"/>
      <c r="N15" s="17" t="s">
        <v>9013</v>
      </c>
      <c r="O15" s="17" t="s">
        <v>9015</v>
      </c>
      <c r="P15" s="17" t="s">
        <v>9015</v>
      </c>
      <c r="Q15" s="17" t="s">
        <v>4207</v>
      </c>
      <c r="R15" s="17"/>
      <c r="S15" s="17"/>
      <c r="T15" s="458"/>
      <c r="U15" s="297" t="s">
        <v>9010</v>
      </c>
      <c r="V15" s="9" t="s">
        <v>6353</v>
      </c>
      <c r="W15" s="8" t="s">
        <v>9011</v>
      </c>
      <c r="X15" s="244" t="s">
        <v>835</v>
      </c>
      <c r="Z15" s="40" t="str">
        <f ca="1">IF(Z8="","",HLOOKUP(Z8,'64Quẻ'!D5:DW23,8,0))</f>
        <v>Dần</v>
      </c>
      <c r="AA15" s="9">
        <v>6</v>
      </c>
      <c r="AC15" s="12" t="str">
        <f ca="1">IF(AC8="","",HLOOKUP(AC8,'64Quẻ'!DZ5:EC23,8,0))</f>
        <v/>
      </c>
      <c r="AD15" s="9">
        <v>6</v>
      </c>
      <c r="AF15" s="12" t="str">
        <f ca="1">IF(AF8="","",HLOOKUP(AF8,'64Quẻ'!ED5:EG23,8,0))</f>
        <v/>
      </c>
      <c r="AG15" s="9">
        <v>6</v>
      </c>
      <c r="AI15" s="12" t="str">
        <f ca="1">IF(AI8="","",HLOOKUP(AI8,'64Quẻ'!EH5:EK23,8,0))</f>
        <v/>
      </c>
      <c r="AJ15" s="213">
        <v>6</v>
      </c>
      <c r="AK15" s="18">
        <f ca="1">IF(AK6=1,7,AK10+1)</f>
        <v>12</v>
      </c>
      <c r="AL15" s="26">
        <f t="shared" ca="1" si="8"/>
        <v>79</v>
      </c>
      <c r="AM15" s="397" t="s">
        <v>9013</v>
      </c>
      <c r="AN15" s="225">
        <f t="shared" ca="1" si="9"/>
        <v>87</v>
      </c>
      <c r="AO15" s="26">
        <v>1</v>
      </c>
      <c r="AP15" s="664" t="str">
        <f ca="1">AP9&amp;AP10&amp;AP11&amp;AP12&amp;AP13&amp;AP14</f>
        <v>111100</v>
      </c>
      <c r="AQ15" s="665"/>
      <c r="AR15" s="666" t="str">
        <f ca="1">IF(OR(AU5=AR9,AU5=AR10,AU5=AR11,AU5=AR12),"HC","")</f>
        <v/>
      </c>
      <c r="AS15" s="651" t="str">
        <f ca="1">IF('Vận Năm'!B76="","…",'Vận Năm'!B76)</f>
        <v>…</v>
      </c>
      <c r="AT15" s="212" t="str">
        <f ca="1">IF('Vận Năm'!C84="","…",'Vận Năm'!C84)</f>
        <v>…</v>
      </c>
      <c r="AU15" s="495" t="str">
        <f ca="1">IF('Vận Năm'!B78="*",6,IF('Vận Năm'!B79="*",5,IF('Vận Năm'!B80="*",4,IF('Vận Năm'!B81="*",3,IF('Vận Năm'!B82="*",2,IF('Vận Năm'!B83="*",1,"..."))))))</f>
        <v>...</v>
      </c>
      <c r="AV15" s="732"/>
      <c r="AW15" s="733"/>
      <c r="AY15" s="247"/>
      <c r="AZ15" s="733"/>
      <c r="BA15" s="212"/>
      <c r="BB15" s="730"/>
      <c r="BC15" s="647"/>
      <c r="BD15" s="730"/>
      <c r="BE15" s="120"/>
      <c r="BF15" s="212"/>
      <c r="BG15" s="729"/>
      <c r="BH15" s="17"/>
      <c r="BI15" s="14"/>
      <c r="BJ15" s="10"/>
      <c r="BK15" s="8"/>
      <c r="BM15" s="729"/>
      <c r="BN15" s="731"/>
      <c r="BO15" s="707"/>
      <c r="BP15" s="661"/>
      <c r="BQ15" s="706"/>
      <c r="BR15" s="212"/>
      <c r="BS15" s="704"/>
      <c r="BT15" s="704"/>
      <c r="BW15" s="122" t="s">
        <v>4607</v>
      </c>
      <c r="BX15" s="123" t="s">
        <v>2688</v>
      </c>
      <c r="BY15" s="986" t="str">
        <f>BY5</f>
        <v>Lá số</v>
      </c>
      <c r="BZ15" s="986"/>
      <c r="CA15" s="987"/>
      <c r="CB15" s="51"/>
      <c r="CC15" s="52"/>
      <c r="CD15" s="124"/>
      <c r="CE15" s="93"/>
      <c r="CF15" s="125"/>
      <c r="CG15" s="93"/>
      <c r="CH15" s="126" t="str">
        <f ca="1">VLOOKUP(CM14,CZ50:DD109,3,FALSE)</f>
        <v>Nhâm</v>
      </c>
      <c r="CI15" s="127" t="str">
        <f ca="1">VLOOKUP(CM14,CZ50:DD109,5,FALSE)</f>
        <v>Ngọ</v>
      </c>
      <c r="CJ15" s="96"/>
      <c r="CK15" s="96"/>
      <c r="CL15" s="96"/>
      <c r="CM15" s="95"/>
      <c r="CN15" s="55"/>
      <c r="CO15" s="55"/>
      <c r="CP15" s="55"/>
      <c r="CQ15" s="55"/>
      <c r="CR15" s="55"/>
      <c r="CS15" s="55"/>
      <c r="CT15" s="55"/>
      <c r="CU15" s="55"/>
      <c r="CV15" s="56"/>
      <c r="CW15" s="55"/>
      <c r="CX15" s="55"/>
      <c r="CY15" s="52">
        <v>2</v>
      </c>
      <c r="CZ15" s="120">
        <v>30</v>
      </c>
      <c r="DA15" s="120">
        <v>29</v>
      </c>
      <c r="DB15" s="120">
        <v>30</v>
      </c>
      <c r="DC15" s="120">
        <v>30</v>
      </c>
      <c r="DD15" s="120">
        <v>30</v>
      </c>
      <c r="DE15" s="120">
        <v>30</v>
      </c>
      <c r="DF15" s="120">
        <v>30</v>
      </c>
      <c r="DG15" s="120">
        <v>29</v>
      </c>
      <c r="DH15" s="120">
        <v>30</v>
      </c>
      <c r="DI15" s="120">
        <v>30</v>
      </c>
      <c r="DJ15" s="120">
        <v>29</v>
      </c>
      <c r="DK15" s="120">
        <v>29</v>
      </c>
      <c r="DL15" s="120">
        <v>30</v>
      </c>
      <c r="DM15" s="120">
        <v>30</v>
      </c>
      <c r="DN15" s="120">
        <v>29</v>
      </c>
      <c r="DO15" s="120">
        <v>30</v>
      </c>
      <c r="DP15" s="120">
        <v>29</v>
      </c>
      <c r="DQ15" s="120">
        <v>29</v>
      </c>
      <c r="DR15" s="120">
        <v>30</v>
      </c>
      <c r="DS15" s="120">
        <v>30</v>
      </c>
      <c r="DT15" s="120">
        <v>29</v>
      </c>
      <c r="DU15" s="120">
        <v>29</v>
      </c>
      <c r="DV15" s="120">
        <v>30</v>
      </c>
      <c r="DW15" s="120">
        <v>29</v>
      </c>
      <c r="DX15" s="120">
        <v>29</v>
      </c>
      <c r="DY15" s="120">
        <v>29</v>
      </c>
      <c r="DZ15" s="120">
        <v>29</v>
      </c>
      <c r="EA15" s="120">
        <v>30</v>
      </c>
      <c r="EB15" s="120">
        <v>30</v>
      </c>
      <c r="EC15" s="120">
        <v>30</v>
      </c>
      <c r="ED15" s="120">
        <v>30</v>
      </c>
      <c r="EE15" s="120">
        <v>30</v>
      </c>
      <c r="EF15" s="120">
        <v>30</v>
      </c>
      <c r="EG15" s="120">
        <v>30</v>
      </c>
      <c r="EH15" s="120">
        <v>29</v>
      </c>
      <c r="EI15" s="120">
        <v>29</v>
      </c>
      <c r="EJ15" s="120">
        <v>29</v>
      </c>
      <c r="EK15" s="120">
        <v>30</v>
      </c>
      <c r="EL15" s="120">
        <v>30</v>
      </c>
      <c r="EM15" s="120">
        <v>30</v>
      </c>
      <c r="EN15" s="120">
        <v>30</v>
      </c>
      <c r="EO15" s="120">
        <v>29</v>
      </c>
      <c r="EP15" s="120">
        <v>30</v>
      </c>
      <c r="EQ15" s="120">
        <v>29</v>
      </c>
      <c r="ER15" s="120">
        <v>29</v>
      </c>
      <c r="ES15" s="120">
        <v>29</v>
      </c>
      <c r="ET15" s="120">
        <v>30</v>
      </c>
      <c r="EU15" s="120">
        <v>29</v>
      </c>
      <c r="EV15" s="120">
        <v>29</v>
      </c>
      <c r="EW15" s="120">
        <v>30</v>
      </c>
      <c r="EX15" s="120">
        <v>29</v>
      </c>
      <c r="EY15" s="120">
        <v>30</v>
      </c>
      <c r="EZ15" s="120">
        <v>30</v>
      </c>
      <c r="FA15" s="120">
        <v>29</v>
      </c>
      <c r="FB15" s="120">
        <v>30</v>
      </c>
      <c r="FC15" s="120">
        <v>30</v>
      </c>
      <c r="FD15" s="120">
        <v>29</v>
      </c>
      <c r="FE15" s="120">
        <v>30</v>
      </c>
      <c r="FF15" s="120">
        <v>30</v>
      </c>
      <c r="FG15" s="120">
        <v>29</v>
      </c>
      <c r="FH15" s="120">
        <v>29</v>
      </c>
      <c r="FI15" s="120">
        <v>30</v>
      </c>
      <c r="FJ15" s="120">
        <v>29</v>
      </c>
      <c r="FK15" s="120">
        <v>29</v>
      </c>
      <c r="FL15" s="120">
        <v>30</v>
      </c>
      <c r="FM15" s="120">
        <v>30</v>
      </c>
      <c r="FN15" s="120">
        <v>30</v>
      </c>
      <c r="FO15" s="120">
        <v>30</v>
      </c>
      <c r="FP15" s="120">
        <v>30</v>
      </c>
      <c r="FQ15" s="120">
        <v>29</v>
      </c>
      <c r="FR15" s="120">
        <v>30</v>
      </c>
      <c r="FS15" s="120">
        <v>30</v>
      </c>
      <c r="FT15" s="120">
        <v>29</v>
      </c>
      <c r="FU15" s="120">
        <v>30</v>
      </c>
      <c r="FV15" s="120">
        <v>29</v>
      </c>
      <c r="FW15" s="120">
        <v>30</v>
      </c>
      <c r="FX15" s="120">
        <v>29</v>
      </c>
      <c r="FY15" s="120">
        <v>29</v>
      </c>
      <c r="FZ15" s="120">
        <v>30</v>
      </c>
      <c r="GA15" s="120">
        <v>29</v>
      </c>
      <c r="GB15" s="120">
        <v>30</v>
      </c>
      <c r="GC15" s="120">
        <v>29</v>
      </c>
      <c r="GD15" s="120">
        <v>29</v>
      </c>
      <c r="GE15" s="120">
        <v>29</v>
      </c>
      <c r="GF15" s="120">
        <v>29</v>
      </c>
      <c r="GG15" s="120">
        <v>30</v>
      </c>
      <c r="GH15" s="120">
        <v>29</v>
      </c>
      <c r="GI15" s="120">
        <v>29</v>
      </c>
      <c r="GJ15" s="120">
        <v>29</v>
      </c>
      <c r="GK15" s="120">
        <v>30</v>
      </c>
      <c r="GL15" s="120">
        <v>30</v>
      </c>
      <c r="GM15" s="120">
        <v>30</v>
      </c>
      <c r="GN15" s="120">
        <v>30</v>
      </c>
      <c r="GO15" s="120">
        <v>30</v>
      </c>
      <c r="GP15" s="120">
        <v>30</v>
      </c>
      <c r="GQ15" s="120">
        <v>30</v>
      </c>
      <c r="GR15" s="120">
        <v>29</v>
      </c>
      <c r="GS15" s="120">
        <v>29</v>
      </c>
      <c r="GT15" s="120">
        <v>29</v>
      </c>
      <c r="GU15" s="120">
        <v>30</v>
      </c>
      <c r="GV15" s="120">
        <v>30</v>
      </c>
      <c r="GW15" s="120">
        <v>30</v>
      </c>
      <c r="GX15" s="120">
        <v>30</v>
      </c>
      <c r="GY15" s="120">
        <v>30</v>
      </c>
      <c r="GZ15" s="120">
        <v>30</v>
      </c>
      <c r="HA15" s="120">
        <v>29</v>
      </c>
      <c r="HB15" s="120">
        <v>29</v>
      </c>
      <c r="HC15" s="120">
        <v>29</v>
      </c>
      <c r="HD15" s="120">
        <v>30</v>
      </c>
      <c r="HE15" s="120">
        <v>29</v>
      </c>
      <c r="HF15" s="120">
        <v>29</v>
      </c>
      <c r="HG15" s="120">
        <v>29</v>
      </c>
      <c r="HH15" s="120">
        <v>29</v>
      </c>
      <c r="HI15" s="120">
        <v>30</v>
      </c>
      <c r="HJ15" s="120">
        <v>30</v>
      </c>
      <c r="HK15" s="120">
        <v>29</v>
      </c>
      <c r="HL15" s="120">
        <v>30</v>
      </c>
      <c r="HM15" s="120">
        <v>30</v>
      </c>
      <c r="HN15" s="120">
        <v>29</v>
      </c>
      <c r="HO15" s="120">
        <v>30</v>
      </c>
      <c r="HP15" s="120">
        <v>30</v>
      </c>
      <c r="HQ15" s="120">
        <v>29</v>
      </c>
      <c r="HR15" s="120">
        <v>30</v>
      </c>
      <c r="HS15" s="120">
        <v>30</v>
      </c>
      <c r="HT15" s="120">
        <v>29</v>
      </c>
      <c r="HU15" s="120">
        <v>29</v>
      </c>
      <c r="HV15" s="120">
        <v>30</v>
      </c>
      <c r="HW15" s="120">
        <v>30</v>
      </c>
      <c r="HX15" s="120">
        <v>30</v>
      </c>
      <c r="HY15" s="120">
        <v>30</v>
      </c>
      <c r="HZ15" s="120">
        <v>30</v>
      </c>
      <c r="IA15" s="120">
        <v>29</v>
      </c>
      <c r="IB15" s="120">
        <v>30</v>
      </c>
      <c r="IC15" s="120">
        <v>30</v>
      </c>
      <c r="ID15" s="120">
        <v>29</v>
      </c>
      <c r="IE15" s="120">
        <v>30</v>
      </c>
      <c r="IF15" s="120">
        <v>30</v>
      </c>
      <c r="IG15" s="120">
        <v>30</v>
      </c>
      <c r="IH15" s="120">
        <v>30</v>
      </c>
      <c r="II15" s="120">
        <v>29</v>
      </c>
      <c r="IJ15" s="121">
        <v>30</v>
      </c>
      <c r="IK15" s="51"/>
      <c r="IL15" s="51"/>
    </row>
    <row r="16" spans="1:246" ht="12.95" customHeight="1">
      <c r="A16" s="33" t="s">
        <v>4316</v>
      </c>
      <c r="B16" s="481" t="str">
        <f ca="1">IF(BY8="","",B14&amp;B15)</f>
        <v>22002</v>
      </c>
      <c r="C16" s="33" t="s">
        <v>1728</v>
      </c>
      <c r="D16" s="10" t="s">
        <v>9006</v>
      </c>
      <c r="E16" s="10" t="s">
        <v>9297</v>
      </c>
      <c r="G16" s="500">
        <v>1</v>
      </c>
      <c r="H16" s="501" t="s">
        <v>4201</v>
      </c>
      <c r="I16" s="474">
        <f ca="1">IF(MOD(G11,2)=1,G11,"")</f>
        <v>3</v>
      </c>
      <c r="J16" s="473" t="str">
        <f ca="1">IF(MOD(G11,2)=0,G11,"")</f>
        <v/>
      </c>
      <c r="K16" s="488" t="s">
        <v>4217</v>
      </c>
      <c r="L16" s="488" t="s">
        <v>4218</v>
      </c>
      <c r="M16" s="488" t="s">
        <v>4219</v>
      </c>
      <c r="N16" s="488" t="s">
        <v>4220</v>
      </c>
      <c r="O16" s="491"/>
      <c r="P16" s="491"/>
      <c r="Q16" s="488" t="s">
        <v>4221</v>
      </c>
      <c r="R16" s="488" t="s">
        <v>4222</v>
      </c>
      <c r="S16" s="488" t="s">
        <v>4223</v>
      </c>
      <c r="T16" s="492" t="s">
        <v>4224</v>
      </c>
      <c r="U16" s="404" t="s">
        <v>3733</v>
      </c>
      <c r="V16" s="9" t="s">
        <v>4288</v>
      </c>
      <c r="W16" s="8" t="s">
        <v>506</v>
      </c>
      <c r="X16" s="244" t="s">
        <v>6353</v>
      </c>
      <c r="Z16" s="38" t="str">
        <f ca="1">IF(Z8="","",HLOOKUP(Z8,'64Quẻ'!D5:DW23,9,0))</f>
        <v>Sửu</v>
      </c>
      <c r="AA16" s="9">
        <v>5</v>
      </c>
      <c r="AC16" s="2" t="str">
        <f ca="1">IF(AC8="","",HLOOKUP(AC8,'64Quẻ'!DZ5:EC23,9,0))</f>
        <v/>
      </c>
      <c r="AD16" s="9">
        <v>5</v>
      </c>
      <c r="AF16" s="2" t="str">
        <f ca="1">IF(AF8="","",HLOOKUP(AF8,'64Quẻ'!ED5:EG23,9,0))</f>
        <v/>
      </c>
      <c r="AG16" s="9">
        <v>5</v>
      </c>
      <c r="AI16" s="2" t="str">
        <f ca="1">IF(AI8="","",HLOOKUP(AI8,'64Quẻ'!EH5:EK23,9,0))</f>
        <v/>
      </c>
      <c r="AJ16" s="213">
        <v>5</v>
      </c>
      <c r="AK16" s="454"/>
      <c r="AP16" s="659">
        <f ca="1">IF(AND('Vận Năm'!B18="*",AP9=0),1,IF(AND('Vận Năm'!B18="*",AP9=1),0,AP9))</f>
        <v>1</v>
      </c>
      <c r="AQ16" s="544">
        <f ca="1">AQ9+1</f>
        <v>2033</v>
      </c>
      <c r="AR16" s="494" t="str">
        <f ca="1">AP16&amp;AP17&amp;AP18</f>
        <v>110</v>
      </c>
      <c r="AS16" s="651" t="str">
        <f ca="1">IF('Vận Năm'!B88="","…",'Vận Năm'!B88)</f>
        <v>…</v>
      </c>
      <c r="AT16" s="212" t="str">
        <f ca="1">IF('Vận Năm'!C96="","...",'Vận Năm'!C96)</f>
        <v>...</v>
      </c>
      <c r="AU16" s="495" t="str">
        <f ca="1">IF('Vận Năm'!B90="*",6,IF('Vận Năm'!B91="*",5,IF('Vận Năm'!B92="*",4,IF('Vận Năm'!B93="*",3,IF('Vận Năm'!B94="*",2,IF('Vận Năm'!B95="*",1,"..."))))))</f>
        <v>...</v>
      </c>
      <c r="AV16" s="713"/>
      <c r="AW16" s="714"/>
      <c r="AY16" s="715"/>
      <c r="AZ16" s="714"/>
      <c r="BA16" s="212"/>
      <c r="BB16" s="730"/>
      <c r="BC16" s="647"/>
      <c r="BD16" s="730"/>
      <c r="BE16" s="120"/>
      <c r="BF16" s="212"/>
      <c r="BG16" s="729"/>
      <c r="BH16" s="17"/>
      <c r="BI16" s="14"/>
      <c r="BJ16" s="10"/>
      <c r="BK16" s="8"/>
      <c r="BM16" s="729"/>
      <c r="BN16" s="731"/>
      <c r="BO16" s="707"/>
      <c r="BP16" s="661"/>
      <c r="BQ16" s="706"/>
      <c r="BR16" s="212"/>
      <c r="BS16" s="704"/>
      <c r="BT16" s="704"/>
      <c r="BW16" s="128" t="s">
        <v>4444</v>
      </c>
      <c r="BX16" s="129" t="s">
        <v>2688</v>
      </c>
      <c r="BY16" s="130">
        <f ca="1">IF(OR(BY9&gt;=25,BY9-INT(BY9)&gt;0.59),"Nhập sai Giờ",BY9)</f>
        <v>7</v>
      </c>
      <c r="BZ16" s="131" t="str">
        <f ca="1">HLOOKUP(CA16,CE38:CP39,2,FALSE)</f>
        <v>Nhâm</v>
      </c>
      <c r="CA16" s="132" t="str">
        <f ca="1">HLOOKUP(BY16,CZ41:DL42,2)</f>
        <v>Thìn</v>
      </c>
      <c r="CB16" s="51"/>
      <c r="CC16" s="52"/>
      <c r="CD16" s="116"/>
      <c r="CE16" s="55"/>
      <c r="CF16" s="115"/>
      <c r="CG16" s="54"/>
      <c r="CH16" s="117"/>
      <c r="CI16" s="54"/>
      <c r="CJ16" s="55"/>
      <c r="CK16" s="55"/>
      <c r="CL16" s="55"/>
      <c r="CM16" s="55"/>
      <c r="CN16" s="55"/>
      <c r="CO16" s="55"/>
      <c r="CP16" s="55"/>
      <c r="CQ16" s="55"/>
      <c r="CR16" s="55"/>
      <c r="CS16" s="55"/>
      <c r="CT16" s="55"/>
      <c r="CU16" s="55"/>
      <c r="CV16" s="56"/>
      <c r="CW16" s="55"/>
      <c r="CX16" s="55"/>
      <c r="CY16" s="52">
        <v>3</v>
      </c>
      <c r="CZ16" s="120">
        <v>29</v>
      </c>
      <c r="DA16" s="120">
        <v>30</v>
      </c>
      <c r="DB16" s="120">
        <v>29</v>
      </c>
      <c r="DC16" s="120">
        <v>29</v>
      </c>
      <c r="DD16" s="120">
        <v>29</v>
      </c>
      <c r="DE16" s="120">
        <v>30</v>
      </c>
      <c r="DF16" s="120">
        <v>29</v>
      </c>
      <c r="DG16" s="120">
        <v>29</v>
      </c>
      <c r="DH16" s="120">
        <v>29</v>
      </c>
      <c r="DI16" s="120">
        <v>29</v>
      </c>
      <c r="DJ16" s="120">
        <v>30</v>
      </c>
      <c r="DK16" s="120">
        <v>30</v>
      </c>
      <c r="DL16" s="120">
        <v>29</v>
      </c>
      <c r="DM16" s="120">
        <v>29</v>
      </c>
      <c r="DN16" s="120">
        <v>30</v>
      </c>
      <c r="DO16" s="120">
        <v>29</v>
      </c>
      <c r="DP16" s="120">
        <v>29</v>
      </c>
      <c r="DQ16" s="120">
        <v>29</v>
      </c>
      <c r="DR16" s="120">
        <v>29</v>
      </c>
      <c r="DS16" s="120">
        <v>29</v>
      </c>
      <c r="DT16" s="120">
        <v>30</v>
      </c>
      <c r="DU16" s="120">
        <v>30</v>
      </c>
      <c r="DV16" s="120">
        <v>30</v>
      </c>
      <c r="DW16" s="120">
        <v>30</v>
      </c>
      <c r="DX16" s="120">
        <v>30</v>
      </c>
      <c r="DY16" s="120">
        <v>30</v>
      </c>
      <c r="DZ16" s="120">
        <v>29</v>
      </c>
      <c r="EA16" s="120">
        <v>29</v>
      </c>
      <c r="EB16" s="120">
        <v>29</v>
      </c>
      <c r="EC16" s="120">
        <v>30</v>
      </c>
      <c r="ED16" s="120">
        <v>29</v>
      </c>
      <c r="EE16" s="120">
        <v>30</v>
      </c>
      <c r="EF16" s="120">
        <v>30</v>
      </c>
      <c r="EG16" s="120">
        <v>29</v>
      </c>
      <c r="EH16" s="120">
        <v>30</v>
      </c>
      <c r="EI16" s="120">
        <v>29</v>
      </c>
      <c r="EJ16" s="120">
        <v>29</v>
      </c>
      <c r="EK16" s="120">
        <v>29</v>
      </c>
      <c r="EL16" s="120">
        <v>29</v>
      </c>
      <c r="EM16" s="120">
        <v>29</v>
      </c>
      <c r="EN16" s="120">
        <v>29</v>
      </c>
      <c r="EO16" s="120">
        <v>30</v>
      </c>
      <c r="EP16" s="120">
        <v>29</v>
      </c>
      <c r="EQ16" s="120">
        <v>30</v>
      </c>
      <c r="ER16" s="120">
        <v>30</v>
      </c>
      <c r="ES16" s="120">
        <v>29</v>
      </c>
      <c r="ET16" s="120">
        <v>29</v>
      </c>
      <c r="EU16" s="120">
        <v>30</v>
      </c>
      <c r="EV16" s="120">
        <v>30</v>
      </c>
      <c r="EW16" s="120">
        <v>30</v>
      </c>
      <c r="EX16" s="120">
        <v>30</v>
      </c>
      <c r="EY16" s="120">
        <v>29</v>
      </c>
      <c r="EZ16" s="120">
        <v>29</v>
      </c>
      <c r="FA16" s="120">
        <v>30</v>
      </c>
      <c r="FB16" s="120">
        <v>29</v>
      </c>
      <c r="FC16" s="120">
        <v>29</v>
      </c>
      <c r="FD16" s="120">
        <v>30</v>
      </c>
      <c r="FE16" s="120">
        <v>30</v>
      </c>
      <c r="FF16" s="120">
        <v>30</v>
      </c>
      <c r="FG16" s="120">
        <v>30</v>
      </c>
      <c r="FH16" s="120">
        <v>30</v>
      </c>
      <c r="FI16" s="120">
        <v>29</v>
      </c>
      <c r="FJ16" s="120">
        <v>30</v>
      </c>
      <c r="FK16" s="120">
        <v>30</v>
      </c>
      <c r="FL16" s="120">
        <v>29</v>
      </c>
      <c r="FM16" s="120">
        <v>30</v>
      </c>
      <c r="FN16" s="120">
        <v>29</v>
      </c>
      <c r="FO16" s="120">
        <v>29</v>
      </c>
      <c r="FP16" s="120">
        <v>29</v>
      </c>
      <c r="FQ16" s="120">
        <v>29</v>
      </c>
      <c r="FR16" s="120">
        <v>29</v>
      </c>
      <c r="FS16" s="120">
        <v>29</v>
      </c>
      <c r="FT16" s="120">
        <v>30</v>
      </c>
      <c r="FU16" s="120">
        <v>29</v>
      </c>
      <c r="FV16" s="120">
        <v>30</v>
      </c>
      <c r="FW16" s="120">
        <v>29</v>
      </c>
      <c r="FX16" s="120">
        <v>30</v>
      </c>
      <c r="FY16" s="120">
        <v>30</v>
      </c>
      <c r="FZ16" s="120">
        <v>29</v>
      </c>
      <c r="GA16" s="120">
        <v>29</v>
      </c>
      <c r="GB16" s="120">
        <v>29</v>
      </c>
      <c r="GC16" s="120">
        <v>30</v>
      </c>
      <c r="GD16" s="120">
        <v>30</v>
      </c>
      <c r="GE16" s="120">
        <v>30</v>
      </c>
      <c r="GF16" s="120">
        <v>30</v>
      </c>
      <c r="GG16" s="120">
        <v>30</v>
      </c>
      <c r="GH16" s="120">
        <v>30</v>
      </c>
      <c r="GI16" s="120">
        <v>30</v>
      </c>
      <c r="GJ16" s="120">
        <v>29</v>
      </c>
      <c r="GK16" s="120">
        <v>29</v>
      </c>
      <c r="GL16" s="120">
        <v>29</v>
      </c>
      <c r="GM16" s="120">
        <v>30</v>
      </c>
      <c r="GN16" s="120">
        <v>30</v>
      </c>
      <c r="GO16" s="120">
        <v>30</v>
      </c>
      <c r="GP16" s="120">
        <v>30</v>
      </c>
      <c r="GQ16" s="120">
        <v>29</v>
      </c>
      <c r="GR16" s="120">
        <v>30</v>
      </c>
      <c r="GS16" s="120">
        <v>29</v>
      </c>
      <c r="GT16" s="120">
        <v>29</v>
      </c>
      <c r="GU16" s="120">
        <v>29</v>
      </c>
      <c r="GV16" s="120">
        <v>29</v>
      </c>
      <c r="GW16" s="120">
        <v>29</v>
      </c>
      <c r="GX16" s="120">
        <v>29</v>
      </c>
      <c r="GY16" s="120">
        <v>29</v>
      </c>
      <c r="GZ16" s="120">
        <v>29</v>
      </c>
      <c r="HA16" s="120">
        <v>30</v>
      </c>
      <c r="HB16" s="120">
        <v>30</v>
      </c>
      <c r="HC16" s="120">
        <v>29</v>
      </c>
      <c r="HD16" s="120">
        <v>29</v>
      </c>
      <c r="HE16" s="120">
        <v>30</v>
      </c>
      <c r="HF16" s="120">
        <v>30</v>
      </c>
      <c r="HG16" s="120">
        <v>30</v>
      </c>
      <c r="HH16" s="120">
        <v>30</v>
      </c>
      <c r="HI16" s="120">
        <v>29</v>
      </c>
      <c r="HJ16" s="120">
        <v>29</v>
      </c>
      <c r="HK16" s="120">
        <v>30</v>
      </c>
      <c r="HL16" s="120">
        <v>29</v>
      </c>
      <c r="HM16" s="120">
        <v>29</v>
      </c>
      <c r="HN16" s="120">
        <v>30</v>
      </c>
      <c r="HO16" s="120">
        <v>30</v>
      </c>
      <c r="HP16" s="120">
        <v>30</v>
      </c>
      <c r="HQ16" s="120">
        <v>30</v>
      </c>
      <c r="HR16" s="120">
        <v>29</v>
      </c>
      <c r="HS16" s="120">
        <v>29</v>
      </c>
      <c r="HT16" s="120">
        <v>30</v>
      </c>
      <c r="HU16" s="120">
        <v>30</v>
      </c>
      <c r="HV16" s="120">
        <v>29</v>
      </c>
      <c r="HW16" s="120">
        <v>30</v>
      </c>
      <c r="HX16" s="120">
        <v>29</v>
      </c>
      <c r="HY16" s="120">
        <v>29</v>
      </c>
      <c r="HZ16" s="120">
        <v>30</v>
      </c>
      <c r="IA16" s="120">
        <v>29</v>
      </c>
      <c r="IB16" s="120">
        <v>29</v>
      </c>
      <c r="IC16" s="120">
        <v>29</v>
      </c>
      <c r="ID16" s="120">
        <v>30</v>
      </c>
      <c r="IE16" s="120">
        <v>29</v>
      </c>
      <c r="IF16" s="120">
        <v>29</v>
      </c>
      <c r="IG16" s="120">
        <v>29</v>
      </c>
      <c r="IH16" s="120">
        <v>29</v>
      </c>
      <c r="II16" s="120">
        <v>30</v>
      </c>
      <c r="IJ16" s="121">
        <v>29</v>
      </c>
      <c r="IK16" s="51"/>
      <c r="IL16" s="51"/>
    </row>
    <row r="17" spans="1:246" ht="12.95" customHeight="1">
      <c r="A17" s="33"/>
      <c r="B17" s="485" t="str">
        <f ca="1">IF(B14=12,1&amp;B15+1,B14+1&amp;B15)</f>
        <v>32002</v>
      </c>
      <c r="C17" s="33" t="s">
        <v>1729</v>
      </c>
      <c r="D17" s="10" t="s">
        <v>9007</v>
      </c>
      <c r="E17" s="10" t="s">
        <v>9298</v>
      </c>
      <c r="G17" s="502">
        <v>2</v>
      </c>
      <c r="H17" s="501" t="s">
        <v>4203</v>
      </c>
      <c r="I17" s="474" t="str">
        <f ca="1">IF(MOD(G12,2)=1,G12,"")</f>
        <v/>
      </c>
      <c r="J17" s="473">
        <f ca="1">IF(MOD(G12,2)=0,G12,"")</f>
        <v>2</v>
      </c>
      <c r="K17" s="456"/>
      <c r="L17" s="493"/>
      <c r="M17" s="493"/>
      <c r="N17" s="493"/>
      <c r="O17" s="396" t="s">
        <v>4201</v>
      </c>
      <c r="P17" s="396" t="s">
        <v>4203</v>
      </c>
      <c r="Q17" s="396" t="s">
        <v>4225</v>
      </c>
      <c r="R17" s="396" t="s">
        <v>4226</v>
      </c>
      <c r="S17" s="396" t="s">
        <v>4227</v>
      </c>
      <c r="T17" s="457" t="s">
        <v>4228</v>
      </c>
      <c r="U17" s="404" t="s">
        <v>3734</v>
      </c>
      <c r="V17" s="9" t="s">
        <v>835</v>
      </c>
      <c r="W17" s="8" t="s">
        <v>507</v>
      </c>
      <c r="X17" s="244" t="s">
        <v>9015</v>
      </c>
      <c r="Z17" s="38" t="str">
        <f ca="1">IF(Z8="","",HLOOKUP(Z8,'64Quẻ'!D5:DW23,10,0))</f>
        <v>Tý</v>
      </c>
      <c r="AA17" s="9">
        <v>4</v>
      </c>
      <c r="AC17" s="2" t="str">
        <f ca="1">IF(AC8="","",HLOOKUP(AC8,'64Quẻ'!DZ5:EC23,10,0))</f>
        <v/>
      </c>
      <c r="AD17" s="9">
        <v>4</v>
      </c>
      <c r="AF17" s="2" t="str">
        <f ca="1">IF(AF8="","",HLOOKUP(AF8,'64Quẻ'!ED5:EG23,10,0))</f>
        <v/>
      </c>
      <c r="AG17" s="9">
        <v>4</v>
      </c>
      <c r="AI17" s="2" t="str">
        <f ca="1">IF(AI8="","",HLOOKUP(AI8,'64Quẻ'!EH5:EK23,10,0))</f>
        <v/>
      </c>
      <c r="AJ17" s="213">
        <v>4</v>
      </c>
      <c r="AK17" s="454"/>
      <c r="AP17" s="660">
        <f ca="1">IF(AND('Vận Năm'!B19="*",AP10=0),1,IF(AND('Vận Năm'!B19="*",AP10=1),0,AP10))</f>
        <v>1</v>
      </c>
      <c r="AQ17" s="661" t="str">
        <f ca="1">INDEX(E4:E15,MOD(AQ16,12)+1)</f>
        <v>Sửu</v>
      </c>
      <c r="AR17" s="495" t="str">
        <f ca="1">AP19&amp;AP20&amp;AP21</f>
        <v>100</v>
      </c>
      <c r="AS17" s="652" t="str">
        <f ca="1">IF('Vận Năm'!B100="","...",'Vận Năm'!B100)</f>
        <v>...</v>
      </c>
      <c r="AT17" s="491" t="str">
        <f ca="1">IF('Vận Năm'!C108="","…",'Vận Năm'!C108)</f>
        <v>…</v>
      </c>
      <c r="AU17" s="642" t="str">
        <f ca="1">IF('Vận Năm'!B102="*",6,IF('Vận Năm'!B103="*",5,IF('Vận Năm'!B104="*",4,IF('Vận Năm'!B105="*",3,IF('Vận Năm'!B106="*",2,IF('Vận Năm'!B107="*",1,"..."))))))</f>
        <v>...</v>
      </c>
      <c r="AV17" s="717"/>
      <c r="AW17" s="714"/>
      <c r="AY17" s="712"/>
      <c r="AZ17" s="714"/>
      <c r="BA17" s="212"/>
      <c r="BB17" s="730"/>
      <c r="BC17" s="647"/>
      <c r="BD17" s="730"/>
      <c r="BE17" s="120"/>
      <c r="BF17" s="19"/>
      <c r="BG17" s="729"/>
      <c r="BH17" s="17"/>
      <c r="BI17" s="14"/>
      <c r="BJ17" s="10"/>
      <c r="BK17" s="10"/>
      <c r="BM17" s="729"/>
      <c r="BN17" s="731"/>
      <c r="BO17" s="707"/>
      <c r="BP17" s="721"/>
      <c r="BQ17" s="706"/>
      <c r="BR17" s="722"/>
      <c r="BS17" s="704"/>
      <c r="BT17" s="704"/>
      <c r="BW17" s="128" t="s">
        <v>1317</v>
      </c>
      <c r="BX17" s="129" t="s">
        <v>2688</v>
      </c>
      <c r="BY17" s="133">
        <f ca="1">CF26</f>
        <v>6</v>
      </c>
      <c r="BZ17" s="131" t="str">
        <f ca="1">CH13</f>
        <v>Bính</v>
      </c>
      <c r="CA17" s="134" t="str">
        <f ca="1">CI13</f>
        <v>Thìn</v>
      </c>
      <c r="CB17" s="51"/>
      <c r="CC17" s="52"/>
      <c r="CD17" s="53" t="s">
        <v>2681</v>
      </c>
      <c r="CE17" s="54" t="s">
        <v>2688</v>
      </c>
      <c r="CF17" s="105">
        <f ca="1">HLOOKUP(CF11,CZ6:IJ9,1)</f>
        <v>36932</v>
      </c>
      <c r="CG17" s="105">
        <f ca="1">IF(CF11=CF17,HLOOKUP(CF11-1,CZ6:IJ6,1),CF17)</f>
        <v>36932</v>
      </c>
      <c r="CH17" s="55"/>
      <c r="CI17" s="55"/>
      <c r="CJ17" s="55"/>
      <c r="CK17" s="55"/>
      <c r="CL17" s="55"/>
      <c r="CM17" s="55"/>
      <c r="CN17" s="55"/>
      <c r="CO17" s="55"/>
      <c r="CP17" s="55"/>
      <c r="CQ17" s="55"/>
      <c r="CR17" s="55"/>
      <c r="CS17" s="55"/>
      <c r="CT17" s="55"/>
      <c r="CU17" s="55"/>
      <c r="CV17" s="56"/>
      <c r="CW17" s="55"/>
      <c r="CX17" s="55"/>
      <c r="CY17" s="52">
        <v>4</v>
      </c>
      <c r="CZ17" s="120">
        <v>29</v>
      </c>
      <c r="DA17" s="120">
        <v>29</v>
      </c>
      <c r="DB17" s="120">
        <v>30</v>
      </c>
      <c r="DC17" s="120">
        <v>30</v>
      </c>
      <c r="DD17" s="120">
        <v>30</v>
      </c>
      <c r="DE17" s="120">
        <v>29</v>
      </c>
      <c r="DF17" s="120">
        <v>30</v>
      </c>
      <c r="DG17" s="120">
        <v>30</v>
      </c>
      <c r="DH17" s="120">
        <v>29</v>
      </c>
      <c r="DI17" s="120">
        <v>29</v>
      </c>
      <c r="DJ17" s="120">
        <v>29</v>
      </c>
      <c r="DK17" s="120">
        <v>29</v>
      </c>
      <c r="DL17" s="120">
        <v>30</v>
      </c>
      <c r="DM17" s="120">
        <v>30</v>
      </c>
      <c r="DN17" s="120">
        <v>30</v>
      </c>
      <c r="DO17" s="120">
        <v>30</v>
      </c>
      <c r="DP17" s="120">
        <v>30</v>
      </c>
      <c r="DQ17" s="120">
        <v>30</v>
      </c>
      <c r="DR17" s="120">
        <v>29</v>
      </c>
      <c r="DS17" s="120">
        <v>29</v>
      </c>
      <c r="DT17" s="120">
        <v>29</v>
      </c>
      <c r="DU17" s="120">
        <v>30</v>
      </c>
      <c r="DV17" s="120">
        <v>29</v>
      </c>
      <c r="DW17" s="120">
        <v>29</v>
      </c>
      <c r="DX17" s="120">
        <v>29</v>
      </c>
      <c r="DY17" s="120">
        <v>29</v>
      </c>
      <c r="DZ17" s="120">
        <v>30</v>
      </c>
      <c r="EA17" s="120">
        <v>29</v>
      </c>
      <c r="EB17" s="120">
        <v>29</v>
      </c>
      <c r="EC17" s="120">
        <v>29</v>
      </c>
      <c r="ED17" s="120">
        <v>30</v>
      </c>
      <c r="EE17" s="120">
        <v>29</v>
      </c>
      <c r="EF17" s="120">
        <v>29</v>
      </c>
      <c r="EG17" s="120">
        <v>30</v>
      </c>
      <c r="EH17" s="120">
        <v>29</v>
      </c>
      <c r="EI17" s="120">
        <v>30</v>
      </c>
      <c r="EJ17" s="120">
        <v>30</v>
      </c>
      <c r="EK17" s="120">
        <v>29</v>
      </c>
      <c r="EL17" s="120">
        <v>29</v>
      </c>
      <c r="EM17" s="120">
        <v>30</v>
      </c>
      <c r="EN17" s="120">
        <v>30</v>
      </c>
      <c r="EO17" s="120">
        <v>30</v>
      </c>
      <c r="EP17" s="120">
        <v>30</v>
      </c>
      <c r="EQ17" s="120">
        <v>29</v>
      </c>
      <c r="ER17" s="120">
        <v>29</v>
      </c>
      <c r="ES17" s="120">
        <v>30</v>
      </c>
      <c r="ET17" s="120">
        <v>29</v>
      </c>
      <c r="EU17" s="120">
        <v>29</v>
      </c>
      <c r="EV17" s="120">
        <v>30</v>
      </c>
      <c r="EW17" s="120">
        <v>29</v>
      </c>
      <c r="EX17" s="120">
        <v>30</v>
      </c>
      <c r="EY17" s="120">
        <v>30</v>
      </c>
      <c r="EZ17" s="120">
        <v>29</v>
      </c>
      <c r="FA17" s="120">
        <v>29</v>
      </c>
      <c r="FB17" s="120">
        <v>30</v>
      </c>
      <c r="FC17" s="120">
        <v>30</v>
      </c>
      <c r="FD17" s="120">
        <v>29</v>
      </c>
      <c r="FE17" s="120">
        <v>29</v>
      </c>
      <c r="FF17" s="120">
        <v>29</v>
      </c>
      <c r="FG17" s="120">
        <v>29</v>
      </c>
      <c r="FH17" s="120">
        <v>29</v>
      </c>
      <c r="FI17" s="120">
        <v>29</v>
      </c>
      <c r="FJ17" s="120">
        <v>29</v>
      </c>
      <c r="FK17" s="120">
        <v>29</v>
      </c>
      <c r="FL17" s="120">
        <v>30</v>
      </c>
      <c r="FM17" s="120">
        <v>29</v>
      </c>
      <c r="FN17" s="120">
        <v>30</v>
      </c>
      <c r="FO17" s="120">
        <v>30</v>
      </c>
      <c r="FP17" s="120">
        <v>30</v>
      </c>
      <c r="FQ17" s="120">
        <v>30</v>
      </c>
      <c r="FR17" s="120">
        <v>29</v>
      </c>
      <c r="FS17" s="120">
        <v>29</v>
      </c>
      <c r="FT17" s="120">
        <v>29</v>
      </c>
      <c r="FU17" s="120">
        <v>30</v>
      </c>
      <c r="FV17" s="120">
        <v>30</v>
      </c>
      <c r="FW17" s="120">
        <v>30</v>
      </c>
      <c r="FX17" s="120">
        <v>30</v>
      </c>
      <c r="FY17" s="120">
        <v>30</v>
      </c>
      <c r="FZ17" s="120">
        <v>30</v>
      </c>
      <c r="GA17" s="120">
        <v>30</v>
      </c>
      <c r="GB17" s="120">
        <v>29</v>
      </c>
      <c r="GC17" s="120">
        <v>29</v>
      </c>
      <c r="GD17" s="120">
        <v>29</v>
      </c>
      <c r="GE17" s="120">
        <v>29</v>
      </c>
      <c r="GF17" s="120">
        <v>30</v>
      </c>
      <c r="GG17" s="120">
        <v>29</v>
      </c>
      <c r="GH17" s="120">
        <v>29</v>
      </c>
      <c r="GI17" s="120">
        <v>29</v>
      </c>
      <c r="GJ17" s="120">
        <v>30</v>
      </c>
      <c r="GK17" s="120">
        <v>29</v>
      </c>
      <c r="GL17" s="120">
        <v>29</v>
      </c>
      <c r="GM17" s="120">
        <v>29</v>
      </c>
      <c r="GN17" s="120">
        <v>29</v>
      </c>
      <c r="GO17" s="120">
        <v>29</v>
      </c>
      <c r="GP17" s="120">
        <v>29</v>
      </c>
      <c r="GQ17" s="120">
        <v>30</v>
      </c>
      <c r="GR17" s="120">
        <v>29</v>
      </c>
      <c r="GS17" s="120">
        <v>30</v>
      </c>
      <c r="GT17" s="120">
        <v>30</v>
      </c>
      <c r="GU17" s="120">
        <v>29</v>
      </c>
      <c r="GV17" s="120">
        <v>30</v>
      </c>
      <c r="GW17" s="120">
        <v>30</v>
      </c>
      <c r="GX17" s="120">
        <v>30</v>
      </c>
      <c r="GY17" s="120">
        <v>30</v>
      </c>
      <c r="GZ17" s="120">
        <v>30</v>
      </c>
      <c r="HA17" s="120">
        <v>29</v>
      </c>
      <c r="HB17" s="120">
        <v>29</v>
      </c>
      <c r="HC17" s="120">
        <v>30</v>
      </c>
      <c r="HD17" s="120">
        <v>29</v>
      </c>
      <c r="HE17" s="120">
        <v>29</v>
      </c>
      <c r="HF17" s="120">
        <v>30</v>
      </c>
      <c r="HG17" s="120">
        <v>30</v>
      </c>
      <c r="HH17" s="120">
        <v>29</v>
      </c>
      <c r="HI17" s="120">
        <v>30</v>
      </c>
      <c r="HJ17" s="120">
        <v>29</v>
      </c>
      <c r="HK17" s="120">
        <v>29</v>
      </c>
      <c r="HL17" s="120">
        <v>30</v>
      </c>
      <c r="HM17" s="120">
        <v>30</v>
      </c>
      <c r="HN17" s="120">
        <v>29</v>
      </c>
      <c r="HO17" s="120">
        <v>30</v>
      </c>
      <c r="HP17" s="120">
        <v>29</v>
      </c>
      <c r="HQ17" s="120">
        <v>29</v>
      </c>
      <c r="HR17" s="120">
        <v>29</v>
      </c>
      <c r="HS17" s="120">
        <v>29</v>
      </c>
      <c r="HT17" s="120">
        <v>29</v>
      </c>
      <c r="HU17" s="120">
        <v>29</v>
      </c>
      <c r="HV17" s="120">
        <v>30</v>
      </c>
      <c r="HW17" s="120">
        <v>29</v>
      </c>
      <c r="HX17" s="120">
        <v>30</v>
      </c>
      <c r="HY17" s="120">
        <v>30</v>
      </c>
      <c r="HZ17" s="120">
        <v>29</v>
      </c>
      <c r="IA17" s="120">
        <v>30</v>
      </c>
      <c r="IB17" s="120">
        <v>29</v>
      </c>
      <c r="IC17" s="120">
        <v>29</v>
      </c>
      <c r="ID17" s="120">
        <v>29</v>
      </c>
      <c r="IE17" s="120">
        <v>30</v>
      </c>
      <c r="IF17" s="120">
        <v>30</v>
      </c>
      <c r="IG17" s="120">
        <v>30</v>
      </c>
      <c r="IH17" s="120">
        <v>30</v>
      </c>
      <c r="II17" s="120">
        <v>30</v>
      </c>
      <c r="IJ17" s="121">
        <v>30</v>
      </c>
      <c r="IK17" s="51"/>
      <c r="IL17" s="51"/>
    </row>
    <row r="18" spans="1:246" ht="12.95" customHeight="1">
      <c r="A18" s="20"/>
      <c r="C18" s="33" t="s">
        <v>1730</v>
      </c>
      <c r="D18" s="10" t="s">
        <v>9008</v>
      </c>
      <c r="E18" s="10" t="s">
        <v>9299</v>
      </c>
      <c r="G18" s="1016" t="str">
        <f>IF(G15="","Xem nhập giới tính",G15)</f>
        <v>Nữ</v>
      </c>
      <c r="H18" s="1017"/>
      <c r="I18" s="474">
        <f ca="1">IF(MOD(G13,2)=1,G13,"")</f>
        <v>5</v>
      </c>
      <c r="J18" s="473" t="str">
        <f ca="1">IF(MOD(G13,2)=0,G13,"")</f>
        <v/>
      </c>
      <c r="K18" s="1009">
        <v>8802.3679166666661</v>
      </c>
      <c r="L18" s="1010"/>
      <c r="M18" s="1010"/>
      <c r="N18" s="1010"/>
      <c r="O18" s="17" t="s">
        <v>9014</v>
      </c>
      <c r="P18" s="17" t="s">
        <v>9015</v>
      </c>
      <c r="Q18" s="17" t="s">
        <v>9014</v>
      </c>
      <c r="R18" s="17" t="s">
        <v>9014</v>
      </c>
      <c r="S18" s="17" t="s">
        <v>9015</v>
      </c>
      <c r="T18" s="458" t="s">
        <v>9015</v>
      </c>
      <c r="U18" s="404" t="s">
        <v>3735</v>
      </c>
      <c r="V18" s="9" t="s">
        <v>5934</v>
      </c>
      <c r="W18" s="10" t="s">
        <v>9297</v>
      </c>
      <c r="X18" s="244" t="s">
        <v>9015</v>
      </c>
      <c r="Z18" s="38" t="str">
        <f ca="1">IF(Z8="","",HLOOKUP(Z8,'64Quẻ'!D5:DW23,11,0))</f>
        <v>—   —</v>
      </c>
      <c r="AA18" s="9">
        <v>3</v>
      </c>
      <c r="AC18" s="2" t="str">
        <f ca="1">IF(AC8="","",HLOOKUP(AC8,'64Quẻ'!DZ5:EC23,11,0))</f>
        <v/>
      </c>
      <c r="AD18" s="9">
        <v>3</v>
      </c>
      <c r="AF18" s="2" t="str">
        <f ca="1">IF(AF8="","",HLOOKUP(AF8,'64Quẻ'!ED5:EG23,11,0))</f>
        <v/>
      </c>
      <c r="AG18" s="9">
        <v>3</v>
      </c>
      <c r="AI18" s="2" t="str">
        <f ca="1">IF(AI8="","",HLOOKUP(AI8,'64Quẻ'!EH5:EK23,11,0))</f>
        <v/>
      </c>
      <c r="AJ18" s="213">
        <v>3</v>
      </c>
      <c r="AK18" s="454"/>
      <c r="AP18" s="660">
        <f ca="1">IF(AND('Vận Năm'!B20="*",AP11=0),1,IF(AND('Vận Năm'!B20="*",AP11=1),0,AP11))</f>
        <v>0</v>
      </c>
      <c r="AQ18" s="19" t="str">
        <f ca="1">HLOOKUP(AP22,'64Quẻ'!B4:DX5,2,0)</f>
        <v>Tiệm</v>
      </c>
      <c r="AR18" s="495" t="str">
        <f ca="1">AP17&amp;AP18&amp;AP19</f>
        <v>101</v>
      </c>
      <c r="AS18" s="653" t="str">
        <f ca="1">'Đại Vận'!C6</f>
        <v>1-9 Tuổi</v>
      </c>
      <c r="AT18" s="645" t="str">
        <f ca="1">'Đại Vận'!C13</f>
        <v>Bĩ</v>
      </c>
      <c r="AU18" s="494">
        <f ca="1">VLOOKUP(1,AK4:AO15,5,0)</f>
        <v>5</v>
      </c>
      <c r="AV18" s="498"/>
      <c r="AW18" s="714"/>
      <c r="AY18" s="661"/>
      <c r="AZ18" s="714"/>
      <c r="BA18" s="212"/>
      <c r="BB18" s="730"/>
      <c r="BC18" s="647"/>
      <c r="BD18" s="730"/>
      <c r="BE18" s="120"/>
      <c r="BF18" s="19"/>
      <c r="BG18" s="729"/>
      <c r="BH18" s="17"/>
      <c r="BI18" s="14"/>
      <c r="BJ18" s="10"/>
      <c r="BK18" s="10"/>
      <c r="BM18" s="729"/>
      <c r="BN18" s="731"/>
      <c r="BO18" s="707"/>
      <c r="BP18" s="721"/>
      <c r="BQ18" s="706"/>
      <c r="BR18" s="722"/>
      <c r="BS18" s="707"/>
      <c r="BT18" s="707"/>
      <c r="BW18" s="128" t="s">
        <v>2682</v>
      </c>
      <c r="BX18" s="129" t="s">
        <v>2688</v>
      </c>
      <c r="BY18" s="135">
        <f ca="1">IF(OR(BY7&gt;12,BY7&lt;1),"Nhập sai tháng DL",CF25)</f>
        <v>1</v>
      </c>
      <c r="BZ18" s="131" t="str">
        <f ca="1">HLOOKUP(BY18,CE35:CP36,2,FALSE)</f>
        <v>Nhâm</v>
      </c>
      <c r="CA18" s="132" t="str">
        <f ca="1">HLOOKUP(BY18,CZ45:DK46,2,FALSE)</f>
        <v>Dần</v>
      </c>
      <c r="CB18" s="51"/>
      <c r="CC18" s="52"/>
      <c r="CD18" s="53" t="s">
        <v>2683</v>
      </c>
      <c r="CE18" s="55"/>
      <c r="CF18" s="136">
        <f ca="1">IF(CF11=CF17,CF11-CG17,CF11-CF17)</f>
        <v>6</v>
      </c>
      <c r="CG18" s="55"/>
      <c r="CH18" s="55"/>
      <c r="CI18" s="55"/>
      <c r="CJ18" s="55"/>
      <c r="CK18" s="55"/>
      <c r="CL18" s="55"/>
      <c r="CM18" s="55"/>
      <c r="CN18" s="55"/>
      <c r="CO18" s="55"/>
      <c r="CP18" s="55"/>
      <c r="CQ18" s="55"/>
      <c r="CR18" s="55"/>
      <c r="CS18" s="55"/>
      <c r="CT18" s="55"/>
      <c r="CU18" s="55"/>
      <c r="CV18" s="56"/>
      <c r="CW18" s="55"/>
      <c r="CX18" s="55"/>
      <c r="CY18" s="52">
        <v>5</v>
      </c>
      <c r="CZ18" s="120">
        <v>30</v>
      </c>
      <c r="DA18" s="120">
        <v>29</v>
      </c>
      <c r="DB18" s="120">
        <v>29</v>
      </c>
      <c r="DC18" s="120">
        <v>29</v>
      </c>
      <c r="DD18" s="120">
        <v>30</v>
      </c>
      <c r="DE18" s="120">
        <v>30</v>
      </c>
      <c r="DF18" s="120">
        <v>29</v>
      </c>
      <c r="DG18" s="120">
        <v>30</v>
      </c>
      <c r="DH18" s="120">
        <v>30</v>
      </c>
      <c r="DI18" s="120">
        <v>30</v>
      </c>
      <c r="DJ18" s="120">
        <v>29</v>
      </c>
      <c r="DK18" s="120">
        <v>29</v>
      </c>
      <c r="DL18" s="120">
        <v>29</v>
      </c>
      <c r="DM18" s="120">
        <v>29</v>
      </c>
      <c r="DN18" s="120">
        <v>29</v>
      </c>
      <c r="DO18" s="120">
        <v>29</v>
      </c>
      <c r="DP18" s="120">
        <v>29</v>
      </c>
      <c r="DQ18" s="120">
        <v>29</v>
      </c>
      <c r="DR18" s="120">
        <v>30</v>
      </c>
      <c r="DS18" s="120">
        <v>30</v>
      </c>
      <c r="DT18" s="120">
        <v>29</v>
      </c>
      <c r="DU18" s="120">
        <v>29</v>
      </c>
      <c r="DV18" s="120">
        <v>30</v>
      </c>
      <c r="DW18" s="120">
        <v>30</v>
      </c>
      <c r="DX18" s="120">
        <v>30</v>
      </c>
      <c r="DY18" s="120">
        <v>30</v>
      </c>
      <c r="DZ18" s="120">
        <v>29</v>
      </c>
      <c r="EA18" s="120">
        <v>30</v>
      </c>
      <c r="EB18" s="120">
        <v>30</v>
      </c>
      <c r="EC18" s="120">
        <v>29</v>
      </c>
      <c r="ED18" s="120">
        <v>29</v>
      </c>
      <c r="EE18" s="120">
        <v>30</v>
      </c>
      <c r="EF18" s="120">
        <v>30</v>
      </c>
      <c r="EG18" s="120">
        <v>30</v>
      </c>
      <c r="EH18" s="120">
        <v>30</v>
      </c>
      <c r="EI18" s="120">
        <v>29</v>
      </c>
      <c r="EJ18" s="120">
        <v>29</v>
      </c>
      <c r="EK18" s="120">
        <v>30</v>
      </c>
      <c r="EL18" s="120">
        <v>30</v>
      </c>
      <c r="EM18" s="120">
        <v>29</v>
      </c>
      <c r="EN18" s="120">
        <v>30</v>
      </c>
      <c r="EO18" s="120">
        <v>29</v>
      </c>
      <c r="EP18" s="120">
        <v>29</v>
      </c>
      <c r="EQ18" s="120">
        <v>30</v>
      </c>
      <c r="ER18" s="120">
        <v>29</v>
      </c>
      <c r="ES18" s="120">
        <v>29</v>
      </c>
      <c r="ET18" s="120">
        <v>30</v>
      </c>
      <c r="EU18" s="120">
        <v>30</v>
      </c>
      <c r="EV18" s="120">
        <v>29</v>
      </c>
      <c r="EW18" s="120">
        <v>30</v>
      </c>
      <c r="EX18" s="120">
        <v>29</v>
      </c>
      <c r="EY18" s="120">
        <v>29</v>
      </c>
      <c r="EZ18" s="120">
        <v>30</v>
      </c>
      <c r="FA18" s="120">
        <v>29</v>
      </c>
      <c r="FB18" s="120">
        <v>29</v>
      </c>
      <c r="FC18" s="120">
        <v>29</v>
      </c>
      <c r="FD18" s="120">
        <v>30</v>
      </c>
      <c r="FE18" s="120">
        <v>30</v>
      </c>
      <c r="FF18" s="120">
        <v>30</v>
      </c>
      <c r="FG18" s="120">
        <v>30</v>
      </c>
      <c r="FH18" s="120">
        <v>30</v>
      </c>
      <c r="FI18" s="120">
        <v>30</v>
      </c>
      <c r="FJ18" s="120">
        <v>29</v>
      </c>
      <c r="FK18" s="120">
        <v>29</v>
      </c>
      <c r="FL18" s="120">
        <v>29</v>
      </c>
      <c r="FM18" s="120">
        <v>30</v>
      </c>
      <c r="FN18" s="120">
        <v>30</v>
      </c>
      <c r="FO18" s="120">
        <v>30</v>
      </c>
      <c r="FP18" s="120">
        <v>29</v>
      </c>
      <c r="FQ18" s="120">
        <v>29</v>
      </c>
      <c r="FR18" s="120">
        <v>30</v>
      </c>
      <c r="FS18" s="120">
        <v>30</v>
      </c>
      <c r="FT18" s="120">
        <v>29</v>
      </c>
      <c r="FU18" s="120">
        <v>29</v>
      </c>
      <c r="FV18" s="120">
        <v>29</v>
      </c>
      <c r="FW18" s="120">
        <v>29</v>
      </c>
      <c r="FX18" s="120">
        <v>29</v>
      </c>
      <c r="FY18" s="120">
        <v>29</v>
      </c>
      <c r="FZ18" s="120">
        <v>29</v>
      </c>
      <c r="GA18" s="120">
        <v>29</v>
      </c>
      <c r="GB18" s="120">
        <v>30</v>
      </c>
      <c r="GC18" s="120">
        <v>29</v>
      </c>
      <c r="GD18" s="120">
        <v>29</v>
      </c>
      <c r="GE18" s="120">
        <v>30</v>
      </c>
      <c r="GF18" s="120">
        <v>29</v>
      </c>
      <c r="GG18" s="120">
        <v>30</v>
      </c>
      <c r="GH18" s="120">
        <v>30</v>
      </c>
      <c r="GI18" s="120">
        <v>30</v>
      </c>
      <c r="GJ18" s="120">
        <v>29</v>
      </c>
      <c r="GK18" s="120">
        <v>30</v>
      </c>
      <c r="GL18" s="120">
        <v>30</v>
      </c>
      <c r="GM18" s="120">
        <v>29</v>
      </c>
      <c r="GN18" s="120">
        <v>30</v>
      </c>
      <c r="GO18" s="120">
        <v>30</v>
      </c>
      <c r="GP18" s="120">
        <v>30</v>
      </c>
      <c r="GQ18" s="120">
        <v>29</v>
      </c>
      <c r="GR18" s="120">
        <v>30</v>
      </c>
      <c r="GS18" s="120">
        <v>29</v>
      </c>
      <c r="GT18" s="120">
        <v>29</v>
      </c>
      <c r="GU18" s="120">
        <v>30</v>
      </c>
      <c r="GV18" s="120">
        <v>29</v>
      </c>
      <c r="GW18" s="120">
        <v>29</v>
      </c>
      <c r="GX18" s="120">
        <v>30</v>
      </c>
      <c r="GY18" s="120">
        <v>30</v>
      </c>
      <c r="GZ18" s="120">
        <v>29</v>
      </c>
      <c r="HA18" s="120">
        <v>30</v>
      </c>
      <c r="HB18" s="120">
        <v>29</v>
      </c>
      <c r="HC18" s="120">
        <v>29</v>
      </c>
      <c r="HD18" s="120">
        <v>30</v>
      </c>
      <c r="HE18" s="120">
        <v>30</v>
      </c>
      <c r="HF18" s="120">
        <v>29</v>
      </c>
      <c r="HG18" s="120">
        <v>29</v>
      </c>
      <c r="HH18" s="120">
        <v>30</v>
      </c>
      <c r="HI18" s="120">
        <v>29</v>
      </c>
      <c r="HJ18" s="120">
        <v>30</v>
      </c>
      <c r="HK18" s="120">
        <v>29</v>
      </c>
      <c r="HL18" s="120">
        <v>29</v>
      </c>
      <c r="HM18" s="120">
        <v>29</v>
      </c>
      <c r="HN18" s="120">
        <v>30</v>
      </c>
      <c r="HO18" s="120">
        <v>29</v>
      </c>
      <c r="HP18" s="120">
        <v>30</v>
      </c>
      <c r="HQ18" s="120">
        <v>30</v>
      </c>
      <c r="HR18" s="120">
        <v>30</v>
      </c>
      <c r="HS18" s="120">
        <v>30</v>
      </c>
      <c r="HT18" s="120">
        <v>29</v>
      </c>
      <c r="HU18" s="120">
        <v>29</v>
      </c>
      <c r="HV18" s="120">
        <v>29</v>
      </c>
      <c r="HW18" s="120">
        <v>30</v>
      </c>
      <c r="HX18" s="120">
        <v>29</v>
      </c>
      <c r="HY18" s="120">
        <v>30</v>
      </c>
      <c r="HZ18" s="120">
        <v>30</v>
      </c>
      <c r="IA18" s="120">
        <v>29</v>
      </c>
      <c r="IB18" s="120">
        <v>30</v>
      </c>
      <c r="IC18" s="120">
        <v>30</v>
      </c>
      <c r="ID18" s="120">
        <v>29</v>
      </c>
      <c r="IE18" s="120">
        <v>29</v>
      </c>
      <c r="IF18" s="120">
        <v>29</v>
      </c>
      <c r="IG18" s="120">
        <v>29</v>
      </c>
      <c r="IH18" s="120">
        <v>30</v>
      </c>
      <c r="II18" s="120">
        <v>29</v>
      </c>
      <c r="IJ18" s="121">
        <v>29</v>
      </c>
      <c r="IK18" s="51"/>
      <c r="IL18" s="51"/>
    </row>
    <row r="19" spans="1:246" ht="12.95" customHeight="1">
      <c r="A19" s="262" t="s">
        <v>8112</v>
      </c>
      <c r="B19" s="504">
        <f ca="1">NOW()</f>
        <v>46128.917802083335</v>
      </c>
      <c r="C19" s="33" t="s">
        <v>3378</v>
      </c>
      <c r="D19" s="10" t="s">
        <v>9009</v>
      </c>
      <c r="E19" s="10" t="s">
        <v>9300</v>
      </c>
      <c r="G19" s="1018" t="str">
        <f ca="1">HLOOKUP(S6,F4:O9,6,0)&amp;" "&amp;G18</f>
        <v>(+) Nữ</v>
      </c>
      <c r="H19" s="1019"/>
      <c r="I19" s="474" t="str">
        <f ca="1">IF(MOD(H10,2)=1,H10,"")</f>
        <v/>
      </c>
      <c r="J19" s="473">
        <f ca="1">IF(MOD(H10,2)=0,H10,"")</f>
        <v>10</v>
      </c>
      <c r="K19" s="1009">
        <v>30716.929479166669</v>
      </c>
      <c r="L19" s="1010"/>
      <c r="M19" s="1010"/>
      <c r="N19" s="1010"/>
      <c r="O19" s="17" t="s">
        <v>9014</v>
      </c>
      <c r="P19" s="17" t="s">
        <v>9014</v>
      </c>
      <c r="Q19" s="17"/>
      <c r="R19" s="17"/>
      <c r="S19" s="17"/>
      <c r="T19" s="458"/>
      <c r="U19" s="404" t="s">
        <v>1876</v>
      </c>
      <c r="V19" s="9" t="s">
        <v>9015</v>
      </c>
      <c r="W19" s="10" t="s">
        <v>9298</v>
      </c>
      <c r="X19" s="244" t="s">
        <v>456</v>
      </c>
      <c r="Z19" s="38" t="str">
        <f ca="1">IF(Z8="","",HLOOKUP(Z8,'64Quẻ'!D5:DW23,12,0))</f>
        <v>—   —</v>
      </c>
      <c r="AA19" s="9">
        <v>2</v>
      </c>
      <c r="AC19" s="2" t="str">
        <f ca="1">IF(AC8="","",HLOOKUP(AC8,'64Quẻ'!DZ5:EC23,12,0))</f>
        <v/>
      </c>
      <c r="AD19" s="9">
        <v>2</v>
      </c>
      <c r="AF19" s="2" t="str">
        <f ca="1">IF(AF8="","",HLOOKUP(AF8,'64Quẻ'!ED5:EG23,12,0))</f>
        <v/>
      </c>
      <c r="AG19" s="9">
        <v>2</v>
      </c>
      <c r="AI19" s="2" t="str">
        <f ca="1">IF(AI8="","",HLOOKUP(AI8,'64Quẻ'!EH5:EK23,12,0))</f>
        <v/>
      </c>
      <c r="AJ19" s="213">
        <v>2</v>
      </c>
      <c r="AK19" s="454"/>
      <c r="AP19" s="660">
        <f ca="1">IF(AND('Vận Năm'!B21="*",AP12=0),1,IF(AND('Vận Năm'!B21="*",AP12=1),0,AP12))</f>
        <v>1</v>
      </c>
      <c r="AQ19" s="216">
        <f ca="1">IF('Vận Năm'!B23="*",1,IF('Vận Năm'!B22="*",2,IF('Vận Năm'!B21="*",3,IF('Vận Năm'!B20="*",4,IF('Vận Năm'!B19="*",5,IF('Vận Năm'!B18="*",6,""))))))</f>
        <v>4</v>
      </c>
      <c r="AR19" s="495" t="str">
        <f ca="1">AP18&amp;AP19&amp;AP20</f>
        <v>010</v>
      </c>
      <c r="AS19" s="654" t="str">
        <f ca="1">'Đại Vận'!C18</f>
        <v>10-18 Tuổi</v>
      </c>
      <c r="AT19" s="219" t="str">
        <f ca="1">'Đại Vận'!C25</f>
        <v>Bĩ</v>
      </c>
      <c r="AU19" s="495">
        <f ca="1">VLOOKUP(2,AK4:AO15,5,0)</f>
        <v>6</v>
      </c>
      <c r="AV19" s="498"/>
      <c r="AW19" s="714"/>
      <c r="AY19" s="661"/>
      <c r="AZ19" s="714"/>
      <c r="BA19" s="212"/>
      <c r="BB19" s="730"/>
      <c r="BC19" s="647"/>
      <c r="BD19" s="730"/>
      <c r="BE19" s="734"/>
      <c r="BF19" s="735"/>
      <c r="BG19" s="461"/>
      <c r="BH19" s="461"/>
      <c r="BI19" s="461"/>
      <c r="BJ19" s="10"/>
      <c r="BK19" s="10"/>
      <c r="BM19" s="729"/>
      <c r="BN19" s="731"/>
      <c r="BO19" s="707"/>
      <c r="BP19" s="247"/>
      <c r="BQ19" s="727"/>
      <c r="BR19" s="722"/>
      <c r="BS19" s="704"/>
      <c r="BT19" s="704"/>
      <c r="BW19" s="128" t="s">
        <v>2684</v>
      </c>
      <c r="BX19" s="129" t="s">
        <v>2688</v>
      </c>
      <c r="BY19" s="133">
        <f ca="1">CF14</f>
        <v>2002</v>
      </c>
      <c r="BZ19" s="131" t="str">
        <f ca="1">CH15</f>
        <v>Nhâm</v>
      </c>
      <c r="CA19" s="134" t="str">
        <f ca="1">CI15</f>
        <v>Ngọ</v>
      </c>
      <c r="CB19" s="51"/>
      <c r="CC19" s="52"/>
      <c r="CD19" s="53"/>
      <c r="CE19" s="55"/>
      <c r="CF19" s="136"/>
      <c r="CG19" s="55"/>
      <c r="CH19" s="55"/>
      <c r="CI19" s="55"/>
      <c r="CJ19" s="55"/>
      <c r="CK19" s="55"/>
      <c r="CL19" s="55"/>
      <c r="CM19" s="55"/>
      <c r="CN19" s="55"/>
      <c r="CO19" s="55"/>
      <c r="CP19" s="55"/>
      <c r="CQ19" s="55"/>
      <c r="CR19" s="55"/>
      <c r="CS19" s="55"/>
      <c r="CT19" s="55"/>
      <c r="CU19" s="55"/>
      <c r="CV19" s="56"/>
      <c r="CW19" s="55"/>
      <c r="CX19" s="55"/>
      <c r="CY19" s="52">
        <v>6</v>
      </c>
      <c r="CZ19" s="120">
        <v>29</v>
      </c>
      <c r="DA19" s="120">
        <v>30</v>
      </c>
      <c r="DB19" s="120">
        <v>29</v>
      </c>
      <c r="DC19" s="120">
        <v>29</v>
      </c>
      <c r="DD19" s="120">
        <v>29</v>
      </c>
      <c r="DE19" s="120">
        <v>29</v>
      </c>
      <c r="DF19" s="120">
        <v>30</v>
      </c>
      <c r="DG19" s="120">
        <v>29</v>
      </c>
      <c r="DH19" s="120">
        <v>29</v>
      </c>
      <c r="DI19" s="120">
        <v>29</v>
      </c>
      <c r="DJ19" s="120">
        <v>30</v>
      </c>
      <c r="DK19" s="120">
        <v>30</v>
      </c>
      <c r="DL19" s="120">
        <v>29</v>
      </c>
      <c r="DM19" s="120">
        <v>30</v>
      </c>
      <c r="DN19" s="120">
        <v>30</v>
      </c>
      <c r="DO19" s="120">
        <v>30</v>
      </c>
      <c r="DP19" s="120">
        <v>30</v>
      </c>
      <c r="DQ19" s="120">
        <v>30</v>
      </c>
      <c r="DR19" s="120">
        <v>29</v>
      </c>
      <c r="DS19" s="120">
        <v>29</v>
      </c>
      <c r="DT19" s="120">
        <v>30</v>
      </c>
      <c r="DU19" s="120">
        <v>29</v>
      </c>
      <c r="DV19" s="120">
        <v>29</v>
      </c>
      <c r="DW19" s="120">
        <v>30</v>
      </c>
      <c r="DX19" s="120">
        <v>30</v>
      </c>
      <c r="DY19" s="120">
        <v>29</v>
      </c>
      <c r="DZ19" s="120">
        <v>30</v>
      </c>
      <c r="EA19" s="120">
        <v>29</v>
      </c>
      <c r="EB19" s="120">
        <v>29</v>
      </c>
      <c r="EC19" s="120">
        <v>30</v>
      </c>
      <c r="ED19" s="120">
        <v>30</v>
      </c>
      <c r="EE19" s="120">
        <v>29</v>
      </c>
      <c r="EF19" s="120">
        <v>30</v>
      </c>
      <c r="EG19" s="120">
        <v>29</v>
      </c>
      <c r="EH19" s="120">
        <v>29</v>
      </c>
      <c r="EI19" s="120">
        <v>29</v>
      </c>
      <c r="EJ19" s="120">
        <v>29</v>
      </c>
      <c r="EK19" s="120">
        <v>29</v>
      </c>
      <c r="EL19" s="120">
        <v>29</v>
      </c>
      <c r="EM19" s="120">
        <v>30</v>
      </c>
      <c r="EN19" s="120">
        <v>29</v>
      </c>
      <c r="EO19" s="120">
        <v>30</v>
      </c>
      <c r="EP19" s="120">
        <v>30</v>
      </c>
      <c r="EQ19" s="120">
        <v>29</v>
      </c>
      <c r="ER19" s="120">
        <v>30</v>
      </c>
      <c r="ES19" s="120">
        <v>29</v>
      </c>
      <c r="ET19" s="120">
        <v>29</v>
      </c>
      <c r="EU19" s="120">
        <v>29</v>
      </c>
      <c r="EV19" s="120">
        <v>30</v>
      </c>
      <c r="EW19" s="120">
        <v>30</v>
      </c>
      <c r="EX19" s="120">
        <v>30</v>
      </c>
      <c r="EY19" s="120">
        <v>30</v>
      </c>
      <c r="EZ19" s="120">
        <v>29</v>
      </c>
      <c r="FA19" s="120">
        <v>30</v>
      </c>
      <c r="FB19" s="120">
        <v>29</v>
      </c>
      <c r="FC19" s="120">
        <v>29</v>
      </c>
      <c r="FD19" s="120">
        <v>29</v>
      </c>
      <c r="FE19" s="120">
        <v>29</v>
      </c>
      <c r="FF19" s="120">
        <v>29</v>
      </c>
      <c r="FG19" s="120">
        <v>30</v>
      </c>
      <c r="FH19" s="120">
        <v>29</v>
      </c>
      <c r="FI19" s="120">
        <v>29</v>
      </c>
      <c r="FJ19" s="120">
        <v>30</v>
      </c>
      <c r="FK19" s="120">
        <v>30</v>
      </c>
      <c r="FL19" s="120">
        <v>29</v>
      </c>
      <c r="FM19" s="120">
        <v>29</v>
      </c>
      <c r="FN19" s="120">
        <v>29</v>
      </c>
      <c r="FO19" s="120">
        <v>29</v>
      </c>
      <c r="FP19" s="120">
        <v>30</v>
      </c>
      <c r="FQ19" s="120">
        <v>30</v>
      </c>
      <c r="FR19" s="120">
        <v>29</v>
      </c>
      <c r="FS19" s="120">
        <v>29</v>
      </c>
      <c r="FT19" s="120">
        <v>30</v>
      </c>
      <c r="FU19" s="120">
        <v>29</v>
      </c>
      <c r="FV19" s="120">
        <v>29</v>
      </c>
      <c r="FW19" s="120">
        <v>30</v>
      </c>
      <c r="FX19" s="120">
        <v>30</v>
      </c>
      <c r="FY19" s="120">
        <v>30</v>
      </c>
      <c r="FZ19" s="120">
        <v>30</v>
      </c>
      <c r="GA19" s="120">
        <v>30</v>
      </c>
      <c r="GB19" s="120">
        <v>29</v>
      </c>
      <c r="GC19" s="120">
        <v>30</v>
      </c>
      <c r="GD19" s="120">
        <v>30</v>
      </c>
      <c r="GE19" s="120">
        <v>29</v>
      </c>
      <c r="GF19" s="120">
        <v>30</v>
      </c>
      <c r="GG19" s="120">
        <v>30</v>
      </c>
      <c r="GH19" s="120">
        <v>30</v>
      </c>
      <c r="GI19" s="120">
        <v>29</v>
      </c>
      <c r="GJ19" s="120">
        <v>29</v>
      </c>
      <c r="GK19" s="120">
        <v>29</v>
      </c>
      <c r="GL19" s="120">
        <v>29</v>
      </c>
      <c r="GM19" s="120">
        <v>30</v>
      </c>
      <c r="GN19" s="120">
        <v>29</v>
      </c>
      <c r="GO19" s="120">
        <v>29</v>
      </c>
      <c r="GP19" s="120">
        <v>29</v>
      </c>
      <c r="GQ19" s="120">
        <v>30</v>
      </c>
      <c r="GR19" s="120">
        <v>29</v>
      </c>
      <c r="GS19" s="120">
        <v>29</v>
      </c>
      <c r="GT19" s="120">
        <v>29</v>
      </c>
      <c r="GU19" s="120">
        <v>29</v>
      </c>
      <c r="GV19" s="120">
        <v>30</v>
      </c>
      <c r="GW19" s="120">
        <v>30</v>
      </c>
      <c r="GX19" s="120">
        <v>29</v>
      </c>
      <c r="GY19" s="120">
        <v>29</v>
      </c>
      <c r="GZ19" s="120">
        <v>30</v>
      </c>
      <c r="HA19" s="120">
        <v>29</v>
      </c>
      <c r="HB19" s="120">
        <v>30</v>
      </c>
      <c r="HC19" s="120">
        <v>29</v>
      </c>
      <c r="HD19" s="120">
        <v>29</v>
      </c>
      <c r="HE19" s="120">
        <v>29</v>
      </c>
      <c r="HF19" s="120">
        <v>30</v>
      </c>
      <c r="HG19" s="120">
        <v>30</v>
      </c>
      <c r="HH19" s="120">
        <v>30</v>
      </c>
      <c r="HI19" s="120">
        <v>30</v>
      </c>
      <c r="HJ19" s="120">
        <v>29</v>
      </c>
      <c r="HK19" s="120">
        <v>30</v>
      </c>
      <c r="HL19" s="120">
        <v>29</v>
      </c>
      <c r="HM19" s="120">
        <v>29</v>
      </c>
      <c r="HN19" s="120">
        <v>29</v>
      </c>
      <c r="HO19" s="120">
        <v>30</v>
      </c>
      <c r="HP19" s="120">
        <v>29</v>
      </c>
      <c r="HQ19" s="120">
        <v>30</v>
      </c>
      <c r="HR19" s="120">
        <v>30</v>
      </c>
      <c r="HS19" s="120">
        <v>29</v>
      </c>
      <c r="HT19" s="120">
        <v>30</v>
      </c>
      <c r="HU19" s="120">
        <v>30</v>
      </c>
      <c r="HV19" s="120">
        <v>29</v>
      </c>
      <c r="HW19" s="120">
        <v>29</v>
      </c>
      <c r="HX19" s="120">
        <v>30</v>
      </c>
      <c r="HY19" s="120">
        <v>29</v>
      </c>
      <c r="HZ19" s="120">
        <v>29</v>
      </c>
      <c r="IA19" s="120">
        <v>30</v>
      </c>
      <c r="IB19" s="120">
        <v>29</v>
      </c>
      <c r="IC19" s="120">
        <v>29</v>
      </c>
      <c r="ID19" s="120">
        <v>30</v>
      </c>
      <c r="IE19" s="120">
        <v>29</v>
      </c>
      <c r="IF19" s="120">
        <v>29</v>
      </c>
      <c r="IG19" s="120">
        <v>30</v>
      </c>
      <c r="IH19" s="120">
        <v>29</v>
      </c>
      <c r="II19" s="120">
        <v>30</v>
      </c>
      <c r="IJ19" s="121">
        <v>30</v>
      </c>
      <c r="IK19" s="51"/>
      <c r="IL19" s="51"/>
    </row>
    <row r="20" spans="1:246" ht="12.95" customHeight="1" thickBot="1">
      <c r="A20" s="263"/>
      <c r="B20" s="2">
        <f ca="1">YEAR(B19)</f>
        <v>2026</v>
      </c>
      <c r="C20" s="33" t="s">
        <v>1722</v>
      </c>
      <c r="D20" s="10" t="s">
        <v>9010</v>
      </c>
      <c r="E20" s="10" t="s">
        <v>1402</v>
      </c>
      <c r="I20" s="474" t="str">
        <f ca="1">IF(MOD(H11,2)=1,H11,"")</f>
        <v/>
      </c>
      <c r="J20" s="473">
        <f ca="1">IF(MOD(H11,2)=0,H11,"")</f>
        <v>8</v>
      </c>
      <c r="K20" s="455"/>
      <c r="L20" s="17"/>
      <c r="M20" s="17"/>
      <c r="N20" s="17"/>
      <c r="O20" s="17" t="s">
        <v>9015</v>
      </c>
      <c r="P20" s="17" t="s">
        <v>9015</v>
      </c>
      <c r="Q20" s="17"/>
      <c r="R20" s="17"/>
      <c r="S20" s="17"/>
      <c r="T20" s="458"/>
      <c r="U20" s="598" t="s">
        <v>4581</v>
      </c>
      <c r="V20" s="18" t="str">
        <f ca="1">VLOOKUP(S6,U10:V19,2,0)</f>
        <v>Càn</v>
      </c>
      <c r="W20" s="10" t="s">
        <v>9299</v>
      </c>
      <c r="X20" s="244" t="s">
        <v>5934</v>
      </c>
      <c r="Z20" s="39" t="str">
        <f ca="1">IF(Z8="","",HLOOKUP(Z8,'64Quẻ'!D5:DW23,13,0))</f>
        <v>—   —</v>
      </c>
      <c r="AA20" s="9">
        <v>1</v>
      </c>
      <c r="AC20" s="25" t="str">
        <f ca="1">IF(AC8="","",HLOOKUP(AC8,'64Quẻ'!DZ5:EC23,13,0))</f>
        <v/>
      </c>
      <c r="AD20" s="9">
        <v>1</v>
      </c>
      <c r="AF20" s="25" t="str">
        <f ca="1">IF(AF8="","",HLOOKUP(AF8,'64Quẻ'!ED5:EG23,13,0))</f>
        <v/>
      </c>
      <c r="AG20" s="9">
        <v>1</v>
      </c>
      <c r="AI20" s="25" t="str">
        <f ca="1">IF(AI8="","",HLOOKUP(AI8,'64Quẻ'!EH5:EK23,13,0))</f>
        <v/>
      </c>
      <c r="AJ20" s="213">
        <v>1</v>
      </c>
      <c r="AK20" s="454"/>
      <c r="AP20" s="660">
        <f ca="1">IF(AND('Vận Năm'!B22="*",AP13=0),1,IF(AND('Vận Năm'!B22="*",AP13=1),0,AP13))</f>
        <v>0</v>
      </c>
      <c r="AQ20" s="662"/>
      <c r="AR20" s="663" t="str">
        <f ca="1">IF(OR(AU3=AR16,AU3=AR17,AU3=AR18,AU3=AR19),"TNK","")</f>
        <v/>
      </c>
      <c r="AS20" s="654" t="str">
        <f ca="1">'Đại Vận'!C30</f>
        <v>19-24 Tuổi</v>
      </c>
      <c r="AT20" s="219" t="str">
        <f ca="1">'Đại Vận'!C37</f>
        <v>Bĩ</v>
      </c>
      <c r="AU20" s="495">
        <f ca="1">VLOOKUP(3,AK4:AO15,5,0)</f>
        <v>1</v>
      </c>
      <c r="AV20" s="728"/>
      <c r="AW20" s="714"/>
      <c r="AY20" s="721"/>
      <c r="AZ20" s="714"/>
      <c r="BA20" s="212"/>
      <c r="BB20" s="730"/>
      <c r="BC20" s="647"/>
      <c r="BD20" s="730"/>
      <c r="BE20" s="120"/>
      <c r="BF20" s="212"/>
      <c r="BG20" s="729"/>
      <c r="BH20" s="17"/>
      <c r="BI20" s="14"/>
      <c r="BJ20" s="10"/>
      <c r="BK20" s="10"/>
      <c r="BM20" s="729"/>
      <c r="BN20" s="731"/>
      <c r="BO20" s="707"/>
      <c r="BQ20" s="706"/>
      <c r="BR20" s="212"/>
      <c r="BS20" s="704"/>
      <c r="BT20" s="704"/>
      <c r="BW20" s="137" t="s">
        <v>2685</v>
      </c>
      <c r="BX20" s="138" t="s">
        <v>2688</v>
      </c>
      <c r="BY20" s="139" t="str">
        <f>BY10</f>
        <v>Nữ</v>
      </c>
      <c r="BZ20" s="140" t="str">
        <f ca="1">VLOOKUP(BZ19,DF50:DH61,3,FALSE)</f>
        <v>DƯƠNG</v>
      </c>
      <c r="CA20" s="141" t="str">
        <f>BY20</f>
        <v>Nữ</v>
      </c>
      <c r="CB20" s="51"/>
      <c r="CC20" s="52"/>
      <c r="CD20" s="109" t="s">
        <v>2686</v>
      </c>
      <c r="CE20" s="61" t="s">
        <v>2688</v>
      </c>
      <c r="CF20" s="111">
        <f ca="1">CF14</f>
        <v>2002</v>
      </c>
      <c r="CG20" s="84">
        <v>1</v>
      </c>
      <c r="CH20" s="142">
        <f ca="1">IF(CI14=CG20,CI14,CG20+1)</f>
        <v>2</v>
      </c>
      <c r="CI20" s="84">
        <f t="shared" ref="CI20:CS20" ca="1" si="10">IF($CI$14-CG20=1,CH20,CH20+1)</f>
        <v>3</v>
      </c>
      <c r="CJ20" s="142">
        <f t="shared" ca="1" si="10"/>
        <v>4</v>
      </c>
      <c r="CK20" s="142">
        <f t="shared" ca="1" si="10"/>
        <v>5</v>
      </c>
      <c r="CL20" s="84">
        <f t="shared" ca="1" si="10"/>
        <v>6</v>
      </c>
      <c r="CM20" s="84">
        <f t="shared" ca="1" si="10"/>
        <v>7</v>
      </c>
      <c r="CN20" s="84">
        <f t="shared" ca="1" si="10"/>
        <v>8</v>
      </c>
      <c r="CO20" s="84">
        <f t="shared" ca="1" si="10"/>
        <v>9</v>
      </c>
      <c r="CP20" s="84">
        <f t="shared" ca="1" si="10"/>
        <v>10</v>
      </c>
      <c r="CQ20" s="84">
        <f t="shared" ca="1" si="10"/>
        <v>11</v>
      </c>
      <c r="CR20" s="84">
        <f t="shared" ca="1" si="10"/>
        <v>12</v>
      </c>
      <c r="CS20" s="85">
        <f t="shared" ca="1" si="10"/>
        <v>13</v>
      </c>
      <c r="CT20" s="143"/>
      <c r="CU20" s="55"/>
      <c r="CV20" s="56"/>
      <c r="CW20" s="55"/>
      <c r="CX20" s="55"/>
      <c r="CY20" s="52">
        <v>7</v>
      </c>
      <c r="CZ20" s="120">
        <v>30</v>
      </c>
      <c r="DA20" s="120">
        <v>29</v>
      </c>
      <c r="DB20" s="120">
        <v>30</v>
      </c>
      <c r="DC20" s="120">
        <v>30</v>
      </c>
      <c r="DD20" s="120">
        <v>29</v>
      </c>
      <c r="DE20" s="120">
        <v>30</v>
      </c>
      <c r="DF20" s="120">
        <v>30</v>
      </c>
      <c r="DG20" s="120">
        <v>30</v>
      </c>
      <c r="DH20" s="120">
        <v>30</v>
      </c>
      <c r="DI20" s="120">
        <v>30</v>
      </c>
      <c r="DJ20" s="120">
        <v>29</v>
      </c>
      <c r="DK20" s="120">
        <v>29</v>
      </c>
      <c r="DL20" s="120">
        <v>30</v>
      </c>
      <c r="DM20" s="120">
        <v>29</v>
      </c>
      <c r="DN20" s="120">
        <v>29</v>
      </c>
      <c r="DO20" s="120">
        <v>30</v>
      </c>
      <c r="DP20" s="120">
        <v>30</v>
      </c>
      <c r="DQ20" s="120">
        <v>29</v>
      </c>
      <c r="DR20" s="120">
        <v>29</v>
      </c>
      <c r="DS20" s="120">
        <v>29</v>
      </c>
      <c r="DT20" s="120">
        <v>29</v>
      </c>
      <c r="DU20" s="120">
        <v>30</v>
      </c>
      <c r="DV20" s="120">
        <v>30</v>
      </c>
      <c r="DW20" s="120">
        <v>29</v>
      </c>
      <c r="DX20" s="120">
        <v>29</v>
      </c>
      <c r="DY20" s="120">
        <v>30</v>
      </c>
      <c r="DZ20" s="120">
        <v>29</v>
      </c>
      <c r="EA20" s="120">
        <v>29</v>
      </c>
      <c r="EB20" s="120">
        <v>29</v>
      </c>
      <c r="EC20" s="120">
        <v>29</v>
      </c>
      <c r="ED20" s="120">
        <v>29</v>
      </c>
      <c r="EE20" s="120">
        <v>30</v>
      </c>
      <c r="EF20" s="120">
        <v>29</v>
      </c>
      <c r="EG20" s="120">
        <v>30</v>
      </c>
      <c r="EH20" s="120">
        <v>30</v>
      </c>
      <c r="EI20" s="120">
        <v>30</v>
      </c>
      <c r="EJ20" s="120">
        <v>30</v>
      </c>
      <c r="EK20" s="120">
        <v>29</v>
      </c>
      <c r="EL20" s="120">
        <v>29</v>
      </c>
      <c r="EM20" s="120">
        <v>29</v>
      </c>
      <c r="EN20" s="120">
        <v>30</v>
      </c>
      <c r="EO20" s="120">
        <v>29</v>
      </c>
      <c r="EP20" s="120">
        <v>30</v>
      </c>
      <c r="EQ20" s="120">
        <v>30</v>
      </c>
      <c r="ER20" s="120">
        <v>29</v>
      </c>
      <c r="ES20" s="120">
        <v>30</v>
      </c>
      <c r="ET20" s="120">
        <v>29</v>
      </c>
      <c r="EU20" s="120">
        <v>29</v>
      </c>
      <c r="EV20" s="120">
        <v>29</v>
      </c>
      <c r="EW20" s="120">
        <v>29</v>
      </c>
      <c r="EX20" s="120">
        <v>29</v>
      </c>
      <c r="EY20" s="120">
        <v>29</v>
      </c>
      <c r="EZ20" s="120">
        <v>30</v>
      </c>
      <c r="FA20" s="120">
        <v>29</v>
      </c>
      <c r="FB20" s="120">
        <v>30</v>
      </c>
      <c r="FC20" s="120">
        <v>30</v>
      </c>
      <c r="FD20" s="120">
        <v>29</v>
      </c>
      <c r="FE20" s="120">
        <v>29</v>
      </c>
      <c r="FF20" s="120">
        <v>30</v>
      </c>
      <c r="FG20" s="120">
        <v>29</v>
      </c>
      <c r="FH20" s="120">
        <v>30</v>
      </c>
      <c r="FI20" s="120">
        <v>30</v>
      </c>
      <c r="FJ20" s="120">
        <v>29</v>
      </c>
      <c r="FK20" s="120">
        <v>29</v>
      </c>
      <c r="FL20" s="120">
        <v>30</v>
      </c>
      <c r="FM20" s="120">
        <v>29</v>
      </c>
      <c r="FN20" s="120">
        <v>29</v>
      </c>
      <c r="FO20" s="120">
        <v>30</v>
      </c>
      <c r="FP20" s="120">
        <v>30</v>
      </c>
      <c r="FQ20" s="120">
        <v>30</v>
      </c>
      <c r="FR20" s="120">
        <v>30</v>
      </c>
      <c r="FS20" s="120">
        <v>30</v>
      </c>
      <c r="FT20" s="120">
        <v>29</v>
      </c>
      <c r="FU20" s="120">
        <v>30</v>
      </c>
      <c r="FV20" s="120">
        <v>30</v>
      </c>
      <c r="FW20" s="120">
        <v>29</v>
      </c>
      <c r="FX20" s="120">
        <v>29</v>
      </c>
      <c r="FY20" s="120">
        <v>29</v>
      </c>
      <c r="FZ20" s="120">
        <v>30</v>
      </c>
      <c r="GA20" s="120">
        <v>29</v>
      </c>
      <c r="GB20" s="120">
        <v>29</v>
      </c>
      <c r="GC20" s="120">
        <v>29</v>
      </c>
      <c r="GD20" s="120">
        <v>29</v>
      </c>
      <c r="GE20" s="120">
        <v>30</v>
      </c>
      <c r="GF20" s="120">
        <v>29</v>
      </c>
      <c r="GG20" s="120">
        <v>29</v>
      </c>
      <c r="GH20" s="120">
        <v>29</v>
      </c>
      <c r="GI20" s="120">
        <v>30</v>
      </c>
      <c r="GJ20" s="120">
        <v>30</v>
      </c>
      <c r="GK20" s="120">
        <v>29</v>
      </c>
      <c r="GL20" s="120">
        <v>29</v>
      </c>
      <c r="GM20" s="120">
        <v>29</v>
      </c>
      <c r="GN20" s="120">
        <v>30</v>
      </c>
      <c r="GO20" s="120">
        <v>30</v>
      </c>
      <c r="GP20" s="120">
        <v>30</v>
      </c>
      <c r="GQ20" s="120">
        <v>30</v>
      </c>
      <c r="GR20" s="120">
        <v>30</v>
      </c>
      <c r="GS20" s="120">
        <v>30</v>
      </c>
      <c r="GT20" s="120">
        <v>30</v>
      </c>
      <c r="GU20" s="120">
        <v>29</v>
      </c>
      <c r="GV20" s="120">
        <v>29</v>
      </c>
      <c r="GW20" s="120">
        <v>29</v>
      </c>
      <c r="GX20" s="120">
        <v>30</v>
      </c>
      <c r="GY20" s="120">
        <v>30</v>
      </c>
      <c r="GZ20" s="120">
        <v>30</v>
      </c>
      <c r="HA20" s="120">
        <v>30</v>
      </c>
      <c r="HB20" s="120">
        <v>29</v>
      </c>
      <c r="HC20" s="120">
        <v>30</v>
      </c>
      <c r="HD20" s="120">
        <v>29</v>
      </c>
      <c r="HE20" s="120">
        <v>29</v>
      </c>
      <c r="HF20" s="120">
        <v>29</v>
      </c>
      <c r="HG20" s="120">
        <v>29</v>
      </c>
      <c r="HH20" s="120">
        <v>29</v>
      </c>
      <c r="HI20" s="120">
        <v>29</v>
      </c>
      <c r="HJ20" s="120">
        <v>30</v>
      </c>
      <c r="HK20" s="120">
        <v>29</v>
      </c>
      <c r="HL20" s="120">
        <v>30</v>
      </c>
      <c r="HM20" s="120">
        <v>30</v>
      </c>
      <c r="HN20" s="120">
        <v>29</v>
      </c>
      <c r="HO20" s="120">
        <v>29</v>
      </c>
      <c r="HP20" s="120">
        <v>30</v>
      </c>
      <c r="HQ20" s="120">
        <v>29</v>
      </c>
      <c r="HR20" s="120">
        <v>29</v>
      </c>
      <c r="HS20" s="120">
        <v>30</v>
      </c>
      <c r="HT20" s="120">
        <v>29</v>
      </c>
      <c r="HU20" s="120">
        <v>29</v>
      </c>
      <c r="HV20" s="120">
        <v>30</v>
      </c>
      <c r="HW20" s="120">
        <v>29</v>
      </c>
      <c r="HX20" s="120">
        <v>29</v>
      </c>
      <c r="HY20" s="120">
        <v>30</v>
      </c>
      <c r="HZ20" s="120">
        <v>30</v>
      </c>
      <c r="IA20" s="120">
        <v>30</v>
      </c>
      <c r="IB20" s="120">
        <v>30</v>
      </c>
      <c r="IC20" s="120">
        <v>30</v>
      </c>
      <c r="ID20" s="120">
        <v>29</v>
      </c>
      <c r="IE20" s="120">
        <v>30</v>
      </c>
      <c r="IF20" s="120">
        <v>30</v>
      </c>
      <c r="IG20" s="120">
        <v>29</v>
      </c>
      <c r="IH20" s="120">
        <v>30</v>
      </c>
      <c r="II20" s="120">
        <v>29</v>
      </c>
      <c r="IJ20" s="121">
        <v>30</v>
      </c>
      <c r="IK20" s="51"/>
      <c r="IL20" s="51"/>
    </row>
    <row r="21" spans="1:246" ht="12.95" customHeight="1" thickTop="1">
      <c r="B21" s="2">
        <f ca="1">MONTH(B19)</f>
        <v>4</v>
      </c>
      <c r="C21" s="629"/>
      <c r="D21" s="8" t="s">
        <v>3733</v>
      </c>
      <c r="I21" s="474">
        <f ca="1">IF(MOD(H12,2)=1,H12,"")</f>
        <v>7</v>
      </c>
      <c r="J21" s="473" t="str">
        <f ca="1">IF(MOD(H12,2)=0,H12,"")</f>
        <v/>
      </c>
      <c r="K21" s="1004">
        <v>52631.487847222219</v>
      </c>
      <c r="L21" s="1005"/>
      <c r="M21" s="1005"/>
      <c r="N21" s="1005"/>
      <c r="O21" s="397" t="s">
        <v>6353</v>
      </c>
      <c r="P21" s="397" t="s">
        <v>456</v>
      </c>
      <c r="Q21" s="397"/>
      <c r="R21" s="397"/>
      <c r="S21" s="397"/>
      <c r="T21" s="460"/>
      <c r="U21" s="448" t="s">
        <v>4582</v>
      </c>
      <c r="V21" s="18" t="str">
        <f ca="1">VLOOKUP(T6,W10:X21,2,0)</f>
        <v>Ly</v>
      </c>
      <c r="W21" s="449" t="s">
        <v>9300</v>
      </c>
      <c r="X21" s="406" t="s">
        <v>5934</v>
      </c>
      <c r="Z21" s="40" t="str">
        <f ca="1">IF(Z8="","",HLOOKUP(Z8,'64Quẻ'!D5:DW23,14,0))</f>
        <v>———</v>
      </c>
      <c r="AA21" s="9">
        <v>6</v>
      </c>
      <c r="AC21" s="12" t="str">
        <f ca="1">IF(AC8="","",HLOOKUP(AC8,'64Quẻ'!DZ5:EC23,14,0))</f>
        <v/>
      </c>
      <c r="AD21" s="9">
        <v>6</v>
      </c>
      <c r="AF21" s="12" t="str">
        <f ca="1">IF(AF8="","",HLOOKUP(AF8,'64Quẻ'!ED5:EG23,14,0))</f>
        <v/>
      </c>
      <c r="AG21" s="9">
        <v>6</v>
      </c>
      <c r="AI21" s="12" t="str">
        <f ca="1">IF(AI8="","",HLOOKUP(AI8,'64Quẻ'!EH5:EK23,14,0))</f>
        <v/>
      </c>
      <c r="AJ21" s="213">
        <v>6</v>
      </c>
      <c r="AK21" s="454"/>
      <c r="AP21" s="660">
        <f ca="1">IF(AND('Vận Năm'!B23="*",AP14=0),1,IF(AND('Vận Năm'!B23="*",AP14=1),0,AP14))</f>
        <v>0</v>
      </c>
      <c r="AQ21" s="662"/>
      <c r="AR21" s="663" t="str">
        <f ca="1">IF(OR(AU4=AR16,AU4=AR17,AU4=AR18,AU4=AR19),"ĐNK","")</f>
        <v>ĐNK</v>
      </c>
      <c r="AS21" s="654" t="str">
        <f ca="1">'Đại Vận'!C42</f>
        <v>25-30 Tuổi</v>
      </c>
      <c r="AT21" s="219" t="str">
        <f ca="1">'Đại Vận'!C49</f>
        <v>Bĩ</v>
      </c>
      <c r="AU21" s="495">
        <f ca="1">VLOOKUP(4,AK4:AO15,5,0)</f>
        <v>2</v>
      </c>
      <c r="AV21" s="728"/>
      <c r="AW21" s="714"/>
      <c r="AY21" s="721"/>
      <c r="AZ21" s="714"/>
      <c r="BA21" s="212"/>
      <c r="BB21" s="730"/>
      <c r="BC21" s="647"/>
      <c r="BD21" s="730"/>
      <c r="BE21" s="120"/>
      <c r="BF21" s="212"/>
      <c r="BG21" s="729"/>
      <c r="BH21" s="17"/>
      <c r="BI21" s="14"/>
      <c r="BJ21" s="10"/>
      <c r="BK21" s="10"/>
      <c r="BM21" s="729"/>
      <c r="BN21" s="731"/>
      <c r="BO21" s="707"/>
      <c r="BP21" s="712"/>
      <c r="BQ21" s="706"/>
      <c r="BR21" s="212"/>
      <c r="BS21" s="704"/>
      <c r="BT21" s="704"/>
      <c r="BW21" s="51"/>
      <c r="BX21" s="51"/>
      <c r="BY21" s="51"/>
      <c r="BZ21" s="51"/>
      <c r="CA21" s="51"/>
      <c r="CB21" s="51"/>
      <c r="CC21" s="52"/>
      <c r="CD21" s="144" t="s">
        <v>2660</v>
      </c>
      <c r="CE21" s="54" t="s">
        <v>2688</v>
      </c>
      <c r="CF21" s="55"/>
      <c r="CG21" s="55">
        <f ca="1">HLOOKUP(CF20,CZ13:IJ26,2)</f>
        <v>30</v>
      </c>
      <c r="CH21" s="55">
        <f ca="1">HLOOKUP(CF20,CZ13:IJ26,3)</f>
        <v>30</v>
      </c>
      <c r="CI21" s="55">
        <f ca="1">HLOOKUP(CF20,CZ13:IJ26,4)</f>
        <v>29</v>
      </c>
      <c r="CJ21" s="55">
        <f ca="1">HLOOKUP(CF20,CZ13:IJ26,5)</f>
        <v>30</v>
      </c>
      <c r="CK21" s="55">
        <f ca="1">HLOOKUP(CF20,CZ13:IJ26,6)</f>
        <v>29</v>
      </c>
      <c r="CL21" s="55">
        <f ca="1">HLOOKUP(CF20,CZ13:IJ26,7)</f>
        <v>30</v>
      </c>
      <c r="CM21" s="55">
        <f ca="1">HLOOKUP(CF20,CZ13:IJ26,8)</f>
        <v>29</v>
      </c>
      <c r="CN21" s="55">
        <f ca="1">HLOOKUP(CF20,CZ13:IJ26,9)</f>
        <v>29</v>
      </c>
      <c r="CO21" s="55">
        <f ca="1">HLOOKUP(CF20,CZ13:IJ26,10)</f>
        <v>30</v>
      </c>
      <c r="CP21" s="55">
        <f ca="1">HLOOKUP(CF20,CZ13:IJ26,11)</f>
        <v>29</v>
      </c>
      <c r="CQ21" s="55">
        <f ca="1">HLOOKUP(CF20,CZ13:IJ26,12)</f>
        <v>30</v>
      </c>
      <c r="CR21" s="55">
        <f ca="1">HLOOKUP(CF20,CZ13:IJ26,13)</f>
        <v>29</v>
      </c>
      <c r="CS21" s="69">
        <f ca="1">HLOOKUP(CF20,CZ13:IJ26,14)</f>
        <v>0</v>
      </c>
      <c r="CT21" s="55"/>
      <c r="CU21" s="55"/>
      <c r="CV21" s="56"/>
      <c r="CW21" s="55"/>
      <c r="CX21" s="55"/>
      <c r="CY21" s="52">
        <v>8</v>
      </c>
      <c r="CZ21" s="120">
        <v>29</v>
      </c>
      <c r="DA21" s="120">
        <v>30</v>
      </c>
      <c r="DB21" s="120">
        <v>29</v>
      </c>
      <c r="DC21" s="120">
        <v>29</v>
      </c>
      <c r="DD21" s="120">
        <v>30</v>
      </c>
      <c r="DE21" s="120">
        <v>29</v>
      </c>
      <c r="DF21" s="120">
        <v>29</v>
      </c>
      <c r="DG21" s="120">
        <v>29</v>
      </c>
      <c r="DH21" s="120">
        <v>29</v>
      </c>
      <c r="DI21" s="120">
        <v>29</v>
      </c>
      <c r="DJ21" s="120">
        <v>29</v>
      </c>
      <c r="DK21" s="120">
        <v>29</v>
      </c>
      <c r="DL21" s="120">
        <v>29</v>
      </c>
      <c r="DM21" s="120">
        <v>30</v>
      </c>
      <c r="DN21" s="120">
        <v>30</v>
      </c>
      <c r="DO21" s="120">
        <v>29</v>
      </c>
      <c r="DP21" s="120">
        <v>29</v>
      </c>
      <c r="DQ21" s="120">
        <v>30</v>
      </c>
      <c r="DR21" s="120">
        <v>30</v>
      </c>
      <c r="DS21" s="120">
        <v>30</v>
      </c>
      <c r="DT21" s="120">
        <v>29</v>
      </c>
      <c r="DU21" s="120">
        <v>29</v>
      </c>
      <c r="DV21" s="120">
        <v>29</v>
      </c>
      <c r="DW21" s="120">
        <v>30</v>
      </c>
      <c r="DX21" s="120">
        <v>30</v>
      </c>
      <c r="DY21" s="120">
        <v>30</v>
      </c>
      <c r="DZ21" s="120">
        <v>30</v>
      </c>
      <c r="EA21" s="120">
        <v>30</v>
      </c>
      <c r="EB21" s="120">
        <v>30</v>
      </c>
      <c r="EC21" s="120">
        <v>29</v>
      </c>
      <c r="ED21" s="120">
        <v>29</v>
      </c>
      <c r="EE21" s="120">
        <v>29</v>
      </c>
      <c r="EF21" s="120">
        <v>30</v>
      </c>
      <c r="EG21" s="120">
        <v>29</v>
      </c>
      <c r="EH21" s="120">
        <v>30</v>
      </c>
      <c r="EI21" s="120">
        <v>30</v>
      </c>
      <c r="EJ21" s="120">
        <v>29</v>
      </c>
      <c r="EK21" s="120">
        <v>30</v>
      </c>
      <c r="EL21" s="120">
        <v>30</v>
      </c>
      <c r="EM21" s="120">
        <v>29</v>
      </c>
      <c r="EN21" s="120">
        <v>29</v>
      </c>
      <c r="EO21" s="120">
        <v>30</v>
      </c>
      <c r="EP21" s="120">
        <v>29</v>
      </c>
      <c r="EQ21" s="120">
        <v>29</v>
      </c>
      <c r="ER21" s="120">
        <v>30</v>
      </c>
      <c r="ES21" s="120">
        <v>29</v>
      </c>
      <c r="ET21" s="120">
        <v>30</v>
      </c>
      <c r="EU21" s="120">
        <v>30</v>
      </c>
      <c r="EV21" s="120">
        <v>29</v>
      </c>
      <c r="EW21" s="120">
        <v>29</v>
      </c>
      <c r="EX21" s="120">
        <v>30</v>
      </c>
      <c r="EY21" s="120">
        <v>30</v>
      </c>
      <c r="EZ21" s="120">
        <v>30</v>
      </c>
      <c r="FA21" s="120">
        <v>30</v>
      </c>
      <c r="FB21" s="120">
        <v>29</v>
      </c>
      <c r="FC21" s="120">
        <v>29</v>
      </c>
      <c r="FD21" s="120">
        <v>30</v>
      </c>
      <c r="FE21" s="120">
        <v>30</v>
      </c>
      <c r="FF21" s="120">
        <v>29</v>
      </c>
      <c r="FG21" s="120">
        <v>30</v>
      </c>
      <c r="FH21" s="120">
        <v>30</v>
      </c>
      <c r="FI21" s="120">
        <v>30</v>
      </c>
      <c r="FJ21" s="120">
        <v>30</v>
      </c>
      <c r="FK21" s="120">
        <v>30</v>
      </c>
      <c r="FL21" s="120">
        <v>29</v>
      </c>
      <c r="FM21" s="120">
        <v>30</v>
      </c>
      <c r="FN21" s="120">
        <v>30</v>
      </c>
      <c r="FO21" s="120">
        <v>29</v>
      </c>
      <c r="FP21" s="120">
        <v>29</v>
      </c>
      <c r="FQ21" s="120">
        <v>29</v>
      </c>
      <c r="FR21" s="120">
        <v>29</v>
      </c>
      <c r="FS21" s="120">
        <v>29</v>
      </c>
      <c r="FT21" s="120">
        <v>29</v>
      </c>
      <c r="FU21" s="120">
        <v>29</v>
      </c>
      <c r="FV21" s="120">
        <v>29</v>
      </c>
      <c r="FW21" s="120">
        <v>30</v>
      </c>
      <c r="FX21" s="120">
        <v>30</v>
      </c>
      <c r="FY21" s="120">
        <v>30</v>
      </c>
      <c r="FZ21" s="120">
        <v>29</v>
      </c>
      <c r="GA21" s="120">
        <v>30</v>
      </c>
      <c r="GB21" s="120">
        <v>30</v>
      </c>
      <c r="GC21" s="120">
        <v>29</v>
      </c>
      <c r="GD21" s="120">
        <v>29</v>
      </c>
      <c r="GE21" s="120">
        <v>29</v>
      </c>
      <c r="GF21" s="120">
        <v>30</v>
      </c>
      <c r="GG21" s="120">
        <v>30</v>
      </c>
      <c r="GH21" s="120">
        <v>30</v>
      </c>
      <c r="GI21" s="120">
        <v>30</v>
      </c>
      <c r="GJ21" s="120">
        <v>30</v>
      </c>
      <c r="GK21" s="120">
        <v>30</v>
      </c>
      <c r="GL21" s="120">
        <v>30</v>
      </c>
      <c r="GM21" s="120">
        <v>29</v>
      </c>
      <c r="GN21" s="120">
        <v>29</v>
      </c>
      <c r="GO21" s="120">
        <v>29</v>
      </c>
      <c r="GP21" s="120">
        <v>29</v>
      </c>
      <c r="GQ21" s="120">
        <v>29</v>
      </c>
      <c r="GR21" s="120">
        <v>29</v>
      </c>
      <c r="GS21" s="120">
        <v>30</v>
      </c>
      <c r="GT21" s="120">
        <v>29</v>
      </c>
      <c r="GU21" s="120">
        <v>30</v>
      </c>
      <c r="GV21" s="120">
        <v>29</v>
      </c>
      <c r="GW21" s="120">
        <v>29</v>
      </c>
      <c r="GX21" s="120">
        <v>29</v>
      </c>
      <c r="GY21" s="120">
        <v>29</v>
      </c>
      <c r="GZ21" s="120">
        <v>29</v>
      </c>
      <c r="HA21" s="120">
        <v>29</v>
      </c>
      <c r="HB21" s="120">
        <v>30</v>
      </c>
      <c r="HC21" s="120">
        <v>29</v>
      </c>
      <c r="HD21" s="120">
        <v>30</v>
      </c>
      <c r="HE21" s="120">
        <v>30</v>
      </c>
      <c r="HF21" s="120">
        <v>29</v>
      </c>
      <c r="HG21" s="120">
        <v>30</v>
      </c>
      <c r="HH21" s="120">
        <v>30</v>
      </c>
      <c r="HI21" s="120">
        <v>30</v>
      </c>
      <c r="HJ21" s="120">
        <v>30</v>
      </c>
      <c r="HK21" s="120">
        <v>30</v>
      </c>
      <c r="HL21" s="120">
        <v>29</v>
      </c>
      <c r="HM21" s="120">
        <v>29</v>
      </c>
      <c r="HN21" s="120">
        <v>30</v>
      </c>
      <c r="HO21" s="120">
        <v>29</v>
      </c>
      <c r="HP21" s="120">
        <v>29</v>
      </c>
      <c r="HQ21" s="120">
        <v>30</v>
      </c>
      <c r="HR21" s="120">
        <v>30</v>
      </c>
      <c r="HS21" s="120">
        <v>30</v>
      </c>
      <c r="HT21" s="120">
        <v>30</v>
      </c>
      <c r="HU21" s="120">
        <v>29</v>
      </c>
      <c r="HV21" s="120">
        <v>29</v>
      </c>
      <c r="HW21" s="120">
        <v>30</v>
      </c>
      <c r="HX21" s="120">
        <v>30</v>
      </c>
      <c r="HY21" s="120">
        <v>29</v>
      </c>
      <c r="HZ21" s="120">
        <v>30</v>
      </c>
      <c r="IA21" s="120">
        <v>29</v>
      </c>
      <c r="IB21" s="120">
        <v>29</v>
      </c>
      <c r="IC21" s="120">
        <v>29</v>
      </c>
      <c r="ID21" s="120">
        <v>29</v>
      </c>
      <c r="IE21" s="120">
        <v>29</v>
      </c>
      <c r="IF21" s="120">
        <v>29</v>
      </c>
      <c r="IG21" s="120">
        <v>30</v>
      </c>
      <c r="IH21" s="120">
        <v>29</v>
      </c>
      <c r="II21" s="120">
        <v>30</v>
      </c>
      <c r="IJ21" s="121">
        <v>29</v>
      </c>
      <c r="IK21" s="51"/>
      <c r="IL21" s="51"/>
    </row>
    <row r="22" spans="1:246" ht="12.95" customHeight="1">
      <c r="B22" s="2">
        <f ca="1">DAY(B19)</f>
        <v>16</v>
      </c>
      <c r="C22" s="629"/>
      <c r="D22" s="8" t="s">
        <v>3734</v>
      </c>
      <c r="I22" s="475" t="str">
        <f ca="1">IF(MOD(H13,2)=1,H13,"")</f>
        <v/>
      </c>
      <c r="J22" s="537">
        <f ca="1">IF(MOD(H13,2)=0,H13,"")</f>
        <v>10</v>
      </c>
      <c r="K22" s="538" t="str">
        <f ca="1">G27&amp;G28</f>
        <v>111000</v>
      </c>
      <c r="L22" s="539" t="str">
        <f ca="1">L23&amp;L24&amp;L25&amp;L26&amp;L27&amp;L28</f>
        <v>000101</v>
      </c>
      <c r="M22" s="1020" t="str">
        <f ca="1">IF(K22="","",HLOOKUP(K22,'64Quẻ'!B4:DX5,2,0))</f>
        <v>Bĩ</v>
      </c>
      <c r="N22" s="1021"/>
      <c r="O22" s="1021" t="str">
        <f ca="1">IF(L22="","",HLOOKUP(L22,'64Quẻ'!B4:DX5,2,0))</f>
        <v>M.Di</v>
      </c>
      <c r="P22" s="1022"/>
      <c r="Q22" s="543" t="s">
        <v>4204</v>
      </c>
      <c r="R22" s="544" t="s">
        <v>4205</v>
      </c>
      <c r="S22" s="544" t="s">
        <v>4204</v>
      </c>
      <c r="T22" s="544" t="s">
        <v>4205</v>
      </c>
      <c r="U22" s="544" t="s">
        <v>4204</v>
      </c>
      <c r="V22" s="544" t="s">
        <v>4205</v>
      </c>
      <c r="W22" s="544" t="s">
        <v>4204</v>
      </c>
      <c r="X22" s="494" t="s">
        <v>4205</v>
      </c>
      <c r="Z22" s="38" t="str">
        <f ca="1">IF(Z8="","",HLOOKUP(Z8,'64Quẻ'!D5:DW23,15,0))</f>
        <v>———</v>
      </c>
      <c r="AA22" s="9">
        <v>5</v>
      </c>
      <c r="AC22" s="2" t="str">
        <f ca="1">IF(AC8="","",HLOOKUP(AC8,'64Quẻ'!DZ5:EC23,15,0))</f>
        <v/>
      </c>
      <c r="AD22" s="9">
        <v>5</v>
      </c>
      <c r="AF22" s="2" t="str">
        <f ca="1">IF(AF8="","",HLOOKUP(AF8,'64Quẻ'!ED5:EG23,15,0))</f>
        <v/>
      </c>
      <c r="AG22" s="9">
        <v>5</v>
      </c>
      <c r="AI22" s="2" t="str">
        <f ca="1">IF(AI8="","",HLOOKUP(AI8,'64Quẻ'!EH5:EK23,15,0))</f>
        <v/>
      </c>
      <c r="AJ22" s="213">
        <v>5</v>
      </c>
      <c r="AK22" s="454"/>
      <c r="AP22" s="664" t="str">
        <f ca="1">AP16&amp;AP17&amp;AP18&amp;AP19&amp;AP20&amp;AP21</f>
        <v>110100</v>
      </c>
      <c r="AQ22" s="665"/>
      <c r="AR22" s="666" t="str">
        <f ca="1">IF(OR(AU5=AR16,AU5=AR17,AU5=AR18,AU5=AR19),"HC","")</f>
        <v>HC</v>
      </c>
      <c r="AS22" s="654" t="str">
        <f ca="1">'Đại Vận'!C54</f>
        <v>31-36 Tuổi</v>
      </c>
      <c r="AT22" s="219" t="str">
        <f ca="1">'Đại Vận'!C61</f>
        <v>Bĩ</v>
      </c>
      <c r="AU22" s="495">
        <f ca="1">VLOOKUP(5,AK4:AO15,5,0)</f>
        <v>3</v>
      </c>
      <c r="AV22" s="732"/>
      <c r="AW22" s="733"/>
      <c r="AY22" s="247"/>
      <c r="AZ22" s="733"/>
      <c r="BA22" s="212"/>
      <c r="BB22" s="730"/>
      <c r="BC22" s="647"/>
      <c r="BD22" s="730"/>
      <c r="BE22" s="120"/>
      <c r="BF22" s="212"/>
      <c r="BG22" s="729"/>
      <c r="BH22" s="17"/>
      <c r="BI22" s="14"/>
      <c r="BJ22" s="8"/>
      <c r="BM22" s="729"/>
      <c r="BN22" s="731"/>
      <c r="BO22" s="707"/>
      <c r="BP22" s="661"/>
      <c r="BQ22" s="706"/>
      <c r="BR22" s="212"/>
      <c r="BS22" s="704"/>
      <c r="BT22" s="704"/>
      <c r="BW22" s="51"/>
      <c r="BX22" s="51"/>
      <c r="BY22" s="51"/>
      <c r="BZ22" s="51"/>
      <c r="CA22" s="51"/>
      <c r="CB22" s="51"/>
      <c r="CC22" s="52"/>
      <c r="CD22" s="144" t="s">
        <v>2035</v>
      </c>
      <c r="CE22" s="54" t="s">
        <v>2688</v>
      </c>
      <c r="CF22" s="55">
        <v>0</v>
      </c>
      <c r="CG22" s="55">
        <f ca="1">SUM($CG$21:CG21)</f>
        <v>30</v>
      </c>
      <c r="CH22" s="55">
        <f ca="1">SUM($CG$21:CH21)</f>
        <v>60</v>
      </c>
      <c r="CI22" s="88">
        <f ca="1">SUM($CG$21:CI21)</f>
        <v>89</v>
      </c>
      <c r="CJ22" s="55">
        <f ca="1">SUM($CG$21:CJ21)</f>
        <v>119</v>
      </c>
      <c r="CK22" s="55">
        <f ca="1">SUM($CG$21:CK21)</f>
        <v>148</v>
      </c>
      <c r="CL22" s="55">
        <f ca="1">SUM($CG$21:CL21)</f>
        <v>178</v>
      </c>
      <c r="CM22" s="55">
        <f ca="1">SUM($CG$21:CM21)</f>
        <v>207</v>
      </c>
      <c r="CN22" s="55">
        <f ca="1">SUM($CG$21:CN21)</f>
        <v>236</v>
      </c>
      <c r="CO22" s="55">
        <f ca="1">SUM($CG$21:CO21)</f>
        <v>266</v>
      </c>
      <c r="CP22" s="55">
        <f ca="1">SUM($CG$21:CP21)</f>
        <v>295</v>
      </c>
      <c r="CQ22" s="55">
        <f ca="1">SUM($CG$21:CQ21)</f>
        <v>325</v>
      </c>
      <c r="CR22" s="55">
        <f ca="1">SUM($CG$21:CR21)</f>
        <v>354</v>
      </c>
      <c r="CS22" s="69">
        <f ca="1">SUM($CG$21:CS21)</f>
        <v>354</v>
      </c>
      <c r="CT22" s="55"/>
      <c r="CU22" s="55"/>
      <c r="CV22" s="56"/>
      <c r="CW22" s="55"/>
      <c r="CX22" s="55"/>
      <c r="CY22" s="52">
        <v>9</v>
      </c>
      <c r="CZ22" s="120">
        <v>30</v>
      </c>
      <c r="DA22" s="120">
        <v>29</v>
      </c>
      <c r="DB22" s="120">
        <v>29</v>
      </c>
      <c r="DC22" s="120">
        <v>29</v>
      </c>
      <c r="DD22" s="120">
        <v>29</v>
      </c>
      <c r="DE22" s="120">
        <v>30</v>
      </c>
      <c r="DF22" s="120">
        <v>30</v>
      </c>
      <c r="DG22" s="120">
        <v>30</v>
      </c>
      <c r="DH22" s="120">
        <v>30</v>
      </c>
      <c r="DI22" s="120">
        <v>30</v>
      </c>
      <c r="DJ22" s="120">
        <v>30</v>
      </c>
      <c r="DK22" s="120">
        <v>30</v>
      </c>
      <c r="DL22" s="120">
        <v>29</v>
      </c>
      <c r="DM22" s="120">
        <v>29</v>
      </c>
      <c r="DN22" s="120">
        <v>29</v>
      </c>
      <c r="DO22" s="120">
        <v>30</v>
      </c>
      <c r="DP22" s="120">
        <v>30</v>
      </c>
      <c r="DQ22" s="120">
        <v>30</v>
      </c>
      <c r="DR22" s="120">
        <v>30</v>
      </c>
      <c r="DS22" s="120">
        <v>30</v>
      </c>
      <c r="DT22" s="120">
        <v>30</v>
      </c>
      <c r="DU22" s="120">
        <v>29</v>
      </c>
      <c r="DV22" s="120">
        <v>29</v>
      </c>
      <c r="DW22" s="120">
        <v>29</v>
      </c>
      <c r="DX22" s="120">
        <v>30</v>
      </c>
      <c r="DY22" s="120">
        <v>29</v>
      </c>
      <c r="DZ22" s="120">
        <v>30</v>
      </c>
      <c r="EA22" s="120">
        <v>29</v>
      </c>
      <c r="EB22" s="120">
        <v>29</v>
      </c>
      <c r="EC22" s="120">
        <v>30</v>
      </c>
      <c r="ED22" s="120">
        <v>30</v>
      </c>
      <c r="EE22" s="120">
        <v>29</v>
      </c>
      <c r="EF22" s="120">
        <v>29</v>
      </c>
      <c r="EG22" s="120">
        <v>30</v>
      </c>
      <c r="EH22" s="120">
        <v>29</v>
      </c>
      <c r="EI22" s="120">
        <v>29</v>
      </c>
      <c r="EJ22" s="120">
        <v>30</v>
      </c>
      <c r="EK22" s="120">
        <v>29</v>
      </c>
      <c r="EL22" s="120">
        <v>29</v>
      </c>
      <c r="EM22" s="120">
        <v>30</v>
      </c>
      <c r="EN22" s="120">
        <v>29</v>
      </c>
      <c r="EO22" s="120">
        <v>29</v>
      </c>
      <c r="EP22" s="120">
        <v>30</v>
      </c>
      <c r="EQ22" s="120">
        <v>30</v>
      </c>
      <c r="ER22" s="120">
        <v>30</v>
      </c>
      <c r="ES22" s="120">
        <v>30</v>
      </c>
      <c r="ET22" s="120">
        <v>29</v>
      </c>
      <c r="EU22" s="120">
        <v>29</v>
      </c>
      <c r="EV22" s="120">
        <v>30</v>
      </c>
      <c r="EW22" s="120">
        <v>30</v>
      </c>
      <c r="EX22" s="120">
        <v>29</v>
      </c>
      <c r="EY22" s="120">
        <v>30</v>
      </c>
      <c r="EZ22" s="120">
        <v>30</v>
      </c>
      <c r="FA22" s="120">
        <v>30</v>
      </c>
      <c r="FB22" s="120">
        <v>30</v>
      </c>
      <c r="FC22" s="120">
        <v>30</v>
      </c>
      <c r="FD22" s="120">
        <v>29</v>
      </c>
      <c r="FE22" s="120">
        <v>29</v>
      </c>
      <c r="FF22" s="120">
        <v>30</v>
      </c>
      <c r="FG22" s="120">
        <v>29</v>
      </c>
      <c r="FH22" s="120">
        <v>29</v>
      </c>
      <c r="FI22" s="120">
        <v>29</v>
      </c>
      <c r="FJ22" s="120">
        <v>29</v>
      </c>
      <c r="FK22" s="120">
        <v>29</v>
      </c>
      <c r="FL22" s="120">
        <v>29</v>
      </c>
      <c r="FM22" s="120">
        <v>29</v>
      </c>
      <c r="FN22" s="120">
        <v>29</v>
      </c>
      <c r="FO22" s="120">
        <v>30</v>
      </c>
      <c r="FP22" s="120">
        <v>30</v>
      </c>
      <c r="FQ22" s="120">
        <v>30</v>
      </c>
      <c r="FR22" s="120">
        <v>30</v>
      </c>
      <c r="FS22" s="120">
        <v>30</v>
      </c>
      <c r="FT22" s="120">
        <v>30</v>
      </c>
      <c r="FU22" s="120">
        <v>29</v>
      </c>
      <c r="FV22" s="120">
        <v>29</v>
      </c>
      <c r="FW22" s="120">
        <v>29</v>
      </c>
      <c r="FX22" s="120">
        <v>29</v>
      </c>
      <c r="FY22" s="120">
        <v>30</v>
      </c>
      <c r="FZ22" s="120">
        <v>30</v>
      </c>
      <c r="GA22" s="120">
        <v>30</v>
      </c>
      <c r="GB22" s="120">
        <v>30</v>
      </c>
      <c r="GC22" s="120">
        <v>30</v>
      </c>
      <c r="GD22" s="120">
        <v>30</v>
      </c>
      <c r="GE22" s="120">
        <v>29</v>
      </c>
      <c r="GF22" s="120">
        <v>29</v>
      </c>
      <c r="GG22" s="120">
        <v>29</v>
      </c>
      <c r="GH22" s="120">
        <v>30</v>
      </c>
      <c r="GI22" s="120">
        <v>29</v>
      </c>
      <c r="GJ22" s="120">
        <v>29</v>
      </c>
      <c r="GK22" s="120">
        <v>29</v>
      </c>
      <c r="GL22" s="120">
        <v>29</v>
      </c>
      <c r="GM22" s="120">
        <v>30</v>
      </c>
      <c r="GN22" s="120">
        <v>29</v>
      </c>
      <c r="GO22" s="120">
        <v>29</v>
      </c>
      <c r="GP22" s="120">
        <v>30</v>
      </c>
      <c r="GQ22" s="120">
        <v>30</v>
      </c>
      <c r="GR22" s="120">
        <v>30</v>
      </c>
      <c r="GS22" s="120">
        <v>29</v>
      </c>
      <c r="GT22" s="120">
        <v>30</v>
      </c>
      <c r="GU22" s="120">
        <v>29</v>
      </c>
      <c r="GV22" s="120">
        <v>30</v>
      </c>
      <c r="GW22" s="120">
        <v>30</v>
      </c>
      <c r="GX22" s="120">
        <v>29</v>
      </c>
      <c r="GY22" s="120">
        <v>30</v>
      </c>
      <c r="GZ22" s="120">
        <v>30</v>
      </c>
      <c r="HA22" s="120">
        <v>30</v>
      </c>
      <c r="HB22" s="120">
        <v>30</v>
      </c>
      <c r="HC22" s="120">
        <v>30</v>
      </c>
      <c r="HD22" s="120">
        <v>29</v>
      </c>
      <c r="HE22" s="120">
        <v>29</v>
      </c>
      <c r="HF22" s="120">
        <v>30</v>
      </c>
      <c r="HG22" s="120">
        <v>29</v>
      </c>
      <c r="HH22" s="120">
        <v>29</v>
      </c>
      <c r="HI22" s="120">
        <v>30</v>
      </c>
      <c r="HJ22" s="120">
        <v>30</v>
      </c>
      <c r="HK22" s="120">
        <v>30</v>
      </c>
      <c r="HL22" s="120">
        <v>30</v>
      </c>
      <c r="HM22" s="120">
        <v>30</v>
      </c>
      <c r="HN22" s="120">
        <v>29</v>
      </c>
      <c r="HO22" s="120">
        <v>30</v>
      </c>
      <c r="HP22" s="120">
        <v>30</v>
      </c>
      <c r="HQ22" s="120">
        <v>29</v>
      </c>
      <c r="HR22" s="120">
        <v>30</v>
      </c>
      <c r="HS22" s="120">
        <v>29</v>
      </c>
      <c r="HT22" s="120">
        <v>29</v>
      </c>
      <c r="HU22" s="120">
        <v>30</v>
      </c>
      <c r="HV22" s="120">
        <v>29</v>
      </c>
      <c r="HW22" s="120">
        <v>29</v>
      </c>
      <c r="HX22" s="120">
        <v>29</v>
      </c>
      <c r="HY22" s="120">
        <v>30</v>
      </c>
      <c r="HZ22" s="120">
        <v>29</v>
      </c>
      <c r="IA22" s="120">
        <v>30</v>
      </c>
      <c r="IB22" s="120">
        <v>30</v>
      </c>
      <c r="IC22" s="120">
        <v>30</v>
      </c>
      <c r="ID22" s="120">
        <v>30</v>
      </c>
      <c r="IE22" s="120">
        <v>29</v>
      </c>
      <c r="IF22" s="120">
        <v>29</v>
      </c>
      <c r="IG22" s="120">
        <v>29</v>
      </c>
      <c r="IH22" s="120">
        <v>30</v>
      </c>
      <c r="II22" s="120">
        <v>30</v>
      </c>
      <c r="IJ22" s="121">
        <v>30</v>
      </c>
      <c r="IK22" s="51"/>
      <c r="IL22" s="51"/>
    </row>
    <row r="23" spans="1:246" ht="12.95" customHeight="1">
      <c r="A23" s="262" t="str">
        <f ca="1">VLOOKUP(B21&amp;B20,TiếtKhí!B3:D3626,2,0)&amp;" :"</f>
        <v>Thanh minh :</v>
      </c>
      <c r="B23" s="506">
        <f ca="1">VLOOKUP(B21&amp;B20,TiếtKhí!B3:D3626,3,0)</f>
        <v>46117.068333333329</v>
      </c>
      <c r="C23" s="630"/>
      <c r="D23" s="8" t="s">
        <v>3735</v>
      </c>
      <c r="G23" s="16" t="s">
        <v>2158</v>
      </c>
      <c r="H23" s="496">
        <f ca="1">SUM(I11:I22)</f>
        <v>20</v>
      </c>
      <c r="I23" s="497">
        <f ca="1">SUM(J11:J22)</f>
        <v>56</v>
      </c>
      <c r="J23" s="16">
        <v>6</v>
      </c>
      <c r="K23" s="528">
        <f ca="1">IF('Thể cách'!M4="———",1,0)</f>
        <v>1</v>
      </c>
      <c r="L23" s="540">
        <f ca="1">IF(AND('Thể cách'!L7="NĐ",K26=0),1,IF(AND('Thể cách'!L7="NĐ",K26=1),0,K26))</f>
        <v>0</v>
      </c>
      <c r="M23" s="463">
        <f ca="1">IF(AA40=6,"1",(N24+1))</f>
        <v>10</v>
      </c>
      <c r="N23" s="464">
        <f t="shared" ref="N23:N28" ca="1" si="11">IF(K23=1,(M23+8),(M23+5))</f>
        <v>18</v>
      </c>
      <c r="O23" s="465">
        <f ca="1">IF(AA40=3,(MAX(N23:N28)+1),(P24+1))</f>
        <v>73</v>
      </c>
      <c r="P23" s="464">
        <f t="shared" ref="P23:P28" ca="1" si="12">IF(L23=1,(O23+8),(O23+5))</f>
        <v>78</v>
      </c>
      <c r="Q23" s="545" t="str">
        <f ca="1">K23&amp;K24&amp;K25</f>
        <v>111</v>
      </c>
      <c r="R23" s="490" t="str">
        <f ca="1">K26&amp;K27&amp;K28</f>
        <v>000</v>
      </c>
      <c r="S23" s="212" t="str">
        <f ca="1">L23&amp;L24&amp;L25</f>
        <v>000</v>
      </c>
      <c r="T23" s="212" t="str">
        <f ca="1">L26&amp;L27&amp;L28</f>
        <v>101</v>
      </c>
      <c r="U23" s="546" t="str">
        <f ca="1">K24&amp;K25&amp;K26</f>
        <v>110</v>
      </c>
      <c r="V23" s="546" t="str">
        <f ca="1">K25&amp;K26&amp;K27</f>
        <v>100</v>
      </c>
      <c r="W23" s="212" t="str">
        <f ca="1">L24&amp;L25&amp;L26</f>
        <v>001</v>
      </c>
      <c r="X23" s="495" t="str">
        <f ca="1">L25&amp;L26&amp;L27</f>
        <v>010</v>
      </c>
      <c r="Z23" s="38" t="str">
        <f ca="1">IF(Z8="","",HLOOKUP(Z8,'64Quẻ'!D5:DW23,16,0))</f>
        <v>———</v>
      </c>
      <c r="AA23" s="9">
        <v>4</v>
      </c>
      <c r="AC23" s="2" t="str">
        <f ca="1">IF(AC8="","",HLOOKUP(AC8,'64Quẻ'!DZ5:EC23,16,0))</f>
        <v/>
      </c>
      <c r="AD23" s="9">
        <v>4</v>
      </c>
      <c r="AF23" s="2" t="str">
        <f ca="1">IF(AF8="","",HLOOKUP(AF8,'64Quẻ'!ED5:EG23,16,0))</f>
        <v/>
      </c>
      <c r="AG23" s="9">
        <v>4</v>
      </c>
      <c r="AI23" s="2" t="str">
        <f ca="1">IF(AI8="","",HLOOKUP(AI8,'64Quẻ'!EH5:EK23,16,0))</f>
        <v/>
      </c>
      <c r="AJ23" s="213">
        <v>4</v>
      </c>
      <c r="AK23" s="454"/>
      <c r="AP23" s="659">
        <f ca="1">IF(AND('Vận Năm'!B30="*",AP16=0),1,IF(AND('Vận Năm'!B30="*",AP16=1),0,AP16))</f>
        <v>1</v>
      </c>
      <c r="AQ23" s="544">
        <f ca="1">AQ9+2</f>
        <v>2034</v>
      </c>
      <c r="AR23" s="494" t="str">
        <f ca="1">AP23&amp;AP24&amp;AP25</f>
        <v>100</v>
      </c>
      <c r="AS23" s="654" t="str">
        <f ca="1">'Đại Vận'!C66</f>
        <v>37-45 Tuổi</v>
      </c>
      <c r="AT23" s="219" t="str">
        <f ca="1">'Đại Vận'!C73</f>
        <v>Bĩ</v>
      </c>
      <c r="AU23" s="495">
        <f ca="1">VLOOKUP(6,AK4:AO15,5,0)</f>
        <v>4</v>
      </c>
      <c r="AV23" s="713"/>
      <c r="AW23" s="714"/>
      <c r="AY23" s="715"/>
      <c r="AZ23" s="714"/>
      <c r="BA23" s="212"/>
      <c r="BB23" s="730"/>
      <c r="BC23" s="647"/>
      <c r="BD23" s="730"/>
      <c r="BE23" s="120"/>
      <c r="BF23" s="212"/>
      <c r="BG23" s="729"/>
      <c r="BH23" s="17"/>
      <c r="BI23" s="14"/>
      <c r="BJ23" s="8"/>
      <c r="BM23" s="729"/>
      <c r="BN23" s="731"/>
      <c r="BO23" s="707"/>
      <c r="BP23" s="661"/>
      <c r="BQ23" s="706"/>
      <c r="BR23" s="212"/>
      <c r="BS23" s="704"/>
      <c r="BT23" s="704"/>
      <c r="BW23" s="51"/>
      <c r="BX23" s="51"/>
      <c r="BY23" s="51"/>
      <c r="BZ23" s="51"/>
      <c r="CA23" s="51"/>
      <c r="CB23" s="51"/>
      <c r="CC23" s="52"/>
      <c r="CD23" s="145" t="s">
        <v>481</v>
      </c>
      <c r="CE23" s="93" t="s">
        <v>2688</v>
      </c>
      <c r="CF23" s="96">
        <f t="shared" ref="CF23:CS23" si="13">CG20</f>
        <v>1</v>
      </c>
      <c r="CG23" s="96">
        <f t="shared" ca="1" si="13"/>
        <v>2</v>
      </c>
      <c r="CH23" s="146">
        <f t="shared" ca="1" si="13"/>
        <v>3</v>
      </c>
      <c r="CI23" s="96">
        <f t="shared" ca="1" si="13"/>
        <v>4</v>
      </c>
      <c r="CJ23" s="96">
        <f t="shared" ca="1" si="13"/>
        <v>5</v>
      </c>
      <c r="CK23" s="96">
        <f t="shared" ca="1" si="13"/>
        <v>6</v>
      </c>
      <c r="CL23" s="96">
        <f t="shared" ca="1" si="13"/>
        <v>7</v>
      </c>
      <c r="CM23" s="96">
        <f t="shared" ca="1" si="13"/>
        <v>8</v>
      </c>
      <c r="CN23" s="96">
        <f t="shared" ca="1" si="13"/>
        <v>9</v>
      </c>
      <c r="CO23" s="96">
        <f t="shared" ca="1" si="13"/>
        <v>10</v>
      </c>
      <c r="CP23" s="96">
        <f t="shared" ca="1" si="13"/>
        <v>11</v>
      </c>
      <c r="CQ23" s="96">
        <f t="shared" ca="1" si="13"/>
        <v>12</v>
      </c>
      <c r="CR23" s="96">
        <f t="shared" ca="1" si="13"/>
        <v>13</v>
      </c>
      <c r="CS23" s="95">
        <f t="shared" si="13"/>
        <v>0</v>
      </c>
      <c r="CT23" s="55"/>
      <c r="CU23" s="55"/>
      <c r="CV23" s="56"/>
      <c r="CW23" s="55"/>
      <c r="CX23" s="55"/>
      <c r="CY23" s="52">
        <v>10</v>
      </c>
      <c r="CZ23" s="120">
        <v>30</v>
      </c>
      <c r="DA23" s="120">
        <v>30</v>
      </c>
      <c r="DB23" s="120">
        <v>30</v>
      </c>
      <c r="DC23" s="120">
        <v>30</v>
      </c>
      <c r="DD23" s="120">
        <v>30</v>
      </c>
      <c r="DE23" s="120">
        <v>29</v>
      </c>
      <c r="DF23" s="120">
        <v>29</v>
      </c>
      <c r="DG23" s="120">
        <v>30</v>
      </c>
      <c r="DH23" s="120">
        <v>30</v>
      </c>
      <c r="DI23" s="120">
        <v>30</v>
      </c>
      <c r="DJ23" s="120">
        <v>30</v>
      </c>
      <c r="DK23" s="120">
        <v>30</v>
      </c>
      <c r="DL23" s="120">
        <v>30</v>
      </c>
      <c r="DM23" s="120">
        <v>30</v>
      </c>
      <c r="DN23" s="120">
        <v>30</v>
      </c>
      <c r="DO23" s="120">
        <v>29</v>
      </c>
      <c r="DP23" s="120">
        <v>30</v>
      </c>
      <c r="DQ23" s="120">
        <v>29</v>
      </c>
      <c r="DR23" s="120">
        <v>29</v>
      </c>
      <c r="DS23" s="120">
        <v>29</v>
      </c>
      <c r="DT23" s="120">
        <v>29</v>
      </c>
      <c r="DU23" s="120">
        <v>30</v>
      </c>
      <c r="DV23" s="120">
        <v>30</v>
      </c>
      <c r="DW23" s="120">
        <v>30</v>
      </c>
      <c r="DX23" s="120">
        <v>29</v>
      </c>
      <c r="DY23" s="120">
        <v>30</v>
      </c>
      <c r="DZ23" s="120">
        <v>29</v>
      </c>
      <c r="EA23" s="120">
        <v>30</v>
      </c>
      <c r="EB23" s="120">
        <v>30</v>
      </c>
      <c r="EC23" s="120">
        <v>29</v>
      </c>
      <c r="ED23" s="120">
        <v>29</v>
      </c>
      <c r="EE23" s="120">
        <v>30</v>
      </c>
      <c r="EF23" s="120">
        <v>30</v>
      </c>
      <c r="EG23" s="120">
        <v>30</v>
      </c>
      <c r="EH23" s="120">
        <v>30</v>
      </c>
      <c r="EI23" s="120">
        <v>30</v>
      </c>
      <c r="EJ23" s="120">
        <v>30</v>
      </c>
      <c r="EK23" s="120">
        <v>30</v>
      </c>
      <c r="EL23" s="120">
        <v>30</v>
      </c>
      <c r="EM23" s="120">
        <v>29</v>
      </c>
      <c r="EN23" s="120">
        <v>30</v>
      </c>
      <c r="EO23" s="120">
        <v>30</v>
      </c>
      <c r="EP23" s="120">
        <v>29</v>
      </c>
      <c r="EQ23" s="120">
        <v>30</v>
      </c>
      <c r="ER23" s="120">
        <v>30</v>
      </c>
      <c r="ES23" s="120">
        <v>30</v>
      </c>
      <c r="ET23" s="120">
        <v>30</v>
      </c>
      <c r="EU23" s="120">
        <v>30</v>
      </c>
      <c r="EV23" s="120">
        <v>29</v>
      </c>
      <c r="EW23" s="120">
        <v>29</v>
      </c>
      <c r="EX23" s="120">
        <v>30</v>
      </c>
      <c r="EY23" s="120">
        <v>29</v>
      </c>
      <c r="EZ23" s="120">
        <v>29</v>
      </c>
      <c r="FA23" s="120">
        <v>29</v>
      </c>
      <c r="FB23" s="120">
        <v>29</v>
      </c>
      <c r="FC23" s="120">
        <v>29</v>
      </c>
      <c r="FD23" s="120">
        <v>30</v>
      </c>
      <c r="FE23" s="120">
        <v>30</v>
      </c>
      <c r="FF23" s="120">
        <v>29</v>
      </c>
      <c r="FG23" s="120">
        <v>30</v>
      </c>
      <c r="FH23" s="120">
        <v>30</v>
      </c>
      <c r="FI23" s="120">
        <v>30</v>
      </c>
      <c r="FJ23" s="120">
        <v>30</v>
      </c>
      <c r="FK23" s="120">
        <v>30</v>
      </c>
      <c r="FL23" s="120">
        <v>30</v>
      </c>
      <c r="FM23" s="120">
        <v>29</v>
      </c>
      <c r="FN23" s="120">
        <v>30</v>
      </c>
      <c r="FO23" s="120">
        <v>29</v>
      </c>
      <c r="FP23" s="120">
        <v>29</v>
      </c>
      <c r="FQ23" s="120">
        <v>30</v>
      </c>
      <c r="FR23" s="120">
        <v>30</v>
      </c>
      <c r="FS23" s="120">
        <v>30</v>
      </c>
      <c r="FT23" s="120">
        <v>30</v>
      </c>
      <c r="FU23" s="120">
        <v>30</v>
      </c>
      <c r="FV23" s="120">
        <v>30</v>
      </c>
      <c r="FW23" s="120">
        <v>29</v>
      </c>
      <c r="FX23" s="120">
        <v>30</v>
      </c>
      <c r="FY23" s="120">
        <v>29</v>
      </c>
      <c r="FZ23" s="120">
        <v>30</v>
      </c>
      <c r="GA23" s="120">
        <v>29</v>
      </c>
      <c r="GB23" s="120">
        <v>29</v>
      </c>
      <c r="GC23" s="120">
        <v>29</v>
      </c>
      <c r="GD23" s="120">
        <v>29</v>
      </c>
      <c r="GE23" s="120">
        <v>30</v>
      </c>
      <c r="GF23" s="120">
        <v>29</v>
      </c>
      <c r="GG23" s="120">
        <v>29</v>
      </c>
      <c r="GH23" s="120">
        <v>29</v>
      </c>
      <c r="GI23" s="120">
        <v>30</v>
      </c>
      <c r="GJ23" s="120">
        <v>30</v>
      </c>
      <c r="GK23" s="120">
        <v>30</v>
      </c>
      <c r="GL23" s="120">
        <v>30</v>
      </c>
      <c r="GM23" s="120">
        <v>29</v>
      </c>
      <c r="GN23" s="120">
        <v>30</v>
      </c>
      <c r="GO23" s="120">
        <v>30</v>
      </c>
      <c r="GP23" s="120">
        <v>29</v>
      </c>
      <c r="GQ23" s="120">
        <v>29</v>
      </c>
      <c r="GR23" s="120">
        <v>30</v>
      </c>
      <c r="GS23" s="120">
        <v>30</v>
      </c>
      <c r="GT23" s="120">
        <v>30</v>
      </c>
      <c r="GU23" s="120">
        <v>30</v>
      </c>
      <c r="GV23" s="120">
        <v>29</v>
      </c>
      <c r="GW23" s="120">
        <v>29</v>
      </c>
      <c r="GX23" s="120">
        <v>30</v>
      </c>
      <c r="GY23" s="120">
        <v>29</v>
      </c>
      <c r="GZ23" s="120">
        <v>29</v>
      </c>
      <c r="HA23" s="120">
        <v>30</v>
      </c>
      <c r="HB23" s="120">
        <v>30</v>
      </c>
      <c r="HC23" s="120">
        <v>30</v>
      </c>
      <c r="HD23" s="120">
        <v>30</v>
      </c>
      <c r="HE23" s="120">
        <v>30</v>
      </c>
      <c r="HF23" s="120">
        <v>29</v>
      </c>
      <c r="HG23" s="120">
        <v>30</v>
      </c>
      <c r="HH23" s="120">
        <v>30</v>
      </c>
      <c r="HI23" s="120">
        <v>29</v>
      </c>
      <c r="HJ23" s="120">
        <v>29</v>
      </c>
      <c r="HK23" s="120">
        <v>29</v>
      </c>
      <c r="HL23" s="120">
        <v>29</v>
      </c>
      <c r="HM23" s="120">
        <v>29</v>
      </c>
      <c r="HN23" s="120">
        <v>29</v>
      </c>
      <c r="HO23" s="120">
        <v>29</v>
      </c>
      <c r="HP23" s="120">
        <v>29</v>
      </c>
      <c r="HQ23" s="120">
        <v>30</v>
      </c>
      <c r="HR23" s="120">
        <v>29</v>
      </c>
      <c r="HS23" s="120">
        <v>30</v>
      </c>
      <c r="HT23" s="120">
        <v>30</v>
      </c>
      <c r="HU23" s="120">
        <v>30</v>
      </c>
      <c r="HV23" s="120">
        <v>30</v>
      </c>
      <c r="HW23" s="120">
        <v>29</v>
      </c>
      <c r="HX23" s="120">
        <v>29</v>
      </c>
      <c r="HY23" s="120">
        <v>29</v>
      </c>
      <c r="HZ23" s="120">
        <v>30</v>
      </c>
      <c r="IA23" s="120">
        <v>30</v>
      </c>
      <c r="IB23" s="120">
        <v>30</v>
      </c>
      <c r="IC23" s="120">
        <v>30</v>
      </c>
      <c r="ID23" s="120">
        <v>30</v>
      </c>
      <c r="IE23" s="120">
        <v>30</v>
      </c>
      <c r="IF23" s="120">
        <v>30</v>
      </c>
      <c r="IG23" s="120">
        <v>29</v>
      </c>
      <c r="IH23" s="120">
        <v>29</v>
      </c>
      <c r="II23" s="120">
        <v>29</v>
      </c>
      <c r="IJ23" s="121">
        <v>30</v>
      </c>
      <c r="IK23" s="51"/>
      <c r="IL23" s="51"/>
    </row>
    <row r="24" spans="1:246" ht="12.95" customHeight="1">
      <c r="A24" s="262" t="s">
        <v>8113</v>
      </c>
      <c r="B24" s="2">
        <f ca="1">IF(AND(B19&lt;B23,B21=1),B20-1,B20)</f>
        <v>2026</v>
      </c>
      <c r="C24" s="629"/>
      <c r="D24" s="8" t="s">
        <v>1876</v>
      </c>
      <c r="G24" s="16" t="s">
        <v>4384</v>
      </c>
      <c r="H24" s="455">
        <f ca="1">IF(H23&gt;25,H23-25,H23)</f>
        <v>20</v>
      </c>
      <c r="I24" s="458">
        <f ca="1">IF(I23&gt;30,I23-30,I23)</f>
        <v>26</v>
      </c>
      <c r="J24" s="16">
        <v>5</v>
      </c>
      <c r="K24" s="529">
        <f ca="1">IF('Thể cách'!M5="———",1,0)</f>
        <v>1</v>
      </c>
      <c r="L24" s="541">
        <f ca="1">IF(AND('Thể cách'!L8="NĐ",K27=0),1,IF(AND('Thể cách'!L8="NĐ",K27=1),0,K27))</f>
        <v>0</v>
      </c>
      <c r="M24" s="466" t="str">
        <f ca="1">IF(AA40=5,"1",(N25+1))</f>
        <v>1</v>
      </c>
      <c r="N24" s="299">
        <f t="shared" ca="1" si="11"/>
        <v>9</v>
      </c>
      <c r="O24" s="298">
        <f ca="1">IF(AA40=2,(MAX(N23:N28)+1),(P25+1))</f>
        <v>67</v>
      </c>
      <c r="P24" s="299">
        <f t="shared" ca="1" si="12"/>
        <v>72</v>
      </c>
      <c r="Q24" s="547" t="s">
        <v>2724</v>
      </c>
      <c r="R24" s="218" t="s">
        <v>2724</v>
      </c>
      <c r="S24" s="212" t="s">
        <v>2725</v>
      </c>
      <c r="T24" s="212" t="s">
        <v>2725</v>
      </c>
      <c r="U24" s="212" t="s">
        <v>2726</v>
      </c>
      <c r="V24" s="212" t="s">
        <v>2726</v>
      </c>
      <c r="W24" s="212" t="s">
        <v>2727</v>
      </c>
      <c r="X24" s="495" t="s">
        <v>2727</v>
      </c>
      <c r="Z24" s="38" t="str">
        <f ca="1">IF(Z8="","",HLOOKUP(Z8,'64Quẻ'!D5:DW23,17,0))</f>
        <v>Thân</v>
      </c>
      <c r="AA24" s="9">
        <v>3</v>
      </c>
      <c r="AC24" s="2" t="str">
        <f ca="1">IF(AC8="","",HLOOKUP(AC8,'64Quẻ'!DZ5:EC23,17,0))</f>
        <v/>
      </c>
      <c r="AD24" s="9">
        <v>3</v>
      </c>
      <c r="AF24" s="2" t="str">
        <f ca="1">IF(AF8="","",HLOOKUP(AF8,'64Quẻ'!ED5:EG23,17,0))</f>
        <v/>
      </c>
      <c r="AG24" s="9">
        <v>3</v>
      </c>
      <c r="AI24" s="2" t="str">
        <f ca="1">IF(AI8="","",HLOOKUP(AI8,'64Quẻ'!EH5:EK23,17,0))</f>
        <v/>
      </c>
      <c r="AJ24" s="213">
        <v>3</v>
      </c>
      <c r="AK24" s="454"/>
      <c r="AP24" s="660">
        <f ca="1">IF(AND('Vận Năm'!B31="*",AP17=0),1,IF(AND('Vận Năm'!B31="*",AP17=1),0,AP17))</f>
        <v>0</v>
      </c>
      <c r="AQ24" s="661" t="str">
        <f ca="1">INDEX(E4:E15,MOD(AQ23,12)+1)</f>
        <v>Dần</v>
      </c>
      <c r="AR24" s="495" t="str">
        <f ca="1">AP26&amp;AP27&amp;AP28</f>
        <v>100</v>
      </c>
      <c r="AS24" s="654" t="str">
        <f ca="1">'Đại Vận'!C80</f>
        <v>46-51 Tuổi</v>
      </c>
      <c r="AT24" s="219" t="str">
        <f ca="1">'Đại Vận'!C87</f>
        <v>M.Di</v>
      </c>
      <c r="AU24" s="495">
        <f ca="1">VLOOKUP(7,AK4:AO15,5,0)</f>
        <v>2</v>
      </c>
      <c r="AV24" s="717"/>
      <c r="AW24" s="714"/>
      <c r="AY24" s="712"/>
      <c r="AZ24" s="714"/>
      <c r="BA24" s="212"/>
      <c r="BB24" s="730"/>
      <c r="BC24" s="647"/>
      <c r="BD24" s="730"/>
      <c r="BE24" s="120"/>
      <c r="BF24" s="19"/>
      <c r="BG24" s="729"/>
      <c r="BH24" s="17"/>
      <c r="BI24" s="14"/>
      <c r="BJ24" s="8"/>
      <c r="BM24" s="729"/>
      <c r="BN24" s="731"/>
      <c r="BO24" s="707"/>
      <c r="BP24" s="721"/>
      <c r="BQ24" s="706"/>
      <c r="BR24" s="722"/>
      <c r="BS24" s="704"/>
      <c r="BT24" s="704"/>
      <c r="BW24" s="51"/>
      <c r="BX24" s="51"/>
      <c r="BY24" s="51"/>
      <c r="BZ24" s="51"/>
      <c r="CA24" s="51"/>
      <c r="CB24" s="51"/>
      <c r="CC24" s="52"/>
      <c r="CD24" s="109" t="s">
        <v>355</v>
      </c>
      <c r="CE24" s="61" t="s">
        <v>2688</v>
      </c>
      <c r="CF24" s="147">
        <f ca="1">HLOOKUP(CF18,CF22:CS22,1)</f>
        <v>0</v>
      </c>
      <c r="CG24" s="112">
        <f ca="1">IF(CF18=CF24,HLOOKUP(CF18-1,CF22:CS22,1),CF24)</f>
        <v>0</v>
      </c>
      <c r="CH24" s="55"/>
      <c r="CI24" s="55"/>
      <c r="CJ24" s="55"/>
      <c r="CK24" s="55"/>
      <c r="CL24" s="55"/>
      <c r="CM24" s="55"/>
      <c r="CN24" s="55"/>
      <c r="CO24" s="55"/>
      <c r="CP24" s="55"/>
      <c r="CQ24" s="55"/>
      <c r="CR24" s="55"/>
      <c r="CS24" s="55"/>
      <c r="CT24" s="55"/>
      <c r="CU24" s="55"/>
      <c r="CV24" s="56"/>
      <c r="CW24" s="55"/>
      <c r="CX24" s="55"/>
      <c r="CY24" s="52">
        <v>11</v>
      </c>
      <c r="CZ24" s="120">
        <v>30</v>
      </c>
      <c r="DA24" s="120">
        <v>30</v>
      </c>
      <c r="DB24" s="120">
        <v>30</v>
      </c>
      <c r="DC24" s="120">
        <v>30</v>
      </c>
      <c r="DD24" s="120">
        <v>29</v>
      </c>
      <c r="DE24" s="120">
        <v>30</v>
      </c>
      <c r="DF24" s="120">
        <v>30</v>
      </c>
      <c r="DG24" s="120">
        <v>29</v>
      </c>
      <c r="DH24" s="120">
        <v>30</v>
      </c>
      <c r="DI24" s="120">
        <v>30</v>
      </c>
      <c r="DJ24" s="120">
        <v>29</v>
      </c>
      <c r="DK24" s="120">
        <v>29</v>
      </c>
      <c r="DL24" s="120">
        <v>29</v>
      </c>
      <c r="DM24" s="120">
        <v>29</v>
      </c>
      <c r="DN24" s="120">
        <v>29</v>
      </c>
      <c r="DO24" s="120">
        <v>30</v>
      </c>
      <c r="DP24" s="120">
        <v>29</v>
      </c>
      <c r="DQ24" s="120">
        <v>30</v>
      </c>
      <c r="DR24" s="120">
        <v>30</v>
      </c>
      <c r="DS24" s="120">
        <v>30</v>
      </c>
      <c r="DT24" s="120">
        <v>30</v>
      </c>
      <c r="DU24" s="120">
        <v>29</v>
      </c>
      <c r="DV24" s="120">
        <v>29</v>
      </c>
      <c r="DW24" s="120">
        <v>29</v>
      </c>
      <c r="DX24" s="120">
        <v>30</v>
      </c>
      <c r="DY24" s="120">
        <v>30</v>
      </c>
      <c r="DZ24" s="120">
        <v>30</v>
      </c>
      <c r="EA24" s="120">
        <v>30</v>
      </c>
      <c r="EB24" s="120">
        <v>30</v>
      </c>
      <c r="EC24" s="120">
        <v>30</v>
      </c>
      <c r="ED24" s="120">
        <v>30</v>
      </c>
      <c r="EE24" s="120">
        <v>29</v>
      </c>
      <c r="EF24" s="120">
        <v>29</v>
      </c>
      <c r="EG24" s="120">
        <v>29</v>
      </c>
      <c r="EH24" s="120">
        <v>30</v>
      </c>
      <c r="EI24" s="120">
        <v>30</v>
      </c>
      <c r="EJ24" s="120">
        <v>30</v>
      </c>
      <c r="EK24" s="120">
        <v>30</v>
      </c>
      <c r="EL24" s="120">
        <v>29</v>
      </c>
      <c r="EM24" s="120">
        <v>30</v>
      </c>
      <c r="EN24" s="120">
        <v>29</v>
      </c>
      <c r="EO24" s="120">
        <v>29</v>
      </c>
      <c r="EP24" s="120">
        <v>30</v>
      </c>
      <c r="EQ24" s="120">
        <v>29</v>
      </c>
      <c r="ER24" s="120">
        <v>29</v>
      </c>
      <c r="ES24" s="120">
        <v>29</v>
      </c>
      <c r="ET24" s="120">
        <v>29</v>
      </c>
      <c r="EU24" s="120">
        <v>29</v>
      </c>
      <c r="EV24" s="120">
        <v>30</v>
      </c>
      <c r="EW24" s="120">
        <v>30</v>
      </c>
      <c r="EX24" s="120">
        <v>29</v>
      </c>
      <c r="EY24" s="120">
        <v>30</v>
      </c>
      <c r="EZ24" s="120">
        <v>30</v>
      </c>
      <c r="FA24" s="120">
        <v>30</v>
      </c>
      <c r="FB24" s="120">
        <v>30</v>
      </c>
      <c r="FC24" s="120">
        <v>30</v>
      </c>
      <c r="FD24" s="120">
        <v>29</v>
      </c>
      <c r="FE24" s="120">
        <v>29</v>
      </c>
      <c r="FF24" s="120">
        <v>30</v>
      </c>
      <c r="FG24" s="120">
        <v>29</v>
      </c>
      <c r="FH24" s="120">
        <v>29</v>
      </c>
      <c r="FI24" s="120">
        <v>30</v>
      </c>
      <c r="FJ24" s="120">
        <v>30</v>
      </c>
      <c r="FK24" s="120">
        <v>30</v>
      </c>
      <c r="FL24" s="120">
        <v>30</v>
      </c>
      <c r="FM24" s="120">
        <v>30</v>
      </c>
      <c r="FN24" s="120">
        <v>29</v>
      </c>
      <c r="FO24" s="120">
        <v>30</v>
      </c>
      <c r="FP24" s="120">
        <v>30</v>
      </c>
      <c r="FQ24" s="120">
        <v>29</v>
      </c>
      <c r="FR24" s="120">
        <v>30</v>
      </c>
      <c r="FS24" s="120">
        <v>29</v>
      </c>
      <c r="FT24" s="120">
        <v>29</v>
      </c>
      <c r="FU24" s="120">
        <v>29</v>
      </c>
      <c r="FV24" s="120">
        <v>29</v>
      </c>
      <c r="FW24" s="120">
        <v>30</v>
      </c>
      <c r="FX24" s="120">
        <v>29</v>
      </c>
      <c r="FY24" s="120">
        <v>30</v>
      </c>
      <c r="FZ24" s="120">
        <v>29</v>
      </c>
      <c r="GA24" s="120">
        <v>30</v>
      </c>
      <c r="GB24" s="120">
        <v>30</v>
      </c>
      <c r="GC24" s="120">
        <v>30</v>
      </c>
      <c r="GD24" s="120">
        <v>30</v>
      </c>
      <c r="GE24" s="120">
        <v>29</v>
      </c>
      <c r="GF24" s="120">
        <v>30</v>
      </c>
      <c r="GG24" s="120">
        <v>30</v>
      </c>
      <c r="GH24" s="120">
        <v>30</v>
      </c>
      <c r="GI24" s="120">
        <v>30</v>
      </c>
      <c r="GJ24" s="120">
        <v>30</v>
      </c>
      <c r="GK24" s="120">
        <v>30</v>
      </c>
      <c r="GL24" s="120">
        <v>30</v>
      </c>
      <c r="GM24" s="120">
        <v>30</v>
      </c>
      <c r="GN24" s="120">
        <v>29</v>
      </c>
      <c r="GO24" s="120">
        <v>29</v>
      </c>
      <c r="GP24" s="120">
        <v>30</v>
      </c>
      <c r="GQ24" s="120">
        <v>30</v>
      </c>
      <c r="GR24" s="120">
        <v>30</v>
      </c>
      <c r="GS24" s="120">
        <v>30</v>
      </c>
      <c r="GT24" s="120">
        <v>30</v>
      </c>
      <c r="GU24" s="120">
        <v>30</v>
      </c>
      <c r="GV24" s="120">
        <v>30</v>
      </c>
      <c r="GW24" s="120">
        <v>30</v>
      </c>
      <c r="GX24" s="120">
        <v>29</v>
      </c>
      <c r="GY24" s="120">
        <v>30</v>
      </c>
      <c r="GZ24" s="120">
        <v>30</v>
      </c>
      <c r="HA24" s="120">
        <v>29</v>
      </c>
      <c r="HB24" s="120">
        <v>29</v>
      </c>
      <c r="HC24" s="120">
        <v>29</v>
      </c>
      <c r="HD24" s="120">
        <v>29</v>
      </c>
      <c r="HE24" s="120">
        <v>29</v>
      </c>
      <c r="HF24" s="120">
        <v>30</v>
      </c>
      <c r="HG24" s="120">
        <v>29</v>
      </c>
      <c r="HH24" s="120">
        <v>29</v>
      </c>
      <c r="HI24" s="120">
        <v>30</v>
      </c>
      <c r="HJ24" s="120">
        <v>30</v>
      </c>
      <c r="HK24" s="120">
        <v>30</v>
      </c>
      <c r="HL24" s="120">
        <v>30</v>
      </c>
      <c r="HM24" s="120">
        <v>30</v>
      </c>
      <c r="HN24" s="120">
        <v>30</v>
      </c>
      <c r="HO24" s="120">
        <v>30</v>
      </c>
      <c r="HP24" s="120">
        <v>30</v>
      </c>
      <c r="HQ24" s="120">
        <v>29</v>
      </c>
      <c r="HR24" s="120">
        <v>30</v>
      </c>
      <c r="HS24" s="120">
        <v>30</v>
      </c>
      <c r="HT24" s="120">
        <v>30</v>
      </c>
      <c r="HU24" s="120">
        <v>30</v>
      </c>
      <c r="HV24" s="120">
        <v>30</v>
      </c>
      <c r="HW24" s="120">
        <v>30</v>
      </c>
      <c r="HX24" s="120">
        <v>30</v>
      </c>
      <c r="HY24" s="120">
        <v>30</v>
      </c>
      <c r="HZ24" s="120">
        <v>29</v>
      </c>
      <c r="IA24" s="120">
        <v>29</v>
      </c>
      <c r="IB24" s="120">
        <v>30</v>
      </c>
      <c r="IC24" s="120">
        <v>29</v>
      </c>
      <c r="ID24" s="120">
        <v>29</v>
      </c>
      <c r="IE24" s="120">
        <v>29</v>
      </c>
      <c r="IF24" s="120">
        <v>29</v>
      </c>
      <c r="IG24" s="120">
        <v>30</v>
      </c>
      <c r="IH24" s="120">
        <v>30</v>
      </c>
      <c r="II24" s="120">
        <v>30</v>
      </c>
      <c r="IJ24" s="121">
        <v>29</v>
      </c>
      <c r="IK24" s="51"/>
      <c r="IL24" s="51"/>
    </row>
    <row r="25" spans="1:246" ht="12.95" customHeight="1">
      <c r="B25" s="18">
        <f ca="1">IF(AND(B19&lt;B23,B21-1=0),12,IF(AND(B19&lt;B23,B21-1&lt;&gt;0),B21-1,B21))</f>
        <v>4</v>
      </c>
      <c r="C25" s="246"/>
      <c r="D25" s="8" t="s">
        <v>9005</v>
      </c>
      <c r="G25" s="16" t="s">
        <v>4385</v>
      </c>
      <c r="H25" s="498">
        <f ca="1">IF(H24-INT(H24/10)*10=0,H24/10,H24-INT(H24/10)*10)</f>
        <v>2</v>
      </c>
      <c r="I25" s="499">
        <f ca="1">IF(I24-INT(I24/10)*10=0,I24/10,I24-INT(I24/10)*10)</f>
        <v>6</v>
      </c>
      <c r="J25" s="16">
        <v>4</v>
      </c>
      <c r="K25" s="529">
        <f ca="1">IF('Thể cách'!M6="———",1,0)</f>
        <v>1</v>
      </c>
      <c r="L25" s="541">
        <f ca="1">IF(AND('Thể cách'!L9="NĐ",K28=0),1,IF(AND('Thể cách'!L9="NĐ",K28=1),0,K28))</f>
        <v>0</v>
      </c>
      <c r="M25" s="466">
        <f ca="1">IF(AA40=4,"1",(N26+1))</f>
        <v>37</v>
      </c>
      <c r="N25" s="299">
        <f t="shared" ca="1" si="11"/>
        <v>45</v>
      </c>
      <c r="O25" s="298">
        <f ca="1">IF(AA40=1,(MAX(N23:N28)+1),(P26+1))</f>
        <v>61</v>
      </c>
      <c r="P25" s="299">
        <f t="shared" ca="1" si="12"/>
        <v>66</v>
      </c>
      <c r="Q25" s="297" t="s">
        <v>4581</v>
      </c>
      <c r="R25" s="520" t="str">
        <f ca="1">IF(OR(V9=Q23,V9=R23),", "&amp;Q24,"")&amp;IF(OR(V9=S23,V9=T23),", "&amp;S24,"")&amp;IF(OR(V9=U23,V9=V23),", "&amp;U24,"")&amp;IF(OR(V9=W23,V9=X23),", "&amp;W24,"")</f>
        <v>, ở quẻ chính tiên thiên</v>
      </c>
      <c r="S25" s="548"/>
      <c r="T25" s="548"/>
      <c r="U25" s="549"/>
      <c r="V25" s="550"/>
      <c r="W25" s="550"/>
      <c r="X25" s="536"/>
      <c r="Z25" s="38" t="str">
        <f ca="1">IF(Z8="","",HLOOKUP(Z8,'64Quẻ'!D5:DW23,18,0))</f>
        <v>Mùi</v>
      </c>
      <c r="AA25" s="9">
        <v>2</v>
      </c>
      <c r="AC25" s="2" t="str">
        <f ca="1">IF(AC8="","",HLOOKUP(AC8,'64Quẻ'!DZ5:EC23,18,0))</f>
        <v/>
      </c>
      <c r="AD25" s="9">
        <v>2</v>
      </c>
      <c r="AF25" s="2" t="str">
        <f ca="1">IF(AF8="","",HLOOKUP(AF8,'64Quẻ'!ED5:EG23,18,0))</f>
        <v/>
      </c>
      <c r="AG25" s="9">
        <v>2</v>
      </c>
      <c r="AI25" s="2" t="str">
        <f ca="1">IF(AI8="","",HLOOKUP(AI8,'64Quẻ'!EH5:EK23,18,0))</f>
        <v/>
      </c>
      <c r="AJ25" s="213">
        <v>2</v>
      </c>
      <c r="AK25" s="454"/>
      <c r="AP25" s="660">
        <f ca="1">IF(AND('Vận Năm'!B32="*",AP18=0),1,IF(AND('Vận Năm'!B32="*",AP18=1),0,AP18))</f>
        <v>0</v>
      </c>
      <c r="AQ25" s="19" t="str">
        <f ca="1">HLOOKUP(AP29,'64Quẻ'!B4:DX5,2,0)</f>
        <v>Cấn</v>
      </c>
      <c r="AR25" s="495" t="str">
        <f ca="1">AP24&amp;AP25&amp;AP26</f>
        <v>001</v>
      </c>
      <c r="AS25" s="654" t="str">
        <f ca="1">'Đại Vận'!C92</f>
        <v>52-60 Tuổi</v>
      </c>
      <c r="AT25" s="219" t="str">
        <f ca="1">'Đại Vận'!C99</f>
        <v>M.Di</v>
      </c>
      <c r="AU25" s="495">
        <f ca="1">VLOOKUP(8,AK4:AO15,5,0)</f>
        <v>3</v>
      </c>
      <c r="AV25" s="498"/>
      <c r="AW25" s="714"/>
      <c r="AY25" s="661"/>
      <c r="AZ25" s="714"/>
      <c r="BA25" s="212"/>
      <c r="BB25" s="730"/>
      <c r="BC25" s="647"/>
      <c r="BD25" s="730"/>
      <c r="BE25" s="120"/>
      <c r="BF25" s="19"/>
      <c r="BG25" s="729"/>
      <c r="BH25" s="17"/>
      <c r="BI25" s="14"/>
      <c r="BJ25" s="8"/>
      <c r="BM25" s="729"/>
      <c r="BN25" s="731"/>
      <c r="BO25" s="707"/>
      <c r="BP25" s="721"/>
      <c r="BQ25" s="706"/>
      <c r="BR25" s="722"/>
      <c r="BS25" s="707"/>
      <c r="BT25" s="707"/>
      <c r="BW25" s="51"/>
      <c r="BX25" s="51"/>
      <c r="BY25" s="51"/>
      <c r="BZ25" s="51"/>
      <c r="CA25" s="51"/>
      <c r="CB25" s="51"/>
      <c r="CC25" s="52"/>
      <c r="CD25" s="144" t="s">
        <v>5011</v>
      </c>
      <c r="CE25" s="54" t="s">
        <v>2688</v>
      </c>
      <c r="CF25" s="89">
        <f ca="1">IF(CF18=CF24,HLOOKUP(CG24,CF22:CS23,2),HLOOKUP(CF24,CF22:CS23,2))</f>
        <v>1</v>
      </c>
      <c r="CG25" s="55"/>
      <c r="CH25" s="55"/>
      <c r="CI25" s="55"/>
      <c r="CJ25" s="55"/>
      <c r="CK25" s="55"/>
      <c r="CL25" s="55"/>
      <c r="CM25" s="55"/>
      <c r="CN25" s="55"/>
      <c r="CO25" s="55"/>
      <c r="CP25" s="55"/>
      <c r="CQ25" s="55"/>
      <c r="CR25" s="55"/>
      <c r="CS25" s="55"/>
      <c r="CT25" s="55"/>
      <c r="CU25" s="55"/>
      <c r="CV25" s="56"/>
      <c r="CW25" s="55"/>
      <c r="CX25" s="55"/>
      <c r="CY25" s="52">
        <v>12</v>
      </c>
      <c r="CZ25" s="120">
        <v>29</v>
      </c>
      <c r="DA25" s="120">
        <v>30</v>
      </c>
      <c r="DB25" s="120">
        <v>29</v>
      </c>
      <c r="DC25" s="120">
        <v>29</v>
      </c>
      <c r="DD25" s="120">
        <v>30</v>
      </c>
      <c r="DE25" s="120">
        <v>29</v>
      </c>
      <c r="DF25" s="120">
        <v>29</v>
      </c>
      <c r="DG25" s="120">
        <v>30</v>
      </c>
      <c r="DH25" s="120">
        <v>29</v>
      </c>
      <c r="DI25" s="120">
        <v>29</v>
      </c>
      <c r="DJ25" s="120">
        <v>30</v>
      </c>
      <c r="DK25" s="120">
        <v>30</v>
      </c>
      <c r="DL25" s="120">
        <v>30</v>
      </c>
      <c r="DM25" s="120">
        <v>29</v>
      </c>
      <c r="DN25" s="120">
        <v>29</v>
      </c>
      <c r="DO25" s="120">
        <v>29</v>
      </c>
      <c r="DP25" s="120">
        <v>30</v>
      </c>
      <c r="DQ25" s="120">
        <v>30</v>
      </c>
      <c r="DR25" s="120">
        <v>30</v>
      </c>
      <c r="DS25" s="120">
        <v>30</v>
      </c>
      <c r="DT25" s="120">
        <v>30</v>
      </c>
      <c r="DU25" s="120">
        <v>30</v>
      </c>
      <c r="DV25" s="120">
        <v>30</v>
      </c>
      <c r="DW25" s="120">
        <v>30</v>
      </c>
      <c r="DX25" s="120">
        <v>29</v>
      </c>
      <c r="DY25" s="120">
        <v>29</v>
      </c>
      <c r="DZ25" s="120">
        <v>30</v>
      </c>
      <c r="EA25" s="120">
        <v>30</v>
      </c>
      <c r="EB25" s="120">
        <v>30</v>
      </c>
      <c r="EC25" s="120">
        <v>30</v>
      </c>
      <c r="ED25" s="120">
        <v>29</v>
      </c>
      <c r="EE25" s="120">
        <v>30</v>
      </c>
      <c r="EF25" s="120">
        <v>29</v>
      </c>
      <c r="EG25" s="120">
        <v>30</v>
      </c>
      <c r="EH25" s="120">
        <v>29</v>
      </c>
      <c r="EI25" s="120">
        <v>30</v>
      </c>
      <c r="EJ25" s="120">
        <v>29</v>
      </c>
      <c r="EK25" s="120">
        <v>29</v>
      </c>
      <c r="EL25" s="120">
        <v>30</v>
      </c>
      <c r="EM25" s="120">
        <v>29</v>
      </c>
      <c r="EN25" s="120">
        <v>30</v>
      </c>
      <c r="EO25" s="120">
        <v>30</v>
      </c>
      <c r="EP25" s="120">
        <v>29</v>
      </c>
      <c r="EQ25" s="120">
        <v>30</v>
      </c>
      <c r="ER25" s="120">
        <v>30</v>
      </c>
      <c r="ES25" s="120">
        <v>30</v>
      </c>
      <c r="ET25" s="120">
        <v>30</v>
      </c>
      <c r="EU25" s="120">
        <v>30</v>
      </c>
      <c r="EV25" s="120">
        <v>29</v>
      </c>
      <c r="EW25" s="120">
        <v>29</v>
      </c>
      <c r="EX25" s="120">
        <v>30</v>
      </c>
      <c r="EY25" s="120">
        <v>29</v>
      </c>
      <c r="EZ25" s="120">
        <v>29</v>
      </c>
      <c r="FA25" s="120">
        <v>30</v>
      </c>
      <c r="FB25" s="120">
        <v>30</v>
      </c>
      <c r="FC25" s="120">
        <v>30</v>
      </c>
      <c r="FD25" s="120">
        <v>30</v>
      </c>
      <c r="FE25" s="120">
        <v>30</v>
      </c>
      <c r="FF25" s="120">
        <v>29</v>
      </c>
      <c r="FG25" s="120">
        <v>30</v>
      </c>
      <c r="FH25" s="120">
        <v>30</v>
      </c>
      <c r="FI25" s="120">
        <v>29</v>
      </c>
      <c r="FJ25" s="120">
        <v>30</v>
      </c>
      <c r="FK25" s="120">
        <v>30</v>
      </c>
      <c r="FL25" s="120">
        <v>29</v>
      </c>
      <c r="FM25" s="120">
        <v>30</v>
      </c>
      <c r="FN25" s="120">
        <v>29</v>
      </c>
      <c r="FO25" s="120">
        <v>29</v>
      </c>
      <c r="FP25" s="120">
        <v>29</v>
      </c>
      <c r="FQ25" s="120">
        <v>30</v>
      </c>
      <c r="FR25" s="120">
        <v>29</v>
      </c>
      <c r="FS25" s="120">
        <v>30</v>
      </c>
      <c r="FT25" s="120">
        <v>30</v>
      </c>
      <c r="FU25" s="120">
        <v>30</v>
      </c>
      <c r="FV25" s="120">
        <v>30</v>
      </c>
      <c r="FW25" s="120">
        <v>29</v>
      </c>
      <c r="FX25" s="120">
        <v>29</v>
      </c>
      <c r="FY25" s="120">
        <v>29</v>
      </c>
      <c r="FZ25" s="120">
        <v>30</v>
      </c>
      <c r="GA25" s="120">
        <v>30</v>
      </c>
      <c r="GB25" s="120">
        <v>30</v>
      </c>
      <c r="GC25" s="120">
        <v>30</v>
      </c>
      <c r="GD25" s="120">
        <v>30</v>
      </c>
      <c r="GE25" s="120">
        <v>30</v>
      </c>
      <c r="GF25" s="120">
        <v>29</v>
      </c>
      <c r="GG25" s="120">
        <v>29</v>
      </c>
      <c r="GH25" s="120">
        <v>29</v>
      </c>
      <c r="GI25" s="120">
        <v>29</v>
      </c>
      <c r="GJ25" s="120">
        <v>30</v>
      </c>
      <c r="GK25" s="120">
        <v>30</v>
      </c>
      <c r="GL25" s="120">
        <v>30</v>
      </c>
      <c r="GM25" s="120">
        <v>30</v>
      </c>
      <c r="GN25" s="120">
        <v>30</v>
      </c>
      <c r="GO25" s="120">
        <v>30</v>
      </c>
      <c r="GP25" s="120">
        <v>29</v>
      </c>
      <c r="GQ25" s="120">
        <v>29</v>
      </c>
      <c r="GR25" s="120">
        <v>29</v>
      </c>
      <c r="GS25" s="120">
        <v>29</v>
      </c>
      <c r="GT25" s="120">
        <v>29</v>
      </c>
      <c r="GU25" s="120">
        <v>29</v>
      </c>
      <c r="GV25" s="120">
        <v>29</v>
      </c>
      <c r="GW25" s="120">
        <v>29</v>
      </c>
      <c r="GX25" s="120">
        <v>30</v>
      </c>
      <c r="GY25" s="120">
        <v>29</v>
      </c>
      <c r="GZ25" s="120">
        <v>29</v>
      </c>
      <c r="HA25" s="120">
        <v>30</v>
      </c>
      <c r="HB25" s="120">
        <v>30</v>
      </c>
      <c r="HC25" s="120">
        <v>30</v>
      </c>
      <c r="HD25" s="120">
        <v>30</v>
      </c>
      <c r="HE25" s="120">
        <v>30</v>
      </c>
      <c r="HF25" s="120">
        <v>29</v>
      </c>
      <c r="HG25" s="120">
        <v>30</v>
      </c>
      <c r="HH25" s="120">
        <v>30</v>
      </c>
      <c r="HI25" s="120">
        <v>29</v>
      </c>
      <c r="HJ25" s="120">
        <v>29</v>
      </c>
      <c r="HK25" s="120">
        <v>30</v>
      </c>
      <c r="HL25" s="120">
        <v>30</v>
      </c>
      <c r="HM25" s="120">
        <v>30</v>
      </c>
      <c r="HN25" s="120">
        <v>30</v>
      </c>
      <c r="HO25" s="120">
        <v>29</v>
      </c>
      <c r="HP25" s="120">
        <v>29</v>
      </c>
      <c r="HQ25" s="120">
        <v>30</v>
      </c>
      <c r="HR25" s="120">
        <v>29</v>
      </c>
      <c r="HS25" s="120">
        <v>29</v>
      </c>
      <c r="HT25" s="120">
        <v>30</v>
      </c>
      <c r="HU25" s="120">
        <v>29</v>
      </c>
      <c r="HV25" s="120">
        <v>29</v>
      </c>
      <c r="HW25" s="120">
        <v>30</v>
      </c>
      <c r="HX25" s="120">
        <v>30</v>
      </c>
      <c r="HY25" s="120">
        <v>29</v>
      </c>
      <c r="HZ25" s="120">
        <v>30</v>
      </c>
      <c r="IA25" s="120">
        <v>30</v>
      </c>
      <c r="IB25" s="120">
        <v>29</v>
      </c>
      <c r="IC25" s="120">
        <v>30</v>
      </c>
      <c r="ID25" s="120">
        <v>30</v>
      </c>
      <c r="IE25" s="120">
        <v>30</v>
      </c>
      <c r="IF25" s="120">
        <v>30</v>
      </c>
      <c r="IG25" s="120">
        <v>29</v>
      </c>
      <c r="IH25" s="120">
        <v>29</v>
      </c>
      <c r="II25" s="120">
        <v>29</v>
      </c>
      <c r="IJ25" s="121">
        <v>30</v>
      </c>
      <c r="IK25" s="51"/>
      <c r="IL25" s="51"/>
    </row>
    <row r="26" spans="1:246" ht="12.95" customHeight="1">
      <c r="A26" s="262" t="s">
        <v>8114</v>
      </c>
      <c r="B26" s="261">
        <f ca="1">IF(B25=1,B24-1,B24)</f>
        <v>2026</v>
      </c>
      <c r="C26" s="631"/>
      <c r="D26" s="8" t="s">
        <v>9006</v>
      </c>
      <c r="H26" s="599" t="str">
        <f ca="1">IF(H25&lt;&gt;5,HLOOKUP(H25,K10:T11,2,0),IF(B5&lt;K18,HLOOKUP(G18,O17:P18,2,0),IF(AND(B5&gt;K19,B5&lt;K21),HLOOKUP(G18,O17:P21,5,0),IF(AND(B5&gt;K18,B5&lt;K19),HLOOKUP(G19,Q17:T18,2,0),""))))</f>
        <v>Khôn</v>
      </c>
      <c r="I26" s="600" t="str">
        <f ca="1">IF(I25&lt;&gt;5,HLOOKUP(I25,K10:T11,2,0),IF(B5&lt;K18,HLOOKUP(G18,O17:P18,2,0),IF(AND(B5&gt;K19,B5&lt;K21),HLOOKUP(G18,O17:P21,5,0),IF(AND(B5&gt;K18,B5&lt;K19),HLOOKUP(G19,Q17:T18,2,0),""))))</f>
        <v>Càn</v>
      </c>
      <c r="J26" s="16">
        <v>3</v>
      </c>
      <c r="K26" s="529">
        <f ca="1">IF('Thể cách'!M7="———",1,0)</f>
        <v>0</v>
      </c>
      <c r="L26" s="541">
        <f ca="1">IF(AND('Thể cách'!L4="NĐ",K23=0),1,IF(AND('Thể cách'!L4="NĐ",K23=1),0,K23))</f>
        <v>1</v>
      </c>
      <c r="M26" s="466">
        <f ca="1">IF(AA40=3,"1",(N27+1))</f>
        <v>31</v>
      </c>
      <c r="N26" s="299">
        <f t="shared" ca="1" si="11"/>
        <v>36</v>
      </c>
      <c r="O26" s="298">
        <f ca="1">IF(AA40=6,(MAX(N23:N28)+1),(P27+1))</f>
        <v>52</v>
      </c>
      <c r="P26" s="299">
        <f t="shared" ca="1" si="12"/>
        <v>60</v>
      </c>
      <c r="Q26" s="297" t="s">
        <v>4582</v>
      </c>
      <c r="R26" s="551" t="str">
        <f ca="1">IF(OR(X9=Q23,X9=R23),", "&amp;Q24,"")&amp;IF(OR(X9=S23,X9=T23),", "&amp;S24,"")&amp;IF(OR(X9=U23,X9=V23),", "&amp;U24,"")&amp;IF(OR(X9=W23,X9=X23),", "&amp;W24,"")</f>
        <v>, ở quẻ chính hậu thiên</v>
      </c>
      <c r="S26" s="546"/>
      <c r="T26" s="212"/>
      <c r="U26" s="212"/>
      <c r="V26" s="212"/>
      <c r="W26" s="212"/>
      <c r="X26" s="495"/>
      <c r="Z26" s="39" t="str">
        <f ca="1">IF(Z8="","",HLOOKUP(Z8,'64Quẻ'!D5:DW23,19,0))</f>
        <v>Ngọ</v>
      </c>
      <c r="AA26" s="26">
        <v>1</v>
      </c>
      <c r="AB26" s="26"/>
      <c r="AC26" s="25" t="str">
        <f ca="1">IF(AC8="","",HLOOKUP(AC8,'64Quẻ'!DZ5:EC23,19,0))</f>
        <v/>
      </c>
      <c r="AD26" s="26">
        <v>1</v>
      </c>
      <c r="AE26" s="26"/>
      <c r="AF26" s="25" t="str">
        <f ca="1">IF(AF8="","",HLOOKUP(AF8,'64Quẻ'!ED5:EG23,19,0))</f>
        <v/>
      </c>
      <c r="AG26" s="26">
        <v>1</v>
      </c>
      <c r="AH26" s="26"/>
      <c r="AI26" s="25" t="str">
        <f ca="1">IF(AI8="","",HLOOKUP(AI8,'64Quẻ'!EH5:EK23,19,0))</f>
        <v/>
      </c>
      <c r="AJ26" s="225">
        <v>1</v>
      </c>
      <c r="AK26" s="454"/>
      <c r="AP26" s="660">
        <f ca="1">IF(AND('Vận Năm'!B33="*",AP19=0),1,IF(AND('Vận Năm'!B33="*",AP19=1),0,AP19))</f>
        <v>1</v>
      </c>
      <c r="AQ26" s="216">
        <f ca="1">IF('Vận Năm'!B35="*",1,IF('Vận Năm'!B34="*",2,IF('Vận Năm'!B33="*",3,IF('Vận Năm'!B32="*",4,IF('Vận Năm'!B31="*",5,IF('Vận Năm'!B30="*",6,""))))))</f>
        <v>5</v>
      </c>
      <c r="AR26" s="495" t="str">
        <f ca="1">AP25&amp;AP26&amp;AP27</f>
        <v>010</v>
      </c>
      <c r="AS26" s="654" t="str">
        <f ca="1">'Đại Vận'!C104</f>
        <v>61-66 Tuổi</v>
      </c>
      <c r="AT26" s="219" t="str">
        <f ca="1">'Đại Vận'!C111</f>
        <v>M.Di</v>
      </c>
      <c r="AU26" s="495">
        <f ca="1">VLOOKUP(9,AK4:AO15,5,0)</f>
        <v>4</v>
      </c>
      <c r="AV26" s="498"/>
      <c r="AW26" s="714"/>
      <c r="AY26" s="661"/>
      <c r="AZ26" s="714"/>
      <c r="BA26" s="212"/>
      <c r="BB26" s="730"/>
      <c r="BC26" s="730"/>
      <c r="BD26" s="730"/>
      <c r="BE26" s="734"/>
      <c r="BF26" s="735"/>
      <c r="BG26" s="461"/>
      <c r="BH26" s="461"/>
      <c r="BI26" s="461"/>
      <c r="BJ26" s="8"/>
      <c r="BM26" s="729"/>
      <c r="BN26" s="731"/>
      <c r="BO26" s="707"/>
      <c r="BP26" s="247"/>
      <c r="BQ26" s="727"/>
      <c r="BR26" s="722"/>
      <c r="BS26" s="704"/>
      <c r="BT26" s="704"/>
      <c r="BW26" s="51"/>
      <c r="BX26" s="51"/>
      <c r="BY26" s="51"/>
      <c r="BZ26" s="51"/>
      <c r="CA26" s="51"/>
      <c r="CB26" s="51"/>
      <c r="CC26" s="52"/>
      <c r="CD26" s="145" t="s">
        <v>5012</v>
      </c>
      <c r="CE26" s="93" t="s">
        <v>2688</v>
      </c>
      <c r="CF26" s="148">
        <f ca="1">IF(AND(CF28=CG28,BY6&gt;0),IF(CF18=CF24,CF18-CG24,CF18-CF24),"Nhập sai ngày DL")</f>
        <v>6</v>
      </c>
      <c r="CG26" s="55"/>
      <c r="CH26" s="55"/>
      <c r="CI26" s="55"/>
      <c r="CJ26" s="55"/>
      <c r="CK26" s="55"/>
      <c r="CL26" s="55"/>
      <c r="CM26" s="55"/>
      <c r="CN26" s="55"/>
      <c r="CO26" s="55"/>
      <c r="CP26" s="55"/>
      <c r="CQ26" s="55"/>
      <c r="CR26" s="55"/>
      <c r="CS26" s="55"/>
      <c r="CT26" s="55"/>
      <c r="CU26" s="55"/>
      <c r="CV26" s="56"/>
      <c r="CW26" s="55"/>
      <c r="CX26" s="55"/>
      <c r="CY26" s="52">
        <v>13</v>
      </c>
      <c r="CZ26" s="120"/>
      <c r="DA26" s="120"/>
      <c r="DB26" s="120">
        <v>30</v>
      </c>
      <c r="DC26" s="120"/>
      <c r="DD26" s="120"/>
      <c r="DE26" s="120">
        <v>30</v>
      </c>
      <c r="DF26" s="120"/>
      <c r="DG26" s="120"/>
      <c r="DH26" s="120">
        <v>30</v>
      </c>
      <c r="DI26" s="120"/>
      <c r="DJ26" s="120">
        <v>30</v>
      </c>
      <c r="DK26" s="120"/>
      <c r="DL26" s="120"/>
      <c r="DM26" s="120">
        <v>30</v>
      </c>
      <c r="DN26" s="120"/>
      <c r="DO26" s="120"/>
      <c r="DP26" s="120">
        <v>29</v>
      </c>
      <c r="DQ26" s="120"/>
      <c r="DR26" s="120">
        <v>30</v>
      </c>
      <c r="DS26" s="51"/>
      <c r="DT26" s="120"/>
      <c r="DU26" s="120">
        <v>30</v>
      </c>
      <c r="DV26" s="120"/>
      <c r="DW26" s="120"/>
      <c r="DX26" s="120">
        <v>30</v>
      </c>
      <c r="DY26" s="120"/>
      <c r="DZ26" s="120"/>
      <c r="EA26" s="120">
        <v>30</v>
      </c>
      <c r="EB26" s="120"/>
      <c r="EC26" s="120">
        <v>29</v>
      </c>
      <c r="ED26" s="120"/>
      <c r="EE26" s="120"/>
      <c r="EF26" s="120">
        <v>30</v>
      </c>
      <c r="EG26" s="120"/>
      <c r="EH26" s="120"/>
      <c r="EI26" s="120">
        <v>29</v>
      </c>
      <c r="EJ26" s="120"/>
      <c r="EK26" s="120">
        <v>30</v>
      </c>
      <c r="EL26" s="120"/>
      <c r="EM26" s="120"/>
      <c r="EN26" s="120">
        <v>29</v>
      </c>
      <c r="EO26" s="120"/>
      <c r="EP26" s="120"/>
      <c r="EQ26" s="120">
        <v>30</v>
      </c>
      <c r="ER26" s="120"/>
      <c r="ES26" s="120"/>
      <c r="ET26" s="120">
        <v>30</v>
      </c>
      <c r="EU26" s="120"/>
      <c r="EV26" s="120">
        <v>30</v>
      </c>
      <c r="EW26" s="120"/>
      <c r="EX26" s="120"/>
      <c r="EY26" s="120">
        <v>30</v>
      </c>
      <c r="EZ26" s="120"/>
      <c r="FA26" s="120"/>
      <c r="FB26" s="120">
        <v>30</v>
      </c>
      <c r="FC26" s="120"/>
      <c r="FD26" s="120">
        <v>29</v>
      </c>
      <c r="FE26" s="120"/>
      <c r="FF26" s="120"/>
      <c r="FG26" s="120">
        <v>29</v>
      </c>
      <c r="FH26" s="120"/>
      <c r="FI26" s="120"/>
      <c r="FJ26" s="120">
        <v>29</v>
      </c>
      <c r="FK26" s="120"/>
      <c r="FL26" s="120"/>
      <c r="FM26" s="120">
        <v>29</v>
      </c>
      <c r="FN26" s="120"/>
      <c r="FO26" s="120">
        <v>29</v>
      </c>
      <c r="FP26" s="120"/>
      <c r="FQ26" s="120"/>
      <c r="FR26" s="120">
        <v>30</v>
      </c>
      <c r="FS26" s="120"/>
      <c r="FT26" s="120"/>
      <c r="FU26" s="120">
        <v>30</v>
      </c>
      <c r="FV26" s="120"/>
      <c r="FW26" s="120">
        <v>30</v>
      </c>
      <c r="FX26" s="120"/>
      <c r="FY26" s="120"/>
      <c r="FZ26" s="120">
        <v>29</v>
      </c>
      <c r="GA26" s="120"/>
      <c r="GB26" s="120"/>
      <c r="GC26" s="120">
        <v>30</v>
      </c>
      <c r="GD26" s="120"/>
      <c r="GE26" s="120"/>
      <c r="GF26" s="120">
        <v>30</v>
      </c>
      <c r="GG26" s="120"/>
      <c r="GH26" s="120">
        <v>29</v>
      </c>
      <c r="GI26" s="120"/>
      <c r="GJ26" s="120"/>
      <c r="GK26" s="120">
        <v>30</v>
      </c>
      <c r="GL26" s="120"/>
      <c r="GM26" s="120"/>
      <c r="GN26" s="120">
        <v>29</v>
      </c>
      <c r="GO26" s="120"/>
      <c r="GP26" s="120">
        <v>30</v>
      </c>
      <c r="GQ26" s="120"/>
      <c r="GR26" s="120"/>
      <c r="GS26" s="120">
        <v>30</v>
      </c>
      <c r="GT26" s="120"/>
      <c r="GU26" s="120"/>
      <c r="GV26" s="120">
        <v>30</v>
      </c>
      <c r="GW26" s="120"/>
      <c r="GX26" s="120"/>
      <c r="GY26" s="120">
        <v>30</v>
      </c>
      <c r="GZ26" s="120"/>
      <c r="HA26" s="120">
        <v>30</v>
      </c>
      <c r="HB26" s="120"/>
      <c r="HC26" s="120"/>
      <c r="HD26" s="120">
        <v>30</v>
      </c>
      <c r="HE26" s="120"/>
      <c r="HF26" s="120"/>
      <c r="HG26" s="120">
        <v>29</v>
      </c>
      <c r="HH26" s="120"/>
      <c r="HI26" s="120">
        <v>30</v>
      </c>
      <c r="HJ26" s="120"/>
      <c r="HK26" s="120"/>
      <c r="HL26" s="120">
        <v>30</v>
      </c>
      <c r="HM26" s="120"/>
      <c r="HN26" s="120"/>
      <c r="HO26" s="120">
        <v>30</v>
      </c>
      <c r="HP26" s="120"/>
      <c r="HQ26" s="120"/>
      <c r="HR26" s="120">
        <v>30</v>
      </c>
      <c r="HS26" s="120"/>
      <c r="HT26" s="120">
        <v>29</v>
      </c>
      <c r="HU26" s="120"/>
      <c r="HV26" s="120"/>
      <c r="HW26" s="120">
        <v>29</v>
      </c>
      <c r="HX26" s="120"/>
      <c r="HY26" s="120"/>
      <c r="HZ26" s="120">
        <v>29</v>
      </c>
      <c r="IA26" s="120"/>
      <c r="IB26" s="120">
        <v>30</v>
      </c>
      <c r="IC26" s="120"/>
      <c r="ID26" s="120"/>
      <c r="IE26" s="120">
        <v>30</v>
      </c>
      <c r="IF26" s="120"/>
      <c r="IG26" s="120"/>
      <c r="IH26" s="120">
        <v>29</v>
      </c>
      <c r="II26" s="120"/>
      <c r="IJ26" s="121"/>
      <c r="IK26" s="51"/>
      <c r="IL26" s="51"/>
    </row>
    <row r="27" spans="1:246" ht="12.95" customHeight="1">
      <c r="C27" s="16"/>
      <c r="D27" s="8" t="s">
        <v>9007</v>
      </c>
      <c r="F27" s="10" t="str">
        <f ca="1">IF(G19="(+) Nam",H26,IF(G19="(-) Nữ",H26,IF(G19="(-) Nam",I26,IF(G19="(+) Nữ",I26,""))))</f>
        <v>Càn</v>
      </c>
      <c r="G27" s="9" t="str">
        <f ca="1">IF(F27="","",HLOOKUP(F27,K11:T16,6,0))</f>
        <v>111</v>
      </c>
      <c r="H27" s="569" t="s">
        <v>597</v>
      </c>
      <c r="I27" s="571" t="str">
        <f ca="1">IF(K22="","",HLOOKUP(K22,'64Quẻ'!B4:DX5,2,0))</f>
        <v>Bĩ</v>
      </c>
      <c r="J27" s="16">
        <v>2</v>
      </c>
      <c r="K27" s="529">
        <f ca="1">IF('Thể cách'!M8="———",1,0)</f>
        <v>0</v>
      </c>
      <c r="L27" s="541">
        <f ca="1">IF(AND('Thể cách'!L5="NĐ",K24=0),1,IF(AND('Thể cách'!L5="NĐ",K24=1),0,K24))</f>
        <v>0</v>
      </c>
      <c r="M27" s="466">
        <f ca="1">IF(AA40=2,"1",(N28+1))</f>
        <v>25</v>
      </c>
      <c r="N27" s="299">
        <f t="shared" ca="1" si="11"/>
        <v>30</v>
      </c>
      <c r="O27" s="298">
        <f ca="1">IF(AA40=5,(MAX(N23:N28)+1),(P28+1))</f>
        <v>46</v>
      </c>
      <c r="P27" s="299">
        <f t="shared" ca="1" si="12"/>
        <v>51</v>
      </c>
      <c r="Q27" s="297" t="s">
        <v>2723</v>
      </c>
      <c r="R27" s="555" t="str">
        <f ca="1">IF(OR(W8=Q23,W8=R23),", "&amp;Q24,"")&amp;IF(OR(W8=S23,W8=T23),", "&amp;S24,"")&amp;IF(OR(W8=U23,W8=V23),", "&amp;U24,"")&amp;IF(OR(W8=W23,W8=X23),", "&amp;W24,"")</f>
        <v>, ở quẻ hỗ hậu thiên</v>
      </c>
      <c r="S27" s="212" t="s">
        <v>602</v>
      </c>
      <c r="T27" s="576" t="str">
        <f ca="1">IF(OR(R5='Thể cách'!O4,R5='Thể cách'!O5,R5='Thể cách'!O6,R5='Thể cách'!O7,R5='Thể cách'!O8,R5='Thể cách'!O9),", ở quẻ tiên thiên","")</f>
        <v>, ở quẻ tiên thiên</v>
      </c>
      <c r="U27" s="543" t="s">
        <v>2736</v>
      </c>
      <c r="V27" s="581"/>
      <c r="W27" s="575" t="s">
        <v>601</v>
      </c>
      <c r="X27" s="457" t="s">
        <v>604</v>
      </c>
      <c r="Z27" s="37" t="str">
        <f ca="1">IF(Z8="","",HLOOKUP(AA8,'64Quẻ'!D5:DW23,8,0))</f>
        <v>Tỵ</v>
      </c>
      <c r="AA27" s="28">
        <v>6</v>
      </c>
      <c r="AB27" s="28"/>
      <c r="AC27" s="27" t="str">
        <f ca="1">IF(AC8="","",HLOOKUP(AD8,'64Quẻ'!DZ5:EC23,8,0))</f>
        <v/>
      </c>
      <c r="AD27" s="28">
        <v>6</v>
      </c>
      <c r="AE27" s="28"/>
      <c r="AF27" s="27" t="str">
        <f ca="1">IF(AF8="","",HLOOKUP(AG8,'64Quẻ'!ED5:EG23,8,0))</f>
        <v/>
      </c>
      <c r="AG27" s="28">
        <v>6</v>
      </c>
      <c r="AH27" s="28"/>
      <c r="AI27" s="27" t="str">
        <f ca="1">IF(AI8="","",HLOOKUP(AJ8,'64Quẻ'!EH5:EK23,8,0))</f>
        <v/>
      </c>
      <c r="AJ27" s="226">
        <v>6</v>
      </c>
      <c r="AK27" s="454"/>
      <c r="AP27" s="660">
        <f ca="1">IF(AND('Vận Năm'!B34="*",AP20=0),1,IF(AND('Vận Năm'!B34="*",AP20=1),0,AP20))</f>
        <v>0</v>
      </c>
      <c r="AQ27" s="662"/>
      <c r="AR27" s="663" t="str">
        <f ca="1">IF(OR(AU3=AR23,AU3=AR24,AU3=AR25,AU3=AR26),"TNK","")</f>
        <v/>
      </c>
      <c r="AS27" s="654" t="str">
        <f ca="1">'Đại Vận'!C116</f>
        <v>67-72 Tuổi</v>
      </c>
      <c r="AT27" s="219" t="str">
        <f ca="1">'Đại Vận'!C123</f>
        <v>M.Di</v>
      </c>
      <c r="AU27" s="495">
        <f ca="1">VLOOKUP(10,AK4:AO15,5,0)</f>
        <v>5</v>
      </c>
      <c r="AV27" s="728"/>
      <c r="AW27" s="714"/>
      <c r="AY27" s="721"/>
      <c r="AZ27" s="714"/>
      <c r="BA27" s="212"/>
      <c r="BB27" s="736"/>
      <c r="BC27" s="730"/>
      <c r="BD27" s="730"/>
      <c r="BE27" s="120"/>
      <c r="BF27" s="212"/>
      <c r="BG27" s="729"/>
      <c r="BH27" s="17"/>
      <c r="BI27" s="14"/>
      <c r="BJ27" s="8"/>
      <c r="BM27" s="729"/>
      <c r="BN27" s="731"/>
      <c r="BO27" s="707"/>
      <c r="BQ27" s="706"/>
      <c r="BR27" s="212"/>
      <c r="BS27" s="704"/>
      <c r="BT27" s="704"/>
      <c r="BW27" s="51"/>
      <c r="BX27" s="51"/>
      <c r="BY27" s="51"/>
      <c r="BZ27" s="51"/>
      <c r="CA27" s="51"/>
      <c r="CB27" s="51"/>
      <c r="CC27" s="52"/>
      <c r="CD27" s="53"/>
      <c r="CE27" s="55"/>
      <c r="CF27" s="55"/>
      <c r="CG27" s="55"/>
      <c r="CH27" s="55"/>
      <c r="CI27" s="55"/>
      <c r="CJ27" s="55"/>
      <c r="CK27" s="55"/>
      <c r="CL27" s="55"/>
      <c r="CM27" s="55"/>
      <c r="CN27" s="55"/>
      <c r="CO27" s="55"/>
      <c r="CP27" s="55"/>
      <c r="CQ27" s="55"/>
      <c r="CR27" s="55"/>
      <c r="CS27" s="55"/>
      <c r="CT27" s="55"/>
      <c r="CU27" s="55"/>
      <c r="CV27" s="56"/>
      <c r="CW27" s="55"/>
      <c r="CX27" s="55"/>
      <c r="CY27" s="52"/>
      <c r="CZ27" s="51"/>
      <c r="DA27" s="51"/>
      <c r="DB27" s="51"/>
      <c r="DC27" s="51"/>
      <c r="DD27" s="51"/>
      <c r="DE27" s="51"/>
      <c r="DF27" s="51"/>
      <c r="DG27" s="51"/>
      <c r="DH27" s="51"/>
      <c r="DI27" s="51"/>
      <c r="DJ27" s="51"/>
      <c r="DK27" s="51"/>
      <c r="DL27" s="51"/>
      <c r="DM27" s="51"/>
      <c r="DN27" s="51"/>
      <c r="DO27" s="51"/>
      <c r="DP27" s="51"/>
      <c r="DQ27" s="51"/>
      <c r="DR27" s="51"/>
      <c r="DS27" s="51"/>
      <c r="DT27" s="120"/>
      <c r="DU27" s="120"/>
      <c r="DV27" s="120"/>
      <c r="DW27" s="120"/>
      <c r="DX27" s="120"/>
      <c r="DY27" s="120"/>
      <c r="DZ27" s="120"/>
      <c r="EA27" s="120"/>
      <c r="EB27" s="120"/>
      <c r="EC27" s="120"/>
      <c r="ED27" s="120"/>
      <c r="EE27" s="120"/>
      <c r="EF27" s="120"/>
      <c r="EG27" s="120"/>
      <c r="EH27" s="120"/>
      <c r="EI27" s="120"/>
      <c r="EJ27" s="120"/>
      <c r="EK27" s="120"/>
      <c r="EL27" s="120"/>
      <c r="EM27" s="120"/>
      <c r="EN27" s="120"/>
      <c r="EO27" s="120"/>
      <c r="EP27" s="120"/>
      <c r="EQ27" s="120"/>
      <c r="ER27" s="120"/>
      <c r="ES27" s="120"/>
      <c r="ET27" s="120"/>
      <c r="EU27" s="120"/>
      <c r="EV27" s="120"/>
      <c r="EW27" s="120"/>
      <c r="EX27" s="120"/>
      <c r="EY27" s="120"/>
      <c r="EZ27" s="120"/>
      <c r="FA27" s="120"/>
      <c r="FB27" s="120"/>
      <c r="FC27" s="120"/>
      <c r="FD27" s="120"/>
      <c r="FE27" s="120"/>
      <c r="FF27" s="120"/>
      <c r="FG27" s="120"/>
      <c r="FH27" s="120"/>
      <c r="FI27" s="120"/>
      <c r="FJ27" s="120"/>
      <c r="FK27" s="120"/>
      <c r="FL27" s="120"/>
      <c r="FM27" s="120"/>
      <c r="FN27" s="120"/>
      <c r="FO27" s="120"/>
      <c r="FP27" s="120"/>
      <c r="FQ27" s="120"/>
      <c r="FR27" s="120"/>
      <c r="FS27" s="120"/>
      <c r="FT27" s="120"/>
      <c r="FU27" s="120"/>
      <c r="FV27" s="120"/>
      <c r="FW27" s="120"/>
      <c r="FX27" s="120"/>
      <c r="FY27" s="120"/>
      <c r="FZ27" s="120"/>
      <c r="GA27" s="120"/>
      <c r="GB27" s="120"/>
      <c r="GC27" s="120"/>
      <c r="GD27" s="120"/>
      <c r="GE27" s="120"/>
      <c r="GF27" s="120"/>
      <c r="GG27" s="120"/>
      <c r="GH27" s="120"/>
      <c r="GI27" s="120"/>
      <c r="GJ27" s="120"/>
      <c r="GK27" s="120"/>
      <c r="GL27" s="120"/>
      <c r="GM27" s="120"/>
      <c r="GN27" s="120"/>
      <c r="GO27" s="120"/>
      <c r="GP27" s="120"/>
      <c r="GQ27" s="120"/>
      <c r="GR27" s="120"/>
      <c r="GS27" s="120"/>
      <c r="GT27" s="120"/>
      <c r="GU27" s="120"/>
      <c r="GV27" s="120"/>
      <c r="GW27" s="120"/>
      <c r="GX27" s="120"/>
      <c r="GY27" s="120"/>
      <c r="GZ27" s="120"/>
      <c r="HA27" s="120"/>
      <c r="HB27" s="120"/>
      <c r="HC27" s="120"/>
      <c r="HD27" s="120"/>
      <c r="HE27" s="120"/>
      <c r="HF27" s="120"/>
      <c r="HG27" s="120"/>
      <c r="HH27" s="120"/>
      <c r="HI27" s="120"/>
      <c r="HJ27" s="120"/>
      <c r="HK27" s="120"/>
      <c r="HL27" s="120"/>
      <c r="HM27" s="120"/>
      <c r="HN27" s="120"/>
      <c r="HO27" s="120"/>
      <c r="HP27" s="120"/>
      <c r="HQ27" s="120"/>
      <c r="HR27" s="120"/>
      <c r="HS27" s="120"/>
      <c r="HT27" s="120"/>
      <c r="HU27" s="120"/>
      <c r="HV27" s="120"/>
      <c r="HW27" s="120"/>
      <c r="HX27" s="120"/>
      <c r="HY27" s="120"/>
      <c r="HZ27" s="120"/>
      <c r="IA27" s="120"/>
      <c r="IB27" s="120"/>
      <c r="IC27" s="120"/>
      <c r="ID27" s="120"/>
      <c r="IE27" s="120"/>
      <c r="IF27" s="120"/>
      <c r="IG27" s="120"/>
      <c r="IH27" s="120"/>
      <c r="II27" s="120"/>
      <c r="IJ27" s="121"/>
      <c r="IK27" s="51"/>
      <c r="IL27" s="51"/>
    </row>
    <row r="28" spans="1:246" ht="12.95" customHeight="1">
      <c r="F28" s="10" t="str">
        <f ca="1">IF(G19="(-) Nam",H26,IF(G19="(+) Nữ",H26,IF(G19="(+) Nam",I26,IF(G19="(-) Nữ",I26,""))))</f>
        <v>Khôn</v>
      </c>
      <c r="G28" s="9" t="str">
        <f ca="1">IF(F28="","",HLOOKUP(F28,K11:T16,6,0))</f>
        <v>000</v>
      </c>
      <c r="H28" s="570" t="s">
        <v>598</v>
      </c>
      <c r="I28" s="571" t="str">
        <f ca="1">IF(L22="","",HLOOKUP(L22,'64Quẻ'!B4:DX5,2,0))</f>
        <v>M.Di</v>
      </c>
      <c r="J28" s="16">
        <v>1</v>
      </c>
      <c r="K28" s="530">
        <f ca="1">IF('Thể cách'!M9="———",1,0)</f>
        <v>0</v>
      </c>
      <c r="L28" s="542">
        <f ca="1">IF(AND('Thể cách'!L6="NĐ",K25=0),1,IF(AND('Thể cách'!L6="NĐ",K25=1),0,K25))</f>
        <v>1</v>
      </c>
      <c r="M28" s="467">
        <f ca="1">IF(AA40=1,"1",(N23+1))</f>
        <v>19</v>
      </c>
      <c r="N28" s="468">
        <f t="shared" ca="1" si="11"/>
        <v>24</v>
      </c>
      <c r="O28" s="469">
        <f ca="1">IF(AA40=4,(MAX(N23:N28)+1),(P23+1))</f>
        <v>79</v>
      </c>
      <c r="P28" s="468">
        <f t="shared" ca="1" si="12"/>
        <v>87</v>
      </c>
      <c r="S28" s="491" t="s">
        <v>603</v>
      </c>
      <c r="T28" s="577" t="str">
        <f ca="1">IF(OR(R5='Thể cách'!S4,R5='Thể cách'!S5,R5='Thể cách'!S6,R5='Thể cách'!S7,R5='Thể cách'!S8,R5='Thể cách'!S9),", ở quẻ hậu thiên","")</f>
        <v/>
      </c>
      <c r="U28" s="580" t="str">
        <f ca="1">T27&amp;T28</f>
        <v>, ở quẻ tiên thiên</v>
      </c>
      <c r="V28" s="485"/>
      <c r="W28" s="578">
        <f ca="1">HLOOKUP(I27,'64Quẻ'!B5:DX25,21,0)</f>
        <v>7</v>
      </c>
      <c r="X28" s="579">
        <f ca="1">HLOOKUP(I28,'64Quẻ'!B5:DX25,21,0)</f>
        <v>8</v>
      </c>
      <c r="Z28" s="40" t="str">
        <f ca="1">IF(Z8="","",HLOOKUP(AA8,'64Quẻ'!D5:DW23,9,0))</f>
        <v>Thìn</v>
      </c>
      <c r="AA28" s="9">
        <v>5</v>
      </c>
      <c r="AC28" s="12" t="str">
        <f ca="1">IF(AC8="","",HLOOKUP(AD8,'64Quẻ'!DZ5:EC23,9,0))</f>
        <v/>
      </c>
      <c r="AD28" s="9">
        <v>5</v>
      </c>
      <c r="AF28" s="12" t="str">
        <f ca="1">IF(AF8="","",HLOOKUP(AG8,'64Quẻ'!ED5:EG23,9,0))</f>
        <v/>
      </c>
      <c r="AG28" s="9">
        <v>5</v>
      </c>
      <c r="AI28" s="12" t="str">
        <f ca="1">IF(AI8="","",HLOOKUP(AJ8,'64Quẻ'!EH5:EK23,9,0))</f>
        <v/>
      </c>
      <c r="AJ28" s="213">
        <v>5</v>
      </c>
      <c r="AK28" s="454"/>
      <c r="AP28" s="660">
        <f ca="1">IF(AND('Vận Năm'!B35="*",AP21=0),1,IF(AND('Vận Năm'!B35="*",AP21=1),0,AP21))</f>
        <v>0</v>
      </c>
      <c r="AQ28" s="662"/>
      <c r="AR28" s="663" t="str">
        <f ca="1">IF(OR(AU4=AR23,AU4=AR24,AU4=AR25,AU4=AR26),"ĐNK","")</f>
        <v/>
      </c>
      <c r="AS28" s="654" t="str">
        <f ca="1">'Đại Vận'!C128</f>
        <v>73-78 Tuổi</v>
      </c>
      <c r="AT28" s="219" t="str">
        <f ca="1">'Đại Vận'!C135</f>
        <v>M.Di</v>
      </c>
      <c r="AU28" s="495">
        <f ca="1">VLOOKUP(11,AK4:AO15,5,0)</f>
        <v>6</v>
      </c>
      <c r="AV28" s="728"/>
      <c r="AW28" s="714"/>
      <c r="AY28" s="721"/>
      <c r="AZ28" s="714"/>
      <c r="BA28" s="212"/>
      <c r="BB28" s="736"/>
      <c r="BC28" s="730"/>
      <c r="BD28" s="730"/>
      <c r="BE28" s="120"/>
      <c r="BF28" s="212"/>
      <c r="BG28" s="729"/>
      <c r="BH28" s="17"/>
      <c r="BI28" s="14"/>
      <c r="BJ28" s="8"/>
      <c r="BM28" s="729"/>
      <c r="BN28" s="731"/>
      <c r="BO28" s="707"/>
      <c r="BP28" s="712"/>
      <c r="BQ28" s="706"/>
      <c r="BR28" s="212"/>
      <c r="BS28" s="704"/>
      <c r="BT28" s="704"/>
      <c r="BW28" s="51"/>
      <c r="BX28" s="51"/>
      <c r="BY28" s="51"/>
      <c r="BZ28" s="51"/>
      <c r="CA28" s="51"/>
      <c r="CB28" s="51"/>
      <c r="CC28" s="52"/>
      <c r="CD28" s="53" t="s">
        <v>2880</v>
      </c>
      <c r="CE28" s="55" t="s">
        <v>2688</v>
      </c>
      <c r="CF28" s="88">
        <f ca="1">BY6</f>
        <v>17</v>
      </c>
      <c r="CG28" s="55">
        <f ca="1">IF(CF28&gt;CG29,"Không Tồn Tại",CF28)</f>
        <v>17</v>
      </c>
      <c r="CH28" s="55"/>
      <c r="CI28" s="55"/>
      <c r="CJ28" s="55"/>
      <c r="CK28" s="55"/>
      <c r="CL28" s="55"/>
      <c r="CM28" s="55"/>
      <c r="CN28" s="55"/>
      <c r="CO28" s="55"/>
      <c r="CP28" s="55"/>
      <c r="CQ28" s="55"/>
      <c r="CR28" s="55"/>
      <c r="CS28" s="55"/>
      <c r="CT28" s="55"/>
      <c r="CU28" s="55"/>
      <c r="CV28" s="56"/>
      <c r="CW28" s="55"/>
      <c r="CX28" s="55"/>
      <c r="CY28" s="52"/>
      <c r="CZ28" s="120">
        <f t="shared" ref="CZ28:EE28" si="14">SUM(CZ14:CZ26)</f>
        <v>354</v>
      </c>
      <c r="DA28" s="120">
        <f t="shared" si="14"/>
        <v>355</v>
      </c>
      <c r="DB28" s="120">
        <f t="shared" si="14"/>
        <v>383</v>
      </c>
      <c r="DC28" s="120">
        <f t="shared" si="14"/>
        <v>354</v>
      </c>
      <c r="DD28" s="120">
        <f t="shared" si="14"/>
        <v>355</v>
      </c>
      <c r="DE28" s="120">
        <f t="shared" si="14"/>
        <v>384</v>
      </c>
      <c r="DF28" s="120">
        <f t="shared" si="14"/>
        <v>354</v>
      </c>
      <c r="DG28" s="120">
        <f t="shared" si="14"/>
        <v>355</v>
      </c>
      <c r="DH28" s="120">
        <f t="shared" si="14"/>
        <v>384</v>
      </c>
      <c r="DI28" s="120">
        <f t="shared" si="14"/>
        <v>354</v>
      </c>
      <c r="DJ28" s="120">
        <f t="shared" si="14"/>
        <v>384</v>
      </c>
      <c r="DK28" s="120">
        <f t="shared" si="14"/>
        <v>354</v>
      </c>
      <c r="DL28" s="120">
        <f t="shared" si="14"/>
        <v>354</v>
      </c>
      <c r="DM28" s="120">
        <f t="shared" si="14"/>
        <v>384</v>
      </c>
      <c r="DN28" s="120">
        <f t="shared" si="14"/>
        <v>354</v>
      </c>
      <c r="DO28" s="120">
        <f t="shared" si="14"/>
        <v>355</v>
      </c>
      <c r="DP28" s="120">
        <f t="shared" si="14"/>
        <v>384</v>
      </c>
      <c r="DQ28" s="120">
        <f t="shared" si="14"/>
        <v>355</v>
      </c>
      <c r="DR28" s="120">
        <f t="shared" si="14"/>
        <v>384</v>
      </c>
      <c r="DS28" s="120">
        <f t="shared" si="14"/>
        <v>354</v>
      </c>
      <c r="DT28" s="149">
        <f t="shared" si="14"/>
        <v>354</v>
      </c>
      <c r="DU28" s="120">
        <f t="shared" si="14"/>
        <v>384</v>
      </c>
      <c r="DV28" s="120">
        <f t="shared" si="14"/>
        <v>354</v>
      </c>
      <c r="DW28" s="120">
        <f t="shared" si="14"/>
        <v>355</v>
      </c>
      <c r="DX28" s="120">
        <f t="shared" si="14"/>
        <v>384</v>
      </c>
      <c r="DY28" s="120">
        <f t="shared" si="14"/>
        <v>354</v>
      </c>
      <c r="DZ28" s="120">
        <f t="shared" si="14"/>
        <v>355</v>
      </c>
      <c r="EA28" s="120">
        <f t="shared" si="14"/>
        <v>384</v>
      </c>
      <c r="EB28" s="120">
        <f t="shared" si="14"/>
        <v>354</v>
      </c>
      <c r="EC28" s="120">
        <f t="shared" si="14"/>
        <v>383</v>
      </c>
      <c r="ED28" s="120">
        <f t="shared" si="14"/>
        <v>354</v>
      </c>
      <c r="EE28" s="120">
        <f t="shared" si="14"/>
        <v>355</v>
      </c>
      <c r="EF28" s="120">
        <f t="shared" ref="EF28:FK28" si="15">SUM(EF14:EF26)</f>
        <v>384</v>
      </c>
      <c r="EG28" s="120">
        <f t="shared" si="15"/>
        <v>355</v>
      </c>
      <c r="EH28" s="120">
        <f t="shared" si="15"/>
        <v>354</v>
      </c>
      <c r="EI28" s="120">
        <f t="shared" si="15"/>
        <v>384</v>
      </c>
      <c r="EJ28" s="120">
        <f t="shared" si="15"/>
        <v>354</v>
      </c>
      <c r="EK28" s="120">
        <f t="shared" si="15"/>
        <v>384</v>
      </c>
      <c r="EL28" s="120">
        <f t="shared" si="15"/>
        <v>354</v>
      </c>
      <c r="EM28" s="120">
        <f t="shared" si="15"/>
        <v>354</v>
      </c>
      <c r="EN28" s="120">
        <f t="shared" si="15"/>
        <v>384</v>
      </c>
      <c r="EO28" s="120">
        <f t="shared" si="15"/>
        <v>355</v>
      </c>
      <c r="EP28" s="120">
        <f t="shared" si="15"/>
        <v>354</v>
      </c>
      <c r="EQ28" s="120">
        <f t="shared" si="15"/>
        <v>385</v>
      </c>
      <c r="ER28" s="120">
        <f t="shared" si="15"/>
        <v>354</v>
      </c>
      <c r="ES28" s="120">
        <f t="shared" si="15"/>
        <v>354</v>
      </c>
      <c r="ET28" s="149">
        <f t="shared" si="15"/>
        <v>384</v>
      </c>
      <c r="EU28" s="120">
        <f t="shared" si="15"/>
        <v>354</v>
      </c>
      <c r="EV28" s="120">
        <f t="shared" si="15"/>
        <v>384</v>
      </c>
      <c r="EW28" s="120">
        <f t="shared" si="15"/>
        <v>354</v>
      </c>
      <c r="EX28" s="120">
        <f t="shared" si="15"/>
        <v>355</v>
      </c>
      <c r="EY28" s="120">
        <f t="shared" si="15"/>
        <v>384</v>
      </c>
      <c r="EZ28" s="120">
        <f t="shared" si="15"/>
        <v>354</v>
      </c>
      <c r="FA28" s="120">
        <f t="shared" si="15"/>
        <v>355</v>
      </c>
      <c r="FB28" s="120">
        <f t="shared" si="15"/>
        <v>384</v>
      </c>
      <c r="FC28" s="120">
        <f t="shared" si="15"/>
        <v>354</v>
      </c>
      <c r="FD28" s="120">
        <f t="shared" si="15"/>
        <v>383</v>
      </c>
      <c r="FE28" s="120">
        <f t="shared" si="15"/>
        <v>355</v>
      </c>
      <c r="FF28" s="120">
        <f t="shared" si="15"/>
        <v>354</v>
      </c>
      <c r="FG28" s="120">
        <f t="shared" si="15"/>
        <v>384</v>
      </c>
      <c r="FH28" s="120">
        <f t="shared" si="15"/>
        <v>355</v>
      </c>
      <c r="FI28" s="120">
        <f t="shared" si="15"/>
        <v>354</v>
      </c>
      <c r="FJ28" s="120">
        <f t="shared" si="15"/>
        <v>384</v>
      </c>
      <c r="FK28" s="120">
        <f t="shared" si="15"/>
        <v>355</v>
      </c>
      <c r="FL28" s="120">
        <f t="shared" ref="FL28:GQ28" si="16">SUM(FL14:FL26)</f>
        <v>353</v>
      </c>
      <c r="FM28" s="120">
        <f t="shared" si="16"/>
        <v>384</v>
      </c>
      <c r="FN28" s="120">
        <f t="shared" si="16"/>
        <v>354</v>
      </c>
      <c r="FO28" s="120">
        <f t="shared" si="16"/>
        <v>384</v>
      </c>
      <c r="FP28" s="120">
        <f t="shared" si="16"/>
        <v>355</v>
      </c>
      <c r="FQ28" s="120">
        <f t="shared" si="16"/>
        <v>355</v>
      </c>
      <c r="FR28" s="120">
        <f t="shared" si="16"/>
        <v>384</v>
      </c>
      <c r="FS28" s="120">
        <f t="shared" si="16"/>
        <v>354</v>
      </c>
      <c r="FT28" s="149">
        <f t="shared" si="16"/>
        <v>354</v>
      </c>
      <c r="FU28" s="120">
        <f t="shared" si="16"/>
        <v>384</v>
      </c>
      <c r="FV28" s="120">
        <f t="shared" si="16"/>
        <v>354</v>
      </c>
      <c r="FW28" s="120">
        <f t="shared" si="16"/>
        <v>384</v>
      </c>
      <c r="FX28" s="120">
        <f t="shared" si="16"/>
        <v>354</v>
      </c>
      <c r="FY28" s="120">
        <f t="shared" si="16"/>
        <v>355</v>
      </c>
      <c r="FZ28" s="120">
        <f t="shared" si="16"/>
        <v>384</v>
      </c>
      <c r="GA28" s="120">
        <f t="shared" si="16"/>
        <v>355</v>
      </c>
      <c r="GB28" s="120">
        <f t="shared" si="16"/>
        <v>354</v>
      </c>
      <c r="GC28" s="120">
        <f t="shared" si="16"/>
        <v>384</v>
      </c>
      <c r="GD28" s="120">
        <f t="shared" si="16"/>
        <v>354</v>
      </c>
      <c r="GE28" s="120">
        <f t="shared" si="16"/>
        <v>354</v>
      </c>
      <c r="GF28" s="120">
        <f t="shared" si="16"/>
        <v>384</v>
      </c>
      <c r="GG28" s="120">
        <f t="shared" si="16"/>
        <v>354</v>
      </c>
      <c r="GH28" s="120">
        <f t="shared" si="16"/>
        <v>384</v>
      </c>
      <c r="GI28" s="120">
        <f t="shared" si="16"/>
        <v>355</v>
      </c>
      <c r="GJ28" s="120">
        <f t="shared" si="16"/>
        <v>355</v>
      </c>
      <c r="GK28" s="120">
        <f t="shared" si="16"/>
        <v>384</v>
      </c>
      <c r="GL28" s="120">
        <f t="shared" si="16"/>
        <v>354</v>
      </c>
      <c r="GM28" s="120">
        <f t="shared" si="16"/>
        <v>354</v>
      </c>
      <c r="GN28" s="120">
        <f t="shared" si="16"/>
        <v>383</v>
      </c>
      <c r="GO28" s="120">
        <f t="shared" si="16"/>
        <v>355</v>
      </c>
      <c r="GP28" s="120">
        <f t="shared" si="16"/>
        <v>384</v>
      </c>
      <c r="GQ28" s="120">
        <f t="shared" si="16"/>
        <v>354</v>
      </c>
      <c r="GR28" s="120">
        <f t="shared" ref="GR28:HS28" si="17">SUM(GR14:GR26)</f>
        <v>355</v>
      </c>
      <c r="GS28" s="120">
        <f t="shared" si="17"/>
        <v>384</v>
      </c>
      <c r="GT28" s="149">
        <f t="shared" si="17"/>
        <v>354</v>
      </c>
      <c r="GU28" s="120">
        <f t="shared" si="17"/>
        <v>354</v>
      </c>
      <c r="GV28" s="120">
        <f t="shared" si="17"/>
        <v>384</v>
      </c>
      <c r="GW28" s="120">
        <f t="shared" si="17"/>
        <v>354</v>
      </c>
      <c r="GX28" s="120">
        <f t="shared" si="17"/>
        <v>355</v>
      </c>
      <c r="GY28" s="120">
        <f t="shared" si="17"/>
        <v>384</v>
      </c>
      <c r="GZ28" s="120">
        <f t="shared" si="17"/>
        <v>354</v>
      </c>
      <c r="HA28" s="120">
        <f t="shared" si="17"/>
        <v>385</v>
      </c>
      <c r="HB28" s="120">
        <f t="shared" si="17"/>
        <v>354</v>
      </c>
      <c r="HC28" s="120">
        <f t="shared" si="17"/>
        <v>354</v>
      </c>
      <c r="HD28" s="120">
        <f t="shared" si="17"/>
        <v>384</v>
      </c>
      <c r="HE28" s="120">
        <f t="shared" si="17"/>
        <v>354</v>
      </c>
      <c r="HF28" s="120">
        <f t="shared" si="17"/>
        <v>354</v>
      </c>
      <c r="HG28" s="120">
        <f t="shared" si="17"/>
        <v>384</v>
      </c>
      <c r="HH28" s="120">
        <f t="shared" si="17"/>
        <v>355</v>
      </c>
      <c r="HI28" s="120">
        <f t="shared" si="17"/>
        <v>384</v>
      </c>
      <c r="HJ28" s="120">
        <f t="shared" si="17"/>
        <v>354</v>
      </c>
      <c r="HK28" s="120">
        <f t="shared" si="17"/>
        <v>355</v>
      </c>
      <c r="HL28" s="120">
        <f t="shared" si="17"/>
        <v>384</v>
      </c>
      <c r="HM28" s="120">
        <f t="shared" si="17"/>
        <v>354</v>
      </c>
      <c r="HN28" s="120">
        <f t="shared" si="17"/>
        <v>354</v>
      </c>
      <c r="HO28" s="120">
        <f t="shared" si="17"/>
        <v>384</v>
      </c>
      <c r="HP28" s="120">
        <f t="shared" si="17"/>
        <v>354</v>
      </c>
      <c r="HQ28" s="120">
        <f t="shared" si="17"/>
        <v>355</v>
      </c>
      <c r="HR28" s="120">
        <f t="shared" si="17"/>
        <v>384</v>
      </c>
      <c r="HS28" s="120">
        <f t="shared" si="17"/>
        <v>354</v>
      </c>
      <c r="HT28" s="149">
        <f>SUM(HT14:HT27)</f>
        <v>384</v>
      </c>
      <c r="HU28" s="120">
        <f t="shared" ref="HU28:IJ28" si="18">SUM(HU14:HU26)</f>
        <v>354</v>
      </c>
      <c r="HV28" s="120">
        <f t="shared" si="18"/>
        <v>354</v>
      </c>
      <c r="HW28" s="120">
        <f t="shared" si="18"/>
        <v>384</v>
      </c>
      <c r="HX28" s="120">
        <f t="shared" si="18"/>
        <v>355</v>
      </c>
      <c r="HY28" s="120">
        <f t="shared" si="18"/>
        <v>354</v>
      </c>
      <c r="HZ28" s="120">
        <f t="shared" si="18"/>
        <v>384</v>
      </c>
      <c r="IA28" s="120">
        <f t="shared" si="18"/>
        <v>355</v>
      </c>
      <c r="IB28" s="120">
        <f t="shared" si="18"/>
        <v>384</v>
      </c>
      <c r="IC28" s="120">
        <f t="shared" si="18"/>
        <v>354</v>
      </c>
      <c r="ID28" s="120">
        <f t="shared" si="18"/>
        <v>354</v>
      </c>
      <c r="IE28" s="120">
        <f t="shared" si="18"/>
        <v>384</v>
      </c>
      <c r="IF28" s="120">
        <f t="shared" si="18"/>
        <v>354</v>
      </c>
      <c r="IG28" s="120">
        <f t="shared" si="18"/>
        <v>354</v>
      </c>
      <c r="IH28" s="120">
        <f t="shared" si="18"/>
        <v>384</v>
      </c>
      <c r="II28" s="120">
        <f t="shared" si="18"/>
        <v>355</v>
      </c>
      <c r="IJ28" s="121">
        <f t="shared" si="18"/>
        <v>355</v>
      </c>
      <c r="IK28" s="51"/>
      <c r="IL28" s="51"/>
    </row>
    <row r="29" spans="1:246" ht="12.95" customHeight="1">
      <c r="Z29" s="40" t="str">
        <f ca="1">IF(Z8="","",HLOOKUP(AA8,'64Quẻ'!D5:DW23,10,0))</f>
        <v>Mão</v>
      </c>
      <c r="AA29" s="9">
        <v>4</v>
      </c>
      <c r="AC29" s="12" t="str">
        <f ca="1">IF(AC8="","",HLOOKUP(AD8,'64Quẻ'!DZ5:EC23,10,0))</f>
        <v/>
      </c>
      <c r="AD29" s="9">
        <v>4</v>
      </c>
      <c r="AF29" s="12" t="str">
        <f ca="1">IF(AF8="","",HLOOKUP(AG8,'64Quẻ'!ED5:EG23,10,0))</f>
        <v/>
      </c>
      <c r="AG29" s="9">
        <v>4</v>
      </c>
      <c r="AI29" s="12" t="str">
        <f ca="1">IF(AI8="","",HLOOKUP(AJ8,'64Quẻ'!EH5:EK23,10,0))</f>
        <v/>
      </c>
      <c r="AJ29" s="213">
        <v>4</v>
      </c>
      <c r="AK29" s="454"/>
      <c r="AP29" s="664" t="str">
        <f ca="1">AP23&amp;AP24&amp;AP25&amp;AP26&amp;AP27&amp;AP28</f>
        <v>100100</v>
      </c>
      <c r="AQ29" s="665"/>
      <c r="AR29" s="666" t="str">
        <f ca="1">IF(OR(AU5=AR23,AU5=AR24,AU5=AR25,AU5=AR26),"HC","")</f>
        <v>HC</v>
      </c>
      <c r="AS29" s="655" t="str">
        <f ca="1">'Đại Vận'!C140</f>
        <v>79-87 Tuổi</v>
      </c>
      <c r="AT29" s="644" t="str">
        <f ca="1">'Đại Vận'!C147</f>
        <v>M.Di</v>
      </c>
      <c r="AU29" s="642">
        <f ca="1">VLOOKUP(12,AK4:AO15,5,0)</f>
        <v>1</v>
      </c>
      <c r="AV29" s="732"/>
      <c r="AW29" s="733"/>
      <c r="AY29" s="247"/>
      <c r="AZ29" s="733"/>
      <c r="BA29" s="212"/>
      <c r="BB29" s="736"/>
      <c r="BC29" s="730"/>
      <c r="BD29" s="730"/>
      <c r="BE29" s="120"/>
      <c r="BF29" s="212"/>
      <c r="BG29" s="729"/>
      <c r="BH29" s="17"/>
      <c r="BI29" s="14"/>
      <c r="BM29" s="729"/>
      <c r="BN29" s="731"/>
      <c r="BO29" s="707"/>
      <c r="BP29" s="661"/>
      <c r="BQ29" s="706"/>
      <c r="BR29" s="212"/>
      <c r="BS29" s="704"/>
      <c r="BT29" s="704"/>
      <c r="BW29" s="51"/>
      <c r="BX29" s="51"/>
      <c r="BY29" s="51"/>
      <c r="BZ29" s="51"/>
      <c r="CA29" s="51"/>
      <c r="CB29" s="51"/>
      <c r="CC29" s="52"/>
      <c r="CD29" s="53" t="s">
        <v>5013</v>
      </c>
      <c r="CE29" s="55" t="s">
        <v>2688</v>
      </c>
      <c r="CF29" s="88">
        <f ca="1">BY7</f>
        <v>2</v>
      </c>
      <c r="CG29" s="55">
        <f ca="1">IF(OR(CF29=1,CF29=3,CF29=5,CF29=7,CF29=8,CF29=10,CF29=12),31,IF(CF29=2,CH30,30))</f>
        <v>28</v>
      </c>
      <c r="CH29" s="55"/>
      <c r="CI29" s="55"/>
      <c r="CJ29" s="55"/>
      <c r="CK29" s="55"/>
      <c r="CL29" s="55"/>
      <c r="CM29" s="55"/>
      <c r="CN29" s="55"/>
      <c r="CO29" s="55"/>
      <c r="CP29" s="55"/>
      <c r="CQ29" s="55"/>
      <c r="CR29" s="55"/>
      <c r="CS29" s="55"/>
      <c r="CT29" s="55"/>
      <c r="CU29" s="55"/>
      <c r="CV29" s="56"/>
      <c r="CW29" s="55"/>
      <c r="CX29" s="55"/>
      <c r="CY29" s="52"/>
      <c r="CZ29" s="120">
        <f t="shared" ref="CZ29:EE29" si="19">DA5</f>
        <v>354</v>
      </c>
      <c r="DA29" s="120">
        <f t="shared" si="19"/>
        <v>355</v>
      </c>
      <c r="DB29" s="120">
        <f t="shared" si="19"/>
        <v>383</v>
      </c>
      <c r="DC29" s="120">
        <f t="shared" si="19"/>
        <v>354</v>
      </c>
      <c r="DD29" s="120">
        <f t="shared" si="19"/>
        <v>355</v>
      </c>
      <c r="DE29" s="120">
        <f t="shared" si="19"/>
        <v>384</v>
      </c>
      <c r="DF29" s="120">
        <f t="shared" si="19"/>
        <v>354</v>
      </c>
      <c r="DG29" s="120">
        <f t="shared" si="19"/>
        <v>355</v>
      </c>
      <c r="DH29" s="120">
        <f t="shared" si="19"/>
        <v>384</v>
      </c>
      <c r="DI29" s="120">
        <f t="shared" si="19"/>
        <v>354</v>
      </c>
      <c r="DJ29" s="120">
        <f t="shared" si="19"/>
        <v>384</v>
      </c>
      <c r="DK29" s="120">
        <f t="shared" si="19"/>
        <v>354</v>
      </c>
      <c r="DL29" s="120">
        <f t="shared" si="19"/>
        <v>354</v>
      </c>
      <c r="DM29" s="120">
        <f t="shared" si="19"/>
        <v>384</v>
      </c>
      <c r="DN29" s="120">
        <f t="shared" si="19"/>
        <v>354</v>
      </c>
      <c r="DO29" s="120">
        <f t="shared" si="19"/>
        <v>355</v>
      </c>
      <c r="DP29" s="120">
        <f t="shared" si="19"/>
        <v>384</v>
      </c>
      <c r="DQ29" s="120">
        <f t="shared" si="19"/>
        <v>355</v>
      </c>
      <c r="DR29" s="120">
        <f t="shared" si="19"/>
        <v>384</v>
      </c>
      <c r="DS29" s="120">
        <f t="shared" si="19"/>
        <v>354</v>
      </c>
      <c r="DT29" s="120">
        <f t="shared" si="19"/>
        <v>354</v>
      </c>
      <c r="DU29" s="120">
        <f t="shared" si="19"/>
        <v>384</v>
      </c>
      <c r="DV29" s="120">
        <f t="shared" si="19"/>
        <v>354</v>
      </c>
      <c r="DW29" s="120">
        <f t="shared" si="19"/>
        <v>355</v>
      </c>
      <c r="DX29" s="120">
        <f t="shared" si="19"/>
        <v>384</v>
      </c>
      <c r="DY29" s="120">
        <f t="shared" si="19"/>
        <v>354</v>
      </c>
      <c r="DZ29" s="120">
        <f t="shared" si="19"/>
        <v>355</v>
      </c>
      <c r="EA29" s="120">
        <f t="shared" si="19"/>
        <v>384</v>
      </c>
      <c r="EB29" s="120">
        <f t="shared" si="19"/>
        <v>354</v>
      </c>
      <c r="EC29" s="120">
        <f t="shared" si="19"/>
        <v>383</v>
      </c>
      <c r="ED29" s="120">
        <f t="shared" si="19"/>
        <v>354</v>
      </c>
      <c r="EE29" s="120">
        <f t="shared" si="19"/>
        <v>355</v>
      </c>
      <c r="EF29" s="120">
        <f t="shared" ref="EF29:FK29" si="20">EG5</f>
        <v>384</v>
      </c>
      <c r="EG29" s="120">
        <f t="shared" si="20"/>
        <v>355</v>
      </c>
      <c r="EH29" s="120">
        <f t="shared" si="20"/>
        <v>354</v>
      </c>
      <c r="EI29" s="120">
        <f t="shared" si="20"/>
        <v>384</v>
      </c>
      <c r="EJ29" s="120">
        <f t="shared" si="20"/>
        <v>354</v>
      </c>
      <c r="EK29" s="120">
        <f t="shared" si="20"/>
        <v>384</v>
      </c>
      <c r="EL29" s="120">
        <f t="shared" si="20"/>
        <v>354</v>
      </c>
      <c r="EM29" s="120">
        <f t="shared" si="20"/>
        <v>354</v>
      </c>
      <c r="EN29" s="120">
        <f t="shared" si="20"/>
        <v>384</v>
      </c>
      <c r="EO29" s="120">
        <f t="shared" si="20"/>
        <v>355</v>
      </c>
      <c r="EP29" s="120">
        <f t="shared" si="20"/>
        <v>354</v>
      </c>
      <c r="EQ29" s="120">
        <f t="shared" si="20"/>
        <v>385</v>
      </c>
      <c r="ER29" s="120">
        <f t="shared" si="20"/>
        <v>354</v>
      </c>
      <c r="ES29" s="120">
        <f t="shared" si="20"/>
        <v>354</v>
      </c>
      <c r="ET29" s="120">
        <f t="shared" si="20"/>
        <v>384</v>
      </c>
      <c r="EU29" s="120">
        <f t="shared" si="20"/>
        <v>354</v>
      </c>
      <c r="EV29" s="120">
        <f t="shared" si="20"/>
        <v>384</v>
      </c>
      <c r="EW29" s="120">
        <f t="shared" si="20"/>
        <v>354</v>
      </c>
      <c r="EX29" s="120">
        <f t="shared" si="20"/>
        <v>355</v>
      </c>
      <c r="EY29" s="120">
        <f t="shared" si="20"/>
        <v>384</v>
      </c>
      <c r="EZ29" s="120">
        <f t="shared" si="20"/>
        <v>354</v>
      </c>
      <c r="FA29" s="120">
        <f t="shared" si="20"/>
        <v>355</v>
      </c>
      <c r="FB29" s="120">
        <f t="shared" si="20"/>
        <v>384</v>
      </c>
      <c r="FC29" s="120">
        <f t="shared" si="20"/>
        <v>354</v>
      </c>
      <c r="FD29" s="120">
        <f t="shared" si="20"/>
        <v>383</v>
      </c>
      <c r="FE29" s="120">
        <f t="shared" si="20"/>
        <v>355</v>
      </c>
      <c r="FF29" s="120">
        <f t="shared" si="20"/>
        <v>354</v>
      </c>
      <c r="FG29" s="120">
        <f t="shared" si="20"/>
        <v>384</v>
      </c>
      <c r="FH29" s="120">
        <f t="shared" si="20"/>
        <v>355</v>
      </c>
      <c r="FI29" s="120">
        <f t="shared" si="20"/>
        <v>354</v>
      </c>
      <c r="FJ29" s="120">
        <f t="shared" si="20"/>
        <v>384</v>
      </c>
      <c r="FK29" s="120">
        <f t="shared" si="20"/>
        <v>355</v>
      </c>
      <c r="FL29" s="120">
        <f t="shared" ref="FL29:GQ29" si="21">FM5</f>
        <v>353</v>
      </c>
      <c r="FM29" s="120">
        <f t="shared" si="21"/>
        <v>384</v>
      </c>
      <c r="FN29" s="120">
        <f t="shared" si="21"/>
        <v>354</v>
      </c>
      <c r="FO29" s="120">
        <f t="shared" si="21"/>
        <v>384</v>
      </c>
      <c r="FP29" s="120">
        <f t="shared" si="21"/>
        <v>355</v>
      </c>
      <c r="FQ29" s="120">
        <f t="shared" si="21"/>
        <v>355</v>
      </c>
      <c r="FR29" s="120">
        <f t="shared" si="21"/>
        <v>384</v>
      </c>
      <c r="FS29" s="120">
        <f t="shared" si="21"/>
        <v>354</v>
      </c>
      <c r="FT29" s="120">
        <f t="shared" si="21"/>
        <v>354</v>
      </c>
      <c r="FU29" s="120">
        <f t="shared" si="21"/>
        <v>384</v>
      </c>
      <c r="FV29" s="120">
        <f t="shared" si="21"/>
        <v>354</v>
      </c>
      <c r="FW29" s="120">
        <f t="shared" si="21"/>
        <v>384</v>
      </c>
      <c r="FX29" s="120">
        <f t="shared" si="21"/>
        <v>354</v>
      </c>
      <c r="FY29" s="120">
        <f t="shared" si="21"/>
        <v>355</v>
      </c>
      <c r="FZ29" s="120">
        <f t="shared" si="21"/>
        <v>384</v>
      </c>
      <c r="GA29" s="120">
        <f t="shared" si="21"/>
        <v>355</v>
      </c>
      <c r="GB29" s="120">
        <f t="shared" si="21"/>
        <v>354</v>
      </c>
      <c r="GC29" s="120">
        <f t="shared" si="21"/>
        <v>384</v>
      </c>
      <c r="GD29" s="120">
        <f t="shared" si="21"/>
        <v>354</v>
      </c>
      <c r="GE29" s="120">
        <f t="shared" si="21"/>
        <v>354</v>
      </c>
      <c r="GF29" s="120">
        <f t="shared" si="21"/>
        <v>384</v>
      </c>
      <c r="GG29" s="120">
        <f t="shared" si="21"/>
        <v>354</v>
      </c>
      <c r="GH29" s="120">
        <f t="shared" si="21"/>
        <v>384</v>
      </c>
      <c r="GI29" s="120">
        <f t="shared" si="21"/>
        <v>355</v>
      </c>
      <c r="GJ29" s="120">
        <f t="shared" si="21"/>
        <v>355</v>
      </c>
      <c r="GK29" s="120">
        <f t="shared" si="21"/>
        <v>384</v>
      </c>
      <c r="GL29" s="120">
        <f t="shared" si="21"/>
        <v>354</v>
      </c>
      <c r="GM29" s="120">
        <f t="shared" si="21"/>
        <v>354</v>
      </c>
      <c r="GN29" s="120">
        <f t="shared" si="21"/>
        <v>383</v>
      </c>
      <c r="GO29" s="120">
        <f t="shared" si="21"/>
        <v>355</v>
      </c>
      <c r="GP29" s="120">
        <f t="shared" si="21"/>
        <v>384</v>
      </c>
      <c r="GQ29" s="120">
        <f t="shared" si="21"/>
        <v>354</v>
      </c>
      <c r="GR29" s="120">
        <f t="shared" ref="GR29:HW29" si="22">GS5</f>
        <v>355</v>
      </c>
      <c r="GS29" s="120">
        <f t="shared" si="22"/>
        <v>384</v>
      </c>
      <c r="GT29" s="120">
        <f t="shared" si="22"/>
        <v>354</v>
      </c>
      <c r="GU29" s="120">
        <f t="shared" si="22"/>
        <v>354</v>
      </c>
      <c r="GV29" s="120">
        <f t="shared" si="22"/>
        <v>384</v>
      </c>
      <c r="GW29" s="120">
        <f t="shared" si="22"/>
        <v>354</v>
      </c>
      <c r="GX29" s="120">
        <f t="shared" si="22"/>
        <v>355</v>
      </c>
      <c r="GY29" s="120">
        <f t="shared" si="22"/>
        <v>384</v>
      </c>
      <c r="GZ29" s="120">
        <f t="shared" si="22"/>
        <v>354</v>
      </c>
      <c r="HA29" s="120">
        <f t="shared" si="22"/>
        <v>385</v>
      </c>
      <c r="HB29" s="120">
        <f t="shared" si="22"/>
        <v>354</v>
      </c>
      <c r="HC29" s="120">
        <f t="shared" si="22"/>
        <v>354</v>
      </c>
      <c r="HD29" s="120">
        <f t="shared" si="22"/>
        <v>384</v>
      </c>
      <c r="HE29" s="120">
        <f t="shared" si="22"/>
        <v>354</v>
      </c>
      <c r="HF29" s="120">
        <f t="shared" si="22"/>
        <v>354</v>
      </c>
      <c r="HG29" s="120">
        <f t="shared" si="22"/>
        <v>384</v>
      </c>
      <c r="HH29" s="120">
        <f t="shared" si="22"/>
        <v>355</v>
      </c>
      <c r="HI29" s="120">
        <f t="shared" si="22"/>
        <v>384</v>
      </c>
      <c r="HJ29" s="120">
        <f t="shared" si="22"/>
        <v>354</v>
      </c>
      <c r="HK29" s="120">
        <f t="shared" si="22"/>
        <v>355</v>
      </c>
      <c r="HL29" s="120">
        <f t="shared" si="22"/>
        <v>384</v>
      </c>
      <c r="HM29" s="120">
        <f t="shared" si="22"/>
        <v>354</v>
      </c>
      <c r="HN29" s="120">
        <f t="shared" si="22"/>
        <v>354</v>
      </c>
      <c r="HO29" s="120">
        <f t="shared" si="22"/>
        <v>384</v>
      </c>
      <c r="HP29" s="120">
        <f t="shared" si="22"/>
        <v>354</v>
      </c>
      <c r="HQ29" s="120">
        <f t="shared" si="22"/>
        <v>355</v>
      </c>
      <c r="HR29" s="120">
        <f t="shared" si="22"/>
        <v>384</v>
      </c>
      <c r="HS29" s="120">
        <f t="shared" si="22"/>
        <v>354</v>
      </c>
      <c r="HT29" s="120">
        <f t="shared" si="22"/>
        <v>384</v>
      </c>
      <c r="HU29" s="120">
        <f t="shared" si="22"/>
        <v>354</v>
      </c>
      <c r="HV29" s="120">
        <f t="shared" si="22"/>
        <v>354</v>
      </c>
      <c r="HW29" s="120">
        <f t="shared" si="22"/>
        <v>384</v>
      </c>
      <c r="HX29" s="120">
        <f t="shared" ref="HX29:IJ29" si="23">HY5</f>
        <v>355</v>
      </c>
      <c r="HY29" s="120">
        <f t="shared" si="23"/>
        <v>354</v>
      </c>
      <c r="HZ29" s="120">
        <f t="shared" si="23"/>
        <v>384</v>
      </c>
      <c r="IA29" s="120">
        <f t="shared" si="23"/>
        <v>355</v>
      </c>
      <c r="IB29" s="120">
        <f t="shared" si="23"/>
        <v>384</v>
      </c>
      <c r="IC29" s="120">
        <f t="shared" si="23"/>
        <v>354</v>
      </c>
      <c r="ID29" s="120">
        <f t="shared" si="23"/>
        <v>354</v>
      </c>
      <c r="IE29" s="120">
        <f t="shared" si="23"/>
        <v>384</v>
      </c>
      <c r="IF29" s="120">
        <f t="shared" si="23"/>
        <v>354</v>
      </c>
      <c r="IG29" s="120">
        <f t="shared" si="23"/>
        <v>354</v>
      </c>
      <c r="IH29" s="120">
        <f t="shared" si="23"/>
        <v>384</v>
      </c>
      <c r="II29" s="120">
        <f t="shared" si="23"/>
        <v>355</v>
      </c>
      <c r="IJ29" s="121">
        <f t="shared" si="23"/>
        <v>355</v>
      </c>
      <c r="IK29" s="51"/>
      <c r="IL29" s="51"/>
    </row>
    <row r="30" spans="1:246" ht="12.95" customHeight="1">
      <c r="Z30" s="40">
        <f ca="1">IF(Z8="","",HLOOKUP(AA8,'64Quẻ'!D5:DW23,11,0))</f>
        <v>0</v>
      </c>
      <c r="AA30" s="9">
        <v>3</v>
      </c>
      <c r="AC30" s="12" t="str">
        <f ca="1">IF(AC8="","",HLOOKUP(AD8,'64Quẻ'!DZ5:EC23,11,0))</f>
        <v/>
      </c>
      <c r="AD30" s="9">
        <v>3</v>
      </c>
      <c r="AF30" s="12" t="str">
        <f ca="1">IF(AF8="","",HLOOKUP(AG8,'64Quẻ'!ED5:EG23,11,0))</f>
        <v/>
      </c>
      <c r="AG30" s="9">
        <v>3</v>
      </c>
      <c r="AI30" s="12" t="str">
        <f ca="1">IF(AI8="","",HLOOKUP(AJ8,'64Quẻ'!EH5:EK23,11,0))</f>
        <v/>
      </c>
      <c r="AJ30" s="213">
        <v>3</v>
      </c>
      <c r="AK30" s="454"/>
      <c r="AP30" s="659">
        <f ca="1">IF(AND('Vận Năm'!B42="*",AP23=0),1,IF(AND('Vận Năm'!B42="*",AP23=1),0,AP23))</f>
        <v>0</v>
      </c>
      <c r="AQ30" s="544">
        <f ca="1">AQ9+3</f>
        <v>2035</v>
      </c>
      <c r="AR30" s="494" t="str">
        <f ca="1">AP30&amp;AP31&amp;AP32</f>
        <v>000</v>
      </c>
      <c r="AS30" s="653" t="s">
        <v>4308</v>
      </c>
      <c r="AT30" s="534">
        <f ca="1">(B12-1+VLOOKUP(AK3,AK4:AO15,2,0))</f>
        <v>2032</v>
      </c>
      <c r="AU30" s="497">
        <f ca="1">B12-1+VLOOKUP(AK3,AK4:AO15,4,0)</f>
        <v>2037</v>
      </c>
      <c r="AV30" s="713"/>
      <c r="AW30" s="714"/>
      <c r="AY30" s="715"/>
      <c r="AZ30" s="714"/>
      <c r="BA30" s="212"/>
      <c r="BB30" s="736"/>
      <c r="BC30" s="730"/>
      <c r="BD30" s="730"/>
      <c r="BE30" s="120"/>
      <c r="BF30" s="212"/>
      <c r="BG30" s="729"/>
      <c r="BH30" s="17"/>
      <c r="BI30" s="14"/>
      <c r="BM30" s="729"/>
      <c r="BN30" s="731"/>
      <c r="BO30" s="707"/>
      <c r="BP30" s="661"/>
      <c r="BQ30" s="706"/>
      <c r="BR30" s="212"/>
      <c r="BS30" s="704"/>
      <c r="BT30" s="704"/>
      <c r="BW30" s="51"/>
      <c r="BX30" s="51"/>
      <c r="BY30" s="51"/>
      <c r="BZ30" s="51"/>
      <c r="CA30" s="51"/>
      <c r="CB30" s="51"/>
      <c r="CC30" s="52"/>
      <c r="CD30" s="53"/>
      <c r="CE30" s="55"/>
      <c r="CF30" s="150" t="s">
        <v>5014</v>
      </c>
      <c r="CG30" s="55" t="s">
        <v>2688</v>
      </c>
      <c r="CH30" s="88">
        <f ca="1">IF(CH31-CI31&gt;0,28,29)</f>
        <v>28</v>
      </c>
      <c r="CI30" s="55"/>
      <c r="CJ30" s="55"/>
      <c r="CK30" s="55"/>
      <c r="CL30" s="55"/>
      <c r="CM30" s="55"/>
      <c r="CN30" s="55"/>
      <c r="CO30" s="55"/>
      <c r="CP30" s="55"/>
      <c r="CQ30" s="55"/>
      <c r="CR30" s="55"/>
      <c r="CS30" s="55"/>
      <c r="CT30" s="55"/>
      <c r="CU30" s="55"/>
      <c r="CV30" s="56"/>
      <c r="CW30" s="55"/>
      <c r="CX30" s="55"/>
      <c r="CY30" s="151"/>
      <c r="CZ30" s="152">
        <f t="shared" ref="CZ30:EE30" si="24">CZ28-CZ29</f>
        <v>0</v>
      </c>
      <c r="DA30" s="152">
        <f t="shared" si="24"/>
        <v>0</v>
      </c>
      <c r="DB30" s="152">
        <f t="shared" si="24"/>
        <v>0</v>
      </c>
      <c r="DC30" s="152">
        <f t="shared" si="24"/>
        <v>0</v>
      </c>
      <c r="DD30" s="152">
        <f t="shared" si="24"/>
        <v>0</v>
      </c>
      <c r="DE30" s="152">
        <f t="shared" si="24"/>
        <v>0</v>
      </c>
      <c r="DF30" s="152">
        <f t="shared" si="24"/>
        <v>0</v>
      </c>
      <c r="DG30" s="152">
        <f t="shared" si="24"/>
        <v>0</v>
      </c>
      <c r="DH30" s="152">
        <f t="shared" si="24"/>
        <v>0</v>
      </c>
      <c r="DI30" s="152">
        <f t="shared" si="24"/>
        <v>0</v>
      </c>
      <c r="DJ30" s="152">
        <f t="shared" si="24"/>
        <v>0</v>
      </c>
      <c r="DK30" s="152">
        <f t="shared" si="24"/>
        <v>0</v>
      </c>
      <c r="DL30" s="152">
        <f t="shared" si="24"/>
        <v>0</v>
      </c>
      <c r="DM30" s="152">
        <f t="shared" si="24"/>
        <v>0</v>
      </c>
      <c r="DN30" s="152">
        <f t="shared" si="24"/>
        <v>0</v>
      </c>
      <c r="DO30" s="152">
        <f t="shared" si="24"/>
        <v>0</v>
      </c>
      <c r="DP30" s="152">
        <f t="shared" si="24"/>
        <v>0</v>
      </c>
      <c r="DQ30" s="152">
        <f t="shared" si="24"/>
        <v>0</v>
      </c>
      <c r="DR30" s="152">
        <f t="shared" si="24"/>
        <v>0</v>
      </c>
      <c r="DS30" s="152">
        <f t="shared" si="24"/>
        <v>0</v>
      </c>
      <c r="DT30" s="152">
        <f t="shared" si="24"/>
        <v>0</v>
      </c>
      <c r="DU30" s="152">
        <f t="shared" si="24"/>
        <v>0</v>
      </c>
      <c r="DV30" s="152">
        <f t="shared" si="24"/>
        <v>0</v>
      </c>
      <c r="DW30" s="152">
        <f t="shared" si="24"/>
        <v>0</v>
      </c>
      <c r="DX30" s="152">
        <f t="shared" si="24"/>
        <v>0</v>
      </c>
      <c r="DY30" s="152">
        <f t="shared" si="24"/>
        <v>0</v>
      </c>
      <c r="DZ30" s="152">
        <f t="shared" si="24"/>
        <v>0</v>
      </c>
      <c r="EA30" s="152">
        <f t="shared" si="24"/>
        <v>0</v>
      </c>
      <c r="EB30" s="152">
        <f t="shared" si="24"/>
        <v>0</v>
      </c>
      <c r="EC30" s="152">
        <f t="shared" si="24"/>
        <v>0</v>
      </c>
      <c r="ED30" s="152">
        <f t="shared" si="24"/>
        <v>0</v>
      </c>
      <c r="EE30" s="152">
        <f t="shared" si="24"/>
        <v>0</v>
      </c>
      <c r="EF30" s="152">
        <f t="shared" ref="EF30:FK30" si="25">EF28-EF29</f>
        <v>0</v>
      </c>
      <c r="EG30" s="152">
        <f t="shared" si="25"/>
        <v>0</v>
      </c>
      <c r="EH30" s="152">
        <f t="shared" si="25"/>
        <v>0</v>
      </c>
      <c r="EI30" s="152">
        <f t="shared" si="25"/>
        <v>0</v>
      </c>
      <c r="EJ30" s="152">
        <f t="shared" si="25"/>
        <v>0</v>
      </c>
      <c r="EK30" s="152">
        <f t="shared" si="25"/>
        <v>0</v>
      </c>
      <c r="EL30" s="152">
        <f t="shared" si="25"/>
        <v>0</v>
      </c>
      <c r="EM30" s="152">
        <f t="shared" si="25"/>
        <v>0</v>
      </c>
      <c r="EN30" s="152">
        <f t="shared" si="25"/>
        <v>0</v>
      </c>
      <c r="EO30" s="152">
        <f t="shared" si="25"/>
        <v>0</v>
      </c>
      <c r="EP30" s="152">
        <f t="shared" si="25"/>
        <v>0</v>
      </c>
      <c r="EQ30" s="152">
        <f t="shared" si="25"/>
        <v>0</v>
      </c>
      <c r="ER30" s="152">
        <f t="shared" si="25"/>
        <v>0</v>
      </c>
      <c r="ES30" s="152">
        <f t="shared" si="25"/>
        <v>0</v>
      </c>
      <c r="ET30" s="152">
        <f t="shared" si="25"/>
        <v>0</v>
      </c>
      <c r="EU30" s="152">
        <f t="shared" si="25"/>
        <v>0</v>
      </c>
      <c r="EV30" s="152">
        <f t="shared" si="25"/>
        <v>0</v>
      </c>
      <c r="EW30" s="152">
        <f t="shared" si="25"/>
        <v>0</v>
      </c>
      <c r="EX30" s="152">
        <f t="shared" si="25"/>
        <v>0</v>
      </c>
      <c r="EY30" s="152">
        <f t="shared" si="25"/>
        <v>0</v>
      </c>
      <c r="EZ30" s="152">
        <f t="shared" si="25"/>
        <v>0</v>
      </c>
      <c r="FA30" s="152">
        <f t="shared" si="25"/>
        <v>0</v>
      </c>
      <c r="FB30" s="152">
        <f t="shared" si="25"/>
        <v>0</v>
      </c>
      <c r="FC30" s="152">
        <f t="shared" si="25"/>
        <v>0</v>
      </c>
      <c r="FD30" s="152">
        <f t="shared" si="25"/>
        <v>0</v>
      </c>
      <c r="FE30" s="152">
        <f t="shared" si="25"/>
        <v>0</v>
      </c>
      <c r="FF30" s="152">
        <f t="shared" si="25"/>
        <v>0</v>
      </c>
      <c r="FG30" s="152">
        <f t="shared" si="25"/>
        <v>0</v>
      </c>
      <c r="FH30" s="152">
        <f t="shared" si="25"/>
        <v>0</v>
      </c>
      <c r="FI30" s="152">
        <f t="shared" si="25"/>
        <v>0</v>
      </c>
      <c r="FJ30" s="152">
        <f t="shared" si="25"/>
        <v>0</v>
      </c>
      <c r="FK30" s="152">
        <f t="shared" si="25"/>
        <v>0</v>
      </c>
      <c r="FL30" s="152">
        <f t="shared" ref="FL30:GQ30" si="26">FL28-FL29</f>
        <v>0</v>
      </c>
      <c r="FM30" s="152">
        <f t="shared" si="26"/>
        <v>0</v>
      </c>
      <c r="FN30" s="152">
        <f t="shared" si="26"/>
        <v>0</v>
      </c>
      <c r="FO30" s="152">
        <f t="shared" si="26"/>
        <v>0</v>
      </c>
      <c r="FP30" s="152">
        <f t="shared" si="26"/>
        <v>0</v>
      </c>
      <c r="FQ30" s="152">
        <f t="shared" si="26"/>
        <v>0</v>
      </c>
      <c r="FR30" s="152">
        <f t="shared" si="26"/>
        <v>0</v>
      </c>
      <c r="FS30" s="152">
        <f t="shared" si="26"/>
        <v>0</v>
      </c>
      <c r="FT30" s="152">
        <f t="shared" si="26"/>
        <v>0</v>
      </c>
      <c r="FU30" s="152">
        <f t="shared" si="26"/>
        <v>0</v>
      </c>
      <c r="FV30" s="152">
        <f t="shared" si="26"/>
        <v>0</v>
      </c>
      <c r="FW30" s="152">
        <f t="shared" si="26"/>
        <v>0</v>
      </c>
      <c r="FX30" s="152">
        <f t="shared" si="26"/>
        <v>0</v>
      </c>
      <c r="FY30" s="152">
        <f t="shared" si="26"/>
        <v>0</v>
      </c>
      <c r="FZ30" s="152">
        <f t="shared" si="26"/>
        <v>0</v>
      </c>
      <c r="GA30" s="152">
        <f t="shared" si="26"/>
        <v>0</v>
      </c>
      <c r="GB30" s="152">
        <f t="shared" si="26"/>
        <v>0</v>
      </c>
      <c r="GC30" s="152">
        <f t="shared" si="26"/>
        <v>0</v>
      </c>
      <c r="GD30" s="152">
        <f t="shared" si="26"/>
        <v>0</v>
      </c>
      <c r="GE30" s="152">
        <f t="shared" si="26"/>
        <v>0</v>
      </c>
      <c r="GF30" s="152">
        <f t="shared" si="26"/>
        <v>0</v>
      </c>
      <c r="GG30" s="152">
        <f t="shared" si="26"/>
        <v>0</v>
      </c>
      <c r="GH30" s="152">
        <f t="shared" si="26"/>
        <v>0</v>
      </c>
      <c r="GI30" s="152">
        <f t="shared" si="26"/>
        <v>0</v>
      </c>
      <c r="GJ30" s="152">
        <f t="shared" si="26"/>
        <v>0</v>
      </c>
      <c r="GK30" s="152">
        <f t="shared" si="26"/>
        <v>0</v>
      </c>
      <c r="GL30" s="152">
        <f t="shared" si="26"/>
        <v>0</v>
      </c>
      <c r="GM30" s="152">
        <f t="shared" si="26"/>
        <v>0</v>
      </c>
      <c r="GN30" s="152">
        <f t="shared" si="26"/>
        <v>0</v>
      </c>
      <c r="GO30" s="152">
        <f t="shared" si="26"/>
        <v>0</v>
      </c>
      <c r="GP30" s="152">
        <f t="shared" si="26"/>
        <v>0</v>
      </c>
      <c r="GQ30" s="152">
        <f t="shared" si="26"/>
        <v>0</v>
      </c>
      <c r="GR30" s="152">
        <f t="shared" ref="GR30:HW30" si="27">GR28-GR29</f>
        <v>0</v>
      </c>
      <c r="GS30" s="152">
        <f t="shared" si="27"/>
        <v>0</v>
      </c>
      <c r="GT30" s="152">
        <f t="shared" si="27"/>
        <v>0</v>
      </c>
      <c r="GU30" s="152">
        <f t="shared" si="27"/>
        <v>0</v>
      </c>
      <c r="GV30" s="152">
        <f t="shared" si="27"/>
        <v>0</v>
      </c>
      <c r="GW30" s="152">
        <f t="shared" si="27"/>
        <v>0</v>
      </c>
      <c r="GX30" s="152">
        <f t="shared" si="27"/>
        <v>0</v>
      </c>
      <c r="GY30" s="152">
        <f t="shared" si="27"/>
        <v>0</v>
      </c>
      <c r="GZ30" s="152">
        <f t="shared" si="27"/>
        <v>0</v>
      </c>
      <c r="HA30" s="152">
        <f t="shared" si="27"/>
        <v>0</v>
      </c>
      <c r="HB30" s="152">
        <f t="shared" si="27"/>
        <v>0</v>
      </c>
      <c r="HC30" s="152">
        <f t="shared" si="27"/>
        <v>0</v>
      </c>
      <c r="HD30" s="152">
        <f t="shared" si="27"/>
        <v>0</v>
      </c>
      <c r="HE30" s="152">
        <f t="shared" si="27"/>
        <v>0</v>
      </c>
      <c r="HF30" s="152">
        <f t="shared" si="27"/>
        <v>0</v>
      </c>
      <c r="HG30" s="152">
        <f t="shared" si="27"/>
        <v>0</v>
      </c>
      <c r="HH30" s="152">
        <f t="shared" si="27"/>
        <v>0</v>
      </c>
      <c r="HI30" s="152">
        <f t="shared" si="27"/>
        <v>0</v>
      </c>
      <c r="HJ30" s="152">
        <f t="shared" si="27"/>
        <v>0</v>
      </c>
      <c r="HK30" s="152">
        <f t="shared" si="27"/>
        <v>0</v>
      </c>
      <c r="HL30" s="152">
        <f t="shared" si="27"/>
        <v>0</v>
      </c>
      <c r="HM30" s="152">
        <f t="shared" si="27"/>
        <v>0</v>
      </c>
      <c r="HN30" s="152">
        <f t="shared" si="27"/>
        <v>0</v>
      </c>
      <c r="HO30" s="152">
        <f t="shared" si="27"/>
        <v>0</v>
      </c>
      <c r="HP30" s="152">
        <f t="shared" si="27"/>
        <v>0</v>
      </c>
      <c r="HQ30" s="152">
        <f t="shared" si="27"/>
        <v>0</v>
      </c>
      <c r="HR30" s="152">
        <f t="shared" si="27"/>
        <v>0</v>
      </c>
      <c r="HS30" s="152">
        <f t="shared" si="27"/>
        <v>0</v>
      </c>
      <c r="HT30" s="152">
        <f t="shared" si="27"/>
        <v>0</v>
      </c>
      <c r="HU30" s="152">
        <f t="shared" si="27"/>
        <v>0</v>
      </c>
      <c r="HV30" s="152">
        <f t="shared" si="27"/>
        <v>0</v>
      </c>
      <c r="HW30" s="152">
        <f t="shared" si="27"/>
        <v>0</v>
      </c>
      <c r="HX30" s="152">
        <f t="shared" ref="HX30:IJ30" si="28">HX28-HX29</f>
        <v>0</v>
      </c>
      <c r="HY30" s="152">
        <f t="shared" si="28"/>
        <v>0</v>
      </c>
      <c r="HZ30" s="152">
        <f t="shared" si="28"/>
        <v>0</v>
      </c>
      <c r="IA30" s="152">
        <f t="shared" si="28"/>
        <v>0</v>
      </c>
      <c r="IB30" s="152">
        <f t="shared" si="28"/>
        <v>0</v>
      </c>
      <c r="IC30" s="152">
        <f t="shared" si="28"/>
        <v>0</v>
      </c>
      <c r="ID30" s="152">
        <f t="shared" si="28"/>
        <v>0</v>
      </c>
      <c r="IE30" s="152">
        <f t="shared" si="28"/>
        <v>0</v>
      </c>
      <c r="IF30" s="152">
        <f t="shared" si="28"/>
        <v>0</v>
      </c>
      <c r="IG30" s="152">
        <f t="shared" si="28"/>
        <v>0</v>
      </c>
      <c r="IH30" s="152">
        <f t="shared" si="28"/>
        <v>0</v>
      </c>
      <c r="II30" s="152">
        <f t="shared" si="28"/>
        <v>0</v>
      </c>
      <c r="IJ30" s="153">
        <f t="shared" si="28"/>
        <v>0</v>
      </c>
      <c r="IK30" s="51"/>
      <c r="IL30" s="51"/>
    </row>
    <row r="31" spans="1:246" ht="12.95" customHeight="1">
      <c r="Z31" s="40">
        <f ca="1">IF(Z8="","",HLOOKUP(AA8,'64Quẻ'!D5:DW23,12,0))</f>
        <v>0</v>
      </c>
      <c r="AA31" s="9">
        <v>2</v>
      </c>
      <c r="AC31" s="12" t="str">
        <f ca="1">IF(AC8="","",HLOOKUP(AD8,'64Quẻ'!DZ5:EC23,12,0))</f>
        <v/>
      </c>
      <c r="AD31" s="9">
        <v>2</v>
      </c>
      <c r="AF31" s="12" t="str">
        <f ca="1">IF(AF8="","",HLOOKUP(AG8,'64Quẻ'!ED5:EG23,12,0))</f>
        <v/>
      </c>
      <c r="AG31" s="9">
        <v>2</v>
      </c>
      <c r="AI31" s="12" t="str">
        <f ca="1">IF(AI8="","",HLOOKUP(AJ8,'64Quẻ'!EH5:EK23,12,0))</f>
        <v/>
      </c>
      <c r="AJ31" s="213">
        <v>2</v>
      </c>
      <c r="AK31" s="454"/>
      <c r="AP31" s="660">
        <f ca="1">IF(AND('Vận Năm'!B43="*",AP24=0),1,IF(AND('Vận Năm'!B43="*",AP24=1),0,AP24))</f>
        <v>0</v>
      </c>
      <c r="AQ31" s="661" t="str">
        <f ca="1">INDEX(E4:E15,MOD(AQ30,12)+1)</f>
        <v>Mão</v>
      </c>
      <c r="AR31" s="495" t="str">
        <f ca="1">AP33&amp;AP34&amp;AP35</f>
        <v>100</v>
      </c>
      <c r="AS31" s="654"/>
      <c r="AT31" s="212">
        <f ca="1">AT30-B15+1</f>
        <v>31</v>
      </c>
      <c r="AU31" s="495"/>
      <c r="AV31" s="717"/>
      <c r="AW31" s="714"/>
      <c r="AY31" s="712"/>
      <c r="AZ31" s="714"/>
      <c r="BA31" s="212"/>
      <c r="BB31" s="736"/>
      <c r="BC31" s="730"/>
      <c r="BD31" s="730"/>
      <c r="BE31" s="120"/>
      <c r="BF31" s="19"/>
      <c r="BG31" s="729"/>
      <c r="BH31" s="17"/>
      <c r="BI31" s="14"/>
      <c r="BM31" s="729"/>
      <c r="BN31" s="731"/>
      <c r="BO31" s="707"/>
      <c r="BP31" s="721"/>
      <c r="BQ31" s="706"/>
      <c r="BR31" s="722"/>
      <c r="BS31" s="704"/>
      <c r="BT31" s="704"/>
      <c r="BW31" s="51"/>
      <c r="BX31" s="51"/>
      <c r="BY31" s="51"/>
      <c r="BZ31" s="51"/>
      <c r="CA31" s="51"/>
      <c r="CB31" s="51"/>
      <c r="CC31" s="52"/>
      <c r="CD31" s="53"/>
      <c r="CE31" s="55"/>
      <c r="CF31" s="55" t="s">
        <v>5015</v>
      </c>
      <c r="CG31" s="55" t="s">
        <v>2688</v>
      </c>
      <c r="CH31" s="88">
        <f ca="1">BY8/4</f>
        <v>500.5</v>
      </c>
      <c r="CI31" s="55">
        <f ca="1">INT(CH31)</f>
        <v>500</v>
      </c>
      <c r="CJ31" s="55"/>
      <c r="CK31" s="55"/>
      <c r="CL31" s="55"/>
      <c r="CM31" s="55"/>
      <c r="CN31" s="55"/>
      <c r="CO31" s="55"/>
      <c r="CP31" s="55"/>
      <c r="CQ31" s="55"/>
      <c r="CR31" s="55"/>
      <c r="CS31" s="55"/>
      <c r="CT31" s="55"/>
      <c r="CU31" s="55"/>
      <c r="CV31" s="56"/>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55"/>
      <c r="FD31" s="55"/>
      <c r="FE31" s="55"/>
      <c r="FF31" s="55"/>
      <c r="FG31" s="55"/>
      <c r="FH31" s="55"/>
      <c r="FI31" s="55"/>
      <c r="FJ31" s="55"/>
      <c r="FK31" s="55"/>
      <c r="FL31" s="55"/>
      <c r="FM31" s="55"/>
      <c r="FN31" s="55"/>
      <c r="FO31" s="55"/>
      <c r="FP31" s="55"/>
      <c r="FQ31" s="55"/>
      <c r="FR31" s="55"/>
      <c r="FS31" s="55"/>
      <c r="FT31" s="55"/>
      <c r="FU31" s="55"/>
      <c r="FV31" s="55"/>
      <c r="FW31" s="55"/>
      <c r="FX31" s="55"/>
      <c r="FY31" s="55"/>
      <c r="FZ31" s="55"/>
      <c r="GA31" s="55"/>
      <c r="GB31" s="55"/>
      <c r="GC31" s="55"/>
      <c r="GD31" s="55"/>
      <c r="GE31" s="55"/>
      <c r="GF31" s="55"/>
      <c r="GG31" s="55"/>
      <c r="GH31" s="55"/>
      <c r="GI31" s="55"/>
      <c r="GJ31" s="55"/>
      <c r="GK31" s="55"/>
      <c r="GL31" s="55"/>
      <c r="GM31" s="55"/>
      <c r="GN31" s="55"/>
      <c r="GO31" s="55"/>
      <c r="GP31" s="55"/>
      <c r="GQ31" s="55"/>
      <c r="GR31" s="55"/>
      <c r="GS31" s="55"/>
      <c r="GT31" s="55"/>
      <c r="GU31" s="55"/>
      <c r="GV31" s="55"/>
      <c r="GW31" s="55"/>
      <c r="GX31" s="55"/>
      <c r="GY31" s="55"/>
      <c r="GZ31" s="55"/>
      <c r="HA31" s="55"/>
      <c r="HB31" s="55"/>
      <c r="HC31" s="55"/>
      <c r="HD31" s="55"/>
      <c r="HE31" s="55"/>
      <c r="HF31" s="55"/>
      <c r="HG31" s="55"/>
      <c r="HH31" s="55"/>
      <c r="HI31" s="55"/>
      <c r="HJ31" s="55"/>
      <c r="HK31" s="55"/>
      <c r="HL31" s="55"/>
      <c r="HM31" s="55"/>
      <c r="HN31" s="55"/>
      <c r="HO31" s="55"/>
      <c r="HP31" s="55"/>
      <c r="HQ31" s="55"/>
      <c r="HR31" s="55"/>
      <c r="HS31" s="51"/>
      <c r="HT31" s="51"/>
      <c r="HU31" s="51"/>
      <c r="HV31" s="51"/>
      <c r="HW31" s="51"/>
      <c r="HX31" s="51"/>
      <c r="HY31" s="51"/>
      <c r="HZ31" s="51"/>
      <c r="IA31" s="51"/>
      <c r="IB31" s="51"/>
      <c r="IC31" s="51"/>
      <c r="ID31" s="51"/>
      <c r="IE31" s="51"/>
      <c r="IF31" s="51"/>
      <c r="IG31" s="51"/>
      <c r="IH31" s="51"/>
      <c r="II31" s="51"/>
      <c r="IJ31" s="51"/>
      <c r="IK31" s="51"/>
      <c r="IL31" s="51"/>
    </row>
    <row r="32" spans="1:246" ht="12.95" customHeight="1">
      <c r="Z32" s="41">
        <f ca="1">IF(Z8="","",HLOOKUP(AA8,'64Quẻ'!D5:DW23,13,0))</f>
        <v>0</v>
      </c>
      <c r="AA32" s="9">
        <v>1</v>
      </c>
      <c r="AC32" s="29" t="str">
        <f ca="1">IF(AC8="","",HLOOKUP(AD8,'64Quẻ'!DZ5:EC23,13,0))</f>
        <v/>
      </c>
      <c r="AD32" s="9">
        <v>1</v>
      </c>
      <c r="AF32" s="29" t="str">
        <f ca="1">IF(AF8="","",HLOOKUP(AG8,'64Quẻ'!ED5:EG23,13,0))</f>
        <v/>
      </c>
      <c r="AG32" s="9">
        <v>1</v>
      </c>
      <c r="AI32" s="29" t="str">
        <f ca="1">IF(AI8="","",HLOOKUP(AJ8,'64Quẻ'!EH5:EK23,13,0))</f>
        <v/>
      </c>
      <c r="AJ32" s="213">
        <v>1</v>
      </c>
      <c r="AK32" s="454"/>
      <c r="AP32" s="660">
        <f ca="1">IF(AND('Vận Năm'!B44="*",AP25=0),1,IF(AND('Vận Năm'!B44="*",AP25=1),0,AP25))</f>
        <v>0</v>
      </c>
      <c r="AQ32" s="19" t="str">
        <f ca="1">HLOOKUP(AP36,'64Quẻ'!B4:DX5,2,0)</f>
        <v>Khiêm</v>
      </c>
      <c r="AR32" s="495" t="str">
        <f ca="1">AP31&amp;AP32&amp;AP33</f>
        <v>001</v>
      </c>
      <c r="AS32" s="654" t="s">
        <v>4309</v>
      </c>
      <c r="AT32" s="19">
        <f ca="1">AU30-AT30</f>
        <v>5</v>
      </c>
      <c r="AU32" s="643">
        <f ca="1">MOD(AT30,2)</f>
        <v>0</v>
      </c>
      <c r="AV32" s="498"/>
      <c r="AW32" s="714"/>
      <c r="AY32" s="661"/>
      <c r="AZ32" s="714"/>
      <c r="BA32" s="212"/>
      <c r="BB32" s="736"/>
      <c r="BC32" s="730"/>
      <c r="BD32" s="730"/>
      <c r="BE32" s="120"/>
      <c r="BF32" s="19"/>
      <c r="BG32" s="729"/>
      <c r="BH32" s="17"/>
      <c r="BI32" s="14"/>
      <c r="BM32" s="729"/>
      <c r="BN32" s="731"/>
      <c r="BO32" s="707"/>
      <c r="BP32" s="721"/>
      <c r="BQ32" s="706"/>
      <c r="BR32" s="722"/>
      <c r="BS32" s="737"/>
      <c r="BT32" s="737"/>
      <c r="BW32" s="51"/>
      <c r="BX32" s="51"/>
      <c r="BY32" s="51"/>
      <c r="BZ32" s="51"/>
      <c r="CA32" s="51"/>
      <c r="CB32" s="51"/>
      <c r="CC32" s="52"/>
      <c r="CD32" s="154"/>
      <c r="CE32" s="155"/>
      <c r="CF32" s="155"/>
      <c r="CG32" s="155"/>
      <c r="CH32" s="155"/>
      <c r="CI32" s="155"/>
      <c r="CJ32" s="155"/>
      <c r="CK32" s="155"/>
      <c r="CL32" s="155"/>
      <c r="CM32" s="155"/>
      <c r="CN32" s="155"/>
      <c r="CO32" s="155"/>
      <c r="CP32" s="155"/>
      <c r="CQ32" s="155"/>
      <c r="CR32" s="155"/>
      <c r="CS32" s="155"/>
      <c r="CT32" s="155"/>
      <c r="CU32" s="155"/>
      <c r="CV32" s="156"/>
      <c r="CW32" s="155"/>
      <c r="CX32" s="155"/>
      <c r="CY32" s="155"/>
      <c r="CZ32" s="157" t="s">
        <v>1402</v>
      </c>
      <c r="DA32" s="158" t="s">
        <v>9301</v>
      </c>
      <c r="DB32" s="158" t="s">
        <v>353</v>
      </c>
      <c r="DC32" s="158" t="s">
        <v>1399</v>
      </c>
      <c r="DD32" s="158" t="s">
        <v>505</v>
      </c>
      <c r="DE32" s="158" t="s">
        <v>9011</v>
      </c>
      <c r="DF32" s="158" t="s">
        <v>506</v>
      </c>
      <c r="DG32" s="158" t="s">
        <v>507</v>
      </c>
      <c r="DH32" s="158" t="s">
        <v>9297</v>
      </c>
      <c r="DI32" s="158" t="s">
        <v>9298</v>
      </c>
      <c r="DJ32" s="158" t="s">
        <v>9299</v>
      </c>
      <c r="DK32" s="158" t="s">
        <v>9300</v>
      </c>
      <c r="DL32" s="158" t="s">
        <v>1402</v>
      </c>
      <c r="DM32" s="158" t="s">
        <v>9301</v>
      </c>
      <c r="DN32" s="158" t="s">
        <v>353</v>
      </c>
      <c r="DO32" s="158" t="s">
        <v>1399</v>
      </c>
      <c r="DP32" s="158" t="s">
        <v>505</v>
      </c>
      <c r="DQ32" s="158" t="s">
        <v>9011</v>
      </c>
      <c r="DR32" s="158" t="s">
        <v>506</v>
      </c>
      <c r="DS32" s="158" t="s">
        <v>507</v>
      </c>
      <c r="DT32" s="158" t="s">
        <v>9297</v>
      </c>
      <c r="DU32" s="158" t="s">
        <v>9298</v>
      </c>
      <c r="DV32" s="158" t="s">
        <v>9299</v>
      </c>
      <c r="DW32" s="158" t="s">
        <v>9300</v>
      </c>
      <c r="DX32" s="155"/>
      <c r="DY32" s="155"/>
      <c r="DZ32" s="155"/>
      <c r="EA32" s="155"/>
      <c r="EB32" s="155"/>
      <c r="EC32" s="155"/>
      <c r="ED32" s="155"/>
      <c r="EE32" s="155"/>
      <c r="EF32" s="155"/>
      <c r="EG32" s="155"/>
      <c r="EH32" s="155"/>
      <c r="EI32" s="155"/>
      <c r="EJ32" s="155"/>
      <c r="EK32" s="155"/>
      <c r="EL32" s="155"/>
      <c r="EM32" s="155"/>
      <c r="EN32" s="155"/>
      <c r="EO32" s="155"/>
      <c r="EP32" s="155"/>
      <c r="EQ32" s="155"/>
      <c r="ER32" s="155"/>
      <c r="ES32" s="155"/>
      <c r="ET32" s="155"/>
      <c r="EU32" s="155"/>
      <c r="EV32" s="155"/>
      <c r="EW32" s="155"/>
      <c r="EX32" s="155"/>
      <c r="EY32" s="155"/>
      <c r="EZ32" s="155"/>
      <c r="FA32" s="155"/>
      <c r="FB32" s="155"/>
      <c r="FC32" s="155"/>
      <c r="FD32" s="155"/>
      <c r="FE32" s="155"/>
      <c r="FF32" s="155"/>
      <c r="FG32" s="155"/>
      <c r="FH32" s="155"/>
      <c r="FI32" s="155"/>
      <c r="FJ32" s="155"/>
      <c r="FK32" s="155"/>
      <c r="FL32" s="155"/>
      <c r="FM32" s="155"/>
      <c r="FN32" s="155"/>
      <c r="FO32" s="155"/>
      <c r="FP32" s="155"/>
      <c r="FQ32" s="155"/>
      <c r="FR32" s="155"/>
      <c r="FS32" s="155"/>
      <c r="FT32" s="155"/>
      <c r="FU32" s="155"/>
      <c r="FV32" s="155"/>
      <c r="FW32" s="155"/>
      <c r="FX32" s="155"/>
      <c r="FY32" s="155"/>
      <c r="FZ32" s="155"/>
      <c r="GA32" s="155"/>
      <c r="GB32" s="155"/>
      <c r="GC32" s="155"/>
      <c r="GD32" s="155"/>
      <c r="GE32" s="155"/>
      <c r="GF32" s="155"/>
      <c r="GG32" s="155"/>
      <c r="GH32" s="155"/>
      <c r="GI32" s="155"/>
      <c r="GJ32" s="155"/>
      <c r="GK32" s="155"/>
      <c r="GL32" s="155"/>
      <c r="GM32" s="155"/>
      <c r="GN32" s="155"/>
      <c r="GO32" s="155"/>
      <c r="GP32" s="155"/>
      <c r="GQ32" s="155"/>
      <c r="GR32" s="155"/>
      <c r="GS32" s="155"/>
      <c r="GT32" s="155"/>
      <c r="GU32" s="155"/>
      <c r="GV32" s="155"/>
      <c r="GW32" s="155"/>
      <c r="GX32" s="155"/>
      <c r="GY32" s="155"/>
      <c r="GZ32" s="155"/>
      <c r="HA32" s="155"/>
      <c r="HB32" s="155"/>
      <c r="HC32" s="155"/>
      <c r="HD32" s="155"/>
      <c r="HE32" s="155"/>
      <c r="HF32" s="155"/>
      <c r="HG32" s="155"/>
      <c r="HH32" s="155"/>
      <c r="HI32" s="155"/>
      <c r="HJ32" s="155"/>
      <c r="HK32" s="155"/>
      <c r="HL32" s="155"/>
      <c r="HM32" s="155"/>
      <c r="HN32" s="155"/>
      <c r="HO32" s="155"/>
      <c r="HP32" s="155"/>
      <c r="HQ32" s="155"/>
      <c r="HR32" s="155"/>
      <c r="HS32" s="51"/>
      <c r="HT32" s="51"/>
      <c r="HU32" s="51"/>
      <c r="HV32" s="51"/>
      <c r="HW32" s="51"/>
      <c r="HX32" s="51"/>
      <c r="HY32" s="51"/>
      <c r="HZ32" s="51"/>
      <c r="IA32" s="51"/>
      <c r="IB32" s="51"/>
      <c r="IC32" s="51"/>
      <c r="ID32" s="51"/>
      <c r="IE32" s="51"/>
      <c r="IF32" s="51"/>
      <c r="IG32" s="51"/>
      <c r="IH32" s="51"/>
      <c r="II32" s="51"/>
      <c r="IJ32" s="51"/>
      <c r="IK32" s="51"/>
      <c r="IL32" s="51"/>
    </row>
    <row r="33" spans="1:246" ht="12.95" customHeight="1">
      <c r="B33" s="588" t="s">
        <v>7344</v>
      </c>
      <c r="C33" s="550" t="s">
        <v>2730</v>
      </c>
      <c r="D33" s="550"/>
      <c r="E33" s="550" t="s">
        <v>2731</v>
      </c>
      <c r="F33" s="550"/>
      <c r="I33" s="17"/>
      <c r="Z33" s="40">
        <f ca="1">IF(Z8="","",HLOOKUP(AA8,'64Quẻ'!D5:DW23,14,0))</f>
        <v>0</v>
      </c>
      <c r="AA33" s="9">
        <v>6</v>
      </c>
      <c r="AC33" s="12" t="str">
        <f ca="1">IF(AC8="","",HLOOKUP(AD8,'64Quẻ'!DZ5:EC23,14,0))</f>
        <v/>
      </c>
      <c r="AD33" s="9">
        <v>6</v>
      </c>
      <c r="AF33" s="12" t="str">
        <f ca="1">IF(AF8="","",HLOOKUP(AG8,'64Quẻ'!ED5:EG23,14,0))</f>
        <v/>
      </c>
      <c r="AG33" s="9">
        <v>6</v>
      </c>
      <c r="AI33" s="12" t="str">
        <f ca="1">IF(AI8="","",HLOOKUP(AJ8,'64Quẻ'!EH5:EK23,14,0))</f>
        <v/>
      </c>
      <c r="AJ33" s="213">
        <v>6</v>
      </c>
      <c r="AK33" s="454"/>
      <c r="AP33" s="660">
        <f ca="1">IF(AND('Vận Năm'!B45="*",AP26=0),1,IF(AND('Vận Năm'!B45="*",AP26=1),0,AP26))</f>
        <v>1</v>
      </c>
      <c r="AQ33" s="216">
        <f ca="1">IF('Vận Năm'!B47="*",1,IF('Vận Năm'!B46="*",2,IF('Vận Năm'!B45="*",3,IF('Vận Năm'!B44="*",4,IF('Vận Năm'!B43="*",5,IF('Vận Năm'!B42="*",6,""))))))</f>
        <v>6</v>
      </c>
      <c r="AR33" s="495" t="str">
        <f ca="1">AP32&amp;AP33&amp;AP34</f>
        <v>010</v>
      </c>
      <c r="AS33" s="655"/>
      <c r="AT33" s="644"/>
      <c r="AU33" s="642"/>
      <c r="AV33" s="498"/>
      <c r="AW33" s="714"/>
      <c r="AY33" s="661"/>
      <c r="AZ33" s="714"/>
      <c r="BA33" s="212"/>
      <c r="BB33" s="736"/>
      <c r="BC33" s="730"/>
      <c r="BD33" s="730"/>
      <c r="BE33" s="734"/>
      <c r="BF33" s="735"/>
      <c r="BG33" s="461"/>
      <c r="BH33" s="461"/>
      <c r="BI33" s="461"/>
      <c r="BM33" s="729"/>
      <c r="BN33" s="731"/>
      <c r="BO33" s="707"/>
      <c r="BP33" s="247"/>
      <c r="BQ33" s="727"/>
      <c r="BR33" s="722"/>
      <c r="BS33" s="738"/>
      <c r="BT33" s="738"/>
      <c r="BW33" s="51"/>
      <c r="BX33" s="51"/>
      <c r="BY33" s="51"/>
      <c r="BZ33" s="51"/>
      <c r="CA33" s="51"/>
      <c r="CB33" s="51"/>
      <c r="CC33" s="52"/>
      <c r="CD33" s="159"/>
      <c r="CE33" s="51" t="s">
        <v>5016</v>
      </c>
      <c r="CF33" s="160" t="str">
        <f ca="1">CH15</f>
        <v>Nhâm</v>
      </c>
      <c r="CG33" s="51" t="s">
        <v>5017</v>
      </c>
      <c r="CH33" s="161" t="str">
        <f ca="1">CH13</f>
        <v>Bính</v>
      </c>
      <c r="CI33" s="51"/>
      <c r="CJ33" s="51"/>
      <c r="CK33" s="51"/>
      <c r="CL33" s="51"/>
      <c r="CM33" s="51"/>
      <c r="CN33" s="51"/>
      <c r="CO33" s="51"/>
      <c r="CP33" s="51"/>
      <c r="CQ33" s="51"/>
      <c r="CR33" s="51"/>
      <c r="CS33" s="51"/>
      <c r="CT33" s="51"/>
      <c r="CU33" s="51"/>
      <c r="CV33" s="52"/>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c r="HP33" s="51"/>
      <c r="HQ33" s="51"/>
      <c r="HR33" s="51"/>
      <c r="HS33" s="51"/>
      <c r="HT33" s="51"/>
      <c r="HU33" s="51"/>
      <c r="HV33" s="51"/>
      <c r="HW33" s="51"/>
      <c r="HX33" s="51"/>
      <c r="HY33" s="51"/>
      <c r="HZ33" s="51"/>
      <c r="IA33" s="51"/>
      <c r="IB33" s="51"/>
      <c r="IC33" s="51"/>
      <c r="ID33" s="51"/>
      <c r="IE33" s="51"/>
      <c r="IF33" s="51"/>
      <c r="IG33" s="51"/>
      <c r="IH33" s="51"/>
      <c r="II33" s="51"/>
      <c r="IJ33" s="51"/>
      <c r="IK33" s="51"/>
      <c r="IL33" s="51"/>
    </row>
    <row r="34" spans="1:246" ht="12.95" customHeight="1" thickBot="1">
      <c r="A34" s="33" t="s">
        <v>3705</v>
      </c>
      <c r="B34" s="553">
        <f ca="1">VLOOKUP(2&amp;B15,TiếtKhí!B3:D3626,3,0)</f>
        <v>37291.308194444442</v>
      </c>
      <c r="C34" s="33">
        <v>25</v>
      </c>
      <c r="D34" s="219">
        <v>35</v>
      </c>
      <c r="E34" s="33">
        <v>30</v>
      </c>
      <c r="F34" s="219">
        <v>34</v>
      </c>
      <c r="I34" s="17"/>
      <c r="Z34" s="40">
        <f ca="1">IF(Z8="","",HLOOKUP(AA8,'64Quẻ'!D5:DW23,15,0))</f>
        <v>0</v>
      </c>
      <c r="AA34" s="9">
        <v>5</v>
      </c>
      <c r="AC34" s="12" t="str">
        <f ca="1">IF(AC8="","",HLOOKUP(AD8,'64Quẻ'!DZ5:EC23,15,0))</f>
        <v/>
      </c>
      <c r="AD34" s="9">
        <v>5</v>
      </c>
      <c r="AF34" s="12" t="str">
        <f ca="1">IF(AF8="","",HLOOKUP(AG8,'64Quẻ'!ED5:EG23,15,0))</f>
        <v/>
      </c>
      <c r="AG34" s="9">
        <v>5</v>
      </c>
      <c r="AI34" s="12" t="str">
        <f ca="1">IF(AI8="","",HLOOKUP(AJ8,'64Quẻ'!EH5:EK23,15,0))</f>
        <v/>
      </c>
      <c r="AJ34" s="213">
        <v>5</v>
      </c>
      <c r="AK34" s="454"/>
      <c r="AP34" s="660">
        <f ca="1">IF(AND('Vận Năm'!B46="*",AP27=0),1,IF(AND('Vận Năm'!B46="*",AP27=1),0,AP27))</f>
        <v>0</v>
      </c>
      <c r="AQ34" s="662"/>
      <c r="AR34" s="663" t="str">
        <f ca="1">IF(OR(AU3=AR30,AU3=AR31,AU3=AR32,AU3=AR33),"TNK","")</f>
        <v/>
      </c>
      <c r="AV34" s="728"/>
      <c r="AW34" s="714"/>
      <c r="AY34" s="721"/>
      <c r="AZ34" s="714"/>
      <c r="BA34" s="212"/>
      <c r="BB34" s="739"/>
      <c r="BC34" s="730"/>
      <c r="BD34" s="730"/>
      <c r="BE34" s="120"/>
      <c r="BF34" s="212"/>
      <c r="BG34" s="729"/>
      <c r="BH34" s="17"/>
      <c r="BI34" s="14"/>
      <c r="BM34" s="729"/>
      <c r="BN34" s="731"/>
      <c r="BO34" s="707"/>
      <c r="BQ34" s="706"/>
      <c r="BR34" s="212"/>
      <c r="BW34" s="51"/>
      <c r="BX34" s="51"/>
      <c r="BY34" s="51"/>
      <c r="BZ34" s="51"/>
      <c r="CA34" s="51"/>
      <c r="CB34" s="51"/>
      <c r="CC34" s="52"/>
      <c r="CD34" s="159"/>
      <c r="CE34" s="51"/>
      <c r="CF34" s="51"/>
      <c r="CG34" s="51"/>
      <c r="CH34" s="51"/>
      <c r="CI34" s="51"/>
      <c r="CJ34" s="51"/>
      <c r="CK34" s="51"/>
      <c r="CL34" s="51"/>
      <c r="CM34" s="51"/>
      <c r="CN34" s="51"/>
      <c r="CO34" s="51"/>
      <c r="CP34" s="51"/>
      <c r="CQ34" s="51"/>
      <c r="CR34" s="51"/>
      <c r="CS34" s="51"/>
      <c r="CT34" s="51"/>
      <c r="CU34" s="51"/>
      <c r="CV34" s="52"/>
      <c r="CW34" s="51"/>
      <c r="CX34" s="51"/>
      <c r="CY34" s="51"/>
      <c r="CZ34" s="162" t="s">
        <v>9005</v>
      </c>
      <c r="DA34" s="163" t="s">
        <v>9006</v>
      </c>
      <c r="DB34" s="163" t="s">
        <v>9007</v>
      </c>
      <c r="DC34" s="163" t="s">
        <v>9008</v>
      </c>
      <c r="DD34" s="163" t="s">
        <v>9009</v>
      </c>
      <c r="DE34" s="163" t="s">
        <v>9010</v>
      </c>
      <c r="DF34" s="163" t="s">
        <v>3733</v>
      </c>
      <c r="DG34" s="163" t="s">
        <v>3734</v>
      </c>
      <c r="DH34" s="163" t="s">
        <v>3735</v>
      </c>
      <c r="DI34" s="163" t="s">
        <v>1876</v>
      </c>
      <c r="DJ34" s="163" t="s">
        <v>9005</v>
      </c>
      <c r="DK34" s="163" t="s">
        <v>9006</v>
      </c>
      <c r="DL34" s="163" t="s">
        <v>9007</v>
      </c>
      <c r="DM34" s="163" t="s">
        <v>9008</v>
      </c>
      <c r="DN34" s="163" t="s">
        <v>9009</v>
      </c>
      <c r="DO34" s="163" t="s">
        <v>9010</v>
      </c>
      <c r="DP34" s="163" t="s">
        <v>3733</v>
      </c>
      <c r="DQ34" s="163" t="s">
        <v>3734</v>
      </c>
      <c r="DR34" s="163" t="s">
        <v>3735</v>
      </c>
      <c r="DS34" s="164" t="s">
        <v>1876</v>
      </c>
      <c r="DT34" s="51"/>
      <c r="DU34" s="51"/>
      <c r="DV34" s="51"/>
      <c r="DW34" s="51"/>
      <c r="DX34" s="51"/>
      <c r="DY34" s="51"/>
      <c r="DZ34" s="51"/>
      <c r="EA34" s="51"/>
      <c r="EB34" s="51"/>
      <c r="EC34" s="51"/>
      <c r="ED34" s="51"/>
      <c r="EE34" s="51"/>
      <c r="EF34" s="51"/>
      <c r="EG34" s="51"/>
      <c r="EH34" s="51"/>
      <c r="EI34" s="51"/>
      <c r="EJ34" s="51"/>
      <c r="EK34" s="51"/>
      <c r="EL34" s="51"/>
      <c r="EM34" s="51"/>
      <c r="EN34" s="51"/>
      <c r="EO34" s="51"/>
      <c r="EP34" s="51"/>
      <c r="EQ34" s="51"/>
      <c r="ER34" s="51"/>
      <c r="ES34" s="51"/>
      <c r="ET34" s="51"/>
      <c r="EU34" s="51"/>
      <c r="EV34" s="51"/>
      <c r="EW34" s="51"/>
      <c r="EX34" s="51"/>
      <c r="EY34" s="51"/>
      <c r="EZ34" s="51"/>
      <c r="FA34" s="51"/>
      <c r="FB34" s="51"/>
      <c r="FC34" s="51"/>
      <c r="FD34" s="51"/>
      <c r="FE34" s="51"/>
      <c r="FF34" s="51"/>
      <c r="FG34" s="51"/>
      <c r="FH34" s="51"/>
      <c r="FI34" s="51"/>
      <c r="FJ34" s="51"/>
      <c r="FK34" s="51"/>
      <c r="FL34" s="51"/>
      <c r="FM34" s="51"/>
      <c r="FN34" s="51"/>
      <c r="FO34" s="51"/>
      <c r="FP34" s="51"/>
      <c r="FQ34" s="51"/>
      <c r="FR34" s="51"/>
      <c r="FS34" s="51"/>
      <c r="FT34" s="51"/>
      <c r="FU34" s="51"/>
      <c r="FV34" s="51"/>
      <c r="FW34" s="51"/>
      <c r="FX34" s="51"/>
      <c r="FY34" s="51"/>
      <c r="FZ34" s="51"/>
      <c r="GA34" s="51"/>
      <c r="GB34" s="51"/>
      <c r="GC34" s="51"/>
      <c r="GD34" s="51"/>
      <c r="GE34" s="51"/>
      <c r="GF34" s="51"/>
      <c r="GG34" s="51"/>
      <c r="GH34" s="51"/>
      <c r="GI34" s="51"/>
      <c r="GJ34" s="51"/>
      <c r="GK34" s="51"/>
      <c r="GL34" s="51"/>
      <c r="GM34" s="51"/>
      <c r="GN34" s="51"/>
      <c r="GO34" s="51"/>
      <c r="GP34" s="51"/>
      <c r="GQ34" s="51"/>
      <c r="GR34" s="51"/>
      <c r="GS34" s="51"/>
      <c r="GT34" s="51"/>
      <c r="GU34" s="51"/>
      <c r="GV34" s="51"/>
      <c r="GW34" s="51"/>
      <c r="GX34" s="51"/>
      <c r="GY34" s="51"/>
      <c r="GZ34" s="51"/>
      <c r="HA34" s="51"/>
      <c r="HB34" s="51"/>
      <c r="HC34" s="51"/>
      <c r="HD34" s="51"/>
      <c r="HE34" s="51"/>
      <c r="HF34" s="51"/>
      <c r="HG34" s="51"/>
      <c r="HH34" s="51"/>
      <c r="HI34" s="51"/>
      <c r="HJ34" s="51"/>
      <c r="HK34" s="51"/>
      <c r="HL34" s="51"/>
      <c r="HM34" s="51"/>
      <c r="HN34" s="51"/>
      <c r="HO34" s="51"/>
      <c r="HP34" s="51"/>
      <c r="HQ34" s="51"/>
      <c r="HR34" s="51"/>
      <c r="HS34" s="51"/>
      <c r="HT34" s="51"/>
      <c r="HU34" s="51"/>
      <c r="HV34" s="51"/>
      <c r="HW34" s="51"/>
      <c r="HX34" s="51"/>
      <c r="HY34" s="51"/>
      <c r="HZ34" s="51"/>
      <c r="IA34" s="51"/>
      <c r="IB34" s="51"/>
      <c r="IC34" s="51"/>
      <c r="ID34" s="51"/>
      <c r="IE34" s="51"/>
      <c r="IF34" s="51"/>
      <c r="IG34" s="51"/>
      <c r="IH34" s="51"/>
      <c r="II34" s="51"/>
      <c r="IJ34" s="51"/>
      <c r="IK34" s="51"/>
      <c r="IL34" s="51"/>
    </row>
    <row r="35" spans="1:246" ht="12.95" customHeight="1" thickTop="1">
      <c r="A35" s="33" t="s">
        <v>3706</v>
      </c>
      <c r="B35" s="553">
        <f ca="1">VLOOKUP(5&amp;B15,TiếtKhí!B3:D3626,3,0)</f>
        <v>37381.984421296293</v>
      </c>
      <c r="C35" s="33">
        <v>25</v>
      </c>
      <c r="D35" s="219">
        <v>55</v>
      </c>
      <c r="E35" s="33">
        <v>27</v>
      </c>
      <c r="F35" s="219">
        <v>30</v>
      </c>
      <c r="I35" s="17"/>
      <c r="Z35" s="40">
        <f ca="1">IF(Z8="","",HLOOKUP(AA8,'64Quẻ'!D5:DW23,16,0))</f>
        <v>0</v>
      </c>
      <c r="AA35" s="9">
        <v>4</v>
      </c>
      <c r="AC35" s="12" t="str">
        <f ca="1">IF(AC8="","",HLOOKUP(AD8,'64Quẻ'!DZ5:EC23,16,0))</f>
        <v/>
      </c>
      <c r="AD35" s="9">
        <v>4</v>
      </c>
      <c r="AF35" s="12" t="str">
        <f ca="1">IF(AF8="","",HLOOKUP(AG8,'64Quẻ'!ED5:EG23,16,0))</f>
        <v/>
      </c>
      <c r="AG35" s="9">
        <v>4</v>
      </c>
      <c r="AI35" s="12" t="str">
        <f ca="1">IF(AI8="","",HLOOKUP(AJ8,'64Quẻ'!EH5:EK23,16,0))</f>
        <v/>
      </c>
      <c r="AJ35" s="213">
        <v>4</v>
      </c>
      <c r="AK35" s="454"/>
      <c r="AP35" s="660">
        <f ca="1">IF(AND('Vận Năm'!B47="*",AP28=0),1,IF(AND('Vận Năm'!B47="*",AP28=1),0,AP28))</f>
        <v>0</v>
      </c>
      <c r="AQ35" s="662"/>
      <c r="AR35" s="663" t="str">
        <f ca="1">IF(OR(AU4=AR30,AU4=AR31,AU4=AR32,AU4=AR33),"ĐNK","")</f>
        <v/>
      </c>
      <c r="AV35" s="728"/>
      <c r="AW35" s="714"/>
      <c r="AY35" s="721"/>
      <c r="AZ35" s="714"/>
      <c r="BA35" s="212"/>
      <c r="BB35" s="736"/>
      <c r="BC35" s="730"/>
      <c r="BD35" s="730"/>
      <c r="BE35" s="120"/>
      <c r="BF35" s="212"/>
      <c r="BG35" s="729"/>
      <c r="BH35" s="17"/>
      <c r="BI35" s="14"/>
      <c r="BM35" s="729"/>
      <c r="BN35" s="731"/>
      <c r="BO35" s="707"/>
      <c r="BP35" s="712"/>
      <c r="BQ35" s="706"/>
      <c r="BR35" s="212"/>
      <c r="BW35" s="51"/>
      <c r="BX35" s="51"/>
      <c r="BY35" s="51"/>
      <c r="BZ35" s="51"/>
      <c r="CA35" s="51"/>
      <c r="CB35" s="51"/>
      <c r="CC35" s="52"/>
      <c r="CD35" s="159" t="s">
        <v>352</v>
      </c>
      <c r="CE35" s="165">
        <v>1</v>
      </c>
      <c r="CF35" s="166">
        <v>2</v>
      </c>
      <c r="CG35" s="166">
        <v>3</v>
      </c>
      <c r="CH35" s="166">
        <v>4</v>
      </c>
      <c r="CI35" s="166">
        <v>5</v>
      </c>
      <c r="CJ35" s="166">
        <v>6</v>
      </c>
      <c r="CK35" s="166">
        <v>7</v>
      </c>
      <c r="CL35" s="166">
        <v>8</v>
      </c>
      <c r="CM35" s="166">
        <v>9</v>
      </c>
      <c r="CN35" s="166">
        <v>10</v>
      </c>
      <c r="CO35" s="166">
        <v>11</v>
      </c>
      <c r="CP35" s="167">
        <v>12</v>
      </c>
      <c r="CQ35" s="51"/>
      <c r="CR35" s="51"/>
      <c r="CS35" s="51"/>
      <c r="CT35" s="51"/>
      <c r="CU35" s="51"/>
      <c r="CV35" s="52"/>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c r="HJ35" s="51"/>
      <c r="HK35" s="51"/>
      <c r="HL35" s="51"/>
      <c r="HM35" s="51"/>
      <c r="HN35" s="51"/>
      <c r="HO35" s="51"/>
      <c r="HP35" s="51"/>
      <c r="HQ35" s="51"/>
      <c r="HR35" s="51"/>
      <c r="HS35" s="51"/>
      <c r="HT35" s="51"/>
      <c r="HU35" s="51"/>
      <c r="HV35" s="51"/>
      <c r="HW35" s="51"/>
      <c r="HX35" s="51"/>
      <c r="HY35" s="51"/>
      <c r="HZ35" s="51"/>
      <c r="IA35" s="51"/>
      <c r="IB35" s="51"/>
      <c r="IC35" s="51"/>
      <c r="ID35" s="51"/>
      <c r="IE35" s="51"/>
      <c r="IF35" s="51"/>
      <c r="IG35" s="51"/>
      <c r="IH35" s="51"/>
      <c r="II35" s="51"/>
      <c r="IJ35" s="51"/>
      <c r="IK35" s="51"/>
      <c r="IL35" s="51"/>
    </row>
    <row r="36" spans="1:246" ht="12.95" customHeight="1" thickBot="1">
      <c r="A36" s="33" t="s">
        <v>3707</v>
      </c>
      <c r="B36" s="553">
        <f ca="1">VLOOKUP(8&amp;B15,TiếtKhí!B3:D3626,3,0)</f>
        <v>37475.985451388886</v>
      </c>
      <c r="C36" s="33">
        <v>25</v>
      </c>
      <c r="D36" s="219">
        <v>29</v>
      </c>
      <c r="E36" s="33">
        <v>30</v>
      </c>
      <c r="F36" s="219">
        <v>40</v>
      </c>
      <c r="I36" s="17"/>
      <c r="Z36" s="40" t="str">
        <f ca="1">IF(Z8="","",HLOOKUP(AA8,'64Quẻ'!D5:DW23,17,0))</f>
        <v>Hợi</v>
      </c>
      <c r="AA36" s="9">
        <v>3</v>
      </c>
      <c r="AC36" s="12" t="str">
        <f ca="1">IF(AC8="","",HLOOKUP(AD8,'64Quẻ'!DZ5:EC23,17,0))</f>
        <v/>
      </c>
      <c r="AD36" s="9">
        <v>3</v>
      </c>
      <c r="AF36" s="12" t="str">
        <f ca="1">IF(AF8="","",HLOOKUP(AG8,'64Quẻ'!ED5:EG23,17,0))</f>
        <v/>
      </c>
      <c r="AG36" s="9">
        <v>3</v>
      </c>
      <c r="AI36" s="12" t="str">
        <f ca="1">IF(AI8="","",HLOOKUP(AJ8,'64Quẻ'!EH5:EK23,17,0))</f>
        <v/>
      </c>
      <c r="AJ36" s="213">
        <v>3</v>
      </c>
      <c r="AK36" s="454"/>
      <c r="AP36" s="664" t="str">
        <f ca="1">AP30&amp;AP31&amp;AP32&amp;AP33&amp;AP34&amp;AP35</f>
        <v>000100</v>
      </c>
      <c r="AQ36" s="665"/>
      <c r="AR36" s="666" t="str">
        <f ca="1">IF(OR(AU5=AR30,AU5=AR31,AU5=AR32,AU5=AR33),"HC","")</f>
        <v>HC</v>
      </c>
      <c r="AV36" s="732"/>
      <c r="AW36" s="733"/>
      <c r="AY36" s="247"/>
      <c r="AZ36" s="733"/>
      <c r="BA36" s="212"/>
      <c r="BB36" s="736"/>
      <c r="BC36" s="730"/>
      <c r="BD36" s="730"/>
      <c r="BE36" s="120"/>
      <c r="BF36" s="212"/>
      <c r="BG36" s="729"/>
      <c r="BH36" s="17"/>
      <c r="BI36" s="14"/>
      <c r="BM36" s="729"/>
      <c r="BN36" s="731"/>
      <c r="BO36" s="707"/>
      <c r="BP36" s="661"/>
      <c r="BQ36" s="706"/>
      <c r="BR36" s="212"/>
      <c r="BW36" s="51"/>
      <c r="BX36" s="51"/>
      <c r="BY36" s="51"/>
      <c r="BZ36" s="51"/>
      <c r="CA36" s="51"/>
      <c r="CB36" s="51"/>
      <c r="CC36" s="52"/>
      <c r="CD36" s="159" t="s">
        <v>5018</v>
      </c>
      <c r="CE36" s="168" t="str">
        <f ca="1">HLOOKUP(CF33,DA36:DJ38,2,FALSE)</f>
        <v>Nhâm</v>
      </c>
      <c r="CF36" s="169" t="str">
        <f t="shared" ref="CF36:CP36" ca="1" si="29">INDEX($CZ$34:$DS$34,1,MATCH(CE36,$CZ$34:$DS$34,0)+1)</f>
        <v>Quý</v>
      </c>
      <c r="CG36" s="169" t="str">
        <f t="shared" ca="1" si="29"/>
        <v>Giáp</v>
      </c>
      <c r="CH36" s="169" t="str">
        <f t="shared" ca="1" si="29"/>
        <v>Ất</v>
      </c>
      <c r="CI36" s="169" t="str">
        <f t="shared" ca="1" si="29"/>
        <v>Bính</v>
      </c>
      <c r="CJ36" s="170" t="str">
        <f t="shared" ca="1" si="29"/>
        <v>Đinh</v>
      </c>
      <c r="CK36" s="169" t="str">
        <f t="shared" ca="1" si="29"/>
        <v>Mậu</v>
      </c>
      <c r="CL36" s="169" t="str">
        <f t="shared" ca="1" si="29"/>
        <v>Kỷ</v>
      </c>
      <c r="CM36" s="169" t="str">
        <f t="shared" ca="1" si="29"/>
        <v>Canh</v>
      </c>
      <c r="CN36" s="169" t="str">
        <f t="shared" ca="1" si="29"/>
        <v>Tân</v>
      </c>
      <c r="CO36" s="169" t="str">
        <f t="shared" ca="1" si="29"/>
        <v>Nhâm</v>
      </c>
      <c r="CP36" s="171" t="str">
        <f t="shared" ca="1" si="29"/>
        <v>Quý</v>
      </c>
      <c r="CQ36" s="51"/>
      <c r="CR36" s="51"/>
      <c r="CS36" s="51"/>
      <c r="CT36" s="51"/>
      <c r="CU36" s="51"/>
      <c r="CV36" s="52"/>
      <c r="CW36" s="51"/>
      <c r="CX36" s="51"/>
      <c r="CY36" s="51"/>
      <c r="CZ36" s="101" t="s">
        <v>5019</v>
      </c>
      <c r="DA36" s="103" t="s">
        <v>9005</v>
      </c>
      <c r="DB36" s="103" t="s">
        <v>9006</v>
      </c>
      <c r="DC36" s="103" t="s">
        <v>9007</v>
      </c>
      <c r="DD36" s="103" t="s">
        <v>9008</v>
      </c>
      <c r="DE36" s="103" t="s">
        <v>9009</v>
      </c>
      <c r="DF36" s="103" t="s">
        <v>9010</v>
      </c>
      <c r="DG36" s="103" t="s">
        <v>3733</v>
      </c>
      <c r="DH36" s="103" t="s">
        <v>3734</v>
      </c>
      <c r="DI36" s="103" t="s">
        <v>3735</v>
      </c>
      <c r="DJ36" s="104" t="s">
        <v>1876</v>
      </c>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c r="HG36" s="51"/>
      <c r="HH36" s="51"/>
      <c r="HI36" s="51"/>
      <c r="HJ36" s="51"/>
      <c r="HK36" s="51"/>
      <c r="HL36" s="51"/>
      <c r="HM36" s="51"/>
      <c r="HN36" s="51"/>
      <c r="HO36" s="51"/>
      <c r="HP36" s="51"/>
      <c r="HQ36" s="51"/>
      <c r="HR36" s="51"/>
      <c r="HS36" s="51"/>
      <c r="HT36" s="51"/>
      <c r="HU36" s="51"/>
      <c r="HV36" s="51"/>
      <c r="HW36" s="51"/>
      <c r="HX36" s="51"/>
      <c r="HY36" s="51"/>
      <c r="HZ36" s="51"/>
      <c r="IA36" s="51"/>
      <c r="IB36" s="51"/>
      <c r="IC36" s="51"/>
      <c r="ID36" s="51"/>
      <c r="IE36" s="51"/>
      <c r="IF36" s="51"/>
      <c r="IG36" s="51"/>
      <c r="IH36" s="51"/>
      <c r="II36" s="51"/>
      <c r="IJ36" s="51"/>
      <c r="IK36" s="51"/>
      <c r="IL36" s="51"/>
    </row>
    <row r="37" spans="1:246" ht="12.95" customHeight="1" thickTop="1" thickBot="1">
      <c r="A37" s="33" t="s">
        <v>3708</v>
      </c>
      <c r="B37" s="553">
        <f ca="1">VLOOKUP(11&amp;B15,TiếtKhí!B3:D3626,3,0)</f>
        <v>37567.890069444446</v>
      </c>
      <c r="C37" s="33">
        <v>22</v>
      </c>
      <c r="D37" s="219">
        <v>25</v>
      </c>
      <c r="E37" s="33">
        <v>30</v>
      </c>
      <c r="F37" s="219">
        <v>60</v>
      </c>
      <c r="I37" s="17"/>
      <c r="Z37" s="40" t="str">
        <f ca="1">IF(Z8="","",HLOOKUP(AA8,'64Quẻ'!D5:DW23,18,0))</f>
        <v>Tuất</v>
      </c>
      <c r="AA37" s="9">
        <v>2</v>
      </c>
      <c r="AC37" s="12" t="str">
        <f ca="1">IF(AC8="","",HLOOKUP(AD8,'64Quẻ'!DZ5:EC23,18,0))</f>
        <v/>
      </c>
      <c r="AD37" s="9">
        <v>2</v>
      </c>
      <c r="AF37" s="12" t="str">
        <f ca="1">IF(AF8="","",HLOOKUP(AG8,'64Quẻ'!ED5:EG23,18,0))</f>
        <v/>
      </c>
      <c r="AG37" s="9">
        <v>2</v>
      </c>
      <c r="AI37" s="12" t="str">
        <f ca="1">IF(AI8="","",HLOOKUP(AJ8,'64Quẻ'!EH5:EK23,18,0))</f>
        <v/>
      </c>
      <c r="AJ37" s="213">
        <v>2</v>
      </c>
      <c r="AK37" s="454"/>
      <c r="AP37" s="659">
        <f ca="1">IF(AND('Vận Năm'!B54="*",AP30=0),1,IF(AND('Vận Năm'!B54="*",AP30=1),0,AP30))</f>
        <v>0</v>
      </c>
      <c r="AQ37" s="544">
        <f ca="1">AQ9+4</f>
        <v>2036</v>
      </c>
      <c r="AR37" s="494" t="str">
        <f ca="1">AP37&amp;AP38&amp;AP39</f>
        <v>000</v>
      </c>
      <c r="AV37" s="713"/>
      <c r="AW37" s="714"/>
      <c r="AY37" s="715"/>
      <c r="AZ37" s="714"/>
      <c r="BA37" s="212"/>
      <c r="BB37" s="736"/>
      <c r="BC37" s="730"/>
      <c r="BD37" s="730"/>
      <c r="BE37" s="120"/>
      <c r="BF37" s="212"/>
      <c r="BG37" s="729"/>
      <c r="BH37" s="17"/>
      <c r="BI37" s="14"/>
      <c r="BM37" s="729"/>
      <c r="BN37" s="731"/>
      <c r="BO37" s="707"/>
      <c r="BP37" s="661"/>
      <c r="BQ37" s="706"/>
      <c r="BR37" s="212"/>
      <c r="BW37" s="51"/>
      <c r="BX37" s="51"/>
      <c r="BY37" s="51"/>
      <c r="BZ37" s="51"/>
      <c r="CA37" s="51"/>
      <c r="CB37" s="51"/>
      <c r="CC37" s="52"/>
      <c r="CD37" s="159"/>
      <c r="CE37" s="51"/>
      <c r="CF37" s="51"/>
      <c r="CG37" s="51"/>
      <c r="CH37" s="51"/>
      <c r="CI37" s="51"/>
      <c r="CJ37" s="51"/>
      <c r="CK37" s="51"/>
      <c r="CL37" s="51"/>
      <c r="CM37" s="51"/>
      <c r="CN37" s="51"/>
      <c r="CO37" s="51"/>
      <c r="CP37" s="51"/>
      <c r="CQ37" s="51"/>
      <c r="CR37" s="51"/>
      <c r="CS37" s="51"/>
      <c r="CT37" s="51"/>
      <c r="CU37" s="51"/>
      <c r="CV37" s="52"/>
      <c r="CW37" s="51"/>
      <c r="CX37" s="51"/>
      <c r="CY37" s="51"/>
      <c r="CZ37" s="52" t="s">
        <v>5020</v>
      </c>
      <c r="DA37" s="51" t="s">
        <v>9007</v>
      </c>
      <c r="DB37" s="51" t="s">
        <v>9009</v>
      </c>
      <c r="DC37" s="51" t="s">
        <v>3733</v>
      </c>
      <c r="DD37" s="51" t="s">
        <v>3735</v>
      </c>
      <c r="DE37" s="51" t="s">
        <v>9005</v>
      </c>
      <c r="DF37" s="51" t="s">
        <v>9007</v>
      </c>
      <c r="DG37" s="51" t="s">
        <v>9009</v>
      </c>
      <c r="DH37" s="51" t="s">
        <v>3733</v>
      </c>
      <c r="DI37" s="51" t="s">
        <v>3735</v>
      </c>
      <c r="DJ37" s="106" t="s">
        <v>9005</v>
      </c>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c r="HP37" s="51"/>
      <c r="HQ37" s="51"/>
      <c r="HR37" s="51"/>
      <c r="HS37" s="51"/>
      <c r="HT37" s="51"/>
      <c r="HU37" s="51"/>
      <c r="HV37" s="51"/>
      <c r="HW37" s="51"/>
      <c r="HX37" s="51"/>
      <c r="HY37" s="51"/>
      <c r="HZ37" s="51"/>
      <c r="IA37" s="51"/>
      <c r="IB37" s="51"/>
      <c r="IC37" s="51"/>
      <c r="ID37" s="51"/>
      <c r="IE37" s="51"/>
      <c r="IF37" s="51"/>
      <c r="IG37" s="51"/>
      <c r="IH37" s="51"/>
      <c r="II37" s="51"/>
      <c r="IJ37" s="51"/>
      <c r="IK37" s="51"/>
      <c r="IL37" s="51"/>
    </row>
    <row r="38" spans="1:246" ht="12.95" customHeight="1" thickTop="1">
      <c r="A38" s="587" t="str">
        <f ca="1">IF(AND(B5&gt;=B34,B5&lt;=B35),A34,IF(AND(B5&gt;=B35,B5&lt;=B36),A35,IF(AND(B5&gt;=B36,B5&lt;=B37),A36,IF(OR(B5&gt;=B37,B5&lt;=B34),A37))))</f>
        <v>mùa Xuân</v>
      </c>
      <c r="B38" s="503">
        <f ca="1">B5</f>
        <v>37304.291666666664</v>
      </c>
      <c r="C38" s="14">
        <f ca="1">IF(AND(B5&gt;=B34,B5&lt;=B35),C34,IF(AND(B5&gt;=B35,B5&lt;=B36),C35,IF(AND(B5&gt;=B36,B5&lt;=B37),C36,IF(OR(B5&gt;=B37,B5&lt;=B34),C37))))</f>
        <v>25</v>
      </c>
      <c r="D38" s="247">
        <f ca="1">IF(AND(B5&gt;=B34,B5&lt;=B35),D34,IF(AND(B5&gt;=B35,B5&lt;=B36),D35,IF(AND(B5&gt;=B36,B5&lt;=B37),D36,IF(OR(B5&gt;=B37,B5&lt;=B34),D37))))</f>
        <v>35</v>
      </c>
      <c r="E38" s="246">
        <f ca="1">IF(AND(B5&gt;=B34,B5&lt;=B35),E34,IF(AND(B5&gt;=B35,B5&lt;=B36),E35,IF(AND(B5&gt;=B36,B5&lt;=B37),E36,IF(OR(B5&gt;=B37,B5&lt;=B34),E37))))</f>
        <v>30</v>
      </c>
      <c r="F38" s="247">
        <f ca="1">IF(AND(B5&gt;=B34,B5&lt;=B35),F34,IF(AND(B5&gt;=B35,B5&lt;=B36),F35,IF(AND(B5&gt;=B36,B5&lt;=B37),F36,IF(OR(B5&gt;=B37,B5&lt;=B34),F37))))</f>
        <v>34</v>
      </c>
      <c r="I38" s="17"/>
      <c r="Z38" s="41" t="str">
        <f ca="1">IF(Z8="","",HLOOKUP(AA8,'64Quẻ'!D5:DW23,19,0))</f>
        <v>Dậu</v>
      </c>
      <c r="AA38" s="26">
        <v>1</v>
      </c>
      <c r="AB38" s="26"/>
      <c r="AC38" s="29" t="str">
        <f ca="1">IF(AC8="","",HLOOKUP(AD8,'64Quẻ'!DZ5:EC23,19,0))</f>
        <v/>
      </c>
      <c r="AD38" s="26">
        <v>1</v>
      </c>
      <c r="AE38" s="26"/>
      <c r="AF38" s="29" t="str">
        <f ca="1">IF(AF8="","",HLOOKUP(AG8,'64Quẻ'!ED5:EG23,19,0))</f>
        <v/>
      </c>
      <c r="AG38" s="26">
        <v>1</v>
      </c>
      <c r="AH38" s="26"/>
      <c r="AI38" s="29" t="str">
        <f ca="1">IF(AI8="","",HLOOKUP(AJ8,'64Quẻ'!EH5:EK23,19,0))</f>
        <v/>
      </c>
      <c r="AJ38" s="225">
        <v>1</v>
      </c>
      <c r="AK38" s="454"/>
      <c r="AP38" s="660">
        <f ca="1">IF(AND('Vận Năm'!B55="*",AP31=0),1,IF(AND('Vận Năm'!B55="*",AP31=1),0,AP31))</f>
        <v>0</v>
      </c>
      <c r="AQ38" s="661" t="str">
        <f ca="1">INDEX(E4:E15,MOD(AQ37,12)+1)</f>
        <v>Thìn</v>
      </c>
      <c r="AR38" s="495" t="str">
        <f ca="1">AP40&amp;AP41&amp;AP42</f>
        <v>101</v>
      </c>
      <c r="AV38" s="717"/>
      <c r="AW38" s="714"/>
      <c r="AY38" s="712"/>
      <c r="AZ38" s="714"/>
      <c r="BA38" s="212"/>
      <c r="BB38" s="736"/>
      <c r="BC38" s="730"/>
      <c r="BD38" s="730"/>
      <c r="BE38" s="120"/>
      <c r="BF38" s="19"/>
      <c r="BG38" s="729"/>
      <c r="BH38" s="17"/>
      <c r="BI38" s="14"/>
      <c r="BM38" s="729"/>
      <c r="BN38" s="731"/>
      <c r="BO38" s="707"/>
      <c r="BP38" s="721"/>
      <c r="BQ38" s="706"/>
      <c r="BR38" s="722"/>
      <c r="BW38" s="51"/>
      <c r="BX38" s="51"/>
      <c r="BY38" s="51"/>
      <c r="BZ38" s="51"/>
      <c r="CA38" s="51"/>
      <c r="CB38" s="51"/>
      <c r="CC38" s="52"/>
      <c r="CD38" s="159" t="s">
        <v>5021</v>
      </c>
      <c r="CE38" s="172" t="s">
        <v>1402</v>
      </c>
      <c r="CF38" s="173" t="s">
        <v>9301</v>
      </c>
      <c r="CG38" s="173" t="s">
        <v>353</v>
      </c>
      <c r="CH38" s="173" t="s">
        <v>1399</v>
      </c>
      <c r="CI38" s="173" t="s">
        <v>505</v>
      </c>
      <c r="CJ38" s="173" t="s">
        <v>9011</v>
      </c>
      <c r="CK38" s="173" t="s">
        <v>506</v>
      </c>
      <c r="CL38" s="173" t="s">
        <v>507</v>
      </c>
      <c r="CM38" s="173" t="s">
        <v>9297</v>
      </c>
      <c r="CN38" s="173" t="s">
        <v>9298</v>
      </c>
      <c r="CO38" s="173" t="s">
        <v>9299</v>
      </c>
      <c r="CP38" s="174" t="s">
        <v>9300</v>
      </c>
      <c r="CQ38" s="51"/>
      <c r="CR38" s="51"/>
      <c r="CS38" s="51"/>
      <c r="CT38" s="51"/>
      <c r="CU38" s="51"/>
      <c r="CV38" s="52"/>
      <c r="CW38" s="51"/>
      <c r="CX38" s="51"/>
      <c r="CY38" s="51"/>
      <c r="CZ38" s="151" t="s">
        <v>5022</v>
      </c>
      <c r="DA38" s="175" t="s">
        <v>9005</v>
      </c>
      <c r="DB38" s="175" t="s">
        <v>9007</v>
      </c>
      <c r="DC38" s="175" t="s">
        <v>9009</v>
      </c>
      <c r="DD38" s="175" t="s">
        <v>3733</v>
      </c>
      <c r="DE38" s="175" t="s">
        <v>3735</v>
      </c>
      <c r="DF38" s="175" t="s">
        <v>9005</v>
      </c>
      <c r="DG38" s="175" t="s">
        <v>9007</v>
      </c>
      <c r="DH38" s="175" t="s">
        <v>9009</v>
      </c>
      <c r="DI38" s="175" t="s">
        <v>3733</v>
      </c>
      <c r="DJ38" s="176" t="s">
        <v>3735</v>
      </c>
      <c r="DK38" s="51"/>
      <c r="DL38" s="51"/>
      <c r="DM38" s="51"/>
      <c r="DN38" s="51"/>
      <c r="DO38" s="51"/>
      <c r="DP38" s="51"/>
      <c r="DQ38" s="51"/>
      <c r="DR38" s="51"/>
      <c r="DS38" s="51"/>
      <c r="DT38" s="51"/>
      <c r="DU38" s="51"/>
      <c r="DV38" s="51"/>
      <c r="DW38" s="51"/>
      <c r="DX38" s="51"/>
      <c r="DY38" s="51"/>
      <c r="DZ38" s="51"/>
      <c r="EA38" s="51"/>
      <c r="EB38" s="51"/>
      <c r="EC38" s="51"/>
      <c r="ED38" s="51"/>
      <c r="EE38" s="51"/>
      <c r="EF38" s="51"/>
      <c r="EG38" s="51"/>
      <c r="EH38" s="51"/>
      <c r="EI38" s="51"/>
      <c r="EJ38" s="51"/>
      <c r="EK38" s="51"/>
      <c r="EL38" s="51"/>
      <c r="EM38" s="51"/>
      <c r="EN38" s="51"/>
      <c r="EO38" s="51"/>
      <c r="EP38" s="51"/>
      <c r="EQ38" s="51"/>
      <c r="ER38" s="51"/>
      <c r="ES38" s="51"/>
      <c r="ET38" s="51"/>
      <c r="EU38" s="51"/>
      <c r="EV38" s="51"/>
      <c r="EW38" s="51"/>
      <c r="EX38" s="51"/>
      <c r="EY38" s="51"/>
      <c r="EZ38" s="51"/>
      <c r="FA38" s="51"/>
      <c r="FB38" s="51"/>
      <c r="FC38" s="51"/>
      <c r="FD38" s="51"/>
      <c r="FE38" s="51"/>
      <c r="FF38" s="51"/>
      <c r="FG38" s="51"/>
      <c r="FH38" s="51"/>
      <c r="FI38" s="51"/>
      <c r="FJ38" s="51"/>
      <c r="FK38" s="51"/>
      <c r="FL38" s="51"/>
      <c r="FM38" s="51"/>
      <c r="FN38" s="51"/>
      <c r="FO38" s="51"/>
      <c r="FP38" s="51"/>
      <c r="FQ38" s="51"/>
      <c r="FR38" s="51"/>
      <c r="FS38" s="51"/>
      <c r="FT38" s="51"/>
      <c r="FU38" s="51"/>
      <c r="FV38" s="51"/>
      <c r="FW38" s="51"/>
      <c r="FX38" s="51"/>
      <c r="FY38" s="51"/>
      <c r="FZ38" s="51"/>
      <c r="GA38" s="51"/>
      <c r="GB38" s="51"/>
      <c r="GC38" s="51"/>
      <c r="GD38" s="51"/>
      <c r="GE38" s="51"/>
      <c r="GF38" s="51"/>
      <c r="GG38" s="51"/>
      <c r="GH38" s="51"/>
      <c r="GI38" s="51"/>
      <c r="GJ38" s="51"/>
      <c r="GK38" s="51"/>
      <c r="GL38" s="51"/>
      <c r="GM38" s="51"/>
      <c r="GN38" s="51"/>
      <c r="GO38" s="51"/>
      <c r="GP38" s="51"/>
      <c r="GQ38" s="51"/>
      <c r="GR38" s="51"/>
      <c r="GS38" s="51"/>
      <c r="GT38" s="51"/>
      <c r="GU38" s="51"/>
      <c r="GV38" s="51"/>
      <c r="GW38" s="51"/>
      <c r="GX38" s="51"/>
      <c r="GY38" s="51"/>
      <c r="GZ38" s="51"/>
      <c r="HA38" s="51"/>
      <c r="HB38" s="51"/>
      <c r="HC38" s="51"/>
      <c r="HD38" s="51"/>
      <c r="HE38" s="51"/>
      <c r="HF38" s="51"/>
      <c r="HG38" s="51"/>
      <c r="HH38" s="51"/>
      <c r="HI38" s="51"/>
      <c r="HJ38" s="51"/>
      <c r="HK38" s="51"/>
      <c r="HL38" s="51"/>
      <c r="HM38" s="51"/>
      <c r="HN38" s="51"/>
      <c r="HO38" s="51"/>
      <c r="HP38" s="51"/>
      <c r="HQ38" s="51"/>
      <c r="HR38" s="51"/>
      <c r="HS38" s="51"/>
      <c r="HT38" s="51"/>
      <c r="HU38" s="51"/>
      <c r="HV38" s="51"/>
      <c r="HW38" s="51"/>
      <c r="HX38" s="51"/>
      <c r="HY38" s="51"/>
      <c r="HZ38" s="51"/>
      <c r="IA38" s="51"/>
      <c r="IB38" s="51"/>
      <c r="IC38" s="51"/>
      <c r="ID38" s="51"/>
      <c r="IE38" s="51"/>
      <c r="IF38" s="51"/>
      <c r="IG38" s="51"/>
      <c r="IH38" s="51"/>
      <c r="II38" s="51"/>
      <c r="IJ38" s="51"/>
      <c r="IK38" s="51"/>
      <c r="IL38" s="51"/>
    </row>
    <row r="39" spans="1:246" ht="12.95" customHeight="1" thickBot="1">
      <c r="C39" s="602" t="str">
        <f ca="1">IF(AND(H23&gt;=C38,H23&lt;=D38),"Có, "&amp;H23,"")</f>
        <v/>
      </c>
      <c r="D39" s="589"/>
      <c r="E39" s="602" t="str">
        <f ca="1">IF(AND(I23&gt;=E38,I23&lt;=F38),"Có, "&amp;I23,"")</f>
        <v/>
      </c>
      <c r="F39" s="589"/>
      <c r="I39" s="17"/>
      <c r="O39" s="215"/>
      <c r="AJ39" s="213"/>
      <c r="AK39" s="454"/>
      <c r="AP39" s="660">
        <f ca="1">IF(AND('Vận Năm'!B56="*",AP32=0),1,IF(AND('Vận Năm'!B56="*",AP32=1),0,AP32))</f>
        <v>0</v>
      </c>
      <c r="AQ39" s="19" t="str">
        <f ca="1">HLOOKUP(AP43,'64Quẻ'!B4:DX5,2,0)</f>
        <v>M.Di</v>
      </c>
      <c r="AR39" s="495" t="str">
        <f ca="1">AP38&amp;AP39&amp;AP40</f>
        <v>001</v>
      </c>
      <c r="AV39" s="498"/>
      <c r="AW39" s="714"/>
      <c r="AY39" s="661"/>
      <c r="AZ39" s="714"/>
      <c r="BA39" s="212"/>
      <c r="BB39" s="736"/>
      <c r="BC39" s="730"/>
      <c r="BD39" s="730"/>
      <c r="BE39" s="120"/>
      <c r="BF39" s="19"/>
      <c r="BG39" s="729"/>
      <c r="BH39" s="17"/>
      <c r="BI39" s="14"/>
      <c r="BM39" s="729"/>
      <c r="BN39" s="731"/>
      <c r="BO39" s="707"/>
      <c r="BP39" s="721"/>
      <c r="BQ39" s="706"/>
      <c r="BR39" s="722"/>
      <c r="BW39" s="51"/>
      <c r="BX39" s="51"/>
      <c r="BY39" s="51"/>
      <c r="BZ39" s="51"/>
      <c r="CA39" s="51"/>
      <c r="CB39" s="51"/>
      <c r="CC39" s="52"/>
      <c r="CD39" s="159" t="s">
        <v>5023</v>
      </c>
      <c r="CE39" s="177" t="str">
        <f ca="1">HLOOKUP(CH33,DA36:DJ38,3,FALSE)</f>
        <v>Mậu</v>
      </c>
      <c r="CF39" s="178" t="str">
        <f t="shared" ref="CF39:CP39" ca="1" si="30">INDEX($CZ$34:$DS$34,1,MATCH(CE39,$CZ$34:$DS$34,0)+1)</f>
        <v>Kỷ</v>
      </c>
      <c r="CG39" s="178" t="str">
        <f t="shared" ca="1" si="30"/>
        <v>Canh</v>
      </c>
      <c r="CH39" s="178" t="str">
        <f t="shared" ca="1" si="30"/>
        <v>Tân</v>
      </c>
      <c r="CI39" s="178" t="str">
        <f t="shared" ca="1" si="30"/>
        <v>Nhâm</v>
      </c>
      <c r="CJ39" s="179" t="str">
        <f t="shared" ca="1" si="30"/>
        <v>Quý</v>
      </c>
      <c r="CK39" s="178" t="str">
        <f t="shared" ca="1" si="30"/>
        <v>Giáp</v>
      </c>
      <c r="CL39" s="178" t="str">
        <f t="shared" ca="1" si="30"/>
        <v>Ất</v>
      </c>
      <c r="CM39" s="178" t="str">
        <f t="shared" ca="1" si="30"/>
        <v>Bính</v>
      </c>
      <c r="CN39" s="178" t="str">
        <f t="shared" ca="1" si="30"/>
        <v>Đinh</v>
      </c>
      <c r="CO39" s="178" t="str">
        <f t="shared" ca="1" si="30"/>
        <v>Mậu</v>
      </c>
      <c r="CP39" s="180" t="str">
        <f t="shared" ca="1" si="30"/>
        <v>Kỷ</v>
      </c>
      <c r="CQ39" s="51"/>
      <c r="CR39" s="51"/>
      <c r="CS39" s="51"/>
      <c r="CT39" s="51"/>
      <c r="CU39" s="51"/>
      <c r="CV39" s="52"/>
      <c r="CW39" s="51"/>
      <c r="CX39" s="51"/>
      <c r="CY39" s="51"/>
      <c r="CZ39" s="51"/>
      <c r="DA39" s="51"/>
      <c r="DB39" s="51"/>
      <c r="DC39" s="51"/>
      <c r="DD39" s="51"/>
      <c r="DE39" s="51"/>
      <c r="DF39" s="51"/>
      <c r="DG39" s="51"/>
      <c r="DH39" s="51"/>
      <c r="DI39" s="51"/>
      <c r="DJ39" s="51"/>
      <c r="DK39" s="51"/>
      <c r="DL39" s="51"/>
      <c r="DM39" s="51"/>
      <c r="DN39" s="51"/>
      <c r="DO39" s="51"/>
      <c r="DP39" s="51"/>
      <c r="DQ39" s="51"/>
      <c r="DR39" s="51"/>
      <c r="DS39" s="51"/>
      <c r="DT39" s="51"/>
      <c r="DU39" s="51"/>
      <c r="DV39" s="51"/>
      <c r="DW39" s="51"/>
      <c r="DX39" s="51"/>
      <c r="DY39" s="51"/>
      <c r="DZ39" s="51"/>
      <c r="EA39" s="51"/>
      <c r="EB39" s="51"/>
      <c r="EC39" s="51"/>
      <c r="ED39" s="51"/>
      <c r="EE39" s="51"/>
      <c r="EF39" s="51"/>
      <c r="EG39" s="51"/>
      <c r="EH39" s="51"/>
      <c r="EI39" s="51"/>
      <c r="EJ39" s="51"/>
      <c r="EK39" s="51"/>
      <c r="EL39" s="51"/>
      <c r="EM39" s="51"/>
      <c r="EN39" s="51"/>
      <c r="EO39" s="51"/>
      <c r="EP39" s="51"/>
      <c r="EQ39" s="51"/>
      <c r="ER39" s="51"/>
      <c r="ES39" s="51"/>
      <c r="ET39" s="51"/>
      <c r="EU39" s="51"/>
      <c r="EV39" s="51"/>
      <c r="EW39" s="51"/>
      <c r="EX39" s="51"/>
      <c r="EY39" s="51"/>
      <c r="EZ39" s="51"/>
      <c r="FA39" s="51"/>
      <c r="FB39" s="51"/>
      <c r="FC39" s="51"/>
      <c r="FD39" s="51"/>
      <c r="FE39" s="51"/>
      <c r="FF39" s="51"/>
      <c r="FG39" s="51"/>
      <c r="FH39" s="51"/>
      <c r="FI39" s="51"/>
      <c r="FJ39" s="51"/>
      <c r="FK39" s="51"/>
      <c r="FL39" s="51"/>
      <c r="FM39" s="51"/>
      <c r="FN39" s="51"/>
      <c r="FO39" s="51"/>
      <c r="FP39" s="51"/>
      <c r="FQ39" s="51"/>
      <c r="FR39" s="51"/>
      <c r="FS39" s="51"/>
      <c r="FT39" s="51"/>
      <c r="FU39" s="51"/>
      <c r="FV39" s="51"/>
      <c r="FW39" s="51"/>
      <c r="FX39" s="51"/>
      <c r="FY39" s="51"/>
      <c r="FZ39" s="51"/>
      <c r="GA39" s="51"/>
      <c r="GB39" s="51"/>
      <c r="GC39" s="51"/>
      <c r="GD39" s="51"/>
      <c r="GE39" s="51"/>
      <c r="GF39" s="51"/>
      <c r="GG39" s="51"/>
      <c r="GH39" s="51"/>
      <c r="GI39" s="51"/>
      <c r="GJ39" s="51"/>
      <c r="GK39" s="51"/>
      <c r="GL39" s="51"/>
      <c r="GM39" s="51"/>
      <c r="GN39" s="51"/>
      <c r="GO39" s="51"/>
      <c r="GP39" s="51"/>
      <c r="GQ39" s="51"/>
      <c r="GR39" s="51"/>
      <c r="GS39" s="51"/>
      <c r="GT39" s="51"/>
      <c r="GU39" s="51"/>
      <c r="GV39" s="51"/>
      <c r="GW39" s="51"/>
      <c r="GX39" s="51"/>
      <c r="GY39" s="51"/>
      <c r="GZ39" s="51"/>
      <c r="HA39" s="51"/>
      <c r="HB39" s="51"/>
      <c r="HC39" s="51"/>
      <c r="HD39" s="51"/>
      <c r="HE39" s="51"/>
      <c r="HF39" s="51"/>
      <c r="HG39" s="51"/>
      <c r="HH39" s="51"/>
      <c r="HI39" s="51"/>
      <c r="HJ39" s="51"/>
      <c r="HK39" s="51"/>
      <c r="HL39" s="51"/>
      <c r="HM39" s="51"/>
      <c r="HN39" s="51"/>
      <c r="HO39" s="51"/>
      <c r="HP39" s="51"/>
      <c r="HQ39" s="51"/>
      <c r="HR39" s="51"/>
      <c r="HS39" s="51"/>
      <c r="HT39" s="51"/>
      <c r="HU39" s="51"/>
      <c r="HV39" s="51"/>
      <c r="HW39" s="51"/>
      <c r="HX39" s="51"/>
      <c r="HY39" s="51"/>
      <c r="HZ39" s="51"/>
      <c r="IA39" s="51"/>
      <c r="IB39" s="51"/>
      <c r="IC39" s="51"/>
      <c r="ID39" s="51"/>
      <c r="IE39" s="51"/>
      <c r="IF39" s="51"/>
      <c r="IG39" s="51"/>
      <c r="IH39" s="51"/>
      <c r="II39" s="51"/>
      <c r="IJ39" s="51"/>
      <c r="IK39" s="51"/>
      <c r="IL39" s="51"/>
    </row>
    <row r="40" spans="1:246" ht="12.95" customHeight="1" thickTop="1" thickBot="1">
      <c r="C40" s="14"/>
      <c r="D40" s="9"/>
      <c r="E40" s="14"/>
      <c r="I40" s="17"/>
      <c r="O40" s="215"/>
      <c r="Z40" s="36" t="s">
        <v>3789</v>
      </c>
      <c r="AA40" s="407">
        <f ca="1">IF(I27="","",IF(Z7&lt;&gt;"",Z7,IF(AC7&lt;&gt;"",AC7,IF(AF7&lt;&gt;"",AF7,IF(AI7&lt;&gt;"",AI7,"")))))</f>
        <v>5</v>
      </c>
      <c r="AB40" s="323">
        <f ca="1">VLOOKUP(AA40,J23:K28,2,0)</f>
        <v>1</v>
      </c>
      <c r="AC40" s="17" t="str">
        <f ca="1">IF(AB40=1," dg"," âm")</f>
        <v xml:space="preserve"> dg</v>
      </c>
      <c r="AH40" s="323"/>
      <c r="AJ40" s="213"/>
      <c r="AK40" s="454"/>
      <c r="AP40" s="660">
        <f ca="1">IF(AND('Vận Năm'!B57="*",AP33=0),1,IF(AND('Vận Năm'!B57="*",AP33=1),0,AP33))</f>
        <v>1</v>
      </c>
      <c r="AQ40" s="216">
        <f ca="1">IF('Vận Năm'!B59="*",1,IF('Vận Năm'!B58="*",2,IF('Vận Năm'!B57="*",3,IF('Vận Năm'!B56="*",4,IF('Vận Năm'!B55="*",5,IF('Vận Năm'!B54="*",6,""))))))</f>
        <v>1</v>
      </c>
      <c r="AR40" s="495" t="str">
        <f ca="1">AP39&amp;AP40&amp;AP41</f>
        <v>010</v>
      </c>
      <c r="AV40" s="498"/>
      <c r="AW40" s="714"/>
      <c r="AY40" s="661"/>
      <c r="AZ40" s="714"/>
      <c r="BA40" s="212"/>
      <c r="BE40" s="734"/>
      <c r="BF40" s="735"/>
      <c r="BG40" s="461"/>
      <c r="BH40" s="461"/>
      <c r="BI40" s="461"/>
      <c r="BM40" s="729"/>
      <c r="BN40" s="731"/>
      <c r="BO40" s="707"/>
      <c r="BP40" s="247"/>
      <c r="BQ40" s="727"/>
      <c r="BR40" s="722"/>
      <c r="BW40" s="51"/>
      <c r="BX40" s="51"/>
      <c r="BY40" s="51"/>
      <c r="BZ40" s="51"/>
      <c r="CA40" s="51"/>
      <c r="CB40" s="51"/>
      <c r="CC40" s="52"/>
      <c r="CD40" s="159"/>
      <c r="CE40" s="51"/>
      <c r="CF40" s="51"/>
      <c r="CG40" s="51"/>
      <c r="CH40" s="51"/>
      <c r="CI40" s="51"/>
      <c r="CJ40" s="51"/>
      <c r="CK40" s="51"/>
      <c r="CL40" s="51"/>
      <c r="CM40" s="51"/>
      <c r="CN40" s="51"/>
      <c r="CO40" s="51"/>
      <c r="CP40" s="51"/>
      <c r="CQ40" s="51"/>
      <c r="CR40" s="51"/>
      <c r="CS40" s="51"/>
      <c r="CT40" s="51"/>
      <c r="CU40" s="51"/>
      <c r="CV40" s="52"/>
      <c r="CW40" s="51"/>
      <c r="CX40" s="51"/>
      <c r="CY40" s="51"/>
      <c r="CZ40" s="181" t="s">
        <v>5024</v>
      </c>
      <c r="DA40" s="182"/>
      <c r="DB40" s="182"/>
      <c r="DC40" s="182"/>
      <c r="DD40" s="182"/>
      <c r="DE40" s="182"/>
      <c r="DF40" s="182"/>
      <c r="DG40" s="182"/>
      <c r="DH40" s="182"/>
      <c r="DI40" s="182"/>
      <c r="DJ40" s="182"/>
      <c r="DK40" s="182"/>
      <c r="DL40" s="51"/>
      <c r="DM40" s="51"/>
      <c r="DN40" s="51"/>
      <c r="DO40" s="51"/>
      <c r="DP40" s="51"/>
      <c r="DQ40" s="51"/>
      <c r="DR40" s="51"/>
      <c r="DS40" s="51"/>
      <c r="DT40" s="51"/>
      <c r="DU40" s="51"/>
      <c r="DV40" s="51"/>
      <c r="DW40" s="51"/>
      <c r="DX40" s="51"/>
      <c r="DY40" s="51"/>
      <c r="DZ40" s="51"/>
      <c r="EA40" s="51"/>
      <c r="EB40" s="51"/>
      <c r="EC40" s="51"/>
      <c r="ED40" s="51"/>
      <c r="EE40" s="51"/>
      <c r="EF40" s="51"/>
      <c r="EG40" s="51"/>
      <c r="EH40" s="51"/>
      <c r="EI40" s="51"/>
      <c r="EJ40" s="51"/>
      <c r="EK40" s="51"/>
      <c r="EL40" s="51"/>
      <c r="EM40" s="51"/>
      <c r="EN40" s="51"/>
      <c r="EO40" s="51"/>
      <c r="EP40" s="51"/>
      <c r="EQ40" s="51"/>
      <c r="ER40" s="51"/>
      <c r="ES40" s="51"/>
      <c r="ET40" s="51"/>
      <c r="EU40" s="51"/>
      <c r="EV40" s="51"/>
      <c r="EW40" s="51"/>
      <c r="EX40" s="51"/>
      <c r="EY40" s="51"/>
      <c r="EZ40" s="51"/>
      <c r="FA40" s="51"/>
      <c r="FB40" s="51"/>
      <c r="FC40" s="51"/>
      <c r="FD40" s="51"/>
      <c r="FE40" s="51"/>
      <c r="FF40" s="51"/>
      <c r="FG40" s="51"/>
      <c r="FH40" s="51"/>
      <c r="FI40" s="51"/>
      <c r="FJ40" s="51"/>
      <c r="FK40" s="51"/>
      <c r="FL40" s="51"/>
      <c r="FM40" s="51"/>
      <c r="FN40" s="51"/>
      <c r="FO40" s="51"/>
      <c r="FP40" s="51"/>
      <c r="FQ40" s="51"/>
      <c r="FR40" s="51"/>
      <c r="FS40" s="51"/>
      <c r="FT40" s="51"/>
      <c r="FU40" s="51"/>
      <c r="FV40" s="51"/>
      <c r="FW40" s="51"/>
      <c r="FX40" s="51"/>
      <c r="FY40" s="51"/>
      <c r="FZ40" s="51"/>
      <c r="GA40" s="51"/>
      <c r="GB40" s="51"/>
      <c r="GC40" s="51"/>
      <c r="GD40" s="51"/>
      <c r="GE40" s="51"/>
      <c r="GF40" s="51"/>
      <c r="GG40" s="51"/>
      <c r="GH40" s="51"/>
      <c r="GI40" s="51"/>
      <c r="GJ40" s="51"/>
      <c r="GK40" s="51"/>
      <c r="GL40" s="51"/>
      <c r="GM40" s="51"/>
      <c r="GN40" s="51"/>
      <c r="GO40" s="51"/>
      <c r="GP40" s="51"/>
      <c r="GQ40" s="51"/>
      <c r="GR40" s="51"/>
      <c r="GS40" s="51"/>
      <c r="GT40" s="51"/>
      <c r="GU40" s="51"/>
      <c r="GV40" s="51"/>
      <c r="GW40" s="51"/>
      <c r="GX40" s="51"/>
      <c r="GY40" s="51"/>
      <c r="GZ40" s="51"/>
      <c r="HA40" s="51"/>
      <c r="HB40" s="51"/>
      <c r="HC40" s="51"/>
      <c r="HD40" s="51"/>
      <c r="HE40" s="51"/>
      <c r="HF40" s="51"/>
      <c r="HG40" s="51"/>
      <c r="HH40" s="51"/>
      <c r="HI40" s="51"/>
      <c r="HJ40" s="51"/>
      <c r="HK40" s="51"/>
      <c r="HL40" s="51"/>
      <c r="HM40" s="51"/>
      <c r="HN40" s="51"/>
      <c r="HO40" s="51"/>
      <c r="HP40" s="51"/>
      <c r="HQ40" s="51"/>
      <c r="HR40" s="51"/>
      <c r="HS40" s="51"/>
      <c r="HT40" s="51"/>
      <c r="HU40" s="51"/>
      <c r="HV40" s="51"/>
      <c r="HW40" s="51"/>
      <c r="HX40" s="51"/>
      <c r="HY40" s="51"/>
      <c r="HZ40" s="51"/>
      <c r="IA40" s="51"/>
      <c r="IB40" s="51"/>
      <c r="IC40" s="51"/>
      <c r="ID40" s="51"/>
      <c r="IE40" s="51"/>
      <c r="IF40" s="51"/>
      <c r="IG40" s="51"/>
      <c r="IH40" s="51"/>
      <c r="II40" s="51"/>
      <c r="IJ40" s="51"/>
      <c r="IK40" s="51"/>
      <c r="IL40" s="51"/>
    </row>
    <row r="41" spans="1:246" ht="12.95" customHeight="1" thickTop="1">
      <c r="B41" s="588" t="s">
        <v>7343</v>
      </c>
      <c r="C41" s="14"/>
      <c r="D41" s="9"/>
      <c r="I41" s="17"/>
      <c r="O41" s="214"/>
      <c r="P41" s="487"/>
      <c r="Q41" s="487"/>
      <c r="Z41" s="36" t="s">
        <v>2729</v>
      </c>
      <c r="AA41" s="18">
        <f ca="1">IF(MOD(AA40+3,6)=0,6,MOD(AA40+3,6))</f>
        <v>2</v>
      </c>
      <c r="AB41" s="9">
        <f ca="1">VLOOKUP(AA41,J23:K28,2,0)</f>
        <v>0</v>
      </c>
      <c r="AC41" s="17" t="str">
        <f ca="1">IF(AB41=1," dg"," âm")</f>
        <v xml:space="preserve"> âm</v>
      </c>
      <c r="AJ41" s="213"/>
      <c r="AK41" s="454"/>
      <c r="AP41" s="660">
        <f ca="1">IF(AND('Vận Năm'!B58="*",AP34=0),1,IF(AND('Vận Năm'!B58="*",AP34=1),0,AP34))</f>
        <v>0</v>
      </c>
      <c r="AQ41" s="662"/>
      <c r="AR41" s="663" t="str">
        <f ca="1">IF(OR(AU3=AR37,AU3=AR38,AU3=AR39,AU3=AR40),"TNK","")</f>
        <v/>
      </c>
      <c r="AV41" s="728"/>
      <c r="AW41" s="714"/>
      <c r="AY41" s="721"/>
      <c r="AZ41" s="714"/>
      <c r="BA41" s="212"/>
      <c r="BE41" s="120"/>
      <c r="BF41" s="212"/>
      <c r="BG41" s="729"/>
      <c r="BH41" s="17"/>
      <c r="BI41" s="14"/>
      <c r="BM41" s="729"/>
      <c r="BN41" s="731"/>
      <c r="BO41" s="707"/>
      <c r="BQ41" s="706"/>
      <c r="BR41" s="212"/>
      <c r="BW41" s="175"/>
      <c r="BX41" s="175"/>
      <c r="BY41" s="175"/>
      <c r="BZ41" s="175"/>
      <c r="CA41" s="175"/>
      <c r="CB41" s="175"/>
      <c r="CC41" s="151"/>
      <c r="CD41" s="207"/>
      <c r="CE41" s="175"/>
      <c r="CF41" s="175"/>
      <c r="CG41" s="175"/>
      <c r="CH41" s="175"/>
      <c r="CI41" s="175"/>
      <c r="CJ41" s="175"/>
      <c r="CK41" s="175"/>
      <c r="CL41" s="175"/>
      <c r="CM41" s="175"/>
      <c r="CN41" s="175"/>
      <c r="CO41" s="175"/>
      <c r="CP41" s="175"/>
      <c r="CQ41" s="175"/>
      <c r="CR41" s="175"/>
      <c r="CS41" s="175"/>
      <c r="CT41" s="175"/>
      <c r="CU41" s="176"/>
      <c r="CV41" s="52"/>
      <c r="CW41" s="51"/>
      <c r="CX41" s="51"/>
      <c r="CY41" s="51"/>
      <c r="CZ41" s="183">
        <v>0</v>
      </c>
      <c r="DA41" s="184">
        <v>1</v>
      </c>
      <c r="DB41" s="185">
        <v>3</v>
      </c>
      <c r="DC41" s="184">
        <v>5</v>
      </c>
      <c r="DD41" s="184">
        <v>7</v>
      </c>
      <c r="DE41" s="184">
        <v>9</v>
      </c>
      <c r="DF41" s="184">
        <v>11</v>
      </c>
      <c r="DG41" s="184">
        <v>13</v>
      </c>
      <c r="DH41" s="184">
        <v>15</v>
      </c>
      <c r="DI41" s="184">
        <v>17</v>
      </c>
      <c r="DJ41" s="184">
        <v>19</v>
      </c>
      <c r="DK41" s="184">
        <v>21</v>
      </c>
      <c r="DL41" s="186">
        <v>23</v>
      </c>
      <c r="DM41" s="51"/>
      <c r="DN41" s="51"/>
      <c r="DO41" s="51"/>
      <c r="DP41" s="51"/>
      <c r="DQ41" s="51"/>
      <c r="DR41" s="51"/>
      <c r="DS41" s="51"/>
      <c r="DT41" s="51"/>
      <c r="DU41" s="51"/>
      <c r="DV41" s="51"/>
      <c r="DW41" s="51"/>
      <c r="DX41" s="51"/>
      <c r="DY41" s="51"/>
      <c r="DZ41" s="51"/>
      <c r="EA41" s="51"/>
      <c r="EB41" s="51"/>
      <c r="EC41" s="51"/>
      <c r="ED41" s="51"/>
      <c r="EE41" s="51"/>
      <c r="EF41" s="51"/>
      <c r="EG41" s="51"/>
      <c r="EH41" s="51"/>
      <c r="EI41" s="51"/>
      <c r="EJ41" s="51"/>
      <c r="EK41" s="51"/>
      <c r="EL41" s="51"/>
      <c r="EM41" s="51"/>
      <c r="EN41" s="51"/>
      <c r="EO41" s="51"/>
      <c r="EP41" s="51"/>
      <c r="EQ41" s="51"/>
      <c r="ER41" s="51"/>
      <c r="ES41" s="51"/>
      <c r="ET41" s="51"/>
      <c r="EU41" s="51"/>
      <c r="EV41" s="51"/>
      <c r="EW41" s="51"/>
      <c r="EX41" s="51"/>
      <c r="EY41" s="51"/>
      <c r="EZ41" s="51"/>
      <c r="FA41" s="51"/>
      <c r="FB41" s="51"/>
      <c r="FC41" s="51"/>
      <c r="FD41" s="51"/>
      <c r="FE41" s="51"/>
      <c r="FF41" s="51"/>
      <c r="FG41" s="51"/>
      <c r="FH41" s="51"/>
      <c r="FI41" s="51"/>
      <c r="FJ41" s="51"/>
      <c r="FK41" s="51"/>
      <c r="FL41" s="51"/>
      <c r="FM41" s="51"/>
      <c r="FN41" s="51"/>
      <c r="FO41" s="51"/>
      <c r="FP41" s="51"/>
      <c r="FQ41" s="51"/>
      <c r="FR41" s="51"/>
      <c r="FS41" s="51"/>
      <c r="FT41" s="51"/>
      <c r="FU41" s="51"/>
      <c r="FV41" s="51"/>
      <c r="FW41" s="51"/>
      <c r="FX41" s="51"/>
      <c r="FY41" s="51"/>
      <c r="FZ41" s="51"/>
      <c r="GA41" s="51"/>
      <c r="GB41" s="51"/>
      <c r="GC41" s="51"/>
      <c r="GD41" s="51"/>
      <c r="GE41" s="51"/>
      <c r="GF41" s="51"/>
      <c r="GG41" s="51"/>
      <c r="GH41" s="51"/>
      <c r="GI41" s="51"/>
      <c r="GJ41" s="51"/>
      <c r="GK41" s="51"/>
      <c r="GL41" s="51"/>
      <c r="GM41" s="51"/>
      <c r="GN41" s="51"/>
      <c r="GO41" s="51"/>
      <c r="GP41" s="51"/>
      <c r="GQ41" s="51"/>
      <c r="GR41" s="51"/>
      <c r="GS41" s="51"/>
      <c r="GT41" s="51"/>
      <c r="GU41" s="51"/>
      <c r="GV41" s="51"/>
      <c r="GW41" s="51"/>
      <c r="GX41" s="51"/>
      <c r="GY41" s="51"/>
      <c r="GZ41" s="51"/>
      <c r="HA41" s="51"/>
      <c r="HB41" s="51"/>
      <c r="HC41" s="51"/>
      <c r="HD41" s="51"/>
      <c r="HE41" s="51"/>
      <c r="HF41" s="51"/>
      <c r="HG41" s="51"/>
      <c r="HH41" s="51"/>
      <c r="HI41" s="51"/>
      <c r="HJ41" s="51"/>
      <c r="HK41" s="51"/>
      <c r="HL41" s="51"/>
      <c r="HM41" s="51"/>
      <c r="HN41" s="51"/>
      <c r="HO41" s="51"/>
      <c r="HP41" s="51"/>
      <c r="HQ41" s="51"/>
      <c r="HR41" s="51"/>
      <c r="HS41" s="51"/>
      <c r="HT41" s="51"/>
      <c r="HU41" s="51"/>
      <c r="HV41" s="51"/>
      <c r="HW41" s="51"/>
      <c r="HX41" s="51"/>
      <c r="HY41" s="51"/>
      <c r="HZ41" s="51"/>
      <c r="IA41" s="51"/>
      <c r="IB41" s="51"/>
      <c r="IC41" s="51"/>
      <c r="ID41" s="51"/>
      <c r="IE41" s="51"/>
      <c r="IF41" s="51"/>
      <c r="IG41" s="51"/>
      <c r="IH41" s="51"/>
      <c r="II41" s="51"/>
      <c r="IJ41" s="51"/>
      <c r="IK41" s="51"/>
      <c r="IL41" s="51"/>
    </row>
    <row r="42" spans="1:246" ht="12.95" customHeight="1" thickBot="1">
      <c r="B42" s="567" t="s">
        <v>5934</v>
      </c>
      <c r="C42" s="212" t="s">
        <v>506</v>
      </c>
      <c r="D42" s="10"/>
      <c r="E42" s="10" t="s">
        <v>614</v>
      </c>
      <c r="I42" s="17"/>
      <c r="P42" s="215"/>
      <c r="Q42" s="2"/>
      <c r="Z42" s="33" t="s">
        <v>2728</v>
      </c>
      <c r="AA42" s="679" t="str">
        <f ca="1">IF(VLOOKUP(AA40,J23:K28,2,0)=VLOOKUP(AA41,J23:K28,2,0),"","Có, hào "&amp;AA41&amp;AC41&amp;".")</f>
        <v>Có, hào 2 âm.</v>
      </c>
      <c r="AJ42" s="213"/>
      <c r="AK42" s="454"/>
      <c r="AP42" s="660">
        <f ca="1">IF(AND('Vận Năm'!B59="*",AP35=0),1,IF(AND('Vận Năm'!B59="*",AP35=1),0,AP35))</f>
        <v>1</v>
      </c>
      <c r="AQ42" s="662"/>
      <c r="AR42" s="663" t="str">
        <f ca="1">IF(OR(AU4=AR37,AU4=AR38,AU4=AR39,AU4=AR40),"ĐNK","")</f>
        <v>ĐNK</v>
      </c>
      <c r="AV42" s="728"/>
      <c r="AW42" s="714"/>
      <c r="AY42" s="721"/>
      <c r="AZ42" s="714"/>
      <c r="BA42" s="212"/>
      <c r="BE42" s="120"/>
      <c r="BF42" s="212"/>
      <c r="BG42" s="729"/>
      <c r="BH42" s="17"/>
      <c r="BI42" s="14"/>
      <c r="BM42" s="729"/>
      <c r="BN42" s="731"/>
      <c r="BO42" s="707"/>
      <c r="BP42" s="712"/>
      <c r="BQ42" s="706"/>
      <c r="BR42" s="212"/>
      <c r="BW42" s="51"/>
      <c r="BX42" s="51"/>
      <c r="BY42" s="51"/>
      <c r="BZ42" s="51"/>
      <c r="CA42" s="51"/>
      <c r="CB42" s="51"/>
      <c r="CC42" s="52"/>
      <c r="CD42" s="159"/>
      <c r="CE42" s="51"/>
      <c r="CF42" s="51"/>
      <c r="CG42" s="51"/>
      <c r="CH42" s="51"/>
      <c r="CI42" s="51"/>
      <c r="CJ42" s="51"/>
      <c r="CK42" s="51"/>
      <c r="CL42" s="51"/>
      <c r="CM42" s="51"/>
      <c r="CN42" s="51"/>
      <c r="CO42" s="51"/>
      <c r="CP42" s="51"/>
      <c r="CQ42" s="51"/>
      <c r="CR42" s="51"/>
      <c r="CS42" s="51"/>
      <c r="CT42" s="51"/>
      <c r="CU42" s="51"/>
      <c r="CV42" s="52"/>
      <c r="CW42" s="51"/>
      <c r="CX42" s="51"/>
      <c r="CY42" s="51"/>
      <c r="CZ42" s="187" t="s">
        <v>1402</v>
      </c>
      <c r="DA42" s="188" t="s">
        <v>9301</v>
      </c>
      <c r="DB42" s="188" t="s">
        <v>353</v>
      </c>
      <c r="DC42" s="188" t="s">
        <v>1399</v>
      </c>
      <c r="DD42" s="188" t="s">
        <v>505</v>
      </c>
      <c r="DE42" s="188" t="s">
        <v>9011</v>
      </c>
      <c r="DF42" s="188" t="s">
        <v>506</v>
      </c>
      <c r="DG42" s="188" t="s">
        <v>507</v>
      </c>
      <c r="DH42" s="188" t="s">
        <v>9297</v>
      </c>
      <c r="DI42" s="188" t="s">
        <v>9298</v>
      </c>
      <c r="DJ42" s="188" t="s">
        <v>9299</v>
      </c>
      <c r="DK42" s="188" t="s">
        <v>9300</v>
      </c>
      <c r="DL42" s="189" t="s">
        <v>1402</v>
      </c>
      <c r="DM42" s="51"/>
      <c r="DN42" s="51"/>
      <c r="DO42" s="51"/>
      <c r="DP42" s="51"/>
      <c r="DQ42" s="51"/>
      <c r="DR42" s="51"/>
      <c r="DS42" s="51"/>
      <c r="DT42" s="51"/>
      <c r="DU42" s="51"/>
      <c r="DV42" s="51"/>
      <c r="DW42" s="51"/>
      <c r="DX42" s="51"/>
      <c r="DY42" s="51"/>
      <c r="DZ42" s="51"/>
      <c r="EA42" s="51"/>
      <c r="EB42" s="51"/>
      <c r="EC42" s="51"/>
      <c r="ED42" s="51"/>
      <c r="EE42" s="51"/>
      <c r="EF42" s="51"/>
      <c r="EG42" s="51"/>
      <c r="EH42" s="51"/>
      <c r="EI42" s="51"/>
      <c r="EJ42" s="51"/>
      <c r="EK42" s="51"/>
      <c r="EL42" s="51"/>
      <c r="EM42" s="51"/>
      <c r="EN42" s="51"/>
      <c r="EO42" s="51"/>
      <c r="EP42" s="51"/>
      <c r="EQ42" s="51"/>
      <c r="ER42" s="51"/>
      <c r="ES42" s="51"/>
      <c r="ET42" s="51"/>
      <c r="EU42" s="51"/>
      <c r="EV42" s="51"/>
      <c r="EW42" s="51"/>
      <c r="EX42" s="51"/>
      <c r="EY42" s="51"/>
      <c r="EZ42" s="51"/>
      <c r="FA42" s="51"/>
      <c r="FB42" s="51"/>
      <c r="FC42" s="51"/>
      <c r="FD42" s="51"/>
      <c r="FE42" s="51"/>
      <c r="FF42" s="51"/>
      <c r="FG42" s="51"/>
      <c r="FH42" s="51"/>
      <c r="FI42" s="51"/>
      <c r="FJ42" s="51"/>
      <c r="FK42" s="51"/>
      <c r="FL42" s="51"/>
      <c r="FM42" s="51"/>
      <c r="FN42" s="51"/>
      <c r="FO42" s="51"/>
      <c r="FP42" s="51"/>
      <c r="FQ42" s="51"/>
      <c r="FR42" s="51"/>
      <c r="FS42" s="51"/>
      <c r="FT42" s="51"/>
      <c r="FU42" s="51"/>
      <c r="FV42" s="51"/>
      <c r="FW42" s="51"/>
      <c r="FX42" s="51"/>
      <c r="FY42" s="51"/>
      <c r="FZ42" s="51"/>
      <c r="GA42" s="51"/>
      <c r="GB42" s="51"/>
      <c r="GC42" s="51"/>
      <c r="GD42" s="51"/>
      <c r="GE42" s="51"/>
      <c r="GF42" s="51"/>
      <c r="GG42" s="51"/>
      <c r="GH42" s="51"/>
      <c r="GI42" s="51"/>
      <c r="GJ42" s="51"/>
      <c r="GK42" s="51"/>
      <c r="GL42" s="51"/>
      <c r="GM42" s="51"/>
      <c r="GN42" s="51"/>
      <c r="GO42" s="51"/>
      <c r="GP42" s="51"/>
      <c r="GQ42" s="51"/>
      <c r="GR42" s="51"/>
      <c r="GS42" s="51"/>
      <c r="GT42" s="51"/>
      <c r="GU42" s="51"/>
      <c r="GV42" s="51"/>
      <c r="GW42" s="51"/>
      <c r="GX42" s="51"/>
      <c r="GY42" s="51"/>
      <c r="GZ42" s="51"/>
      <c r="HA42" s="51"/>
      <c r="HB42" s="51"/>
      <c r="HC42" s="51"/>
      <c r="HD42" s="51"/>
      <c r="HE42" s="51"/>
      <c r="HF42" s="51"/>
      <c r="HG42" s="51"/>
      <c r="HH42" s="51"/>
      <c r="HI42" s="51"/>
      <c r="HJ42" s="51"/>
      <c r="HK42" s="51"/>
      <c r="HL42" s="51"/>
      <c r="HM42" s="51"/>
      <c r="HN42" s="51"/>
      <c r="HO42" s="51"/>
      <c r="HP42" s="51"/>
      <c r="HQ42" s="51"/>
      <c r="HR42" s="51"/>
      <c r="HS42" s="51"/>
      <c r="HT42" s="51"/>
      <c r="HU42" s="51"/>
      <c r="HV42" s="51"/>
      <c r="HW42" s="51"/>
      <c r="HX42" s="51"/>
      <c r="HY42" s="51"/>
      <c r="HZ42" s="51"/>
      <c r="IA42" s="51"/>
      <c r="IB42" s="51"/>
      <c r="IC42" s="51"/>
      <c r="ID42" s="51"/>
      <c r="IE42" s="51"/>
      <c r="IF42" s="51"/>
      <c r="IG42" s="51"/>
      <c r="IH42" s="51"/>
      <c r="II42" s="51"/>
      <c r="IJ42" s="51"/>
      <c r="IK42" s="51"/>
      <c r="IL42" s="51"/>
    </row>
    <row r="43" spans="1:246" ht="12.95" customHeight="1" thickTop="1" thickBot="1">
      <c r="B43" s="567" t="s">
        <v>9014</v>
      </c>
      <c r="C43" s="212" t="s">
        <v>353</v>
      </c>
      <c r="D43" s="10" t="s">
        <v>9299</v>
      </c>
      <c r="E43" s="10" t="s">
        <v>5163</v>
      </c>
      <c r="F43" s="14"/>
      <c r="I43" s="17"/>
      <c r="P43" s="486"/>
      <c r="Q43" s="486"/>
      <c r="Z43" s="10">
        <v>1</v>
      </c>
      <c r="AA43" s="10" t="s">
        <v>606</v>
      </c>
      <c r="AJ43" s="213"/>
      <c r="AK43" s="454"/>
      <c r="AP43" s="664" t="str">
        <f ca="1">AP37&amp;AP38&amp;AP39&amp;AP40&amp;AP41&amp;AP42</f>
        <v>000101</v>
      </c>
      <c r="AQ43" s="665"/>
      <c r="AR43" s="666" t="str">
        <f ca="1">IF(OR(AU5=AR37,AU5=AR38,AU5=AR39,AU5=AR40),"HC","")</f>
        <v>HC</v>
      </c>
      <c r="AV43" s="732"/>
      <c r="AW43" s="733"/>
      <c r="AY43" s="247"/>
      <c r="AZ43" s="733"/>
      <c r="BA43" s="212"/>
      <c r="BE43" s="120"/>
      <c r="BF43" s="212"/>
      <c r="BG43" s="729"/>
      <c r="BH43" s="17"/>
      <c r="BI43" s="14"/>
      <c r="BM43" s="740"/>
      <c r="BN43" s="731"/>
      <c r="BO43" s="707"/>
      <c r="BP43" s="661"/>
      <c r="BQ43" s="706"/>
      <c r="BR43" s="212"/>
      <c r="BW43" s="988" t="s">
        <v>445</v>
      </c>
      <c r="BX43" s="988"/>
      <c r="BY43" s="988"/>
      <c r="BZ43" s="988"/>
      <c r="CA43" s="988"/>
      <c r="CB43" s="51"/>
      <c r="CC43" s="52"/>
      <c r="CD43" s="57" t="s">
        <v>2687</v>
      </c>
      <c r="CE43" s="58" t="s">
        <v>2688</v>
      </c>
      <c r="CF43" s="59">
        <f>CY4</f>
        <v>366</v>
      </c>
      <c r="CG43" s="993" t="s">
        <v>2689</v>
      </c>
      <c r="CH43" s="993"/>
      <c r="CI43" s="994"/>
      <c r="CJ43" s="55"/>
      <c r="CK43" s="55"/>
      <c r="CL43" s="55"/>
      <c r="CM43" s="55"/>
      <c r="CN43" s="55"/>
      <c r="CO43" s="55"/>
      <c r="CP43" s="55"/>
      <c r="CQ43" s="55"/>
      <c r="CR43" s="55"/>
      <c r="CS43" s="55"/>
      <c r="CT43" s="55"/>
      <c r="CU43" s="55"/>
      <c r="CV43" s="52"/>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c r="HG43" s="51"/>
      <c r="HH43" s="51"/>
      <c r="HI43" s="51"/>
      <c r="HJ43" s="51"/>
      <c r="HK43" s="51"/>
      <c r="HL43" s="51"/>
      <c r="HM43" s="51"/>
      <c r="HN43" s="51"/>
      <c r="HO43" s="51"/>
      <c r="HP43" s="51"/>
      <c r="HQ43" s="51"/>
      <c r="HR43" s="51"/>
      <c r="HS43" s="51"/>
      <c r="HT43" s="51"/>
      <c r="HU43" s="51"/>
      <c r="HV43" s="51"/>
      <c r="HW43" s="51"/>
      <c r="HX43" s="51"/>
      <c r="HY43" s="51"/>
      <c r="HZ43" s="51"/>
      <c r="IA43" s="51"/>
      <c r="IB43" s="51"/>
      <c r="IC43" s="51"/>
      <c r="ID43" s="51"/>
      <c r="IE43" s="51"/>
      <c r="IF43" s="51"/>
      <c r="IG43" s="51"/>
      <c r="IH43" s="51"/>
      <c r="II43" s="51"/>
      <c r="IJ43" s="51"/>
      <c r="IK43" s="51"/>
      <c r="IL43" s="51"/>
    </row>
    <row r="44" spans="1:246" ht="12.95" customHeight="1" thickTop="1" thickBot="1">
      <c r="B44" s="567" t="s">
        <v>3193</v>
      </c>
      <c r="C44" s="212" t="s">
        <v>506</v>
      </c>
      <c r="D44" s="10"/>
      <c r="E44" s="10" t="s">
        <v>614</v>
      </c>
      <c r="I44" s="17"/>
      <c r="N44" s="486"/>
      <c r="P44" s="215"/>
      <c r="Q44" s="217"/>
      <c r="Z44" s="10">
        <v>2</v>
      </c>
      <c r="AA44" s="10" t="s">
        <v>607</v>
      </c>
      <c r="AJ44" s="213"/>
      <c r="AK44" s="454"/>
      <c r="AP44" s="659">
        <f ca="1">IF(AND('Vận Năm'!B66="*",AP37=0),1,IF(AND('Vận Năm'!B66="*",AP37=1),0,AP37))</f>
        <v>0</v>
      </c>
      <c r="AQ44" s="544">
        <f ca="1">AQ9+5</f>
        <v>2037</v>
      </c>
      <c r="AR44" s="494" t="str">
        <f ca="1">AP44&amp;AP45&amp;AP46</f>
        <v>000</v>
      </c>
      <c r="AV44" s="713"/>
      <c r="AW44" s="714"/>
      <c r="AY44" s="715"/>
      <c r="AZ44" s="714"/>
      <c r="BA44" s="212"/>
      <c r="BB44" s="14"/>
      <c r="BC44" s="14"/>
      <c r="BD44" s="14"/>
      <c r="BE44" s="120"/>
      <c r="BF44" s="212"/>
      <c r="BG44" s="729"/>
      <c r="BH44" s="17"/>
      <c r="BI44" s="14"/>
      <c r="BP44" s="661"/>
      <c r="BQ44" s="706"/>
      <c r="BR44" s="212"/>
      <c r="BW44" s="678">
        <f>BE3</f>
        <v>0</v>
      </c>
      <c r="BX44" s="66" t="s">
        <v>2688</v>
      </c>
      <c r="BY44" s="1000">
        <f>BE4</f>
        <v>0</v>
      </c>
      <c r="BZ44" s="1001"/>
      <c r="CA44" s="1002"/>
      <c r="CB44" s="51"/>
      <c r="CC44" s="52"/>
      <c r="CD44" s="67" t="s">
        <v>4946</v>
      </c>
      <c r="CE44" s="54" t="s">
        <v>2688</v>
      </c>
      <c r="CF44" s="68">
        <v>315</v>
      </c>
      <c r="CG44" s="55"/>
      <c r="CH44" s="55"/>
      <c r="CI44" s="55"/>
      <c r="CJ44" s="55"/>
      <c r="CK44" s="55"/>
      <c r="CL44" s="55"/>
      <c r="CM44" s="55"/>
      <c r="CN44" s="55"/>
      <c r="CO44" s="55"/>
      <c r="CP44" s="55"/>
      <c r="CQ44" s="55"/>
      <c r="CR44" s="55"/>
      <c r="CS44" s="55"/>
      <c r="CT44" s="55"/>
      <c r="CU44" s="55"/>
      <c r="CV44" s="52"/>
      <c r="CW44" s="51"/>
      <c r="CX44" s="51"/>
      <c r="CY44" s="51"/>
      <c r="CZ44" s="181" t="s">
        <v>2516</v>
      </c>
      <c r="DA44" s="182"/>
      <c r="DB44" s="182"/>
      <c r="DC44" s="182"/>
      <c r="DD44" s="182"/>
      <c r="DE44" s="182"/>
      <c r="DF44" s="182"/>
      <c r="DG44" s="182"/>
      <c r="DH44" s="182"/>
      <c r="DI44" s="182"/>
      <c r="DJ44" s="182"/>
      <c r="DK44" s="182"/>
      <c r="DL44" s="51"/>
      <c r="DM44" s="51"/>
      <c r="DN44" s="51"/>
      <c r="DO44" s="51"/>
      <c r="DP44" s="51"/>
      <c r="DQ44" s="51"/>
      <c r="DR44" s="51"/>
      <c r="DS44" s="51"/>
      <c r="DT44" s="51"/>
      <c r="DU44" s="51"/>
      <c r="DV44" s="51"/>
      <c r="DW44" s="51"/>
      <c r="DX44" s="51"/>
      <c r="DY44" s="51"/>
      <c r="DZ44" s="51"/>
      <c r="EA44" s="51"/>
      <c r="EB44" s="51"/>
      <c r="EC44" s="51"/>
      <c r="ED44" s="51"/>
      <c r="EE44" s="51"/>
      <c r="EF44" s="51"/>
      <c r="EG44" s="51"/>
      <c r="EH44" s="51"/>
      <c r="EI44" s="51"/>
      <c r="EJ44" s="51"/>
      <c r="EK44" s="51"/>
      <c r="EL44" s="51"/>
      <c r="EM44" s="51"/>
      <c r="EN44" s="51"/>
      <c r="EO44" s="51"/>
      <c r="EP44" s="51"/>
      <c r="EQ44" s="51"/>
      <c r="ER44" s="51"/>
      <c r="ES44" s="51"/>
      <c r="ET44" s="51"/>
      <c r="EU44" s="51"/>
      <c r="EV44" s="51"/>
      <c r="EW44" s="51"/>
      <c r="EX44" s="51"/>
      <c r="EY44" s="51"/>
      <c r="EZ44" s="51"/>
      <c r="FA44" s="51"/>
      <c r="FB44" s="51"/>
      <c r="FC44" s="51"/>
      <c r="FD44" s="51"/>
      <c r="FE44" s="51"/>
      <c r="FF44" s="51"/>
      <c r="FG44" s="51"/>
      <c r="FH44" s="51"/>
      <c r="FI44" s="51"/>
      <c r="FJ44" s="51"/>
      <c r="FK44" s="51"/>
      <c r="FL44" s="51"/>
      <c r="FM44" s="51"/>
      <c r="FN44" s="51"/>
      <c r="FO44" s="51"/>
      <c r="FP44" s="51"/>
      <c r="FQ44" s="51"/>
      <c r="FR44" s="51"/>
      <c r="FS44" s="51"/>
      <c r="FT44" s="51"/>
      <c r="FU44" s="51"/>
      <c r="FV44" s="51"/>
      <c r="FW44" s="51"/>
      <c r="FX44" s="51"/>
      <c r="FY44" s="51"/>
      <c r="FZ44" s="51"/>
      <c r="GA44" s="51"/>
      <c r="GB44" s="51"/>
      <c r="GC44" s="51"/>
      <c r="GD44" s="51"/>
      <c r="GE44" s="51"/>
      <c r="GF44" s="51"/>
      <c r="GG44" s="51"/>
      <c r="GH44" s="51"/>
      <c r="GI44" s="51"/>
      <c r="GJ44" s="51"/>
      <c r="GK44" s="51"/>
      <c r="GL44" s="51"/>
      <c r="GM44" s="51"/>
      <c r="GN44" s="51"/>
      <c r="GO44" s="51"/>
      <c r="GP44" s="51"/>
      <c r="GQ44" s="51"/>
      <c r="GR44" s="51"/>
      <c r="GS44" s="51"/>
      <c r="GT44" s="51"/>
      <c r="GU44" s="51"/>
      <c r="GV44" s="51"/>
      <c r="GW44" s="51"/>
      <c r="GX44" s="51"/>
      <c r="GY44" s="51"/>
      <c r="GZ44" s="51"/>
      <c r="HA44" s="51"/>
      <c r="HB44" s="51"/>
      <c r="HC44" s="51"/>
      <c r="HD44" s="51"/>
      <c r="HE44" s="51"/>
      <c r="HF44" s="51"/>
      <c r="HG44" s="51"/>
      <c r="HH44" s="51"/>
      <c r="HI44" s="51"/>
      <c r="HJ44" s="51"/>
      <c r="HK44" s="51"/>
      <c r="HL44" s="51"/>
      <c r="HM44" s="51"/>
      <c r="HN44" s="51"/>
      <c r="HO44" s="51"/>
      <c r="HP44" s="51"/>
      <c r="HQ44" s="51"/>
      <c r="HR44" s="51"/>
      <c r="HS44" s="51"/>
      <c r="HT44" s="51"/>
      <c r="HU44" s="51"/>
      <c r="HV44" s="51"/>
      <c r="HW44" s="51"/>
      <c r="HX44" s="51"/>
      <c r="HY44" s="51"/>
      <c r="HZ44" s="51"/>
      <c r="IA44" s="51"/>
      <c r="IB44" s="51"/>
      <c r="IC44" s="51"/>
      <c r="ID44" s="51"/>
      <c r="IE44" s="51"/>
      <c r="IF44" s="51"/>
      <c r="IG44" s="51"/>
      <c r="IH44" s="51"/>
      <c r="II44" s="51"/>
      <c r="IJ44" s="51"/>
      <c r="IK44" s="51"/>
      <c r="IL44" s="51"/>
    </row>
    <row r="45" spans="1:246" ht="12.95" customHeight="1" thickTop="1">
      <c r="B45" s="567" t="s">
        <v>4288</v>
      </c>
      <c r="C45" s="212" t="s">
        <v>505</v>
      </c>
      <c r="D45" s="10" t="s">
        <v>9011</v>
      </c>
      <c r="E45" s="10" t="s">
        <v>620</v>
      </c>
      <c r="F45" s="14"/>
      <c r="I45" s="17"/>
      <c r="P45" s="214"/>
      <c r="Q45" s="17"/>
      <c r="Z45" s="10">
        <v>3</v>
      </c>
      <c r="AA45" s="10" t="s">
        <v>609</v>
      </c>
      <c r="AJ45" s="213"/>
      <c r="AK45" s="454"/>
      <c r="AP45" s="660">
        <f ca="1">IF(AND('Vận Năm'!B67="*",AP38=0),1,IF(AND('Vận Năm'!B67="*",AP38=1),0,AP38))</f>
        <v>0</v>
      </c>
      <c r="AQ45" s="661" t="str">
        <f ca="1">INDEX(E4:E15,MOD(AQ44,12)+1)</f>
        <v>Tỵ</v>
      </c>
      <c r="AR45" s="495" t="str">
        <f ca="1">AP47&amp;AP48&amp;AP49</f>
        <v>111</v>
      </c>
      <c r="AV45" s="717"/>
      <c r="AW45" s="714"/>
      <c r="AY45" s="712"/>
      <c r="AZ45" s="714"/>
      <c r="BA45" s="212"/>
      <c r="BE45" s="120"/>
      <c r="BF45" s="19"/>
      <c r="BG45" s="729"/>
      <c r="BH45" s="17"/>
      <c r="BI45" s="14"/>
      <c r="BP45" s="721"/>
      <c r="BQ45" s="706"/>
      <c r="BR45" s="722"/>
      <c r="BW45" s="265" t="s">
        <v>177</v>
      </c>
      <c r="BX45" s="71" t="s">
        <v>2688</v>
      </c>
      <c r="BY45" s="266">
        <f>DAY(BY44)</f>
        <v>0</v>
      </c>
      <c r="BZ45" s="73"/>
      <c r="CA45" s="74"/>
      <c r="CB45" s="51"/>
      <c r="CC45" s="52"/>
      <c r="CD45" s="75" t="s">
        <v>4554</v>
      </c>
      <c r="CE45" s="54" t="s">
        <v>2688</v>
      </c>
      <c r="CF45" s="76" t="s">
        <v>9009</v>
      </c>
      <c r="CG45" s="55"/>
      <c r="CH45" s="55"/>
      <c r="CI45" s="55"/>
      <c r="CJ45" s="55"/>
      <c r="CK45" s="55"/>
      <c r="CL45" s="77"/>
      <c r="CM45" s="77"/>
      <c r="CN45" s="77"/>
      <c r="CO45" s="55"/>
      <c r="CP45" s="55"/>
      <c r="CQ45" s="55"/>
      <c r="CR45" s="55"/>
      <c r="CS45" s="55"/>
      <c r="CT45" s="55"/>
      <c r="CU45" s="55"/>
      <c r="CV45" s="52"/>
      <c r="CW45" s="51"/>
      <c r="CX45" s="51"/>
      <c r="CY45" s="51"/>
      <c r="CZ45" s="183">
        <v>1</v>
      </c>
      <c r="DA45" s="184">
        <v>2</v>
      </c>
      <c r="DB45" s="184">
        <v>3</v>
      </c>
      <c r="DC45" s="184">
        <v>4</v>
      </c>
      <c r="DD45" s="184">
        <v>5</v>
      </c>
      <c r="DE45" s="184">
        <v>6</v>
      </c>
      <c r="DF45" s="184">
        <v>7</v>
      </c>
      <c r="DG45" s="184">
        <v>8</v>
      </c>
      <c r="DH45" s="184">
        <v>9</v>
      </c>
      <c r="DI45" s="184">
        <v>10</v>
      </c>
      <c r="DJ45" s="184">
        <v>11</v>
      </c>
      <c r="DK45" s="186">
        <v>12</v>
      </c>
      <c r="DL45" s="51"/>
      <c r="DM45" s="51"/>
      <c r="DN45" s="51"/>
      <c r="DO45" s="51"/>
      <c r="DP45" s="51"/>
      <c r="DQ45" s="51"/>
      <c r="DR45" s="51"/>
      <c r="DS45" s="51"/>
      <c r="DT45" s="51"/>
      <c r="DU45" s="51"/>
      <c r="DV45" s="51"/>
      <c r="DW45" s="51"/>
      <c r="DX45" s="51"/>
      <c r="DY45" s="51"/>
      <c r="DZ45" s="51"/>
      <c r="EA45" s="51"/>
      <c r="EB45" s="51"/>
      <c r="EC45" s="51"/>
      <c r="ED45" s="51"/>
      <c r="EE45" s="51"/>
      <c r="EF45" s="51"/>
      <c r="EG45" s="51"/>
      <c r="EH45" s="51"/>
      <c r="EI45" s="51"/>
      <c r="EJ45" s="51"/>
      <c r="EK45" s="51"/>
      <c r="EL45" s="51"/>
      <c r="EM45" s="51"/>
      <c r="EN45" s="51"/>
      <c r="EO45" s="51"/>
      <c r="EP45" s="51"/>
      <c r="EQ45" s="51"/>
      <c r="ER45" s="51"/>
      <c r="ES45" s="51"/>
      <c r="ET45" s="51"/>
      <c r="EU45" s="51"/>
      <c r="EV45" s="51"/>
      <c r="EW45" s="51"/>
      <c r="EX45" s="51"/>
      <c r="EY45" s="51"/>
      <c r="EZ45" s="51"/>
      <c r="FA45" s="51"/>
      <c r="FB45" s="51"/>
      <c r="FC45" s="51"/>
      <c r="FD45" s="51"/>
      <c r="FE45" s="51"/>
      <c r="FF45" s="51"/>
      <c r="FG45" s="51"/>
      <c r="FH45" s="51"/>
      <c r="FI45" s="51"/>
      <c r="FJ45" s="51"/>
      <c r="FK45" s="51"/>
      <c r="FL45" s="51"/>
      <c r="FM45" s="51"/>
      <c r="FN45" s="51"/>
      <c r="FO45" s="51"/>
      <c r="FP45" s="51"/>
      <c r="FQ45" s="51"/>
      <c r="FR45" s="51"/>
      <c r="FS45" s="51"/>
      <c r="FT45" s="51"/>
      <c r="FU45" s="51"/>
      <c r="FV45" s="51"/>
      <c r="FW45" s="51"/>
      <c r="FX45" s="51"/>
      <c r="FY45" s="51"/>
      <c r="FZ45" s="51"/>
      <c r="GA45" s="51"/>
      <c r="GB45" s="51"/>
      <c r="GC45" s="51"/>
      <c r="GD45" s="51"/>
      <c r="GE45" s="51"/>
      <c r="GF45" s="51"/>
      <c r="GG45" s="51"/>
      <c r="GH45" s="51"/>
      <c r="GI45" s="51"/>
      <c r="GJ45" s="51"/>
      <c r="GK45" s="51"/>
      <c r="GL45" s="51"/>
      <c r="GM45" s="51"/>
      <c r="GN45" s="51"/>
      <c r="GO45" s="51"/>
      <c r="GP45" s="51"/>
      <c r="GQ45" s="51"/>
      <c r="GR45" s="51"/>
      <c r="GS45" s="51"/>
      <c r="GT45" s="51"/>
      <c r="GU45" s="51"/>
      <c r="GV45" s="51"/>
      <c r="GW45" s="51"/>
      <c r="GX45" s="51"/>
      <c r="GY45" s="51"/>
      <c r="GZ45" s="51"/>
      <c r="HA45" s="51"/>
      <c r="HB45" s="51"/>
      <c r="HC45" s="51"/>
      <c r="HD45" s="51"/>
      <c r="HE45" s="51"/>
      <c r="HF45" s="51"/>
      <c r="HG45" s="51"/>
      <c r="HH45" s="51"/>
      <c r="HI45" s="51"/>
      <c r="HJ45" s="51"/>
      <c r="HK45" s="51"/>
      <c r="HL45" s="51"/>
      <c r="HM45" s="51"/>
      <c r="HN45" s="51"/>
      <c r="HO45" s="51"/>
      <c r="HP45" s="51"/>
      <c r="HQ45" s="51"/>
      <c r="HR45" s="51"/>
      <c r="HS45" s="51"/>
      <c r="HT45" s="51"/>
      <c r="HU45" s="51"/>
      <c r="HV45" s="51"/>
      <c r="HW45" s="51"/>
      <c r="HX45" s="51"/>
      <c r="HY45" s="51"/>
      <c r="HZ45" s="51"/>
      <c r="IA45" s="51"/>
      <c r="IB45" s="51"/>
      <c r="IC45" s="51"/>
      <c r="ID45" s="51"/>
      <c r="IE45" s="51"/>
      <c r="IF45" s="51"/>
      <c r="IG45" s="51"/>
      <c r="IH45" s="51"/>
      <c r="II45" s="51"/>
      <c r="IJ45" s="51"/>
      <c r="IK45" s="51"/>
      <c r="IL45" s="51"/>
    </row>
    <row r="46" spans="1:246" ht="12.95" customHeight="1" thickBot="1">
      <c r="B46" s="568" t="s">
        <v>839</v>
      </c>
      <c r="C46" s="212" t="s">
        <v>353</v>
      </c>
      <c r="D46" s="10" t="s">
        <v>9299</v>
      </c>
      <c r="E46" s="10" t="s">
        <v>624</v>
      </c>
      <c r="F46" s="14"/>
      <c r="I46" s="17"/>
      <c r="N46" s="214"/>
      <c r="Z46" s="10">
        <v>4</v>
      </c>
      <c r="AA46" s="10" t="s">
        <v>608</v>
      </c>
      <c r="AJ46" s="213"/>
      <c r="AK46" s="454"/>
      <c r="AP46" s="660">
        <f ca="1">IF(AND('Vận Năm'!B68="*",AP39=0),1,IF(AND('Vận Năm'!B68="*",AP39=1),0,AP39))</f>
        <v>0</v>
      </c>
      <c r="AQ46" s="19" t="str">
        <f ca="1">HLOOKUP(AP50,'64Quẻ'!B4:DX5,2,0)</f>
        <v>Thái</v>
      </c>
      <c r="AR46" s="495" t="str">
        <f ca="1">AP45&amp;AP46&amp;AP47</f>
        <v>001</v>
      </c>
      <c r="AV46" s="498"/>
      <c r="AW46" s="714"/>
      <c r="AY46" s="661"/>
      <c r="AZ46" s="714"/>
      <c r="BA46" s="212"/>
      <c r="BE46" s="120"/>
      <c r="BF46" s="19"/>
      <c r="BG46" s="729"/>
      <c r="BH46" s="17"/>
      <c r="BI46" s="14"/>
      <c r="BP46" s="721"/>
      <c r="BQ46" s="706"/>
      <c r="BR46" s="722"/>
      <c r="BW46" s="265" t="s">
        <v>178</v>
      </c>
      <c r="BX46" s="71" t="s">
        <v>2688</v>
      </c>
      <c r="BY46" s="266">
        <f>MONTH(BY44)</f>
        <v>1</v>
      </c>
      <c r="BZ46" s="73"/>
      <c r="CA46" s="74"/>
      <c r="CB46" s="51"/>
      <c r="CC46" s="52"/>
      <c r="CD46" s="78" t="s">
        <v>3424</v>
      </c>
      <c r="CE46" s="79" t="s">
        <v>2688</v>
      </c>
      <c r="CF46" s="80" t="s">
        <v>353</v>
      </c>
      <c r="CG46" s="81" t="s">
        <v>3425</v>
      </c>
      <c r="CH46" s="82">
        <v>18</v>
      </c>
      <c r="CI46" s="55"/>
      <c r="CJ46" s="60" t="s">
        <v>3426</v>
      </c>
      <c r="CK46" s="83">
        <f>BY47-1</f>
        <v>1899</v>
      </c>
      <c r="CL46" s="84" t="s">
        <v>3427</v>
      </c>
      <c r="CM46" s="85"/>
      <c r="CN46" s="86" t="s">
        <v>2876</v>
      </c>
      <c r="CO46" s="85" t="s">
        <v>2877</v>
      </c>
      <c r="CP46" s="55"/>
      <c r="CQ46" s="55"/>
      <c r="CR46" s="55"/>
      <c r="CS46" s="55"/>
      <c r="CT46" s="55"/>
      <c r="CU46" s="55"/>
      <c r="CV46" s="52"/>
      <c r="CW46" s="51"/>
      <c r="CX46" s="51"/>
      <c r="CY46" s="51"/>
      <c r="CZ46" s="187" t="s">
        <v>353</v>
      </c>
      <c r="DA46" s="188" t="s">
        <v>1399</v>
      </c>
      <c r="DB46" s="188" t="s">
        <v>505</v>
      </c>
      <c r="DC46" s="188" t="s">
        <v>9011</v>
      </c>
      <c r="DD46" s="188" t="s">
        <v>506</v>
      </c>
      <c r="DE46" s="188" t="s">
        <v>507</v>
      </c>
      <c r="DF46" s="188" t="s">
        <v>9297</v>
      </c>
      <c r="DG46" s="188" t="s">
        <v>9298</v>
      </c>
      <c r="DH46" s="188" t="s">
        <v>9299</v>
      </c>
      <c r="DI46" s="188" t="s">
        <v>9300</v>
      </c>
      <c r="DJ46" s="188" t="s">
        <v>1402</v>
      </c>
      <c r="DK46" s="189" t="s">
        <v>9301</v>
      </c>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1"/>
      <c r="FT46" s="51"/>
      <c r="FU46" s="51"/>
      <c r="FV46" s="51"/>
      <c r="FW46" s="51"/>
      <c r="FX46" s="51"/>
      <c r="FY46" s="51"/>
      <c r="FZ46" s="51"/>
      <c r="GA46" s="51"/>
      <c r="GB46" s="51"/>
      <c r="GC46" s="51"/>
      <c r="GD46" s="51"/>
      <c r="GE46" s="51"/>
      <c r="GF46" s="51"/>
      <c r="GG46" s="51"/>
      <c r="GH46" s="51"/>
      <c r="GI46" s="51"/>
      <c r="GJ46" s="51"/>
      <c r="GK46" s="51"/>
      <c r="GL46" s="51"/>
      <c r="GM46" s="51"/>
      <c r="GN46" s="51"/>
      <c r="GO46" s="51"/>
      <c r="GP46" s="51"/>
      <c r="GQ46" s="51"/>
      <c r="GR46" s="51"/>
      <c r="GS46" s="51"/>
      <c r="GT46" s="51"/>
      <c r="GU46" s="51"/>
      <c r="GV46" s="51"/>
      <c r="GW46" s="51"/>
      <c r="GX46" s="51"/>
      <c r="GY46" s="51"/>
      <c r="GZ46" s="51"/>
      <c r="HA46" s="51"/>
      <c r="HB46" s="51"/>
      <c r="HC46" s="51"/>
      <c r="HD46" s="51"/>
      <c r="HE46" s="51"/>
      <c r="HF46" s="51"/>
      <c r="HG46" s="51"/>
      <c r="HH46" s="51"/>
      <c r="HI46" s="51"/>
      <c r="HJ46" s="51"/>
      <c r="HK46" s="51"/>
      <c r="HL46" s="51"/>
      <c r="HM46" s="51"/>
      <c r="HN46" s="51"/>
      <c r="HO46" s="51"/>
      <c r="HP46" s="51"/>
      <c r="HQ46" s="51"/>
      <c r="HR46" s="51"/>
      <c r="HS46" s="51"/>
      <c r="HT46" s="51"/>
      <c r="HU46" s="51"/>
      <c r="HV46" s="51"/>
      <c r="HW46" s="51"/>
      <c r="HX46" s="51"/>
      <c r="HY46" s="51"/>
      <c r="HZ46" s="51"/>
      <c r="IA46" s="51"/>
      <c r="IB46" s="51"/>
      <c r="IC46" s="51"/>
      <c r="ID46" s="51"/>
      <c r="IE46" s="51"/>
      <c r="IF46" s="51"/>
      <c r="IG46" s="51"/>
      <c r="IH46" s="51"/>
      <c r="II46" s="51"/>
      <c r="IJ46" s="51"/>
      <c r="IK46" s="51"/>
      <c r="IL46" s="51"/>
    </row>
    <row r="47" spans="1:246" ht="12.95" customHeight="1" thickTop="1">
      <c r="B47" s="567" t="s">
        <v>5936</v>
      </c>
      <c r="C47" s="212" t="s">
        <v>506</v>
      </c>
      <c r="D47" s="10" t="s">
        <v>507</v>
      </c>
      <c r="E47" s="10" t="s">
        <v>617</v>
      </c>
      <c r="F47" s="14"/>
      <c r="I47" s="17"/>
      <c r="Z47" s="10">
        <v>5</v>
      </c>
      <c r="AA47" s="10" t="s">
        <v>610</v>
      </c>
      <c r="AJ47" s="213"/>
      <c r="AK47" s="454"/>
      <c r="AP47" s="660">
        <f ca="1">IF(AND('Vận Năm'!B69="*",AP40=0),1,IF(AND('Vận Năm'!B69="*",AP40=1),0,AP40))</f>
        <v>1</v>
      </c>
      <c r="AQ47" s="216">
        <f ca="1">IF('Vận Năm'!B71="*",1,IF('Vận Năm'!B70="*",2,IF('Vận Năm'!B69="*",3,IF('Vận Năm'!B68="*",4,IF('Vận Năm'!B67="*",5,IF('Vận Năm'!B66="*",6,""))))))</f>
        <v>2</v>
      </c>
      <c r="AR47" s="495" t="str">
        <f ca="1">AP46&amp;AP47&amp;AP48</f>
        <v>011</v>
      </c>
      <c r="AV47" s="498"/>
      <c r="AW47" s="714"/>
      <c r="AY47" s="661"/>
      <c r="AZ47" s="714"/>
      <c r="BA47" s="212"/>
      <c r="BE47" s="734"/>
      <c r="BF47" s="735"/>
      <c r="BG47" s="461"/>
      <c r="BH47" s="461"/>
      <c r="BI47" s="461"/>
      <c r="BP47" s="247"/>
      <c r="BQ47" s="727"/>
      <c r="BR47" s="722"/>
      <c r="BW47" s="265" t="s">
        <v>179</v>
      </c>
      <c r="BX47" s="71" t="s">
        <v>2688</v>
      </c>
      <c r="BY47" s="266">
        <f>YEAR(BY44)</f>
        <v>1900</v>
      </c>
      <c r="BZ47" s="73"/>
      <c r="CA47" s="74"/>
      <c r="CB47" s="51"/>
      <c r="CC47" s="52"/>
      <c r="CD47" s="53"/>
      <c r="CE47" s="55"/>
      <c r="CF47" s="55"/>
      <c r="CG47" s="55"/>
      <c r="CH47" s="55"/>
      <c r="CI47" s="55"/>
      <c r="CJ47" s="56"/>
      <c r="CK47" s="87">
        <f>(BY47-1900)*365+INT((BY47-1-1900)/4+1)</f>
        <v>0</v>
      </c>
      <c r="CL47" s="88">
        <f>IF(BY46&gt;2,IF(CL49=0,1,2),0)</f>
        <v>0</v>
      </c>
      <c r="CM47" s="89"/>
      <c r="CN47" s="90">
        <f>30*(BY46-1)+CN48</f>
        <v>0</v>
      </c>
      <c r="CO47" s="87">
        <f>BY45</f>
        <v>0</v>
      </c>
      <c r="CP47" s="55"/>
      <c r="CQ47" s="55"/>
      <c r="CR47" s="55"/>
      <c r="CS47" s="55"/>
      <c r="CT47" s="55"/>
      <c r="CU47" s="55"/>
      <c r="CV47" s="52"/>
      <c r="CW47" s="51"/>
      <c r="CX47" s="51"/>
      <c r="CY47" s="51"/>
      <c r="CZ47" s="51"/>
      <c r="DA47" s="51"/>
      <c r="DB47" s="51"/>
      <c r="DC47" s="51"/>
      <c r="DD47" s="51"/>
      <c r="DE47" s="51"/>
      <c r="DF47" s="51"/>
      <c r="DG47" s="51"/>
      <c r="DH47" s="51"/>
      <c r="DI47" s="51"/>
      <c r="DJ47" s="51"/>
      <c r="DK47" s="51"/>
      <c r="DL47" s="51"/>
      <c r="DM47" s="51"/>
      <c r="DN47" s="51"/>
      <c r="DO47" s="51"/>
      <c r="DP47" s="51"/>
      <c r="DQ47" s="51"/>
      <c r="DR47" s="51"/>
      <c r="DS47" s="51"/>
      <c r="DT47" s="51"/>
      <c r="DU47" s="51"/>
      <c r="DV47" s="51"/>
      <c r="DW47" s="51"/>
      <c r="DX47" s="51"/>
      <c r="DY47" s="51"/>
      <c r="DZ47" s="51"/>
      <c r="EA47" s="51"/>
      <c r="EB47" s="51"/>
      <c r="EC47" s="51"/>
      <c r="ED47" s="51"/>
      <c r="EE47" s="51"/>
      <c r="EF47" s="51"/>
      <c r="EG47" s="51"/>
      <c r="EH47" s="51"/>
      <c r="EI47" s="51"/>
      <c r="EJ47" s="51"/>
      <c r="EK47" s="51"/>
      <c r="EL47" s="51"/>
      <c r="EM47" s="51"/>
      <c r="EN47" s="51"/>
      <c r="EO47" s="51"/>
      <c r="EP47" s="51"/>
      <c r="EQ47" s="51"/>
      <c r="ER47" s="51"/>
      <c r="ES47" s="51"/>
      <c r="ET47" s="51"/>
      <c r="EU47" s="51"/>
      <c r="EV47" s="51"/>
      <c r="EW47" s="51"/>
      <c r="EX47" s="51"/>
      <c r="EY47" s="51"/>
      <c r="EZ47" s="51"/>
      <c r="FA47" s="51"/>
      <c r="FB47" s="51"/>
      <c r="FC47" s="51"/>
      <c r="FD47" s="51"/>
      <c r="FE47" s="51"/>
      <c r="FF47" s="51"/>
      <c r="FG47" s="51"/>
      <c r="FH47" s="51"/>
      <c r="FI47" s="51"/>
      <c r="FJ47" s="51"/>
      <c r="FK47" s="51"/>
      <c r="FL47" s="51"/>
      <c r="FM47" s="51"/>
      <c r="FN47" s="51"/>
      <c r="FO47" s="51"/>
      <c r="FP47" s="51"/>
      <c r="FQ47" s="51"/>
      <c r="FR47" s="51"/>
      <c r="FS47" s="51"/>
      <c r="FT47" s="51"/>
      <c r="FU47" s="51"/>
      <c r="FV47" s="51"/>
      <c r="FW47" s="51"/>
      <c r="FX47" s="51"/>
      <c r="FY47" s="51"/>
      <c r="FZ47" s="51"/>
      <c r="GA47" s="51"/>
      <c r="GB47" s="51"/>
      <c r="GC47" s="51"/>
      <c r="GD47" s="51"/>
      <c r="GE47" s="51"/>
      <c r="GF47" s="51"/>
      <c r="GG47" s="51"/>
      <c r="GH47" s="51"/>
      <c r="GI47" s="51"/>
      <c r="GJ47" s="51"/>
      <c r="GK47" s="51"/>
      <c r="GL47" s="51"/>
      <c r="GM47" s="51"/>
      <c r="GN47" s="51"/>
      <c r="GO47" s="51"/>
      <c r="GP47" s="51"/>
      <c r="GQ47" s="51"/>
      <c r="GR47" s="51"/>
      <c r="GS47" s="51"/>
      <c r="GT47" s="51"/>
      <c r="GU47" s="51"/>
      <c r="GV47" s="51"/>
      <c r="GW47" s="51"/>
      <c r="GX47" s="51"/>
      <c r="GY47" s="51"/>
      <c r="GZ47" s="51"/>
      <c r="HA47" s="51"/>
      <c r="HB47" s="51"/>
      <c r="HC47" s="51"/>
      <c r="HD47" s="51"/>
      <c r="HE47" s="51"/>
      <c r="HF47" s="51"/>
      <c r="HG47" s="51"/>
      <c r="HH47" s="51"/>
      <c r="HI47" s="51"/>
      <c r="HJ47" s="51"/>
      <c r="HK47" s="51"/>
      <c r="HL47" s="51"/>
      <c r="HM47" s="51"/>
      <c r="HN47" s="51"/>
      <c r="HO47" s="51"/>
      <c r="HP47" s="51"/>
      <c r="HQ47" s="51"/>
      <c r="HR47" s="51"/>
      <c r="HS47" s="51"/>
      <c r="HT47" s="51"/>
      <c r="HU47" s="51"/>
      <c r="HV47" s="51"/>
      <c r="HW47" s="51"/>
      <c r="HX47" s="51"/>
      <c r="HY47" s="51"/>
      <c r="HZ47" s="51"/>
      <c r="IA47" s="51"/>
      <c r="IB47" s="51"/>
      <c r="IC47" s="51"/>
      <c r="ID47" s="51"/>
      <c r="IE47" s="51"/>
      <c r="IF47" s="51"/>
      <c r="IG47" s="51"/>
      <c r="IH47" s="51"/>
      <c r="II47" s="51"/>
      <c r="IJ47" s="51"/>
      <c r="IK47" s="51"/>
      <c r="IL47" s="51"/>
    </row>
    <row r="48" spans="1:246" ht="12.95" customHeight="1" thickBot="1">
      <c r="B48" s="567" t="s">
        <v>3197</v>
      </c>
      <c r="C48" s="212" t="s">
        <v>506</v>
      </c>
      <c r="D48" s="10"/>
      <c r="E48" s="10" t="s">
        <v>614</v>
      </c>
      <c r="I48" s="17"/>
      <c r="Z48" s="10">
        <v>6</v>
      </c>
      <c r="AA48" s="10" t="s">
        <v>612</v>
      </c>
      <c r="AJ48" s="213"/>
      <c r="AK48" s="454"/>
      <c r="AP48" s="660">
        <f ca="1">IF(AND('Vận Năm'!B70="*",AP41=0),1,IF(AND('Vận Năm'!B70="*",AP41=1),0,AP41))</f>
        <v>1</v>
      </c>
      <c r="AQ48" s="662"/>
      <c r="AR48" s="663" t="str">
        <f ca="1">IF(OR(AU3=AR44,AU3=AR45,AU3=AR46,AU3=AR47),"TNK","")</f>
        <v>TNK</v>
      </c>
      <c r="AV48" s="728"/>
      <c r="AW48" s="714"/>
      <c r="AY48" s="721"/>
      <c r="AZ48" s="714"/>
      <c r="BA48" s="212"/>
      <c r="BQ48" s="706"/>
      <c r="BR48" s="212"/>
      <c r="BW48" s="265" t="s">
        <v>4471</v>
      </c>
      <c r="BX48" s="71" t="s">
        <v>2688</v>
      </c>
      <c r="BY48" s="267">
        <f>HOUR(BY44)</f>
        <v>0</v>
      </c>
      <c r="BZ48" s="73"/>
      <c r="CA48" s="74"/>
      <c r="CB48" s="51"/>
      <c r="CC48" s="52"/>
      <c r="CD48" s="53" t="s">
        <v>2880</v>
      </c>
      <c r="CE48" s="55"/>
      <c r="CF48" s="91">
        <f>CK47-CL47+CN47+CO47</f>
        <v>0</v>
      </c>
      <c r="CG48" s="55">
        <f>CF48-CF43</f>
        <v>-366</v>
      </c>
      <c r="CH48" s="55"/>
      <c r="CI48" s="55"/>
      <c r="CJ48" s="56"/>
      <c r="CK48" s="69"/>
      <c r="CL48" s="88">
        <f>BY47/4</f>
        <v>475</v>
      </c>
      <c r="CM48" s="69">
        <f>INT(CL48)</f>
        <v>475</v>
      </c>
      <c r="CN48" s="90">
        <f>IF(BY46&lt;8,INT((BY46-1)/2+0.5),INT((BY46-1)/2+1))</f>
        <v>0</v>
      </c>
      <c r="CO48" s="69"/>
      <c r="CP48" s="55"/>
      <c r="CQ48" s="55"/>
      <c r="CR48" s="55"/>
      <c r="CS48" s="55"/>
      <c r="CT48" s="55"/>
      <c r="CU48" s="55"/>
      <c r="CV48" s="52"/>
      <c r="CW48" s="51"/>
      <c r="CX48" s="51"/>
      <c r="CY48" s="51"/>
      <c r="CZ48" s="181" t="s">
        <v>7317</v>
      </c>
      <c r="DA48" s="182"/>
      <c r="DB48" s="182"/>
      <c r="DC48" s="182"/>
      <c r="DD48" s="182"/>
      <c r="DE48" s="51"/>
      <c r="DF48" s="181" t="s">
        <v>7318</v>
      </c>
      <c r="DG48" s="182"/>
      <c r="DH48" s="182"/>
      <c r="DI48" s="51"/>
      <c r="DJ48" s="51"/>
      <c r="DK48" s="190"/>
      <c r="DL48" s="190"/>
      <c r="DM48" s="51"/>
      <c r="DN48" s="51"/>
      <c r="DO48" s="51"/>
      <c r="DP48" s="51"/>
      <c r="DQ48" s="51"/>
      <c r="DR48" s="51"/>
      <c r="DS48" s="51"/>
      <c r="DT48" s="51"/>
      <c r="DU48" s="51"/>
      <c r="DV48" s="51"/>
      <c r="DW48" s="51"/>
      <c r="DX48" s="51"/>
      <c r="DY48" s="51"/>
      <c r="DZ48" s="51"/>
      <c r="EA48" s="51"/>
      <c r="EB48" s="51"/>
      <c r="EC48" s="51"/>
      <c r="ED48" s="51"/>
      <c r="EE48" s="51"/>
      <c r="EF48" s="51"/>
      <c r="EG48" s="51"/>
      <c r="EH48" s="51"/>
      <c r="EI48" s="51"/>
      <c r="EJ48" s="51"/>
      <c r="EK48" s="51"/>
      <c r="EL48" s="51"/>
      <c r="EM48" s="51"/>
      <c r="EN48" s="51"/>
      <c r="EO48" s="51"/>
      <c r="EP48" s="51"/>
      <c r="EQ48" s="51"/>
      <c r="ER48" s="51"/>
      <c r="ES48" s="51"/>
      <c r="ET48" s="51"/>
      <c r="EU48" s="51"/>
      <c r="EV48" s="51"/>
      <c r="EW48" s="51"/>
      <c r="EX48" s="51"/>
      <c r="EY48" s="51"/>
      <c r="EZ48" s="51"/>
      <c r="FA48" s="51"/>
      <c r="FB48" s="51"/>
      <c r="FC48" s="51"/>
      <c r="FD48" s="51"/>
      <c r="FE48" s="51"/>
      <c r="FF48" s="51"/>
      <c r="FG48" s="51"/>
      <c r="FH48" s="51"/>
      <c r="FI48" s="51"/>
      <c r="FJ48" s="51"/>
      <c r="FK48" s="51"/>
      <c r="FL48" s="51"/>
      <c r="FM48" s="51"/>
      <c r="FN48" s="51"/>
      <c r="FO48" s="51"/>
      <c r="FP48" s="51"/>
      <c r="FQ48" s="51"/>
      <c r="FR48" s="51"/>
      <c r="FS48" s="51"/>
      <c r="FT48" s="51"/>
      <c r="FU48" s="51"/>
      <c r="FV48" s="51"/>
      <c r="FW48" s="51"/>
      <c r="FX48" s="51"/>
      <c r="FY48" s="51"/>
      <c r="FZ48" s="51"/>
      <c r="GA48" s="51"/>
      <c r="GB48" s="51"/>
      <c r="GC48" s="51"/>
      <c r="GD48" s="51"/>
      <c r="GE48" s="51"/>
      <c r="GF48" s="51"/>
      <c r="GG48" s="51"/>
      <c r="GH48" s="51"/>
      <c r="GI48" s="51"/>
      <c r="GJ48" s="51"/>
      <c r="GK48" s="51"/>
      <c r="GL48" s="51"/>
      <c r="GM48" s="51"/>
      <c r="GN48" s="51"/>
      <c r="GO48" s="51"/>
      <c r="GP48" s="51"/>
      <c r="GQ48" s="51"/>
      <c r="GR48" s="51"/>
      <c r="GS48" s="51"/>
      <c r="GT48" s="51"/>
      <c r="GU48" s="51"/>
      <c r="GV48" s="51"/>
      <c r="GW48" s="51"/>
      <c r="GX48" s="51"/>
      <c r="GY48" s="51"/>
      <c r="GZ48" s="51"/>
      <c r="HA48" s="51"/>
      <c r="HB48" s="51"/>
      <c r="HC48" s="51"/>
      <c r="HD48" s="51"/>
      <c r="HE48" s="51"/>
      <c r="HF48" s="51"/>
      <c r="HG48" s="51"/>
      <c r="HH48" s="51"/>
      <c r="HI48" s="51"/>
      <c r="HJ48" s="51"/>
      <c r="HK48" s="51"/>
      <c r="HL48" s="51"/>
      <c r="HM48" s="51"/>
      <c r="HN48" s="51"/>
      <c r="HO48" s="51"/>
      <c r="HP48" s="51"/>
      <c r="HQ48" s="51"/>
      <c r="HR48" s="51"/>
      <c r="HS48" s="51"/>
      <c r="HT48" s="51"/>
      <c r="HU48" s="51"/>
      <c r="HV48" s="51"/>
      <c r="HW48" s="51"/>
      <c r="HX48" s="51"/>
      <c r="HY48" s="51"/>
      <c r="HZ48" s="51"/>
      <c r="IA48" s="51"/>
      <c r="IB48" s="51"/>
      <c r="IC48" s="51"/>
      <c r="ID48" s="51"/>
      <c r="IE48" s="51"/>
      <c r="IF48" s="51"/>
      <c r="IG48" s="51"/>
      <c r="IH48" s="51"/>
      <c r="II48" s="51"/>
      <c r="IJ48" s="51"/>
      <c r="IK48" s="51"/>
      <c r="IL48" s="51"/>
    </row>
    <row r="49" spans="2:246" ht="12.95" customHeight="1" thickTop="1">
      <c r="B49" s="567" t="s">
        <v>456</v>
      </c>
      <c r="C49" s="212" t="s">
        <v>9298</v>
      </c>
      <c r="D49" s="10"/>
      <c r="E49" s="10" t="s">
        <v>616</v>
      </c>
      <c r="I49" s="17"/>
      <c r="AJ49" s="213"/>
      <c r="AK49" s="454"/>
      <c r="AP49" s="660">
        <f ca="1">IF(AND('Vận Năm'!B71="*",AP42=0),1,IF(AND('Vận Năm'!B71="*",AP42=1),0,AP42))</f>
        <v>1</v>
      </c>
      <c r="AQ49" s="662"/>
      <c r="AR49" s="663" t="str">
        <f ca="1">IF(OR(AU4=AR44,AU4=AR45,AU4=AR46,AU4=AR47),"ĐNK","")</f>
        <v/>
      </c>
      <c r="AV49" s="728"/>
      <c r="AW49" s="714"/>
      <c r="AY49" s="721"/>
      <c r="AZ49" s="714"/>
      <c r="BA49" s="212"/>
      <c r="BE49" s="741"/>
      <c r="BF49" s="616"/>
      <c r="BG49" s="616"/>
      <c r="BP49" s="712"/>
      <c r="BQ49" s="706"/>
      <c r="BR49" s="212"/>
      <c r="BW49" s="70"/>
      <c r="BX49" s="71"/>
      <c r="BY49" s="72"/>
      <c r="BZ49" s="73"/>
      <c r="CA49" s="74"/>
      <c r="CB49" s="51"/>
      <c r="CC49" s="52"/>
      <c r="CD49" s="53"/>
      <c r="CE49" s="55"/>
      <c r="CF49" s="55"/>
      <c r="CG49" s="55"/>
      <c r="CH49" s="55"/>
      <c r="CI49" s="55"/>
      <c r="CJ49" s="92"/>
      <c r="CK49" s="95"/>
      <c r="CL49" s="96">
        <f>CL48-CM48</f>
        <v>0</v>
      </c>
      <c r="CM49" s="95"/>
      <c r="CN49" s="97"/>
      <c r="CO49" s="95"/>
      <c r="CP49" s="55"/>
      <c r="CQ49" s="55"/>
      <c r="CR49" s="55"/>
      <c r="CS49" s="55"/>
      <c r="CT49" s="55"/>
      <c r="CU49" s="55"/>
      <c r="CV49" s="52"/>
      <c r="CW49" s="51"/>
      <c r="CX49" s="51"/>
      <c r="CY49" s="51"/>
      <c r="CZ49" s="191" t="s">
        <v>459</v>
      </c>
      <c r="DA49" s="192" t="s">
        <v>7319</v>
      </c>
      <c r="DB49" s="193"/>
      <c r="DC49" s="192" t="s">
        <v>7320</v>
      </c>
      <c r="DD49" s="194"/>
      <c r="DE49" s="51"/>
      <c r="DF49" s="191" t="s">
        <v>7319</v>
      </c>
      <c r="DG49" s="195" t="s">
        <v>7320</v>
      </c>
      <c r="DH49" s="196" t="s">
        <v>7321</v>
      </c>
      <c r="DI49" s="51"/>
      <c r="DJ49" s="51"/>
      <c r="DK49" s="190"/>
      <c r="DL49" s="190"/>
      <c r="DM49" s="51"/>
      <c r="DN49" s="51"/>
      <c r="DO49" s="51"/>
      <c r="DP49" s="51"/>
      <c r="DQ49" s="51"/>
      <c r="DR49" s="51"/>
      <c r="DS49" s="51"/>
      <c r="DT49" s="51"/>
      <c r="DU49" s="51"/>
      <c r="DV49" s="51"/>
      <c r="DW49" s="51"/>
      <c r="DX49" s="51"/>
      <c r="DY49" s="51"/>
      <c r="DZ49" s="51"/>
      <c r="EA49" s="51"/>
      <c r="EB49" s="51"/>
      <c r="EC49" s="51"/>
      <c r="ED49" s="51"/>
      <c r="EE49" s="51"/>
      <c r="EF49" s="51"/>
      <c r="EG49" s="51"/>
      <c r="EH49" s="51"/>
      <c r="EI49" s="51"/>
      <c r="EJ49" s="51"/>
      <c r="EK49" s="51"/>
      <c r="EL49" s="51"/>
      <c r="EM49" s="51"/>
      <c r="EN49" s="51"/>
      <c r="EO49" s="51"/>
      <c r="EP49" s="51"/>
      <c r="EQ49" s="51"/>
      <c r="ER49" s="51"/>
      <c r="ES49" s="51"/>
      <c r="ET49" s="51"/>
      <c r="EU49" s="51"/>
      <c r="EV49" s="51"/>
      <c r="EW49" s="51"/>
      <c r="EX49" s="51"/>
      <c r="EY49" s="51"/>
      <c r="EZ49" s="51"/>
      <c r="FA49" s="51"/>
      <c r="FB49" s="51"/>
      <c r="FC49" s="51"/>
      <c r="FD49" s="51"/>
      <c r="FE49" s="51"/>
      <c r="FF49" s="51"/>
      <c r="FG49" s="51"/>
      <c r="FH49" s="51"/>
      <c r="FI49" s="51"/>
      <c r="FJ49" s="51"/>
      <c r="FK49" s="51"/>
      <c r="FL49" s="51"/>
      <c r="FM49" s="51"/>
      <c r="FN49" s="51"/>
      <c r="FO49" s="51"/>
      <c r="FP49" s="51"/>
      <c r="FQ49" s="51"/>
      <c r="FR49" s="51"/>
      <c r="FS49" s="51"/>
      <c r="FT49" s="51"/>
      <c r="FU49" s="51"/>
      <c r="FV49" s="51"/>
      <c r="FW49" s="51"/>
      <c r="FX49" s="51"/>
      <c r="FY49" s="51"/>
      <c r="FZ49" s="51"/>
      <c r="GA49" s="51"/>
      <c r="GB49" s="51"/>
      <c r="GC49" s="51"/>
      <c r="GD49" s="51"/>
      <c r="GE49" s="51"/>
      <c r="GF49" s="51"/>
      <c r="GG49" s="51"/>
      <c r="GH49" s="51"/>
      <c r="GI49" s="51"/>
      <c r="GJ49" s="51"/>
      <c r="GK49" s="51"/>
      <c r="GL49" s="51"/>
      <c r="GM49" s="51"/>
      <c r="GN49" s="51"/>
      <c r="GO49" s="51"/>
      <c r="GP49" s="51"/>
      <c r="GQ49" s="51"/>
      <c r="GR49" s="51"/>
      <c r="GS49" s="51"/>
      <c r="GT49" s="51"/>
      <c r="GU49" s="51"/>
      <c r="GV49" s="51"/>
      <c r="GW49" s="51"/>
      <c r="GX49" s="51"/>
      <c r="GY49" s="51"/>
      <c r="GZ49" s="51"/>
      <c r="HA49" s="51"/>
      <c r="HB49" s="51"/>
      <c r="HC49" s="51"/>
      <c r="HD49" s="51"/>
      <c r="HE49" s="51"/>
      <c r="HF49" s="51"/>
      <c r="HG49" s="51"/>
      <c r="HH49" s="51"/>
      <c r="HI49" s="51"/>
      <c r="HJ49" s="51"/>
      <c r="HK49" s="51"/>
      <c r="HL49" s="51"/>
      <c r="HM49" s="51"/>
      <c r="HN49" s="51"/>
      <c r="HO49" s="51"/>
      <c r="HP49" s="51"/>
      <c r="HQ49" s="51"/>
      <c r="HR49" s="51"/>
      <c r="HS49" s="51"/>
      <c r="HT49" s="51"/>
      <c r="HU49" s="51"/>
      <c r="HV49" s="51"/>
      <c r="HW49" s="51"/>
      <c r="HX49" s="51"/>
      <c r="HY49" s="51"/>
      <c r="HZ49" s="51"/>
      <c r="IA49" s="51"/>
      <c r="IB49" s="51"/>
      <c r="IC49" s="51"/>
      <c r="ID49" s="51"/>
      <c r="IE49" s="51"/>
      <c r="IF49" s="51"/>
      <c r="IG49" s="51"/>
      <c r="IH49" s="51"/>
      <c r="II49" s="51"/>
      <c r="IJ49" s="51"/>
      <c r="IK49" s="51"/>
      <c r="IL49" s="51"/>
    </row>
    <row r="50" spans="2:246" ht="12.95" customHeight="1" thickBot="1">
      <c r="B50" s="567" t="s">
        <v>1486</v>
      </c>
      <c r="C50" s="212" t="s">
        <v>506</v>
      </c>
      <c r="D50" s="10"/>
      <c r="E50" s="10" t="s">
        <v>614</v>
      </c>
      <c r="I50" s="17"/>
      <c r="AJ50" s="213"/>
      <c r="AK50" s="454"/>
      <c r="AP50" s="667" t="str">
        <f ca="1">AP44&amp;AP45&amp;AP46&amp;AP47&amp;AP48&amp;AP49</f>
        <v>000111</v>
      </c>
      <c r="AQ50" s="668"/>
      <c r="AR50" s="669" t="str">
        <f ca="1">IF(OR(AU5=AR44,AU5=AR45,AU5=AR46,AU5=AR47),"HC","")</f>
        <v/>
      </c>
      <c r="AV50" s="732"/>
      <c r="AW50" s="733"/>
      <c r="AY50" s="247"/>
      <c r="AZ50" s="733"/>
      <c r="BA50" s="212"/>
      <c r="BE50" s="742"/>
      <c r="BF50" s="616"/>
      <c r="BG50" s="616"/>
      <c r="BH50" s="743"/>
      <c r="BI50" s="744"/>
      <c r="BP50" s="661"/>
      <c r="BQ50" s="706"/>
      <c r="BR50" s="212"/>
      <c r="BW50" s="70"/>
      <c r="BX50" s="71"/>
      <c r="BY50" s="98"/>
      <c r="BZ50" s="73"/>
      <c r="CA50" s="74"/>
      <c r="CB50" s="51"/>
      <c r="CC50" s="52"/>
      <c r="CD50" s="53" t="s">
        <v>4312</v>
      </c>
      <c r="CE50" s="54" t="s">
        <v>2688</v>
      </c>
      <c r="CF50" s="88">
        <f>IF(BY48&lt;23,CG48,CG48+1)</f>
        <v>-366</v>
      </c>
      <c r="CG50" s="55"/>
      <c r="CH50" s="99">
        <f>CF50/60</f>
        <v>-6.1</v>
      </c>
      <c r="CI50" s="100">
        <f>INT(CH50)</f>
        <v>-7</v>
      </c>
      <c r="CJ50" s="88">
        <f>CF50-CI50*60</f>
        <v>54</v>
      </c>
      <c r="CK50" s="55">
        <f>CJ50+CH46</f>
        <v>72</v>
      </c>
      <c r="CL50" s="55"/>
      <c r="CM50" s="55"/>
      <c r="CN50" s="55"/>
      <c r="CO50" s="55"/>
      <c r="CP50" s="55"/>
      <c r="CQ50" s="55"/>
      <c r="CR50" s="55"/>
      <c r="CS50" s="55"/>
      <c r="CT50" s="55"/>
      <c r="CU50" s="55"/>
      <c r="CV50" s="52"/>
      <c r="CW50" s="51"/>
      <c r="CX50" s="51"/>
      <c r="CY50" s="51">
        <v>1920</v>
      </c>
      <c r="CZ50" s="197">
        <v>0</v>
      </c>
      <c r="DA50" s="103"/>
      <c r="DB50" s="104" t="s">
        <v>3733</v>
      </c>
      <c r="DC50" s="103"/>
      <c r="DD50" s="198" t="s">
        <v>9297</v>
      </c>
      <c r="DE50" s="51"/>
      <c r="DF50" s="197" t="s">
        <v>9005</v>
      </c>
      <c r="DG50" s="104" t="s">
        <v>1402</v>
      </c>
      <c r="DH50" s="198" t="s">
        <v>7322</v>
      </c>
      <c r="DI50" s="51"/>
      <c r="DJ50" s="51"/>
      <c r="DK50" s="190"/>
      <c r="DL50" s="190"/>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1"/>
      <c r="FT50" s="51"/>
      <c r="FU50" s="51"/>
      <c r="FV50" s="51"/>
      <c r="FW50" s="51"/>
      <c r="FX50" s="51"/>
      <c r="FY50" s="51"/>
      <c r="FZ50" s="51"/>
      <c r="GA50" s="51"/>
      <c r="GB50" s="51"/>
      <c r="GC50" s="51"/>
      <c r="GD50" s="51"/>
      <c r="GE50" s="51"/>
      <c r="GF50" s="51"/>
      <c r="GG50" s="51"/>
      <c r="GH50" s="51"/>
      <c r="GI50" s="51"/>
      <c r="GJ50" s="51"/>
      <c r="GK50" s="51"/>
      <c r="GL50" s="51"/>
      <c r="GM50" s="51"/>
      <c r="GN50" s="51"/>
      <c r="GO50" s="51"/>
      <c r="GP50" s="51"/>
      <c r="GQ50" s="51"/>
      <c r="GR50" s="51"/>
      <c r="GS50" s="51"/>
      <c r="GT50" s="51"/>
      <c r="GU50" s="51"/>
      <c r="GV50" s="51"/>
      <c r="GW50" s="51"/>
      <c r="GX50" s="51"/>
      <c r="GY50" s="51"/>
      <c r="GZ50" s="51"/>
      <c r="HA50" s="51"/>
      <c r="HB50" s="51"/>
      <c r="HC50" s="51"/>
      <c r="HD50" s="51"/>
      <c r="HE50" s="51"/>
      <c r="HF50" s="51"/>
      <c r="HG50" s="51"/>
      <c r="HH50" s="51"/>
      <c r="HI50" s="51"/>
      <c r="HJ50" s="51"/>
      <c r="HK50" s="51"/>
      <c r="HL50" s="51"/>
      <c r="HM50" s="51"/>
      <c r="HN50" s="51"/>
      <c r="HO50" s="51"/>
      <c r="HP50" s="51"/>
      <c r="HQ50" s="51"/>
      <c r="HR50" s="51"/>
      <c r="HS50" s="51"/>
      <c r="HT50" s="51"/>
      <c r="HU50" s="51"/>
      <c r="HV50" s="51"/>
      <c r="HW50" s="51"/>
      <c r="HX50" s="51"/>
      <c r="HY50" s="51"/>
      <c r="HZ50" s="51"/>
      <c r="IA50" s="51"/>
      <c r="IB50" s="51"/>
      <c r="IC50" s="51"/>
      <c r="ID50" s="51"/>
      <c r="IE50" s="51"/>
      <c r="IF50" s="51"/>
      <c r="IG50" s="51"/>
      <c r="IH50" s="51"/>
      <c r="II50" s="51"/>
      <c r="IJ50" s="51"/>
      <c r="IK50" s="51"/>
      <c r="IL50" s="51"/>
    </row>
    <row r="51" spans="2:246" ht="12.95" customHeight="1" thickTop="1" thickBot="1">
      <c r="B51" s="567" t="s">
        <v>1478</v>
      </c>
      <c r="C51" s="212" t="s">
        <v>1399</v>
      </c>
      <c r="D51" s="10"/>
      <c r="E51" s="10" t="s">
        <v>621</v>
      </c>
      <c r="I51" s="17"/>
      <c r="AJ51" s="213"/>
      <c r="AK51" s="454"/>
      <c r="AP51" s="660" t="str">
        <f ca="1">IF(AT32=5,"",IF(AND(AT32=8,'Vận Năm'!B78="*",AP44=0),1,IF(AND(AT32=8,'Vận Năm'!B78="*",AP44=1),0,IF(AND(AT32=8,'Vận Năm'!B78=""),AP44))))</f>
        <v/>
      </c>
      <c r="AQ51" s="212">
        <f ca="1">AQ9+6</f>
        <v>2038</v>
      </c>
      <c r="AR51" s="495" t="str">
        <f ca="1">AP51&amp;AP52&amp;AP53</f>
        <v/>
      </c>
      <c r="AW51" s="745"/>
      <c r="AX51" s="746"/>
      <c r="BE51" s="742"/>
      <c r="BF51" s="616"/>
      <c r="BG51" s="616"/>
      <c r="BH51" s="743"/>
      <c r="BI51" s="744"/>
      <c r="BP51" s="661"/>
      <c r="BQ51" s="706"/>
      <c r="BR51" s="212"/>
      <c r="BW51" s="997"/>
      <c r="BX51" s="998"/>
      <c r="BY51" s="998"/>
      <c r="BZ51" s="998"/>
      <c r="CA51" s="999"/>
      <c r="CB51" s="51"/>
      <c r="CC51" s="52"/>
      <c r="CD51" s="53"/>
      <c r="CE51" s="54"/>
      <c r="CF51" s="105"/>
      <c r="CG51" s="55"/>
      <c r="CH51" s="99"/>
      <c r="CI51" s="100"/>
      <c r="CJ51" s="55"/>
      <c r="CK51" s="55"/>
      <c r="CL51" s="55"/>
      <c r="CM51" s="55"/>
      <c r="CN51" s="55"/>
      <c r="CO51" s="55"/>
      <c r="CP51" s="55"/>
      <c r="CQ51" s="55"/>
      <c r="CR51" s="55"/>
      <c r="CS51" s="55"/>
      <c r="CT51" s="55"/>
      <c r="CU51" s="55"/>
      <c r="CV51" s="52"/>
      <c r="CW51" s="51"/>
      <c r="CX51" s="51"/>
      <c r="CY51" s="51">
        <v>1921</v>
      </c>
      <c r="CZ51" s="199">
        <v>1</v>
      </c>
      <c r="DA51" s="200"/>
      <c r="DB51" s="201" t="s">
        <v>3734</v>
      </c>
      <c r="DC51" s="200"/>
      <c r="DD51" s="202" t="s">
        <v>9298</v>
      </c>
      <c r="DE51" s="51"/>
      <c r="DF51" s="199" t="s">
        <v>9006</v>
      </c>
      <c r="DG51" s="201" t="s">
        <v>9301</v>
      </c>
      <c r="DH51" s="202" t="s">
        <v>7323</v>
      </c>
      <c r="DI51" s="51"/>
      <c r="DJ51" s="51"/>
      <c r="DK51" s="190"/>
      <c r="DL51" s="190"/>
      <c r="DM51" s="51"/>
      <c r="DN51" s="51"/>
      <c r="DO51" s="51"/>
      <c r="DP51" s="51"/>
      <c r="DQ51" s="51"/>
      <c r="DR51" s="51"/>
      <c r="DS51" s="51"/>
      <c r="DT51" s="51"/>
      <c r="DU51" s="51"/>
      <c r="DV51" s="51"/>
      <c r="DW51" s="51"/>
      <c r="DX51" s="51"/>
      <c r="DY51" s="51"/>
      <c r="DZ51" s="51"/>
      <c r="EA51" s="51"/>
      <c r="EB51" s="51"/>
      <c r="EC51" s="51"/>
      <c r="ED51" s="51"/>
      <c r="EE51" s="51"/>
      <c r="EF51" s="51"/>
      <c r="EG51" s="51"/>
      <c r="EH51" s="51"/>
      <c r="EI51" s="51"/>
      <c r="EJ51" s="51"/>
      <c r="EK51" s="51"/>
      <c r="EL51" s="51"/>
      <c r="EM51" s="51"/>
      <c r="EN51" s="51"/>
      <c r="EO51" s="51"/>
      <c r="EP51" s="51"/>
      <c r="EQ51" s="51"/>
      <c r="ER51" s="51"/>
      <c r="ES51" s="51"/>
      <c r="ET51" s="51"/>
      <c r="EU51" s="51"/>
      <c r="EV51" s="51"/>
      <c r="EW51" s="51"/>
      <c r="EX51" s="51"/>
      <c r="EY51" s="51"/>
      <c r="EZ51" s="51"/>
      <c r="FA51" s="51"/>
      <c r="FB51" s="51"/>
      <c r="FC51" s="51"/>
      <c r="FD51" s="51"/>
      <c r="FE51" s="51"/>
      <c r="FF51" s="51"/>
      <c r="FG51" s="51"/>
      <c r="FH51" s="51"/>
      <c r="FI51" s="51"/>
      <c r="FJ51" s="51"/>
      <c r="FK51" s="51"/>
      <c r="FL51" s="51"/>
      <c r="FM51" s="51"/>
      <c r="FN51" s="51"/>
      <c r="FO51" s="51"/>
      <c r="FP51" s="51"/>
      <c r="FQ51" s="51"/>
      <c r="FR51" s="51"/>
      <c r="FS51" s="51"/>
      <c r="FT51" s="51"/>
      <c r="FU51" s="51"/>
      <c r="FV51" s="51"/>
      <c r="FW51" s="51"/>
      <c r="FX51" s="51"/>
      <c r="FY51" s="51"/>
      <c r="FZ51" s="51"/>
      <c r="GA51" s="51"/>
      <c r="GB51" s="51"/>
      <c r="GC51" s="51"/>
      <c r="GD51" s="51"/>
      <c r="GE51" s="51"/>
      <c r="GF51" s="51"/>
      <c r="GG51" s="51"/>
      <c r="GH51" s="51"/>
      <c r="GI51" s="51"/>
      <c r="GJ51" s="51"/>
      <c r="GK51" s="51"/>
      <c r="GL51" s="51"/>
      <c r="GM51" s="51"/>
      <c r="GN51" s="51"/>
      <c r="GO51" s="51"/>
      <c r="GP51" s="51"/>
      <c r="GQ51" s="51"/>
      <c r="GR51" s="51"/>
      <c r="GS51" s="51"/>
      <c r="GT51" s="51"/>
      <c r="GU51" s="51"/>
      <c r="GV51" s="51"/>
      <c r="GW51" s="51"/>
      <c r="GX51" s="51"/>
      <c r="GY51" s="51"/>
      <c r="GZ51" s="51"/>
      <c r="HA51" s="51"/>
      <c r="HB51" s="51"/>
      <c r="HC51" s="51"/>
      <c r="HD51" s="51"/>
      <c r="HE51" s="51"/>
      <c r="HF51" s="51"/>
      <c r="HG51" s="51"/>
      <c r="HH51" s="51"/>
      <c r="HI51" s="51"/>
      <c r="HJ51" s="51"/>
      <c r="HK51" s="51"/>
      <c r="HL51" s="51"/>
      <c r="HM51" s="51"/>
      <c r="HN51" s="51"/>
      <c r="HO51" s="51"/>
      <c r="HP51" s="51"/>
      <c r="HQ51" s="51"/>
      <c r="HR51" s="51"/>
      <c r="HS51" s="51"/>
      <c r="HT51" s="51"/>
      <c r="HU51" s="51"/>
      <c r="HV51" s="51"/>
      <c r="HW51" s="51"/>
      <c r="HX51" s="51"/>
      <c r="HY51" s="51"/>
      <c r="HZ51" s="51"/>
      <c r="IA51" s="51"/>
      <c r="IB51" s="51"/>
      <c r="IC51" s="51"/>
      <c r="ID51" s="51"/>
      <c r="IE51" s="51"/>
      <c r="IF51" s="51"/>
      <c r="IG51" s="51"/>
      <c r="IH51" s="51"/>
      <c r="II51" s="51"/>
      <c r="IJ51" s="51"/>
      <c r="IK51" s="51"/>
      <c r="IL51" s="51"/>
    </row>
    <row r="52" spans="2:246" ht="12.95" customHeight="1" thickTop="1">
      <c r="B52" s="567" t="s">
        <v>3034</v>
      </c>
      <c r="C52" s="212" t="s">
        <v>505</v>
      </c>
      <c r="D52" s="10" t="s">
        <v>9011</v>
      </c>
      <c r="E52" s="10" t="s">
        <v>623</v>
      </c>
      <c r="F52" s="14"/>
      <c r="I52" s="17"/>
      <c r="AJ52" s="213"/>
      <c r="AK52" s="454"/>
      <c r="AP52" s="660" t="str">
        <f ca="1">IF(AT32=5,"",IF(AND(AT32=8,'Vận Năm'!B79="*",AP45=0),1,IF(AND(AT32=8,'Vận Năm'!B79="*",AP45=1),0,IF(AND(AT32=8,'Vận Năm'!B79=""),AP45))))</f>
        <v/>
      </c>
      <c r="AQ52" s="661" t="str">
        <f ca="1">INDEX(E4:E15,MOD(AQ51,12)+1)</f>
        <v>Ngọ</v>
      </c>
      <c r="AR52" s="495" t="str">
        <f ca="1">AP54&amp;AP55&amp;AP56</f>
        <v/>
      </c>
      <c r="BE52" s="742"/>
      <c r="BF52" s="616"/>
      <c r="BG52" s="616"/>
      <c r="BH52" s="747"/>
      <c r="BI52" s="616"/>
      <c r="BP52" s="721"/>
      <c r="BQ52" s="706"/>
      <c r="BR52" s="722"/>
      <c r="BW52" s="107"/>
      <c r="BX52" s="107"/>
      <c r="BY52" s="107"/>
      <c r="BZ52" s="108"/>
      <c r="CA52" s="108"/>
      <c r="CB52" s="51"/>
      <c r="CC52" s="52"/>
      <c r="CD52" s="109" t="s">
        <v>1420</v>
      </c>
      <c r="CE52" s="61" t="s">
        <v>2688</v>
      </c>
      <c r="CF52" s="84"/>
      <c r="CG52" s="61">
        <f>IF(CK50&gt;59,CK50-60,CK50)</f>
        <v>12</v>
      </c>
      <c r="CH52" s="110" t="str">
        <f>VLOOKUP(CG52,CZ50:DD109,3,FALSE)</f>
        <v>Nhâm</v>
      </c>
      <c r="CI52" s="111" t="str">
        <f>VLOOKUP(CG52,CZ50:DD109,5,FALSE)</f>
        <v>Thân</v>
      </c>
      <c r="CJ52" s="84"/>
      <c r="CK52" s="84"/>
      <c r="CL52" s="84"/>
      <c r="CM52" s="85"/>
      <c r="CN52" s="55"/>
      <c r="CO52" s="55"/>
      <c r="CP52" s="55"/>
      <c r="CQ52" s="55"/>
      <c r="CR52" s="55"/>
      <c r="CS52" s="55"/>
      <c r="CT52" s="55"/>
      <c r="CU52" s="55"/>
      <c r="CV52" s="52"/>
      <c r="CW52" s="51"/>
      <c r="CX52" s="51"/>
      <c r="CY52" s="51">
        <v>1922</v>
      </c>
      <c r="CZ52" s="199">
        <v>2</v>
      </c>
      <c r="DA52" s="200"/>
      <c r="DB52" s="201" t="s">
        <v>3735</v>
      </c>
      <c r="DC52" s="200"/>
      <c r="DD52" s="202" t="s">
        <v>9299</v>
      </c>
      <c r="DE52" s="51"/>
      <c r="DF52" s="199" t="s">
        <v>9007</v>
      </c>
      <c r="DG52" s="201" t="s">
        <v>353</v>
      </c>
      <c r="DH52" s="202" t="s">
        <v>7322</v>
      </c>
      <c r="DI52" s="51"/>
      <c r="DJ52" s="51"/>
      <c r="DK52" s="190"/>
      <c r="DL52" s="190"/>
      <c r="DM52" s="51"/>
      <c r="DN52" s="51"/>
      <c r="DO52" s="51"/>
      <c r="DP52" s="51"/>
      <c r="DQ52" s="51"/>
      <c r="DR52" s="51"/>
      <c r="DS52" s="51"/>
      <c r="DT52" s="51"/>
      <c r="DU52" s="51"/>
      <c r="DV52" s="51"/>
      <c r="DW52" s="51"/>
      <c r="DX52" s="51"/>
      <c r="DY52" s="51"/>
      <c r="DZ52" s="51"/>
      <c r="EA52" s="51"/>
      <c r="EB52" s="51"/>
      <c r="EC52" s="51"/>
      <c r="ED52" s="51"/>
      <c r="EE52" s="51"/>
      <c r="EF52" s="51"/>
      <c r="EG52" s="51"/>
      <c r="EH52" s="51"/>
      <c r="EI52" s="51"/>
      <c r="EJ52" s="51"/>
      <c r="EK52" s="51"/>
      <c r="EL52" s="51"/>
      <c r="EM52" s="51"/>
      <c r="EN52" s="51"/>
      <c r="EO52" s="51"/>
      <c r="EP52" s="51"/>
      <c r="EQ52" s="51"/>
      <c r="ER52" s="51"/>
      <c r="ES52" s="51"/>
      <c r="ET52" s="51"/>
      <c r="EU52" s="51"/>
      <c r="EV52" s="51"/>
      <c r="EW52" s="51"/>
      <c r="EX52" s="51"/>
      <c r="EY52" s="51"/>
      <c r="EZ52" s="51"/>
      <c r="FA52" s="51"/>
      <c r="FB52" s="51"/>
      <c r="FC52" s="51"/>
      <c r="FD52" s="51"/>
      <c r="FE52" s="51"/>
      <c r="FF52" s="51"/>
      <c r="FG52" s="51"/>
      <c r="FH52" s="51"/>
      <c r="FI52" s="51"/>
      <c r="FJ52" s="51"/>
      <c r="FK52" s="51"/>
      <c r="FL52" s="51"/>
      <c r="FM52" s="51"/>
      <c r="FN52" s="51"/>
      <c r="FO52" s="51"/>
      <c r="FP52" s="51"/>
      <c r="FQ52" s="51"/>
      <c r="FR52" s="51"/>
      <c r="FS52" s="51"/>
      <c r="FT52" s="51"/>
      <c r="FU52" s="51"/>
      <c r="FV52" s="51"/>
      <c r="FW52" s="51"/>
      <c r="FX52" s="51"/>
      <c r="FY52" s="51"/>
      <c r="FZ52" s="51"/>
      <c r="GA52" s="51"/>
      <c r="GB52" s="51"/>
      <c r="GC52" s="51"/>
      <c r="GD52" s="51"/>
      <c r="GE52" s="51"/>
      <c r="GF52" s="51"/>
      <c r="GG52" s="51"/>
      <c r="GH52" s="51"/>
      <c r="GI52" s="51"/>
      <c r="GJ52" s="51"/>
      <c r="GK52" s="51"/>
      <c r="GL52" s="51"/>
      <c r="GM52" s="51"/>
      <c r="GN52" s="51"/>
      <c r="GO52" s="51"/>
      <c r="GP52" s="51"/>
      <c r="GQ52" s="51"/>
      <c r="GR52" s="51"/>
      <c r="GS52" s="51"/>
      <c r="GT52" s="51"/>
      <c r="GU52" s="51"/>
      <c r="GV52" s="51"/>
      <c r="GW52" s="51"/>
      <c r="GX52" s="51"/>
      <c r="GY52" s="51"/>
      <c r="GZ52" s="51"/>
      <c r="HA52" s="51"/>
      <c r="HB52" s="51"/>
      <c r="HC52" s="51"/>
      <c r="HD52" s="51"/>
      <c r="HE52" s="51"/>
      <c r="HF52" s="51"/>
      <c r="HG52" s="51"/>
      <c r="HH52" s="51"/>
      <c r="HI52" s="51"/>
      <c r="HJ52" s="51"/>
      <c r="HK52" s="51"/>
      <c r="HL52" s="51"/>
      <c r="HM52" s="51"/>
      <c r="HN52" s="51"/>
      <c r="HO52" s="51"/>
      <c r="HP52" s="51"/>
      <c r="HQ52" s="51"/>
      <c r="HR52" s="51"/>
      <c r="HS52" s="51"/>
      <c r="HT52" s="51"/>
      <c r="HU52" s="51"/>
      <c r="HV52" s="51"/>
      <c r="HW52" s="51"/>
      <c r="HX52" s="51"/>
      <c r="HY52" s="51"/>
      <c r="HZ52" s="51"/>
      <c r="IA52" s="51"/>
      <c r="IB52" s="51"/>
      <c r="IC52" s="51"/>
      <c r="ID52" s="51"/>
      <c r="IE52" s="51"/>
      <c r="IF52" s="51"/>
      <c r="IG52" s="51"/>
      <c r="IH52" s="51"/>
      <c r="II52" s="51"/>
      <c r="IJ52" s="51"/>
      <c r="IK52" s="51"/>
      <c r="IL52" s="51"/>
    </row>
    <row r="53" spans="2:246" ht="12.95" customHeight="1" thickBot="1">
      <c r="B53" s="567" t="s">
        <v>7208</v>
      </c>
      <c r="C53" s="212" t="s">
        <v>9300</v>
      </c>
      <c r="D53" s="10"/>
      <c r="E53" s="10" t="s">
        <v>625</v>
      </c>
      <c r="I53" s="17"/>
      <c r="AJ53" s="213"/>
      <c r="AK53" s="454"/>
      <c r="AP53" s="660" t="str">
        <f ca="1">IF(AT32=5,"",IF(AND(AT32=8,'Vận Năm'!B80="*",AP46=0),1,IF(AND(AT32=8,'Vận Năm'!B80="*",AP46=1),0,IF(AND(AT32=8,'Vận Năm'!B80=""),AP46))))</f>
        <v/>
      </c>
      <c r="AQ53" s="19" t="str">
        <f ca="1">IF(AP57="","",HLOOKUP(AP57,'64Quẻ'!B4:DX5,2,0))</f>
        <v/>
      </c>
      <c r="AR53" s="495" t="str">
        <f ca="1">AP52&amp;AP53&amp;AP54</f>
        <v/>
      </c>
      <c r="BE53" s="742"/>
      <c r="BF53" s="616"/>
      <c r="BG53" s="616"/>
      <c r="BH53" s="747"/>
      <c r="BI53" s="616"/>
      <c r="BP53" s="721"/>
      <c r="BQ53" s="706"/>
      <c r="BR53" s="722"/>
      <c r="BW53" s="988" t="s">
        <v>442</v>
      </c>
      <c r="BX53" s="988"/>
      <c r="BY53" s="988"/>
      <c r="BZ53" s="988"/>
      <c r="CA53" s="988"/>
      <c r="CB53" s="51"/>
      <c r="CC53" s="52"/>
      <c r="CD53" s="114" t="s">
        <v>1421</v>
      </c>
      <c r="CE53" s="54" t="s">
        <v>2688</v>
      </c>
      <c r="CF53" s="115" t="str">
        <f>IF(AND(51522&gt;CF50,CF50&gt;49),IF(CF50=CF56,HLOOKUP(CF50-1,CZ6:IJ9,4),HLOOKUP(CF50,CZ6:IJ9,4)),"Vượt phạm vi đổi DL-ÂL")</f>
        <v>Vượt phạm vi đổi DL-ÂL</v>
      </c>
      <c r="CG53" s="116" t="e">
        <f>HLOOKUP(CF50,CZ6:IJ9,2)</f>
        <v>#N/A</v>
      </c>
      <c r="CH53" s="117" t="s">
        <v>1422</v>
      </c>
      <c r="CI53" s="118" t="e">
        <f>HLOOKUP(CF50,CZ6:IJ9,3)</f>
        <v>#N/A</v>
      </c>
      <c r="CJ53" s="55"/>
      <c r="CK53" s="119" t="e">
        <f>CF53/60</f>
        <v>#VALUE!</v>
      </c>
      <c r="CL53" s="119" t="e">
        <f>INT(CK53)</f>
        <v>#VALUE!</v>
      </c>
      <c r="CM53" s="89" t="e">
        <f>CF53-60*CL53</f>
        <v>#VALUE!</v>
      </c>
      <c r="CN53" s="55"/>
      <c r="CO53" s="55"/>
      <c r="CP53" s="55"/>
      <c r="CQ53" s="55"/>
      <c r="CR53" s="55"/>
      <c r="CS53" s="55"/>
      <c r="CT53" s="55"/>
      <c r="CU53" s="55"/>
      <c r="CV53" s="52"/>
      <c r="CW53" s="51"/>
      <c r="CX53" s="51"/>
      <c r="CY53" s="51">
        <v>1923</v>
      </c>
      <c r="CZ53" s="199">
        <v>3</v>
      </c>
      <c r="DA53" s="200"/>
      <c r="DB53" s="201" t="s">
        <v>1876</v>
      </c>
      <c r="DC53" s="200"/>
      <c r="DD53" s="202" t="s">
        <v>9300</v>
      </c>
      <c r="DE53" s="51"/>
      <c r="DF53" s="199" t="s">
        <v>9008</v>
      </c>
      <c r="DG53" s="201" t="s">
        <v>1399</v>
      </c>
      <c r="DH53" s="202" t="s">
        <v>7323</v>
      </c>
      <c r="DI53" s="51"/>
      <c r="DJ53" s="51"/>
      <c r="DK53" s="190"/>
      <c r="DL53" s="190"/>
      <c r="DM53" s="51"/>
      <c r="DN53" s="51"/>
      <c r="DO53" s="51"/>
      <c r="DP53" s="51"/>
      <c r="DQ53" s="51"/>
      <c r="DR53" s="51"/>
      <c r="DS53" s="51"/>
      <c r="DT53" s="51"/>
      <c r="DU53" s="51"/>
      <c r="DV53" s="51"/>
      <c r="DW53" s="51"/>
      <c r="DX53" s="51"/>
      <c r="DY53" s="51"/>
      <c r="DZ53" s="51"/>
      <c r="EA53" s="51"/>
      <c r="EB53" s="51"/>
      <c r="EC53" s="51"/>
      <c r="ED53" s="51"/>
      <c r="EE53" s="51"/>
      <c r="EF53" s="51"/>
      <c r="EG53" s="51"/>
      <c r="EH53" s="51"/>
      <c r="EI53" s="51"/>
      <c r="EJ53" s="51"/>
      <c r="EK53" s="51"/>
      <c r="EL53" s="51"/>
      <c r="EM53" s="51"/>
      <c r="EN53" s="51"/>
      <c r="EO53" s="51"/>
      <c r="EP53" s="51"/>
      <c r="EQ53" s="51"/>
      <c r="ER53" s="51"/>
      <c r="ES53" s="51"/>
      <c r="ET53" s="51"/>
      <c r="EU53" s="51"/>
      <c r="EV53" s="51"/>
      <c r="EW53" s="51"/>
      <c r="EX53" s="51"/>
      <c r="EY53" s="51"/>
      <c r="EZ53" s="51"/>
      <c r="FA53" s="51"/>
      <c r="FB53" s="51"/>
      <c r="FC53" s="51"/>
      <c r="FD53" s="51"/>
      <c r="FE53" s="51"/>
      <c r="FF53" s="51"/>
      <c r="FG53" s="51"/>
      <c r="FH53" s="51"/>
      <c r="FI53" s="51"/>
      <c r="FJ53" s="51"/>
      <c r="FK53" s="51"/>
      <c r="FL53" s="51"/>
      <c r="FM53" s="51"/>
      <c r="FN53" s="51"/>
      <c r="FO53" s="51"/>
      <c r="FP53" s="51"/>
      <c r="FQ53" s="51"/>
      <c r="FR53" s="51"/>
      <c r="FS53" s="51"/>
      <c r="FT53" s="51"/>
      <c r="FU53" s="51"/>
      <c r="FV53" s="51"/>
      <c r="FW53" s="51"/>
      <c r="FX53" s="51"/>
      <c r="FY53" s="51"/>
      <c r="FZ53" s="51"/>
      <c r="GA53" s="51"/>
      <c r="GB53" s="51"/>
      <c r="GC53" s="51"/>
      <c r="GD53" s="51"/>
      <c r="GE53" s="51"/>
      <c r="GF53" s="51"/>
      <c r="GG53" s="51"/>
      <c r="GH53" s="51"/>
      <c r="GI53" s="51"/>
      <c r="GJ53" s="51"/>
      <c r="GK53" s="51"/>
      <c r="GL53" s="51"/>
      <c r="GM53" s="51"/>
      <c r="GN53" s="51"/>
      <c r="GO53" s="51"/>
      <c r="GP53" s="51"/>
      <c r="GQ53" s="51"/>
      <c r="GR53" s="51"/>
      <c r="GS53" s="51"/>
      <c r="GT53" s="51"/>
      <c r="GU53" s="51"/>
      <c r="GV53" s="51"/>
      <c r="GW53" s="51"/>
      <c r="GX53" s="51"/>
      <c r="GY53" s="51"/>
      <c r="GZ53" s="51"/>
      <c r="HA53" s="51"/>
      <c r="HB53" s="51"/>
      <c r="HC53" s="51"/>
      <c r="HD53" s="51"/>
      <c r="HE53" s="51"/>
      <c r="HF53" s="51"/>
      <c r="HG53" s="51"/>
      <c r="HH53" s="51"/>
      <c r="HI53" s="51"/>
      <c r="HJ53" s="51"/>
      <c r="HK53" s="51"/>
      <c r="HL53" s="51"/>
      <c r="HM53" s="51"/>
      <c r="HN53" s="51"/>
      <c r="HO53" s="51"/>
      <c r="HP53" s="51"/>
      <c r="HQ53" s="51"/>
      <c r="HR53" s="51"/>
      <c r="HS53" s="51"/>
      <c r="HT53" s="51"/>
      <c r="HU53" s="51"/>
      <c r="HV53" s="51"/>
      <c r="HW53" s="51"/>
      <c r="HX53" s="51"/>
      <c r="HY53" s="51"/>
      <c r="HZ53" s="51"/>
      <c r="IA53" s="51"/>
      <c r="IB53" s="51"/>
      <c r="IC53" s="51"/>
      <c r="ID53" s="51"/>
      <c r="IE53" s="51"/>
      <c r="IF53" s="51"/>
      <c r="IG53" s="51"/>
      <c r="IH53" s="51"/>
      <c r="II53" s="51"/>
      <c r="IJ53" s="51"/>
      <c r="IK53" s="51"/>
      <c r="IL53" s="51"/>
    </row>
    <row r="54" spans="2:246" ht="12.95" customHeight="1" thickTop="1">
      <c r="B54" s="567" t="s">
        <v>9015</v>
      </c>
      <c r="C54" s="212" t="s">
        <v>9301</v>
      </c>
      <c r="D54" s="10"/>
      <c r="E54" s="10" t="s">
        <v>615</v>
      </c>
      <c r="I54" s="17"/>
      <c r="AJ54" s="213"/>
      <c r="AK54" s="454"/>
      <c r="AP54" s="660" t="str">
        <f ca="1">IF(AT32=5,"",IF(AND(AT32=8,'Vận Năm'!B81="*",AP47=0),1,IF(AND(AT32=8,'Vận Năm'!B81="*",AP47=1),0,IF(AND(AT32=8,'Vận Năm'!B81=""),AP47))))</f>
        <v/>
      </c>
      <c r="AQ54" s="216" t="str">
        <f ca="1">IF('Vận Năm'!B83="*",1,IF('Vận Năm'!B82="*",2,IF('Vận Năm'!B81="*",3,IF('Vận Năm'!B80="*",4,IF('Vận Năm'!B79="*",5,IF('Vận Năm'!B78="*",6,""))))))</f>
        <v/>
      </c>
      <c r="AR54" s="495" t="str">
        <f ca="1">AP53&amp;AP54&amp;AP55</f>
        <v/>
      </c>
      <c r="BE54" s="742"/>
      <c r="BF54" s="616"/>
      <c r="BG54" s="616"/>
      <c r="BH54" s="747"/>
      <c r="BI54" s="616"/>
      <c r="BP54" s="247"/>
      <c r="BQ54" s="727"/>
      <c r="BR54" s="722"/>
      <c r="BW54" s="269" t="s">
        <v>7794</v>
      </c>
      <c r="BX54" s="123" t="s">
        <v>2688</v>
      </c>
      <c r="BY54" s="986">
        <f>BY44</f>
        <v>0</v>
      </c>
      <c r="BZ54" s="986"/>
      <c r="CA54" s="987"/>
      <c r="CB54" s="51"/>
      <c r="CC54" s="52"/>
      <c r="CD54" s="124"/>
      <c r="CE54" s="93"/>
      <c r="CF54" s="125"/>
      <c r="CG54" s="93"/>
      <c r="CH54" s="126" t="e">
        <f>VLOOKUP(CM53,CZ50:DD109,3,FALSE)</f>
        <v>#VALUE!</v>
      </c>
      <c r="CI54" s="127" t="e">
        <f>VLOOKUP(CM53,CZ50:DD109,5,FALSE)</f>
        <v>#VALUE!</v>
      </c>
      <c r="CJ54" s="96"/>
      <c r="CK54" s="96"/>
      <c r="CL54" s="96"/>
      <c r="CM54" s="95"/>
      <c r="CN54" s="55"/>
      <c r="CO54" s="55"/>
      <c r="CP54" s="55"/>
      <c r="CQ54" s="55"/>
      <c r="CR54" s="55"/>
      <c r="CS54" s="55"/>
      <c r="CT54" s="55"/>
      <c r="CU54" s="55"/>
      <c r="CV54" s="52"/>
      <c r="CW54" s="51"/>
      <c r="CX54" s="51"/>
      <c r="CY54" s="51">
        <v>1924</v>
      </c>
      <c r="CZ54" s="199">
        <v>4</v>
      </c>
      <c r="DA54" s="200"/>
      <c r="DB54" s="201" t="s">
        <v>9005</v>
      </c>
      <c r="DC54" s="200"/>
      <c r="DD54" s="202" t="s">
        <v>1402</v>
      </c>
      <c r="DE54" s="51"/>
      <c r="DF54" s="199" t="s">
        <v>9009</v>
      </c>
      <c r="DG54" s="201" t="s">
        <v>505</v>
      </c>
      <c r="DH54" s="202" t="s">
        <v>7322</v>
      </c>
      <c r="DI54" s="51"/>
      <c r="DJ54" s="51"/>
      <c r="DK54" s="190"/>
      <c r="DL54" s="190"/>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1"/>
      <c r="EQ54" s="51"/>
      <c r="ER54" s="51"/>
      <c r="ES54" s="51"/>
      <c r="ET54" s="51"/>
      <c r="EU54" s="51"/>
      <c r="EV54" s="51"/>
      <c r="EW54" s="51"/>
      <c r="EX54" s="51"/>
      <c r="EY54" s="51"/>
      <c r="EZ54" s="51"/>
      <c r="FA54" s="51"/>
      <c r="FB54" s="51"/>
      <c r="FC54" s="51"/>
      <c r="FD54" s="51"/>
      <c r="FE54" s="51"/>
      <c r="FF54" s="51"/>
      <c r="FG54" s="51"/>
      <c r="FH54" s="51"/>
      <c r="FI54" s="51"/>
      <c r="FJ54" s="51"/>
      <c r="FK54" s="51"/>
      <c r="FL54" s="51"/>
      <c r="FM54" s="51"/>
      <c r="FN54" s="51"/>
      <c r="FO54" s="51"/>
      <c r="FP54" s="51"/>
      <c r="FQ54" s="51"/>
      <c r="FR54" s="51"/>
      <c r="FS54" s="51"/>
      <c r="FT54" s="51"/>
      <c r="FU54" s="51"/>
      <c r="FV54" s="51"/>
      <c r="FW54" s="51"/>
      <c r="FX54" s="51"/>
      <c r="FY54" s="51"/>
      <c r="FZ54" s="51"/>
      <c r="GA54" s="51"/>
      <c r="GB54" s="51"/>
      <c r="GC54" s="51"/>
      <c r="GD54" s="51"/>
      <c r="GE54" s="51"/>
      <c r="GF54" s="51"/>
      <c r="GG54" s="51"/>
      <c r="GH54" s="51"/>
      <c r="GI54" s="51"/>
      <c r="GJ54" s="51"/>
      <c r="GK54" s="51"/>
      <c r="GL54" s="51"/>
      <c r="GM54" s="51"/>
      <c r="GN54" s="51"/>
      <c r="GO54" s="51"/>
      <c r="GP54" s="51"/>
      <c r="GQ54" s="51"/>
      <c r="GR54" s="51"/>
      <c r="GS54" s="51"/>
      <c r="GT54" s="51"/>
      <c r="GU54" s="51"/>
      <c r="GV54" s="51"/>
      <c r="GW54" s="51"/>
      <c r="GX54" s="51"/>
      <c r="GY54" s="51"/>
      <c r="GZ54" s="51"/>
      <c r="HA54" s="51"/>
      <c r="HB54" s="51"/>
      <c r="HC54" s="51"/>
      <c r="HD54" s="51"/>
      <c r="HE54" s="51"/>
      <c r="HF54" s="51"/>
      <c r="HG54" s="51"/>
      <c r="HH54" s="51"/>
      <c r="HI54" s="51"/>
      <c r="HJ54" s="51"/>
      <c r="HK54" s="51"/>
      <c r="HL54" s="51"/>
      <c r="HM54" s="51"/>
      <c r="HN54" s="51"/>
      <c r="HO54" s="51"/>
      <c r="HP54" s="51"/>
      <c r="HQ54" s="51"/>
      <c r="HR54" s="51"/>
      <c r="HS54" s="51"/>
      <c r="HT54" s="51"/>
      <c r="HU54" s="51"/>
      <c r="HV54" s="51"/>
      <c r="HW54" s="51"/>
      <c r="HX54" s="51"/>
      <c r="HY54" s="51"/>
      <c r="HZ54" s="51"/>
      <c r="IA54" s="51"/>
      <c r="IB54" s="51"/>
      <c r="IC54" s="51"/>
      <c r="ID54" s="51"/>
      <c r="IE54" s="51"/>
      <c r="IF54" s="51"/>
      <c r="IG54" s="51"/>
      <c r="IH54" s="51"/>
      <c r="II54" s="51"/>
      <c r="IJ54" s="51"/>
      <c r="IK54" s="51"/>
      <c r="IL54" s="51"/>
    </row>
    <row r="55" spans="2:246" ht="12.95" customHeight="1">
      <c r="B55" s="567" t="s">
        <v>6353</v>
      </c>
      <c r="C55" s="212" t="s">
        <v>506</v>
      </c>
      <c r="D55" s="10"/>
      <c r="E55" s="10" t="s">
        <v>618</v>
      </c>
      <c r="I55" s="17"/>
      <c r="AJ55" s="213"/>
      <c r="AK55" s="454"/>
      <c r="AP55" s="660" t="str">
        <f ca="1">IF(AT32=5,"",IF(AND(AT32=8,'Vận Năm'!B82="*",AP48=0),1,IF(AND(AT32=8,'Vận Năm'!B82="*",AP48=1),0,IF(AND(AT32=8,'Vận Năm'!B82=""),AP48))))</f>
        <v/>
      </c>
      <c r="AQ55" s="662"/>
      <c r="AR55" s="663" t="str">
        <f ca="1">IF(OR(AU3=AR51,AU3=AR52,AU3=AR53,AU3=AR54),"TNK","")</f>
        <v/>
      </c>
      <c r="BE55" s="742"/>
      <c r="BF55" s="616"/>
      <c r="BG55" s="616"/>
      <c r="BH55" s="747"/>
      <c r="BI55" s="616"/>
      <c r="BQ55" s="706"/>
      <c r="BR55" s="212"/>
      <c r="BW55" s="128" t="s">
        <v>4472</v>
      </c>
      <c r="BX55" s="129" t="s">
        <v>2688</v>
      </c>
      <c r="BY55" s="130">
        <f>IF(OR(BY48&gt;=25,BY48-INT(BY48)&gt;0.59),"Nhập sai Giờ",BY48)</f>
        <v>0</v>
      </c>
      <c r="BZ55" s="131" t="str">
        <f>HLOOKUP(CA55,CE77:CP78,2,FALSE)</f>
        <v>Canh</v>
      </c>
      <c r="CA55" s="132" t="str">
        <f>HLOOKUP(BY55,CZ41:DL42,2)</f>
        <v>Tý</v>
      </c>
      <c r="CB55" s="51"/>
      <c r="CC55" s="52"/>
      <c r="CD55" s="116"/>
      <c r="CE55" s="55"/>
      <c r="CF55" s="115"/>
      <c r="CG55" s="54"/>
      <c r="CH55" s="117"/>
      <c r="CI55" s="54"/>
      <c r="CJ55" s="55"/>
      <c r="CK55" s="55"/>
      <c r="CL55" s="55"/>
      <c r="CM55" s="55"/>
      <c r="CN55" s="55"/>
      <c r="CO55" s="55"/>
      <c r="CP55" s="55"/>
      <c r="CQ55" s="55"/>
      <c r="CR55" s="55"/>
      <c r="CS55" s="55"/>
      <c r="CT55" s="55"/>
      <c r="CU55" s="55"/>
      <c r="CV55" s="52"/>
      <c r="CW55" s="51"/>
      <c r="CX55" s="51"/>
      <c r="CY55" s="51">
        <v>1925</v>
      </c>
      <c r="CZ55" s="199">
        <v>5</v>
      </c>
      <c r="DA55" s="200"/>
      <c r="DB55" s="201" t="s">
        <v>9006</v>
      </c>
      <c r="DC55" s="200"/>
      <c r="DD55" s="202" t="s">
        <v>9301</v>
      </c>
      <c r="DE55" s="51"/>
      <c r="DF55" s="199" t="s">
        <v>9010</v>
      </c>
      <c r="DG55" s="201" t="s">
        <v>9011</v>
      </c>
      <c r="DH55" s="202" t="s">
        <v>7323</v>
      </c>
      <c r="DI55" s="51"/>
      <c r="DJ55" s="51"/>
      <c r="DK55" s="190"/>
      <c r="DL55" s="190"/>
      <c r="DM55" s="51"/>
      <c r="DN55" s="51"/>
      <c r="DO55" s="51"/>
      <c r="DP55" s="51"/>
      <c r="DQ55" s="51"/>
      <c r="DR55" s="51"/>
      <c r="DS55" s="51"/>
      <c r="DT55" s="51"/>
      <c r="DU55" s="51"/>
      <c r="DV55" s="51"/>
      <c r="DW55" s="51"/>
      <c r="DX55" s="51"/>
      <c r="DY55" s="51"/>
      <c r="DZ55" s="51"/>
      <c r="EA55" s="51"/>
      <c r="EB55" s="51"/>
      <c r="EC55" s="51"/>
      <c r="ED55" s="51"/>
      <c r="EE55" s="51"/>
      <c r="EF55" s="51"/>
      <c r="EG55" s="51"/>
      <c r="EH55" s="51"/>
      <c r="EI55" s="51"/>
      <c r="EJ55" s="51"/>
      <c r="EK55" s="51"/>
      <c r="EL55" s="51"/>
      <c r="EM55" s="51"/>
      <c r="EN55" s="51"/>
      <c r="EO55" s="51"/>
      <c r="EP55" s="51"/>
      <c r="EQ55" s="51"/>
      <c r="ER55" s="51"/>
      <c r="ES55" s="51"/>
      <c r="ET55" s="51"/>
      <c r="EU55" s="51"/>
      <c r="EV55" s="51"/>
      <c r="EW55" s="51"/>
      <c r="EX55" s="51"/>
      <c r="EY55" s="51"/>
      <c r="EZ55" s="51"/>
      <c r="FA55" s="51"/>
      <c r="FB55" s="51"/>
      <c r="FC55" s="51"/>
      <c r="FD55" s="51"/>
      <c r="FE55" s="51"/>
      <c r="FF55" s="51"/>
      <c r="FG55" s="51"/>
      <c r="FH55" s="51"/>
      <c r="FI55" s="51"/>
      <c r="FJ55" s="51"/>
      <c r="FK55" s="51"/>
      <c r="FL55" s="51"/>
      <c r="FM55" s="51"/>
      <c r="FN55" s="51"/>
      <c r="FO55" s="51"/>
      <c r="FP55" s="51"/>
      <c r="FQ55" s="51"/>
      <c r="FR55" s="51"/>
      <c r="FS55" s="51"/>
      <c r="FT55" s="51"/>
      <c r="FU55" s="51"/>
      <c r="FV55" s="51"/>
      <c r="FW55" s="51"/>
      <c r="FX55" s="51"/>
      <c r="FY55" s="51"/>
      <c r="FZ55" s="51"/>
      <c r="GA55" s="51"/>
      <c r="GB55" s="51"/>
      <c r="GC55" s="51"/>
      <c r="GD55" s="51"/>
      <c r="GE55" s="51"/>
      <c r="GF55" s="51"/>
      <c r="GG55" s="51"/>
      <c r="GH55" s="51"/>
      <c r="GI55" s="51"/>
      <c r="GJ55" s="51"/>
      <c r="GK55" s="51"/>
      <c r="GL55" s="51"/>
      <c r="GM55" s="51"/>
      <c r="GN55" s="51"/>
      <c r="GO55" s="51"/>
      <c r="GP55" s="51"/>
      <c r="GQ55" s="51"/>
      <c r="GR55" s="51"/>
      <c r="GS55" s="51"/>
      <c r="GT55" s="51"/>
      <c r="GU55" s="51"/>
      <c r="GV55" s="51"/>
      <c r="GW55" s="51"/>
      <c r="GX55" s="51"/>
      <c r="GY55" s="51"/>
      <c r="GZ55" s="51"/>
      <c r="HA55" s="51"/>
      <c r="HB55" s="51"/>
      <c r="HC55" s="51"/>
      <c r="HD55" s="51"/>
      <c r="HE55" s="51"/>
      <c r="HF55" s="51"/>
      <c r="HG55" s="51"/>
      <c r="HH55" s="51"/>
      <c r="HI55" s="51"/>
      <c r="HJ55" s="51"/>
      <c r="HK55" s="51"/>
      <c r="HL55" s="51"/>
      <c r="HM55" s="51"/>
      <c r="HN55" s="51"/>
      <c r="HO55" s="51"/>
      <c r="HP55" s="51"/>
      <c r="HQ55" s="51"/>
      <c r="HR55" s="51"/>
      <c r="HS55" s="51"/>
      <c r="HT55" s="51"/>
      <c r="HU55" s="51"/>
      <c r="HV55" s="51"/>
      <c r="HW55" s="51"/>
      <c r="HX55" s="51"/>
      <c r="HY55" s="51"/>
      <c r="HZ55" s="51"/>
      <c r="IA55" s="51"/>
      <c r="IB55" s="51"/>
      <c r="IC55" s="51"/>
      <c r="ID55" s="51"/>
      <c r="IE55" s="51"/>
      <c r="IF55" s="51"/>
      <c r="IG55" s="51"/>
      <c r="IH55" s="51"/>
      <c r="II55" s="51"/>
      <c r="IJ55" s="51"/>
      <c r="IK55" s="51"/>
      <c r="IL55" s="51"/>
    </row>
    <row r="56" spans="2:246" ht="12.95" customHeight="1">
      <c r="B56" s="568" t="s">
        <v>845</v>
      </c>
      <c r="C56" s="212" t="s">
        <v>353</v>
      </c>
      <c r="D56" s="10" t="s">
        <v>9299</v>
      </c>
      <c r="E56" s="10" t="s">
        <v>619</v>
      </c>
      <c r="F56" s="14"/>
      <c r="I56" s="17"/>
      <c r="AJ56" s="213"/>
      <c r="AK56" s="454"/>
      <c r="AP56" s="660" t="str">
        <f ca="1">IF(AT32=5,"",IF(AND(AT32=8,'Vận Năm'!B83="*",AP49=0),1,IF(AND(AT32=8,'Vận Năm'!B83="*",AP49=1),0,IF(AND(AT32=8,'Vận Năm'!B83=""),AP49))))</f>
        <v/>
      </c>
      <c r="AQ56" s="662"/>
      <c r="AR56" s="663" t="str">
        <f ca="1">IF(OR(AU4=AR51,AU4=AR52,AU4=AR53,AU4=AR54),"ĐNK","")</f>
        <v/>
      </c>
      <c r="BE56" s="742"/>
      <c r="BF56" s="616"/>
      <c r="BG56" s="616"/>
      <c r="BH56" s="747"/>
      <c r="BI56" s="616"/>
      <c r="BP56" s="712"/>
      <c r="BQ56" s="706"/>
      <c r="BR56" s="212"/>
      <c r="BW56" s="128" t="s">
        <v>4473</v>
      </c>
      <c r="BX56" s="129" t="s">
        <v>2688</v>
      </c>
      <c r="BY56" s="133" t="str">
        <f>CF65</f>
        <v>Nhập sai ngày DL</v>
      </c>
      <c r="BZ56" s="131" t="str">
        <f>CH52</f>
        <v>Nhâm</v>
      </c>
      <c r="CA56" s="134" t="str">
        <f>CI52</f>
        <v>Thân</v>
      </c>
      <c r="CB56" s="51"/>
      <c r="CC56" s="52"/>
      <c r="CD56" s="53" t="s">
        <v>2681</v>
      </c>
      <c r="CE56" s="54" t="s">
        <v>2688</v>
      </c>
      <c r="CF56" s="105" t="e">
        <f>HLOOKUP(CF50,CZ6:IJ9,1)</f>
        <v>#N/A</v>
      </c>
      <c r="CG56" s="105" t="e">
        <f>IF(CF50=CF56,HLOOKUP(CF50-1,CZ6:IJ6,1),CF56)</f>
        <v>#N/A</v>
      </c>
      <c r="CH56" s="55"/>
      <c r="CI56" s="55"/>
      <c r="CJ56" s="55"/>
      <c r="CK56" s="55"/>
      <c r="CL56" s="55"/>
      <c r="CM56" s="55"/>
      <c r="CN56" s="55"/>
      <c r="CO56" s="55"/>
      <c r="CP56" s="55"/>
      <c r="CQ56" s="55"/>
      <c r="CR56" s="55"/>
      <c r="CS56" s="55"/>
      <c r="CT56" s="55"/>
      <c r="CU56" s="55"/>
      <c r="CV56" s="52"/>
      <c r="CW56" s="51"/>
      <c r="CX56" s="51"/>
      <c r="CY56" s="51">
        <v>1926</v>
      </c>
      <c r="CZ56" s="199">
        <v>6</v>
      </c>
      <c r="DA56" s="200"/>
      <c r="DB56" s="201" t="s">
        <v>9007</v>
      </c>
      <c r="DC56" s="200"/>
      <c r="DD56" s="202" t="s">
        <v>353</v>
      </c>
      <c r="DE56" s="51"/>
      <c r="DF56" s="199" t="s">
        <v>3733</v>
      </c>
      <c r="DG56" s="201" t="s">
        <v>506</v>
      </c>
      <c r="DH56" s="202" t="s">
        <v>7322</v>
      </c>
      <c r="DI56" s="51"/>
      <c r="DJ56" s="51"/>
      <c r="DK56" s="190"/>
      <c r="DL56" s="190"/>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51"/>
      <c r="EN56" s="51"/>
      <c r="EO56" s="51"/>
      <c r="EP56" s="51"/>
      <c r="EQ56" s="51"/>
      <c r="ER56" s="51"/>
      <c r="ES56" s="51"/>
      <c r="ET56" s="51"/>
      <c r="EU56" s="51"/>
      <c r="EV56" s="51"/>
      <c r="EW56" s="51"/>
      <c r="EX56" s="51"/>
      <c r="EY56" s="51"/>
      <c r="EZ56" s="51"/>
      <c r="FA56" s="51"/>
      <c r="FB56" s="51"/>
      <c r="FC56" s="51"/>
      <c r="FD56" s="51"/>
      <c r="FE56" s="51"/>
      <c r="FF56" s="51"/>
      <c r="FG56" s="51"/>
      <c r="FH56" s="51"/>
      <c r="FI56" s="51"/>
      <c r="FJ56" s="51"/>
      <c r="FK56" s="51"/>
      <c r="FL56" s="51"/>
      <c r="FM56" s="51"/>
      <c r="FN56" s="51"/>
      <c r="FO56" s="51"/>
      <c r="FP56" s="51"/>
      <c r="FQ56" s="51"/>
      <c r="FR56" s="51"/>
      <c r="FS56" s="51"/>
      <c r="FT56" s="51"/>
      <c r="FU56" s="51"/>
      <c r="FV56" s="51"/>
      <c r="FW56" s="51"/>
      <c r="FX56" s="51"/>
      <c r="FY56" s="51"/>
      <c r="FZ56" s="51"/>
      <c r="GA56" s="51"/>
      <c r="GB56" s="51"/>
      <c r="GC56" s="51"/>
      <c r="GD56" s="51"/>
      <c r="GE56" s="51"/>
      <c r="GF56" s="51"/>
      <c r="GG56" s="51"/>
      <c r="GH56" s="51"/>
      <c r="GI56" s="51"/>
      <c r="GJ56" s="51"/>
      <c r="GK56" s="51"/>
      <c r="GL56" s="51"/>
      <c r="GM56" s="51"/>
      <c r="GN56" s="51"/>
      <c r="GO56" s="51"/>
      <c r="GP56" s="51"/>
      <c r="GQ56" s="51"/>
      <c r="GR56" s="51"/>
      <c r="GS56" s="51"/>
      <c r="GT56" s="51"/>
      <c r="GU56" s="51"/>
      <c r="GV56" s="51"/>
      <c r="GW56" s="51"/>
      <c r="GX56" s="51"/>
      <c r="GY56" s="51"/>
      <c r="GZ56" s="51"/>
      <c r="HA56" s="51"/>
      <c r="HB56" s="51"/>
      <c r="HC56" s="51"/>
      <c r="HD56" s="51"/>
      <c r="HE56" s="51"/>
      <c r="HF56" s="51"/>
      <c r="HG56" s="51"/>
      <c r="HH56" s="51"/>
      <c r="HI56" s="51"/>
      <c r="HJ56" s="51"/>
      <c r="HK56" s="51"/>
      <c r="HL56" s="51"/>
      <c r="HM56" s="51"/>
      <c r="HN56" s="51"/>
      <c r="HO56" s="51"/>
      <c r="HP56" s="51"/>
      <c r="HQ56" s="51"/>
      <c r="HR56" s="51"/>
      <c r="HS56" s="51"/>
      <c r="HT56" s="51"/>
      <c r="HU56" s="51"/>
      <c r="HV56" s="51"/>
      <c r="HW56" s="51"/>
      <c r="HX56" s="51"/>
      <c r="HY56" s="51"/>
      <c r="HZ56" s="51"/>
      <c r="IA56" s="51"/>
      <c r="IB56" s="51"/>
      <c r="IC56" s="51"/>
      <c r="ID56" s="51"/>
      <c r="IE56" s="51"/>
      <c r="IF56" s="51"/>
      <c r="IG56" s="51"/>
      <c r="IH56" s="51"/>
      <c r="II56" s="51"/>
      <c r="IJ56" s="51"/>
      <c r="IK56" s="51"/>
      <c r="IL56" s="51"/>
    </row>
    <row r="57" spans="2:246" ht="12.95" customHeight="1">
      <c r="B57" s="567" t="s">
        <v>5940</v>
      </c>
      <c r="C57" s="212" t="s">
        <v>9299</v>
      </c>
      <c r="D57" s="10" t="s">
        <v>9300</v>
      </c>
      <c r="E57" s="10" t="s">
        <v>7342</v>
      </c>
      <c r="F57" s="14"/>
      <c r="I57" s="17"/>
      <c r="AJ57" s="213"/>
      <c r="AK57" s="454"/>
      <c r="AP57" s="664" t="str">
        <f ca="1">AP51&amp;AP52&amp;AP53&amp;AP54&amp;AP55&amp;AP56</f>
        <v/>
      </c>
      <c r="AQ57" s="665"/>
      <c r="AR57" s="666" t="str">
        <f ca="1">IF(OR(AU5=AR51,AU5=AR52,AU5=AR53,AU5=AR54),"HC","")</f>
        <v/>
      </c>
      <c r="BP57" s="661"/>
      <c r="BQ57" s="706"/>
      <c r="BR57" s="212"/>
      <c r="BW57" s="128" t="s">
        <v>4474</v>
      </c>
      <c r="BX57" s="129" t="s">
        <v>2688</v>
      </c>
      <c r="BY57" s="135" t="e">
        <f>IF(OR(BY46&gt;12,BY46&lt;1),"Nhập sai tháng DL",CF64)</f>
        <v>#N/A</v>
      </c>
      <c r="BZ57" s="131" t="e">
        <f>HLOOKUP(BY57,CE74:CP75,2,FALSE)</f>
        <v>#N/A</v>
      </c>
      <c r="CA57" s="132" t="e">
        <f>HLOOKUP(BY57,CZ45:DK46,2,FALSE)</f>
        <v>#N/A</v>
      </c>
      <c r="CB57" s="51"/>
      <c r="CC57" s="52"/>
      <c r="CD57" s="53" t="s">
        <v>2683</v>
      </c>
      <c r="CE57" s="55"/>
      <c r="CF57" s="136" t="e">
        <f>IF(CF50=CF56,CF50-CG56,CF50-CF56)</f>
        <v>#N/A</v>
      </c>
      <c r="CG57" s="55"/>
      <c r="CH57" s="55"/>
      <c r="CI57" s="55"/>
      <c r="CJ57" s="55"/>
      <c r="CK57" s="55"/>
      <c r="CL57" s="55"/>
      <c r="CM57" s="55"/>
      <c r="CN57" s="55"/>
      <c r="CO57" s="55"/>
      <c r="CP57" s="55"/>
      <c r="CQ57" s="55"/>
      <c r="CR57" s="55"/>
      <c r="CS57" s="55"/>
      <c r="CT57" s="55"/>
      <c r="CU57" s="55"/>
      <c r="CV57" s="52"/>
      <c r="CW57" s="51"/>
      <c r="CX57" s="51"/>
      <c r="CY57" s="51">
        <v>1927</v>
      </c>
      <c r="CZ57" s="199">
        <v>7</v>
      </c>
      <c r="DA57" s="200"/>
      <c r="DB57" s="201" t="s">
        <v>9008</v>
      </c>
      <c r="DC57" s="200"/>
      <c r="DD57" s="202" t="s">
        <v>1399</v>
      </c>
      <c r="DE57" s="51"/>
      <c r="DF57" s="199" t="s">
        <v>3734</v>
      </c>
      <c r="DG57" s="201" t="s">
        <v>507</v>
      </c>
      <c r="DH57" s="202" t="s">
        <v>7323</v>
      </c>
      <c r="DI57" s="51"/>
      <c r="DJ57" s="51"/>
      <c r="DK57" s="190"/>
      <c r="DL57" s="190"/>
      <c r="DM57" s="51"/>
      <c r="DN57" s="51"/>
      <c r="DO57" s="51"/>
      <c r="DP57" s="51"/>
      <c r="DQ57" s="51"/>
      <c r="DR57" s="51"/>
      <c r="DS57" s="51"/>
      <c r="DT57" s="51"/>
      <c r="DU57" s="51"/>
      <c r="DV57" s="51"/>
      <c r="DW57" s="51"/>
      <c r="DX57" s="51"/>
      <c r="DY57" s="51"/>
      <c r="DZ57" s="51"/>
      <c r="EA57" s="51"/>
      <c r="EB57" s="51"/>
      <c r="EC57" s="51"/>
      <c r="ED57" s="51"/>
      <c r="EE57" s="51"/>
      <c r="EF57" s="51"/>
      <c r="EG57" s="51"/>
      <c r="EH57" s="51"/>
      <c r="EI57" s="51"/>
      <c r="EJ57" s="51"/>
      <c r="EK57" s="51"/>
      <c r="EL57" s="51"/>
      <c r="EM57" s="51"/>
      <c r="EN57" s="51"/>
      <c r="EO57" s="51"/>
      <c r="EP57" s="51"/>
      <c r="EQ57" s="51"/>
      <c r="ER57" s="51"/>
      <c r="ES57" s="51"/>
      <c r="ET57" s="51"/>
      <c r="EU57" s="51"/>
      <c r="EV57" s="51"/>
      <c r="EW57" s="51"/>
      <c r="EX57" s="51"/>
      <c r="EY57" s="51"/>
      <c r="EZ57" s="51"/>
      <c r="FA57" s="51"/>
      <c r="FB57" s="51"/>
      <c r="FC57" s="51"/>
      <c r="FD57" s="51"/>
      <c r="FE57" s="51"/>
      <c r="FF57" s="51"/>
      <c r="FG57" s="51"/>
      <c r="FH57" s="51"/>
      <c r="FI57" s="51"/>
      <c r="FJ57" s="51"/>
      <c r="FK57" s="51"/>
      <c r="FL57" s="51"/>
      <c r="FM57" s="51"/>
      <c r="FN57" s="51"/>
      <c r="FO57" s="51"/>
      <c r="FP57" s="51"/>
      <c r="FQ57" s="51"/>
      <c r="FR57" s="51"/>
      <c r="FS57" s="51"/>
      <c r="FT57" s="51"/>
      <c r="FU57" s="51"/>
      <c r="FV57" s="51"/>
      <c r="FW57" s="51"/>
      <c r="FX57" s="51"/>
      <c r="FY57" s="51"/>
      <c r="FZ57" s="51"/>
      <c r="GA57" s="51"/>
      <c r="GB57" s="51"/>
      <c r="GC57" s="51"/>
      <c r="GD57" s="51"/>
      <c r="GE57" s="51"/>
      <c r="GF57" s="51"/>
      <c r="GG57" s="51"/>
      <c r="GH57" s="51"/>
      <c r="GI57" s="51"/>
      <c r="GJ57" s="51"/>
      <c r="GK57" s="51"/>
      <c r="GL57" s="51"/>
      <c r="GM57" s="51"/>
      <c r="GN57" s="51"/>
      <c r="GO57" s="51"/>
      <c r="GP57" s="51"/>
      <c r="GQ57" s="51"/>
      <c r="GR57" s="51"/>
      <c r="GS57" s="51"/>
      <c r="GT57" s="51"/>
      <c r="GU57" s="51"/>
      <c r="GV57" s="51"/>
      <c r="GW57" s="51"/>
      <c r="GX57" s="51"/>
      <c r="GY57" s="51"/>
      <c r="GZ57" s="51"/>
      <c r="HA57" s="51"/>
      <c r="HB57" s="51"/>
      <c r="HC57" s="51"/>
      <c r="HD57" s="51"/>
      <c r="HE57" s="51"/>
      <c r="HF57" s="51"/>
      <c r="HG57" s="51"/>
      <c r="HH57" s="51"/>
      <c r="HI57" s="51"/>
      <c r="HJ57" s="51"/>
      <c r="HK57" s="51"/>
      <c r="HL57" s="51"/>
      <c r="HM57" s="51"/>
      <c r="HN57" s="51"/>
      <c r="HO57" s="51"/>
      <c r="HP57" s="51"/>
      <c r="HQ57" s="51"/>
      <c r="HR57" s="51"/>
      <c r="HS57" s="51"/>
      <c r="HT57" s="51"/>
      <c r="HU57" s="51"/>
      <c r="HV57" s="51"/>
      <c r="HW57" s="51"/>
      <c r="HX57" s="51"/>
      <c r="HY57" s="51"/>
      <c r="HZ57" s="51"/>
      <c r="IA57" s="51"/>
      <c r="IB57" s="51"/>
      <c r="IC57" s="51"/>
      <c r="ID57" s="51"/>
      <c r="IE57" s="51"/>
      <c r="IF57" s="51"/>
      <c r="IG57" s="51"/>
      <c r="IH57" s="51"/>
      <c r="II57" s="51"/>
      <c r="IJ57" s="51"/>
      <c r="IK57" s="51"/>
      <c r="IL57" s="51"/>
    </row>
    <row r="58" spans="2:246" ht="12.95" customHeight="1">
      <c r="B58" s="567" t="s">
        <v>457</v>
      </c>
      <c r="C58" s="212" t="s">
        <v>9298</v>
      </c>
      <c r="D58" s="10" t="s">
        <v>9300</v>
      </c>
      <c r="E58" s="10" t="s">
        <v>616</v>
      </c>
      <c r="F58" s="14"/>
      <c r="I58" s="17"/>
      <c r="AJ58" s="213"/>
      <c r="AK58" s="454"/>
      <c r="AP58" s="659" t="str">
        <f ca="1">IF(AT32=5,"",IF(AND(AT32=8,'Vận Năm'!B90="*",AP51=0),1,IF(AND(AT32=8,'Vận Năm'!B90="*",AP51=1),0,IF(AND(AT32=8,'Vận Năm'!B90=""),AP51))))</f>
        <v/>
      </c>
      <c r="AQ58" s="544">
        <f ca="1">AQ9+7</f>
        <v>2039</v>
      </c>
      <c r="AR58" s="494" t="str">
        <f ca="1">AP58&amp;AP59&amp;AP60</f>
        <v/>
      </c>
      <c r="BP58" s="661"/>
      <c r="BQ58" s="706"/>
      <c r="BR58" s="212"/>
      <c r="BW58" s="128" t="s">
        <v>4475</v>
      </c>
      <c r="BX58" s="129" t="s">
        <v>2688</v>
      </c>
      <c r="BY58" s="133" t="str">
        <f>CF53</f>
        <v>Vượt phạm vi đổi DL-ÂL</v>
      </c>
      <c r="BZ58" s="131" t="e">
        <f>CH54</f>
        <v>#VALUE!</v>
      </c>
      <c r="CA58" s="134" t="e">
        <f>CI54</f>
        <v>#VALUE!</v>
      </c>
      <c r="CB58" s="51"/>
      <c r="CC58" s="52"/>
      <c r="CD58" s="53"/>
      <c r="CE58" s="55"/>
      <c r="CF58" s="136"/>
      <c r="CG58" s="55"/>
      <c r="CH58" s="55"/>
      <c r="CI58" s="55"/>
      <c r="CJ58" s="55"/>
      <c r="CK58" s="55"/>
      <c r="CL58" s="55"/>
      <c r="CM58" s="55"/>
      <c r="CN58" s="55"/>
      <c r="CO58" s="55"/>
      <c r="CP58" s="55"/>
      <c r="CQ58" s="55"/>
      <c r="CR58" s="55"/>
      <c r="CS58" s="55"/>
      <c r="CT58" s="55"/>
      <c r="CU58" s="55"/>
      <c r="CV58" s="52"/>
      <c r="CW58" s="51"/>
      <c r="CX58" s="51"/>
      <c r="CY58" s="51">
        <v>1928</v>
      </c>
      <c r="CZ58" s="199">
        <v>8</v>
      </c>
      <c r="DA58" s="200"/>
      <c r="DB58" s="201" t="s">
        <v>9009</v>
      </c>
      <c r="DC58" s="200"/>
      <c r="DD58" s="202" t="s">
        <v>505</v>
      </c>
      <c r="DE58" s="51"/>
      <c r="DF58" s="199" t="s">
        <v>3735</v>
      </c>
      <c r="DG58" s="201" t="s">
        <v>9297</v>
      </c>
      <c r="DH58" s="202" t="s">
        <v>7322</v>
      </c>
      <c r="DI58" s="51"/>
      <c r="DJ58" s="51"/>
      <c r="DK58" s="190"/>
      <c r="DL58" s="190"/>
      <c r="DM58" s="51"/>
      <c r="DN58" s="51"/>
      <c r="DO58" s="51"/>
      <c r="DP58" s="51"/>
      <c r="DQ58" s="51"/>
      <c r="DR58" s="51"/>
      <c r="DS58" s="51"/>
      <c r="DT58" s="51"/>
      <c r="DU58" s="51"/>
      <c r="DV58" s="51"/>
      <c r="DW58" s="51"/>
      <c r="DX58" s="51"/>
      <c r="DY58" s="51"/>
      <c r="DZ58" s="51"/>
      <c r="EA58" s="51"/>
      <c r="EB58" s="51"/>
      <c r="EC58" s="51"/>
      <c r="ED58" s="51"/>
      <c r="EE58" s="51"/>
      <c r="EF58" s="51"/>
      <c r="EG58" s="51"/>
      <c r="EH58" s="51"/>
      <c r="EI58" s="51"/>
      <c r="EJ58" s="51"/>
      <c r="EK58" s="51"/>
      <c r="EL58" s="51"/>
      <c r="EM58" s="51"/>
      <c r="EN58" s="51"/>
      <c r="EO58" s="51"/>
      <c r="EP58" s="51"/>
      <c r="EQ58" s="51"/>
      <c r="ER58" s="51"/>
      <c r="ES58" s="51"/>
      <c r="ET58" s="51"/>
      <c r="EU58" s="51"/>
      <c r="EV58" s="51"/>
      <c r="EW58" s="51"/>
      <c r="EX58" s="51"/>
      <c r="EY58" s="51"/>
      <c r="EZ58" s="51"/>
      <c r="FA58" s="51"/>
      <c r="FB58" s="51"/>
      <c r="FC58" s="51"/>
      <c r="FD58" s="51"/>
      <c r="FE58" s="51"/>
      <c r="FF58" s="51"/>
      <c r="FG58" s="51"/>
      <c r="FH58" s="51"/>
      <c r="FI58" s="51"/>
      <c r="FJ58" s="51"/>
      <c r="FK58" s="51"/>
      <c r="FL58" s="51"/>
      <c r="FM58" s="51"/>
      <c r="FN58" s="51"/>
      <c r="FO58" s="51"/>
      <c r="FP58" s="51"/>
      <c r="FQ58" s="51"/>
      <c r="FR58" s="51"/>
      <c r="FS58" s="51"/>
      <c r="FT58" s="51"/>
      <c r="FU58" s="51"/>
      <c r="FV58" s="51"/>
      <c r="FW58" s="51"/>
      <c r="FX58" s="51"/>
      <c r="FY58" s="51"/>
      <c r="FZ58" s="51"/>
      <c r="GA58" s="51"/>
      <c r="GB58" s="51"/>
      <c r="GC58" s="51"/>
      <c r="GD58" s="51"/>
      <c r="GE58" s="51"/>
      <c r="GF58" s="51"/>
      <c r="GG58" s="51"/>
      <c r="GH58" s="51"/>
      <c r="GI58" s="51"/>
      <c r="GJ58" s="51"/>
      <c r="GK58" s="51"/>
      <c r="GL58" s="51"/>
      <c r="GM58" s="51"/>
      <c r="GN58" s="51"/>
      <c r="GO58" s="51"/>
      <c r="GP58" s="51"/>
      <c r="GQ58" s="51"/>
      <c r="GR58" s="51"/>
      <c r="GS58" s="51"/>
      <c r="GT58" s="51"/>
      <c r="GU58" s="51"/>
      <c r="GV58" s="51"/>
      <c r="GW58" s="51"/>
      <c r="GX58" s="51"/>
      <c r="GY58" s="51"/>
      <c r="GZ58" s="51"/>
      <c r="HA58" s="51"/>
      <c r="HB58" s="51"/>
      <c r="HC58" s="51"/>
      <c r="HD58" s="51"/>
      <c r="HE58" s="51"/>
      <c r="HF58" s="51"/>
      <c r="HG58" s="51"/>
      <c r="HH58" s="51"/>
      <c r="HI58" s="51"/>
      <c r="HJ58" s="51"/>
      <c r="HK58" s="51"/>
      <c r="HL58" s="51"/>
      <c r="HM58" s="51"/>
      <c r="HN58" s="51"/>
      <c r="HO58" s="51"/>
      <c r="HP58" s="51"/>
      <c r="HQ58" s="51"/>
      <c r="HR58" s="51"/>
      <c r="HS58" s="51"/>
      <c r="HT58" s="51"/>
      <c r="HU58" s="51"/>
      <c r="HV58" s="51"/>
      <c r="HW58" s="51"/>
      <c r="HX58" s="51"/>
      <c r="HY58" s="51"/>
      <c r="HZ58" s="51"/>
      <c r="IA58" s="51"/>
      <c r="IB58" s="51"/>
      <c r="IC58" s="51"/>
      <c r="ID58" s="51"/>
      <c r="IE58" s="51"/>
      <c r="IF58" s="51"/>
      <c r="IG58" s="51"/>
      <c r="IH58" s="51"/>
      <c r="II58" s="51"/>
      <c r="IJ58" s="51"/>
      <c r="IK58" s="51"/>
      <c r="IL58" s="51"/>
    </row>
    <row r="59" spans="2:246" ht="12.95" customHeight="1" thickBot="1">
      <c r="B59" s="567" t="s">
        <v>9333</v>
      </c>
      <c r="C59" s="212" t="s">
        <v>9301</v>
      </c>
      <c r="D59" s="10"/>
      <c r="E59" s="10" t="s">
        <v>615</v>
      </c>
      <c r="I59" s="17"/>
      <c r="AJ59" s="213"/>
      <c r="AK59" s="454"/>
      <c r="AP59" s="660" t="str">
        <f ca="1">IF(AT32=5,"",IF(AND(AT32=8,'Vận Năm'!B91="*",AP52=0),1,IF(AND(AT32=8,'Vận Năm'!B91="*",AP52=1),0,IF(AND(AT32=8,'Vận Năm'!B91=""),AP52))))</f>
        <v/>
      </c>
      <c r="AQ59" s="661" t="str">
        <f ca="1">INDEX(E4:E15,MOD(AQ58,12)+1)</f>
        <v>Mùi</v>
      </c>
      <c r="AR59" s="495" t="str">
        <f ca="1">AP61&amp;AP62&amp;AP63</f>
        <v/>
      </c>
      <c r="BB59" s="22"/>
      <c r="BC59" s="22"/>
      <c r="BD59" s="22"/>
      <c r="BP59" s="721"/>
      <c r="BQ59" s="706"/>
      <c r="BR59" s="722"/>
      <c r="BW59" s="137"/>
      <c r="BX59" s="138"/>
      <c r="BY59" s="139"/>
      <c r="BZ59" s="140"/>
      <c r="CA59" s="141"/>
      <c r="CB59" s="51"/>
      <c r="CC59" s="52"/>
      <c r="CD59" s="109" t="s">
        <v>2686</v>
      </c>
      <c r="CE59" s="61" t="s">
        <v>2688</v>
      </c>
      <c r="CF59" s="111" t="str">
        <f>CF53</f>
        <v>Vượt phạm vi đổi DL-ÂL</v>
      </c>
      <c r="CG59" s="84">
        <v>1</v>
      </c>
      <c r="CH59" s="142" t="e">
        <f>IF(CI53=CG59,CI53,CG59+1)</f>
        <v>#N/A</v>
      </c>
      <c r="CI59" s="84" t="e">
        <f t="shared" ref="CI59:CS59" si="31">IF($CI$53-CG59=1,CH59,CH59+1)</f>
        <v>#N/A</v>
      </c>
      <c r="CJ59" s="142" t="e">
        <f t="shared" si="31"/>
        <v>#N/A</v>
      </c>
      <c r="CK59" s="142" t="e">
        <f t="shared" si="31"/>
        <v>#N/A</v>
      </c>
      <c r="CL59" s="84" t="e">
        <f t="shared" si="31"/>
        <v>#N/A</v>
      </c>
      <c r="CM59" s="84" t="e">
        <f t="shared" si="31"/>
        <v>#N/A</v>
      </c>
      <c r="CN59" s="84" t="e">
        <f t="shared" si="31"/>
        <v>#N/A</v>
      </c>
      <c r="CO59" s="84" t="e">
        <f t="shared" si="31"/>
        <v>#N/A</v>
      </c>
      <c r="CP59" s="84" t="e">
        <f t="shared" si="31"/>
        <v>#N/A</v>
      </c>
      <c r="CQ59" s="84" t="e">
        <f t="shared" si="31"/>
        <v>#N/A</v>
      </c>
      <c r="CR59" s="84" t="e">
        <f t="shared" si="31"/>
        <v>#N/A</v>
      </c>
      <c r="CS59" s="85" t="e">
        <f t="shared" si="31"/>
        <v>#N/A</v>
      </c>
      <c r="CT59" s="143"/>
      <c r="CU59" s="55"/>
      <c r="CV59" s="52"/>
      <c r="CW59" s="51"/>
      <c r="CX59" s="51"/>
      <c r="CY59" s="51">
        <v>1929</v>
      </c>
      <c r="CZ59" s="199">
        <v>9</v>
      </c>
      <c r="DA59" s="200"/>
      <c r="DB59" s="201" t="s">
        <v>9010</v>
      </c>
      <c r="DC59" s="200"/>
      <c r="DD59" s="202" t="s">
        <v>9011</v>
      </c>
      <c r="DE59" s="51"/>
      <c r="DF59" s="199" t="s">
        <v>1876</v>
      </c>
      <c r="DG59" s="201" t="s">
        <v>9298</v>
      </c>
      <c r="DH59" s="202" t="s">
        <v>7323</v>
      </c>
      <c r="DI59" s="51"/>
      <c r="DJ59" s="51"/>
      <c r="DK59" s="190"/>
      <c r="DL59" s="190"/>
      <c r="DM59" s="51"/>
      <c r="DN59" s="51"/>
      <c r="DO59" s="51"/>
      <c r="DP59" s="51"/>
      <c r="DQ59" s="51"/>
      <c r="DR59" s="51"/>
      <c r="DS59" s="51"/>
      <c r="DT59" s="51"/>
      <c r="DU59" s="51"/>
      <c r="DV59" s="51"/>
      <c r="DW59" s="51"/>
      <c r="DX59" s="51"/>
      <c r="DY59" s="51"/>
      <c r="DZ59" s="51"/>
      <c r="EA59" s="51"/>
      <c r="EB59" s="51"/>
      <c r="EC59" s="51"/>
      <c r="ED59" s="51"/>
      <c r="EE59" s="51"/>
      <c r="EF59" s="51"/>
      <c r="EG59" s="51"/>
      <c r="EH59" s="51"/>
      <c r="EI59" s="51"/>
      <c r="EJ59" s="51"/>
      <c r="EK59" s="51"/>
      <c r="EL59" s="51"/>
      <c r="EM59" s="51"/>
      <c r="EN59" s="51"/>
      <c r="EO59" s="51"/>
      <c r="EP59" s="51"/>
      <c r="EQ59" s="51"/>
      <c r="ER59" s="51"/>
      <c r="ES59" s="51"/>
      <c r="ET59" s="51"/>
      <c r="EU59" s="51"/>
      <c r="EV59" s="51"/>
      <c r="EW59" s="51"/>
      <c r="EX59" s="51"/>
      <c r="EY59" s="51"/>
      <c r="EZ59" s="51"/>
      <c r="FA59" s="51"/>
      <c r="FB59" s="51"/>
      <c r="FC59" s="51"/>
      <c r="FD59" s="51"/>
      <c r="FE59" s="51"/>
      <c r="FF59" s="51"/>
      <c r="FG59" s="51"/>
      <c r="FH59" s="51"/>
      <c r="FI59" s="51"/>
      <c r="FJ59" s="51"/>
      <c r="FK59" s="51"/>
      <c r="FL59" s="51"/>
      <c r="FM59" s="51"/>
      <c r="FN59" s="51"/>
      <c r="FO59" s="51"/>
      <c r="FP59" s="51"/>
      <c r="FQ59" s="51"/>
      <c r="FR59" s="51"/>
      <c r="FS59" s="51"/>
      <c r="FT59" s="51"/>
      <c r="FU59" s="51"/>
      <c r="FV59" s="51"/>
      <c r="FW59" s="51"/>
      <c r="FX59" s="51"/>
      <c r="FY59" s="51"/>
      <c r="FZ59" s="51"/>
      <c r="GA59" s="51"/>
      <c r="GB59" s="51"/>
      <c r="GC59" s="51"/>
      <c r="GD59" s="51"/>
      <c r="GE59" s="51"/>
      <c r="GF59" s="51"/>
      <c r="GG59" s="51"/>
      <c r="GH59" s="51"/>
      <c r="GI59" s="51"/>
      <c r="GJ59" s="51"/>
      <c r="GK59" s="51"/>
      <c r="GL59" s="51"/>
      <c r="GM59" s="51"/>
      <c r="GN59" s="51"/>
      <c r="GO59" s="51"/>
      <c r="GP59" s="51"/>
      <c r="GQ59" s="51"/>
      <c r="GR59" s="51"/>
      <c r="GS59" s="51"/>
      <c r="GT59" s="51"/>
      <c r="GU59" s="51"/>
      <c r="GV59" s="51"/>
      <c r="GW59" s="51"/>
      <c r="GX59" s="51"/>
      <c r="GY59" s="51"/>
      <c r="GZ59" s="51"/>
      <c r="HA59" s="51"/>
      <c r="HB59" s="51"/>
      <c r="HC59" s="51"/>
      <c r="HD59" s="51"/>
      <c r="HE59" s="51"/>
      <c r="HF59" s="51"/>
      <c r="HG59" s="51"/>
      <c r="HH59" s="51"/>
      <c r="HI59" s="51"/>
      <c r="HJ59" s="51"/>
      <c r="HK59" s="51"/>
      <c r="HL59" s="51"/>
      <c r="HM59" s="51"/>
      <c r="HN59" s="51"/>
      <c r="HO59" s="51"/>
      <c r="HP59" s="51"/>
      <c r="HQ59" s="51"/>
      <c r="HR59" s="51"/>
      <c r="HS59" s="51"/>
      <c r="HT59" s="51"/>
      <c r="HU59" s="51"/>
      <c r="HV59" s="51"/>
      <c r="HW59" s="51"/>
      <c r="HX59" s="51"/>
      <c r="HY59" s="51"/>
      <c r="HZ59" s="51"/>
      <c r="IA59" s="51"/>
      <c r="IB59" s="51"/>
      <c r="IC59" s="51"/>
      <c r="ID59" s="51"/>
      <c r="IE59" s="51"/>
      <c r="IF59" s="51"/>
      <c r="IG59" s="51"/>
      <c r="IH59" s="51"/>
      <c r="II59" s="51"/>
      <c r="IJ59" s="51"/>
      <c r="IK59" s="51"/>
      <c r="IL59" s="51"/>
    </row>
    <row r="60" spans="2:246" ht="12.95" customHeight="1" thickTop="1">
      <c r="B60" s="567" t="s">
        <v>5951</v>
      </c>
      <c r="C60" s="212" t="s">
        <v>9298</v>
      </c>
      <c r="D60" s="10" t="s">
        <v>9300</v>
      </c>
      <c r="E60" s="10" t="s">
        <v>7341</v>
      </c>
      <c r="F60" s="14"/>
      <c r="I60" s="17"/>
      <c r="AJ60" s="213"/>
      <c r="AK60" s="454"/>
      <c r="AP60" s="660" t="str">
        <f ca="1">IF(AT32=5,"",IF(AND(AT32=8,'Vận Năm'!B92="*",AP53=0),1,IF(AND(AT32=8,'Vận Năm'!B92="*",AP53=1),0,IF(AND(AT32=8,'Vận Năm'!B92=""),AP53))))</f>
        <v/>
      </c>
      <c r="AQ60" s="19" t="str">
        <f ca="1">IF(AP57="","",HLOOKUP(AP64,'64Quẻ'!B4:DX5,2,0))</f>
        <v/>
      </c>
      <c r="AR60" s="495" t="str">
        <f ca="1">AP59&amp;AP60&amp;AP61</f>
        <v/>
      </c>
      <c r="BP60" s="721"/>
      <c r="BQ60" s="706"/>
      <c r="BR60" s="722"/>
      <c r="BW60" s="51"/>
      <c r="BX60" s="51"/>
      <c r="BY60" s="51"/>
      <c r="BZ60" s="51"/>
      <c r="CA60" s="51"/>
      <c r="CB60" s="51"/>
      <c r="CC60" s="52"/>
      <c r="CD60" s="144" t="s">
        <v>2660</v>
      </c>
      <c r="CE60" s="54" t="s">
        <v>2688</v>
      </c>
      <c r="CF60" s="55"/>
      <c r="CG60" s="55" t="e">
        <f>HLOOKUP(CF59,CZ13:IJ26,2)</f>
        <v>#N/A</v>
      </c>
      <c r="CH60" s="55" t="e">
        <f>HLOOKUP(CF59,CZ13:IJ26,3)</f>
        <v>#N/A</v>
      </c>
      <c r="CI60" s="55" t="e">
        <f>HLOOKUP(CF59,CZ13:IJ26,4)</f>
        <v>#N/A</v>
      </c>
      <c r="CJ60" s="55" t="e">
        <f>HLOOKUP(CF59,CZ13:IJ26,5)</f>
        <v>#N/A</v>
      </c>
      <c r="CK60" s="55" t="e">
        <f>HLOOKUP(CF59,CZ13:IJ26,6)</f>
        <v>#N/A</v>
      </c>
      <c r="CL60" s="55" t="e">
        <f>HLOOKUP(CF59,CZ13:IJ26,7)</f>
        <v>#N/A</v>
      </c>
      <c r="CM60" s="55" t="e">
        <f>HLOOKUP(CF59,CZ13:IJ26,8)</f>
        <v>#N/A</v>
      </c>
      <c r="CN60" s="55" t="e">
        <f>HLOOKUP(CF59,CZ13:IJ26,9)</f>
        <v>#N/A</v>
      </c>
      <c r="CO60" s="55" t="e">
        <f>HLOOKUP(CF59,CZ13:IJ26,10)</f>
        <v>#N/A</v>
      </c>
      <c r="CP60" s="55" t="e">
        <f>HLOOKUP(CF59,CZ13:IJ26,11)</f>
        <v>#N/A</v>
      </c>
      <c r="CQ60" s="55" t="e">
        <f>HLOOKUP(CF59,CZ13:IJ26,12)</f>
        <v>#N/A</v>
      </c>
      <c r="CR60" s="55" t="e">
        <f>HLOOKUP(CF59,CZ13:IJ26,13)</f>
        <v>#N/A</v>
      </c>
      <c r="CS60" s="69" t="e">
        <f>HLOOKUP(CF59,CZ13:IJ26,14)</f>
        <v>#N/A</v>
      </c>
      <c r="CT60" s="55"/>
      <c r="CU60" s="55"/>
      <c r="CV60" s="52"/>
      <c r="CW60" s="51"/>
      <c r="CX60" s="51"/>
      <c r="CY60" s="51">
        <v>1930</v>
      </c>
      <c r="CZ60" s="199">
        <v>10</v>
      </c>
      <c r="DA60" s="200"/>
      <c r="DB60" s="201" t="s">
        <v>3733</v>
      </c>
      <c r="DC60" s="200"/>
      <c r="DD60" s="202" t="s">
        <v>506</v>
      </c>
      <c r="DE60" s="51"/>
      <c r="DF60" s="199"/>
      <c r="DG60" s="201" t="s">
        <v>9299</v>
      </c>
      <c r="DH60" s="202" t="s">
        <v>7322</v>
      </c>
      <c r="DI60" s="51"/>
      <c r="DJ60" s="51"/>
      <c r="DK60" s="190"/>
      <c r="DL60" s="190"/>
      <c r="DM60" s="51"/>
      <c r="DN60" s="51"/>
      <c r="DO60" s="51"/>
      <c r="DP60" s="51"/>
      <c r="DQ60" s="51"/>
      <c r="DR60" s="51"/>
      <c r="DS60" s="51"/>
      <c r="DT60" s="51"/>
      <c r="DU60" s="51"/>
      <c r="DV60" s="51"/>
      <c r="DW60" s="51"/>
      <c r="DX60" s="51"/>
      <c r="DY60" s="51"/>
      <c r="DZ60" s="51"/>
      <c r="EA60" s="51"/>
      <c r="EB60" s="51"/>
      <c r="EC60" s="51"/>
      <c r="ED60" s="51"/>
      <c r="EE60" s="51"/>
      <c r="EF60" s="51"/>
      <c r="EG60" s="51"/>
      <c r="EH60" s="51"/>
      <c r="EI60" s="51"/>
      <c r="EJ60" s="51"/>
      <c r="EK60" s="51"/>
      <c r="EL60" s="51"/>
      <c r="EM60" s="51"/>
      <c r="EN60" s="51"/>
      <c r="EO60" s="51"/>
      <c r="EP60" s="51"/>
      <c r="EQ60" s="51"/>
      <c r="ER60" s="51"/>
      <c r="ES60" s="51"/>
      <c r="ET60" s="51"/>
      <c r="EU60" s="51"/>
      <c r="EV60" s="51"/>
      <c r="EW60" s="51"/>
      <c r="EX60" s="51"/>
      <c r="EY60" s="51"/>
      <c r="EZ60" s="51"/>
      <c r="FA60" s="51"/>
      <c r="FB60" s="51"/>
      <c r="FC60" s="51"/>
      <c r="FD60" s="51"/>
      <c r="FE60" s="51"/>
      <c r="FF60" s="51"/>
      <c r="FG60" s="51"/>
      <c r="FH60" s="51"/>
      <c r="FI60" s="51"/>
      <c r="FJ60" s="51"/>
      <c r="FK60" s="51"/>
      <c r="FL60" s="51"/>
      <c r="FM60" s="51"/>
      <c r="FN60" s="51"/>
      <c r="FO60" s="51"/>
      <c r="FP60" s="51"/>
      <c r="FQ60" s="51"/>
      <c r="FR60" s="51"/>
      <c r="FS60" s="51"/>
      <c r="FT60" s="51"/>
      <c r="FU60" s="51"/>
      <c r="FV60" s="51"/>
      <c r="FW60" s="51"/>
      <c r="FX60" s="51"/>
      <c r="FY60" s="51"/>
      <c r="FZ60" s="51"/>
      <c r="GA60" s="51"/>
      <c r="GB60" s="51"/>
      <c r="GC60" s="51"/>
      <c r="GD60" s="51"/>
      <c r="GE60" s="51"/>
      <c r="GF60" s="51"/>
      <c r="GG60" s="51"/>
      <c r="GH60" s="51"/>
      <c r="GI60" s="51"/>
      <c r="GJ60" s="51"/>
      <c r="GK60" s="51"/>
      <c r="GL60" s="51"/>
      <c r="GM60" s="51"/>
      <c r="GN60" s="51"/>
      <c r="GO60" s="51"/>
      <c r="GP60" s="51"/>
      <c r="GQ60" s="51"/>
      <c r="GR60" s="51"/>
      <c r="GS60" s="51"/>
      <c r="GT60" s="51"/>
      <c r="GU60" s="51"/>
      <c r="GV60" s="51"/>
      <c r="GW60" s="51"/>
      <c r="GX60" s="51"/>
      <c r="GY60" s="51"/>
      <c r="GZ60" s="51"/>
      <c r="HA60" s="51"/>
      <c r="HB60" s="51"/>
      <c r="HC60" s="51"/>
      <c r="HD60" s="51"/>
      <c r="HE60" s="51"/>
      <c r="HF60" s="51"/>
      <c r="HG60" s="51"/>
      <c r="HH60" s="51"/>
      <c r="HI60" s="51"/>
      <c r="HJ60" s="51"/>
      <c r="HK60" s="51"/>
      <c r="HL60" s="51"/>
      <c r="HM60" s="51"/>
      <c r="HN60" s="51"/>
      <c r="HO60" s="51"/>
      <c r="HP60" s="51"/>
      <c r="HQ60" s="51"/>
      <c r="HR60" s="51"/>
      <c r="HS60" s="51"/>
      <c r="HT60" s="51"/>
      <c r="HU60" s="51"/>
      <c r="HV60" s="51"/>
      <c r="HW60" s="51"/>
      <c r="HX60" s="51"/>
      <c r="HY60" s="51"/>
      <c r="HZ60" s="51"/>
      <c r="IA60" s="51"/>
      <c r="IB60" s="51"/>
      <c r="IC60" s="51"/>
      <c r="ID60" s="51"/>
      <c r="IE60" s="51"/>
      <c r="IF60" s="51"/>
      <c r="IG60" s="51"/>
      <c r="IH60" s="51"/>
      <c r="II60" s="51"/>
      <c r="IJ60" s="51"/>
      <c r="IK60" s="51"/>
      <c r="IL60" s="51"/>
    </row>
    <row r="61" spans="2:246" ht="12.95" customHeight="1" thickBot="1">
      <c r="B61" s="567" t="s">
        <v>841</v>
      </c>
      <c r="C61" s="212" t="s">
        <v>9301</v>
      </c>
      <c r="D61" s="10"/>
      <c r="E61" s="10" t="s">
        <v>615</v>
      </c>
      <c r="I61" s="17"/>
      <c r="AJ61" s="213"/>
      <c r="AK61" s="454"/>
      <c r="AP61" s="660" t="str">
        <f ca="1">IF(AT32=5,"",IF(AND(AT32=8,'Vận Năm'!B93="*",AP54=0),1,IF(AND(AT32=8,'Vận Năm'!B93="*",AP54=1),0,IF(AND(AT32=8,'Vận Năm'!B93=""),AP54))))</f>
        <v/>
      </c>
      <c r="AQ61" s="216" t="str">
        <f ca="1">IF('Vận Năm'!B95="*",1,IF('Vận Năm'!B94="*",2,IF('Vận Năm'!B93="*",3,IF('Vận Năm'!B92="*",4,IF('Vận Năm'!B91="*",5,IF('Vận Năm'!B90="*",6,""))))))</f>
        <v/>
      </c>
      <c r="AR61" s="495" t="str">
        <f ca="1">AP60&amp;AP61&amp;AP62</f>
        <v/>
      </c>
      <c r="BP61" s="247"/>
      <c r="BQ61" s="727"/>
      <c r="BR61" s="722"/>
      <c r="BW61" s="51"/>
      <c r="BX61" s="51"/>
      <c r="BY61" s="51"/>
      <c r="BZ61" s="51"/>
      <c r="CA61" s="51"/>
      <c r="CB61" s="51"/>
      <c r="CC61" s="52"/>
      <c r="CD61" s="144" t="s">
        <v>2035</v>
      </c>
      <c r="CE61" s="54" t="s">
        <v>2688</v>
      </c>
      <c r="CF61" s="55">
        <v>0</v>
      </c>
      <c r="CG61" s="55" t="e">
        <f>SUM($CG$60:CG60)</f>
        <v>#N/A</v>
      </c>
      <c r="CH61" s="55" t="e">
        <f>SUM($CG$60:CH60)</f>
        <v>#N/A</v>
      </c>
      <c r="CI61" s="88" t="e">
        <f>SUM($CG$60:CI60)</f>
        <v>#N/A</v>
      </c>
      <c r="CJ61" s="55" t="e">
        <f>SUM($CG$60:CJ60)</f>
        <v>#N/A</v>
      </c>
      <c r="CK61" s="55" t="e">
        <f>SUM($CG$60:CK60)</f>
        <v>#N/A</v>
      </c>
      <c r="CL61" s="55" t="e">
        <f>SUM($CG$60:CL60)</f>
        <v>#N/A</v>
      </c>
      <c r="CM61" s="55" t="e">
        <f>SUM($CG$60:CM60)</f>
        <v>#N/A</v>
      </c>
      <c r="CN61" s="55" t="e">
        <f>SUM($CG$60:CN60)</f>
        <v>#N/A</v>
      </c>
      <c r="CO61" s="55" t="e">
        <f>SUM($CG$60:CO60)</f>
        <v>#N/A</v>
      </c>
      <c r="CP61" s="55" t="e">
        <f>SUM($CG$60:CP60)</f>
        <v>#N/A</v>
      </c>
      <c r="CQ61" s="55" t="e">
        <f>SUM($CG$60:CQ60)</f>
        <v>#N/A</v>
      </c>
      <c r="CR61" s="55" t="e">
        <f>SUM($CG$60:CR60)</f>
        <v>#N/A</v>
      </c>
      <c r="CS61" s="69" t="e">
        <f>SUM($CG$60:CS60)</f>
        <v>#N/A</v>
      </c>
      <c r="CT61" s="55"/>
      <c r="CU61" s="55"/>
      <c r="CV61" s="52"/>
      <c r="CW61" s="51"/>
      <c r="CX61" s="51"/>
      <c r="CY61" s="51">
        <v>1931</v>
      </c>
      <c r="CZ61" s="199">
        <v>11</v>
      </c>
      <c r="DA61" s="200"/>
      <c r="DB61" s="201" t="s">
        <v>3734</v>
      </c>
      <c r="DC61" s="200"/>
      <c r="DD61" s="202" t="s">
        <v>507</v>
      </c>
      <c r="DE61" s="51"/>
      <c r="DF61" s="203"/>
      <c r="DG61" s="204" t="s">
        <v>9300</v>
      </c>
      <c r="DH61" s="205" t="s">
        <v>7323</v>
      </c>
      <c r="DI61" s="51"/>
      <c r="DJ61" s="51"/>
      <c r="DK61" s="190"/>
      <c r="DL61" s="190"/>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c r="HG61" s="51"/>
      <c r="HH61" s="51"/>
      <c r="HI61" s="51"/>
      <c r="HJ61" s="51"/>
      <c r="HK61" s="51"/>
      <c r="HL61" s="51"/>
      <c r="HM61" s="51"/>
      <c r="HN61" s="51"/>
      <c r="HO61" s="51"/>
      <c r="HP61" s="51"/>
      <c r="HQ61" s="51"/>
      <c r="HR61" s="51"/>
      <c r="HS61" s="51"/>
      <c r="HT61" s="51"/>
      <c r="HU61" s="51"/>
      <c r="HV61" s="51"/>
      <c r="HW61" s="51"/>
      <c r="HX61" s="51"/>
      <c r="HY61" s="51"/>
      <c r="HZ61" s="51"/>
      <c r="IA61" s="51"/>
      <c r="IB61" s="51"/>
      <c r="IC61" s="51"/>
      <c r="ID61" s="51"/>
      <c r="IE61" s="51"/>
      <c r="IF61" s="51"/>
      <c r="IG61" s="51"/>
      <c r="IH61" s="51"/>
      <c r="II61" s="51"/>
      <c r="IJ61" s="51"/>
      <c r="IK61" s="51"/>
      <c r="IL61" s="51"/>
    </row>
    <row r="62" spans="2:246" ht="12.95" customHeight="1" thickTop="1">
      <c r="B62" s="567" t="s">
        <v>835</v>
      </c>
      <c r="C62" s="212" t="s">
        <v>9011</v>
      </c>
      <c r="D62" s="10" t="s">
        <v>9298</v>
      </c>
      <c r="E62" s="10" t="s">
        <v>622</v>
      </c>
      <c r="F62" s="14"/>
      <c r="I62" s="17"/>
      <c r="AJ62" s="213"/>
      <c r="AK62" s="454"/>
      <c r="AP62" s="660" t="str">
        <f ca="1">IF(AT32=5,"",IF(AND(AT32=8,'Vận Năm'!B94="*",AP55=0),1,IF(AND(AT32=8,'Vận Năm'!B94="*",AP55=1),0,IF(AND(AT32=8,'Vận Năm'!B94=""),AP55))))</f>
        <v/>
      </c>
      <c r="AQ62" s="662"/>
      <c r="AR62" s="663" t="str">
        <f ca="1">IF(OR(AU3=AR58,AU3=AR59,AU3=AR60,AU3=AR61),"TNK","")</f>
        <v/>
      </c>
      <c r="BQ62" s="706"/>
      <c r="BR62" s="212"/>
      <c r="BW62" s="51"/>
      <c r="BX62" s="51"/>
      <c r="BY62" s="51"/>
      <c r="BZ62" s="51"/>
      <c r="CA62" s="51"/>
      <c r="CB62" s="51"/>
      <c r="CC62" s="52"/>
      <c r="CD62" s="145" t="s">
        <v>481</v>
      </c>
      <c r="CE62" s="93" t="s">
        <v>2688</v>
      </c>
      <c r="CF62" s="96">
        <f t="shared" ref="CF62:CS62" si="32">CG59</f>
        <v>1</v>
      </c>
      <c r="CG62" s="96" t="e">
        <f t="shared" si="32"/>
        <v>#N/A</v>
      </c>
      <c r="CH62" s="146" t="e">
        <f t="shared" si="32"/>
        <v>#N/A</v>
      </c>
      <c r="CI62" s="96" t="e">
        <f t="shared" si="32"/>
        <v>#N/A</v>
      </c>
      <c r="CJ62" s="96" t="e">
        <f t="shared" si="32"/>
        <v>#N/A</v>
      </c>
      <c r="CK62" s="96" t="e">
        <f t="shared" si="32"/>
        <v>#N/A</v>
      </c>
      <c r="CL62" s="96" t="e">
        <f t="shared" si="32"/>
        <v>#N/A</v>
      </c>
      <c r="CM62" s="96" t="e">
        <f t="shared" si="32"/>
        <v>#N/A</v>
      </c>
      <c r="CN62" s="96" t="e">
        <f t="shared" si="32"/>
        <v>#N/A</v>
      </c>
      <c r="CO62" s="96" t="e">
        <f t="shared" si="32"/>
        <v>#N/A</v>
      </c>
      <c r="CP62" s="96" t="e">
        <f t="shared" si="32"/>
        <v>#N/A</v>
      </c>
      <c r="CQ62" s="96" t="e">
        <f t="shared" si="32"/>
        <v>#N/A</v>
      </c>
      <c r="CR62" s="96" t="e">
        <f t="shared" si="32"/>
        <v>#N/A</v>
      </c>
      <c r="CS62" s="95">
        <f t="shared" si="32"/>
        <v>0</v>
      </c>
      <c r="CT62" s="55"/>
      <c r="CU62" s="55"/>
      <c r="CV62" s="52"/>
      <c r="CW62" s="51"/>
      <c r="CX62" s="51"/>
      <c r="CY62" s="51">
        <v>1932</v>
      </c>
      <c r="CZ62" s="199">
        <v>12</v>
      </c>
      <c r="DA62" s="200"/>
      <c r="DB62" s="201" t="s">
        <v>3735</v>
      </c>
      <c r="DC62" s="200"/>
      <c r="DD62" s="202" t="s">
        <v>9297</v>
      </c>
      <c r="DE62" s="51"/>
      <c r="DF62" s="51"/>
      <c r="DG62" s="51"/>
      <c r="DH62" s="51"/>
      <c r="DI62" s="51"/>
      <c r="DJ62" s="51"/>
      <c r="DK62" s="190"/>
      <c r="DL62" s="190"/>
      <c r="DM62" s="51"/>
      <c r="DN62" s="51"/>
      <c r="DO62" s="51"/>
      <c r="DP62" s="51"/>
      <c r="DQ62" s="51"/>
      <c r="DR62" s="51"/>
      <c r="DS62" s="51"/>
      <c r="DT62" s="51"/>
      <c r="DU62" s="51"/>
      <c r="DV62" s="51"/>
      <c r="DW62" s="51"/>
      <c r="DX62" s="51"/>
      <c r="DY62" s="51"/>
      <c r="DZ62" s="51"/>
      <c r="EA62" s="51"/>
      <c r="EB62" s="51"/>
      <c r="EC62" s="51"/>
      <c r="ED62" s="51"/>
      <c r="EE62" s="51"/>
      <c r="EF62" s="51"/>
      <c r="EG62" s="51"/>
      <c r="EH62" s="51"/>
      <c r="EI62" s="51"/>
      <c r="EJ62" s="51"/>
      <c r="EK62" s="51"/>
      <c r="EL62" s="51"/>
      <c r="EM62" s="51"/>
      <c r="EN62" s="51"/>
      <c r="EO62" s="51"/>
      <c r="EP62" s="51"/>
      <c r="EQ62" s="51"/>
      <c r="ER62" s="51"/>
      <c r="ES62" s="51"/>
      <c r="ET62" s="51"/>
      <c r="EU62" s="51"/>
      <c r="EV62" s="51"/>
      <c r="EW62" s="51"/>
      <c r="EX62" s="51"/>
      <c r="EY62" s="51"/>
      <c r="EZ62" s="51"/>
      <c r="FA62" s="51"/>
      <c r="FB62" s="51"/>
      <c r="FC62" s="51"/>
      <c r="FD62" s="51"/>
      <c r="FE62" s="51"/>
      <c r="FF62" s="51"/>
      <c r="FG62" s="51"/>
      <c r="FH62" s="51"/>
      <c r="FI62" s="51"/>
      <c r="FJ62" s="51"/>
      <c r="FK62" s="51"/>
      <c r="FL62" s="51"/>
      <c r="FM62" s="51"/>
      <c r="FN62" s="51"/>
      <c r="FO62" s="51"/>
      <c r="FP62" s="51"/>
      <c r="FQ62" s="51"/>
      <c r="FR62" s="51"/>
      <c r="FS62" s="51"/>
      <c r="FT62" s="51"/>
      <c r="FU62" s="51"/>
      <c r="FV62" s="51"/>
      <c r="FW62" s="51"/>
      <c r="FX62" s="51"/>
      <c r="FY62" s="51"/>
      <c r="FZ62" s="51"/>
      <c r="GA62" s="51"/>
      <c r="GB62" s="51"/>
      <c r="GC62" s="51"/>
      <c r="GD62" s="51"/>
      <c r="GE62" s="51"/>
      <c r="GF62" s="51"/>
      <c r="GG62" s="51"/>
      <c r="GH62" s="51"/>
      <c r="GI62" s="51"/>
      <c r="GJ62" s="51"/>
      <c r="GK62" s="51"/>
      <c r="GL62" s="51"/>
      <c r="GM62" s="51"/>
      <c r="GN62" s="51"/>
      <c r="GO62" s="51"/>
      <c r="GP62" s="51"/>
      <c r="GQ62" s="51"/>
      <c r="GR62" s="51"/>
      <c r="GS62" s="51"/>
      <c r="GT62" s="51"/>
      <c r="GU62" s="51"/>
      <c r="GV62" s="51"/>
      <c r="GW62" s="51"/>
      <c r="GX62" s="51"/>
      <c r="GY62" s="51"/>
      <c r="GZ62" s="51"/>
      <c r="HA62" s="51"/>
      <c r="HB62" s="51"/>
      <c r="HC62" s="51"/>
      <c r="HD62" s="51"/>
      <c r="HE62" s="51"/>
      <c r="HF62" s="51"/>
      <c r="HG62" s="51"/>
      <c r="HH62" s="51"/>
      <c r="HI62" s="51"/>
      <c r="HJ62" s="51"/>
      <c r="HK62" s="51"/>
      <c r="HL62" s="51"/>
      <c r="HM62" s="51"/>
      <c r="HN62" s="51"/>
      <c r="HO62" s="51"/>
      <c r="HP62" s="51"/>
      <c r="HQ62" s="51"/>
      <c r="HR62" s="51"/>
      <c r="HS62" s="51"/>
      <c r="HT62" s="51"/>
      <c r="HU62" s="51"/>
      <c r="HV62" s="51"/>
      <c r="HW62" s="51"/>
      <c r="HX62" s="51"/>
      <c r="HY62" s="51"/>
      <c r="HZ62" s="51"/>
      <c r="IA62" s="51"/>
      <c r="IB62" s="51"/>
      <c r="IC62" s="51"/>
      <c r="ID62" s="51"/>
      <c r="IE62" s="51"/>
      <c r="IF62" s="51"/>
      <c r="IG62" s="51"/>
      <c r="IH62" s="51"/>
      <c r="II62" s="51"/>
      <c r="IJ62" s="51"/>
      <c r="IK62" s="51"/>
      <c r="IL62" s="51"/>
    </row>
    <row r="63" spans="2:246" ht="12.95" customHeight="1">
      <c r="B63" s="567" t="s">
        <v>3032</v>
      </c>
      <c r="C63" s="212" t="s">
        <v>9297</v>
      </c>
      <c r="D63" s="10" t="s">
        <v>505</v>
      </c>
      <c r="E63" s="10" t="s">
        <v>5162</v>
      </c>
      <c r="F63" s="14"/>
      <c r="I63" s="17"/>
      <c r="AJ63" s="213"/>
      <c r="AK63" s="454"/>
      <c r="AP63" s="660" t="str">
        <f ca="1">IF(AT32=5,"",IF(AND(AT32=8,'Vận Năm'!B95="*",AP56=0),1,IF(AND(AT32=8,'Vận Năm'!B95="*",AP56=1),0,IF(AND(AT32=8,'Vận Năm'!B95=""),AP56))))</f>
        <v/>
      </c>
      <c r="AQ63" s="662"/>
      <c r="AR63" s="663" t="str">
        <f ca="1">IF(OR(AU4=AR58,AU4=AR59,AU4=AR60,AU4=AR61),"ĐNK","")</f>
        <v/>
      </c>
      <c r="BP63" s="712"/>
      <c r="BQ63" s="706"/>
      <c r="BR63" s="212"/>
      <c r="BW63" s="51"/>
      <c r="BX63" s="51"/>
      <c r="BY63" s="51"/>
      <c r="BZ63" s="51"/>
      <c r="CA63" s="51"/>
      <c r="CB63" s="51"/>
      <c r="CC63" s="52"/>
      <c r="CD63" s="109" t="s">
        <v>355</v>
      </c>
      <c r="CE63" s="61" t="s">
        <v>2688</v>
      </c>
      <c r="CF63" s="147" t="e">
        <f>HLOOKUP(CF57,CF61:CS61,1)</f>
        <v>#N/A</v>
      </c>
      <c r="CG63" s="112" t="e">
        <f>IF(CF57=CF63,HLOOKUP(CF57-1,CF61:CS61,1),CF63)</f>
        <v>#N/A</v>
      </c>
      <c r="CH63" s="55"/>
      <c r="CI63" s="55"/>
      <c r="CJ63" s="55"/>
      <c r="CK63" s="55"/>
      <c r="CL63" s="55"/>
      <c r="CM63" s="55"/>
      <c r="CN63" s="55"/>
      <c r="CO63" s="55"/>
      <c r="CP63" s="55"/>
      <c r="CQ63" s="55"/>
      <c r="CR63" s="55"/>
      <c r="CS63" s="55"/>
      <c r="CT63" s="55"/>
      <c r="CU63" s="55"/>
      <c r="CV63" s="52"/>
      <c r="CW63" s="51"/>
      <c r="CX63" s="51"/>
      <c r="CY63" s="51">
        <v>1933</v>
      </c>
      <c r="CZ63" s="199">
        <v>13</v>
      </c>
      <c r="DA63" s="200"/>
      <c r="DB63" s="201" t="s">
        <v>1876</v>
      </c>
      <c r="DC63" s="200"/>
      <c r="DD63" s="202" t="s">
        <v>9298</v>
      </c>
      <c r="DE63" s="51"/>
      <c r="DF63" s="51"/>
      <c r="DG63" s="51"/>
      <c r="DH63" s="51"/>
      <c r="DI63" s="51"/>
      <c r="DJ63" s="51"/>
      <c r="DK63" s="190"/>
      <c r="DL63" s="190"/>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c r="HG63" s="51"/>
      <c r="HH63" s="51"/>
      <c r="HI63" s="51"/>
      <c r="HJ63" s="51"/>
      <c r="HK63" s="51"/>
      <c r="HL63" s="51"/>
      <c r="HM63" s="51"/>
      <c r="HN63" s="51"/>
      <c r="HO63" s="51"/>
      <c r="HP63" s="51"/>
      <c r="HQ63" s="51"/>
      <c r="HR63" s="51"/>
      <c r="HS63" s="51"/>
      <c r="HT63" s="51"/>
      <c r="HU63" s="51"/>
      <c r="HV63" s="51"/>
      <c r="HW63" s="51"/>
      <c r="HX63" s="51"/>
      <c r="HY63" s="51"/>
      <c r="HZ63" s="51"/>
      <c r="IA63" s="51"/>
      <c r="IB63" s="51"/>
      <c r="IC63" s="51"/>
      <c r="ID63" s="51"/>
      <c r="IE63" s="51"/>
      <c r="IF63" s="51"/>
      <c r="IG63" s="51"/>
      <c r="IH63" s="51"/>
      <c r="II63" s="51"/>
      <c r="IJ63" s="51"/>
      <c r="IK63" s="51"/>
      <c r="IL63" s="51"/>
    </row>
    <row r="64" spans="2:246" ht="12.95" customHeight="1">
      <c r="B64" s="567" t="s">
        <v>5930</v>
      </c>
      <c r="C64" s="212" t="s">
        <v>9297</v>
      </c>
      <c r="D64" s="10"/>
      <c r="E64" s="10" t="s">
        <v>5162</v>
      </c>
      <c r="I64" s="17"/>
      <c r="AJ64" s="213"/>
      <c r="AK64" s="454"/>
      <c r="AP64" s="664" t="str">
        <f ca="1">AP58&amp;AP59&amp;AP60&amp;AP61&amp;AP62&amp;AP63</f>
        <v/>
      </c>
      <c r="AQ64" s="665"/>
      <c r="AR64" s="666" t="str">
        <f ca="1">IF(OR(AU5=AR58,AU5=AR59,AU5=AR60,AU5=AR61),"HC","")</f>
        <v/>
      </c>
      <c r="BP64" s="661"/>
      <c r="BQ64" s="706"/>
      <c r="BR64" s="212"/>
      <c r="BW64" s="51"/>
      <c r="BX64" s="51"/>
      <c r="BY64" s="51"/>
      <c r="BZ64" s="51"/>
      <c r="CA64" s="51"/>
      <c r="CB64" s="51"/>
      <c r="CC64" s="52"/>
      <c r="CD64" s="144" t="s">
        <v>5011</v>
      </c>
      <c r="CE64" s="54" t="s">
        <v>2688</v>
      </c>
      <c r="CF64" s="89" t="e">
        <f>IF(CF57=CF63,HLOOKUP(CG63,CF61:CS62,2),HLOOKUP(CF63,CF61:CS62,2))</f>
        <v>#N/A</v>
      </c>
      <c r="CG64" s="55"/>
      <c r="CH64" s="55"/>
      <c r="CI64" s="55"/>
      <c r="CJ64" s="55"/>
      <c r="CK64" s="55"/>
      <c r="CL64" s="55"/>
      <c r="CM64" s="55"/>
      <c r="CN64" s="55"/>
      <c r="CO64" s="55"/>
      <c r="CP64" s="55"/>
      <c r="CQ64" s="55"/>
      <c r="CR64" s="55"/>
      <c r="CS64" s="55"/>
      <c r="CT64" s="55"/>
      <c r="CU64" s="55"/>
      <c r="CV64" s="52"/>
      <c r="CW64" s="51"/>
      <c r="CX64" s="51"/>
      <c r="CY64" s="51">
        <v>1934</v>
      </c>
      <c r="CZ64" s="199">
        <v>14</v>
      </c>
      <c r="DA64" s="200"/>
      <c r="DB64" s="201" t="s">
        <v>9005</v>
      </c>
      <c r="DC64" s="200"/>
      <c r="DD64" s="202" t="s">
        <v>9299</v>
      </c>
      <c r="DE64" s="51"/>
      <c r="DF64" s="51"/>
      <c r="DG64" s="51"/>
      <c r="DH64" s="51"/>
      <c r="DI64" s="51"/>
      <c r="DJ64" s="51"/>
      <c r="DK64" s="190"/>
      <c r="DL64" s="190"/>
      <c r="DM64" s="51"/>
      <c r="DN64" s="51"/>
      <c r="DO64" s="51"/>
      <c r="DP64" s="51"/>
      <c r="DQ64" s="51"/>
      <c r="DR64" s="51"/>
      <c r="DS64" s="51"/>
      <c r="DT64" s="51"/>
      <c r="DU64" s="51"/>
      <c r="DV64" s="51"/>
      <c r="DW64" s="51"/>
      <c r="DX64" s="51"/>
      <c r="DY64" s="51"/>
      <c r="DZ64" s="51"/>
      <c r="EA64" s="51"/>
      <c r="EB64" s="51"/>
      <c r="EC64" s="51"/>
      <c r="ED64" s="51"/>
      <c r="EE64" s="51"/>
      <c r="EF64" s="51"/>
      <c r="EG64" s="51"/>
      <c r="EH64" s="51"/>
      <c r="EI64" s="51"/>
      <c r="EJ64" s="51"/>
      <c r="EK64" s="51"/>
      <c r="EL64" s="51"/>
      <c r="EM64" s="51"/>
      <c r="EN64" s="51"/>
      <c r="EO64" s="51"/>
      <c r="EP64" s="51"/>
      <c r="EQ64" s="51"/>
      <c r="ER64" s="51"/>
      <c r="ES64" s="51"/>
      <c r="ET64" s="51"/>
      <c r="EU64" s="51"/>
      <c r="EV64" s="51"/>
      <c r="EW64" s="51"/>
      <c r="EX64" s="51"/>
      <c r="EY64" s="51"/>
      <c r="EZ64" s="51"/>
      <c r="FA64" s="51"/>
      <c r="FB64" s="51"/>
      <c r="FC64" s="51"/>
      <c r="FD64" s="51"/>
      <c r="FE64" s="51"/>
      <c r="FF64" s="51"/>
      <c r="FG64" s="51"/>
      <c r="FH64" s="51"/>
      <c r="FI64" s="51"/>
      <c r="FJ64" s="51"/>
      <c r="FK64" s="51"/>
      <c r="FL64" s="51"/>
      <c r="FM64" s="51"/>
      <c r="FN64" s="51"/>
      <c r="FO64" s="51"/>
      <c r="FP64" s="51"/>
      <c r="FQ64" s="51"/>
      <c r="FR64" s="51"/>
      <c r="FS64" s="51"/>
      <c r="FT64" s="51"/>
      <c r="FU64" s="51"/>
      <c r="FV64" s="51"/>
      <c r="FW64" s="51"/>
      <c r="FX64" s="51"/>
      <c r="FY64" s="51"/>
      <c r="FZ64" s="51"/>
      <c r="GA64" s="51"/>
      <c r="GB64" s="51"/>
      <c r="GC64" s="51"/>
      <c r="GD64" s="51"/>
      <c r="GE64" s="51"/>
      <c r="GF64" s="51"/>
      <c r="GG64" s="51"/>
      <c r="GH64" s="51"/>
      <c r="GI64" s="51"/>
      <c r="GJ64" s="51"/>
      <c r="GK64" s="51"/>
      <c r="GL64" s="51"/>
      <c r="GM64" s="51"/>
      <c r="GN64" s="51"/>
      <c r="GO64" s="51"/>
      <c r="GP64" s="51"/>
      <c r="GQ64" s="51"/>
      <c r="GR64" s="51"/>
      <c r="GS64" s="51"/>
      <c r="GT64" s="51"/>
      <c r="GU64" s="51"/>
      <c r="GV64" s="51"/>
      <c r="GW64" s="51"/>
      <c r="GX64" s="51"/>
      <c r="GY64" s="51"/>
      <c r="GZ64" s="51"/>
      <c r="HA64" s="51"/>
      <c r="HB64" s="51"/>
      <c r="HC64" s="51"/>
      <c r="HD64" s="51"/>
      <c r="HE64" s="51"/>
      <c r="HF64" s="51"/>
      <c r="HG64" s="51"/>
      <c r="HH64" s="51"/>
      <c r="HI64" s="51"/>
      <c r="HJ64" s="51"/>
      <c r="HK64" s="51"/>
      <c r="HL64" s="51"/>
      <c r="HM64" s="51"/>
      <c r="HN64" s="51"/>
      <c r="HO64" s="51"/>
      <c r="HP64" s="51"/>
      <c r="HQ64" s="51"/>
      <c r="HR64" s="51"/>
      <c r="HS64" s="51"/>
      <c r="HT64" s="51"/>
      <c r="HU64" s="51"/>
      <c r="HV64" s="51"/>
      <c r="HW64" s="51"/>
      <c r="HX64" s="51"/>
      <c r="HY64" s="51"/>
      <c r="HZ64" s="51"/>
      <c r="IA64" s="51"/>
      <c r="IB64" s="51"/>
      <c r="IC64" s="51"/>
      <c r="ID64" s="51"/>
      <c r="IE64" s="51"/>
      <c r="IF64" s="51"/>
      <c r="IG64" s="51"/>
      <c r="IH64" s="51"/>
      <c r="II64" s="51"/>
      <c r="IJ64" s="51"/>
      <c r="IK64" s="51"/>
      <c r="IL64" s="51"/>
    </row>
    <row r="65" spans="2:246" ht="12.95" customHeight="1">
      <c r="B65" s="33" t="s">
        <v>599</v>
      </c>
      <c r="C65" s="586" t="str">
        <f ca="1">IF(ISNA(VLOOKUP(I27,B42:C64,2,0)),"",VLOOKUP(I27,B42:C64,2,0))</f>
        <v/>
      </c>
      <c r="D65" s="586" t="str">
        <f ca="1">IF(ISNA(VLOOKUP(I27,B42:D64,3,0)),"",VLOOKUP(I27,B42:D64,3,0))</f>
        <v/>
      </c>
      <c r="E65" s="554" t="str">
        <f ca="1">IF(OR(T6=C65,T6=D65),VLOOKUP(I27,B42:E64,4,0),"")</f>
        <v/>
      </c>
      <c r="I65" s="17"/>
      <c r="AJ65" s="213"/>
      <c r="AK65" s="454"/>
      <c r="AP65" s="659" t="str">
        <f ca="1">IF(AT32=5,"",IF(AND(AT32=8,'Vận Năm'!B102="*",AP58=0),1,IF(AND(AT32=8,'Vận Năm'!B102="*",AP58=1),0,IF(AND(AT32=8,'Vận Năm'!B102=""),AP58))))</f>
        <v/>
      </c>
      <c r="AQ65" s="544">
        <f ca="1">AQ9+8</f>
        <v>2040</v>
      </c>
      <c r="AR65" s="494" t="str">
        <f ca="1">AP65&amp;AP66&amp;AP67</f>
        <v/>
      </c>
      <c r="BP65" s="661"/>
      <c r="BQ65" s="706"/>
      <c r="BR65" s="212"/>
      <c r="BW65" s="51"/>
      <c r="BX65" s="51"/>
      <c r="BY65" s="51"/>
      <c r="BZ65" s="51"/>
      <c r="CA65" s="51"/>
      <c r="CB65" s="51"/>
      <c r="CC65" s="52"/>
      <c r="CD65" s="145" t="s">
        <v>5012</v>
      </c>
      <c r="CE65" s="93" t="s">
        <v>2688</v>
      </c>
      <c r="CF65" s="148" t="str">
        <f>IF(AND(CF67=CG67,BY45&gt;0),IF(CF57=CF63,CF57-CG63,CF57-CF63),"Nhập sai ngày DL")</f>
        <v>Nhập sai ngày DL</v>
      </c>
      <c r="CG65" s="55"/>
      <c r="CH65" s="55"/>
      <c r="CI65" s="55"/>
      <c r="CJ65" s="55"/>
      <c r="CK65" s="55"/>
      <c r="CL65" s="55"/>
      <c r="CM65" s="55"/>
      <c r="CN65" s="55"/>
      <c r="CO65" s="55"/>
      <c r="CP65" s="55"/>
      <c r="CQ65" s="55"/>
      <c r="CR65" s="55"/>
      <c r="CS65" s="55"/>
      <c r="CT65" s="55"/>
      <c r="CU65" s="55"/>
      <c r="CV65" s="52"/>
      <c r="CW65" s="51"/>
      <c r="CX65" s="51"/>
      <c r="CY65" s="51">
        <v>1935</v>
      </c>
      <c r="CZ65" s="199">
        <v>15</v>
      </c>
      <c r="DA65" s="200"/>
      <c r="DB65" s="201" t="s">
        <v>9006</v>
      </c>
      <c r="DC65" s="200"/>
      <c r="DD65" s="202" t="s">
        <v>9300</v>
      </c>
      <c r="DE65" s="51"/>
      <c r="DF65" s="51"/>
      <c r="DG65" s="51"/>
      <c r="DH65" s="51"/>
      <c r="DI65" s="51"/>
      <c r="DJ65" s="51"/>
      <c r="DK65" s="190"/>
      <c r="DL65" s="190"/>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1"/>
      <c r="FT65" s="51"/>
      <c r="FU65" s="51"/>
      <c r="FV65" s="51"/>
      <c r="FW65" s="51"/>
      <c r="FX65" s="51"/>
      <c r="FY65" s="51"/>
      <c r="FZ65" s="51"/>
      <c r="GA65" s="51"/>
      <c r="GB65" s="51"/>
      <c r="GC65" s="51"/>
      <c r="GD65" s="51"/>
      <c r="GE65" s="51"/>
      <c r="GF65" s="51"/>
      <c r="GG65" s="51"/>
      <c r="GH65" s="51"/>
      <c r="GI65" s="51"/>
      <c r="GJ65" s="51"/>
      <c r="GK65" s="51"/>
      <c r="GL65" s="51"/>
      <c r="GM65" s="51"/>
      <c r="GN65" s="51"/>
      <c r="GO65" s="51"/>
      <c r="GP65" s="51"/>
      <c r="GQ65" s="51"/>
      <c r="GR65" s="51"/>
      <c r="GS65" s="51"/>
      <c r="GT65" s="51"/>
      <c r="GU65" s="51"/>
      <c r="GV65" s="51"/>
      <c r="GW65" s="51"/>
      <c r="GX65" s="51"/>
      <c r="GY65" s="51"/>
      <c r="GZ65" s="51"/>
      <c r="HA65" s="51"/>
      <c r="HB65" s="51"/>
      <c r="HC65" s="51"/>
      <c r="HD65" s="51"/>
      <c r="HE65" s="51"/>
      <c r="HF65" s="51"/>
      <c r="HG65" s="51"/>
      <c r="HH65" s="51"/>
      <c r="HI65" s="51"/>
      <c r="HJ65" s="51"/>
      <c r="HK65" s="51"/>
      <c r="HL65" s="51"/>
      <c r="HM65" s="51"/>
      <c r="HN65" s="51"/>
      <c r="HO65" s="51"/>
      <c r="HP65" s="51"/>
      <c r="HQ65" s="51"/>
      <c r="HR65" s="51"/>
      <c r="HS65" s="51"/>
      <c r="HT65" s="51"/>
      <c r="HU65" s="51"/>
      <c r="HV65" s="51"/>
      <c r="HW65" s="51"/>
      <c r="HX65" s="51"/>
      <c r="HY65" s="51"/>
      <c r="HZ65" s="51"/>
      <c r="IA65" s="51"/>
      <c r="IB65" s="51"/>
      <c r="IC65" s="51"/>
      <c r="ID65" s="51"/>
      <c r="IE65" s="51"/>
      <c r="IF65" s="51"/>
      <c r="IG65" s="51"/>
      <c r="IH65" s="51"/>
      <c r="II65" s="51"/>
      <c r="IJ65" s="51"/>
      <c r="IK65" s="51"/>
      <c r="IL65" s="51"/>
    </row>
    <row r="66" spans="2:246" ht="12.95" customHeight="1">
      <c r="B66" s="33" t="s">
        <v>600</v>
      </c>
      <c r="C66" s="586" t="str">
        <f ca="1">IF(ISNA(VLOOKUP(I28,B42:C64,2,0)),"",VLOOKUP(I28,B42:C64,2,0))</f>
        <v/>
      </c>
      <c r="D66" s="586" t="str">
        <f ca="1">IF(ISNA(VLOOKUP(I28,B42:D64,3,0)),"",VLOOKUP(I28,B42:D64,3,0))</f>
        <v/>
      </c>
      <c r="E66" s="554" t="str">
        <f ca="1">IF(OR(T6=C66,T6=D66),VLOOKUP(I28,B42:E64,4,0),"")</f>
        <v/>
      </c>
      <c r="I66" s="17"/>
      <c r="AJ66" s="213"/>
      <c r="AK66" s="454"/>
      <c r="AP66" s="660" t="str">
        <f ca="1">IF(AT32=5,"",IF(AND(AT32=8,'Vận Năm'!B103="*",AP59=0),1,IF(AND(AT32=8,'Vận Năm'!B103="*",AP59=1),0,IF(AND(AT32=8,'Vận Năm'!B103=""),AP59))))</f>
        <v/>
      </c>
      <c r="AQ66" s="661" t="str">
        <f ca="1">INDEX(E4:E15,MOD(AQ65,12)+1)</f>
        <v>Thân</v>
      </c>
      <c r="AR66" s="495" t="str">
        <f ca="1">AP68&amp;AP69&amp;AP70</f>
        <v/>
      </c>
      <c r="BP66" s="721"/>
      <c r="BQ66" s="706"/>
      <c r="BR66" s="722"/>
      <c r="BW66" s="51"/>
      <c r="BX66" s="51"/>
      <c r="BY66" s="51"/>
      <c r="BZ66" s="51"/>
      <c r="CA66" s="51"/>
      <c r="CB66" s="51"/>
      <c r="CC66" s="52"/>
      <c r="CD66" s="53"/>
      <c r="CE66" s="55"/>
      <c r="CF66" s="55"/>
      <c r="CG66" s="55"/>
      <c r="CH66" s="55"/>
      <c r="CI66" s="55"/>
      <c r="CJ66" s="55"/>
      <c r="CK66" s="55"/>
      <c r="CL66" s="55"/>
      <c r="CM66" s="55"/>
      <c r="CN66" s="55"/>
      <c r="CO66" s="55"/>
      <c r="CP66" s="55"/>
      <c r="CQ66" s="55"/>
      <c r="CR66" s="55"/>
      <c r="CS66" s="55"/>
      <c r="CT66" s="55"/>
      <c r="CU66" s="55"/>
      <c r="CV66" s="52"/>
      <c r="CW66" s="51"/>
      <c r="CX66" s="51"/>
      <c r="CY66" s="51">
        <v>1936</v>
      </c>
      <c r="CZ66" s="199">
        <v>16</v>
      </c>
      <c r="DA66" s="200"/>
      <c r="DB66" s="201" t="s">
        <v>9007</v>
      </c>
      <c r="DC66" s="200"/>
      <c r="DD66" s="202" t="s">
        <v>1402</v>
      </c>
      <c r="DE66" s="51"/>
      <c r="DF66" s="51"/>
      <c r="DG66" s="51"/>
      <c r="DH66" s="51"/>
      <c r="DI66" s="51"/>
      <c r="DJ66" s="51"/>
      <c r="DK66" s="190"/>
      <c r="DL66" s="190"/>
      <c r="DM66" s="51"/>
      <c r="DN66" s="51"/>
      <c r="DO66" s="51"/>
      <c r="DP66" s="51"/>
      <c r="DQ66" s="51"/>
      <c r="DR66" s="51"/>
      <c r="DS66" s="51"/>
      <c r="DT66" s="51"/>
      <c r="DU66" s="51"/>
      <c r="DV66" s="51"/>
      <c r="DW66" s="51"/>
      <c r="DX66" s="51"/>
      <c r="DY66" s="51"/>
      <c r="DZ66" s="51"/>
      <c r="EA66" s="51"/>
      <c r="EB66" s="51"/>
      <c r="EC66" s="51"/>
      <c r="ED66" s="51"/>
      <c r="EE66" s="51"/>
      <c r="EF66" s="51"/>
      <c r="EG66" s="51"/>
      <c r="EH66" s="51"/>
      <c r="EI66" s="51"/>
      <c r="EJ66" s="51"/>
      <c r="EK66" s="51"/>
      <c r="EL66" s="51"/>
      <c r="EM66" s="51"/>
      <c r="EN66" s="51"/>
      <c r="EO66" s="51"/>
      <c r="EP66" s="51"/>
      <c r="EQ66" s="51"/>
      <c r="ER66" s="51"/>
      <c r="ES66" s="51"/>
      <c r="ET66" s="51"/>
      <c r="EU66" s="51"/>
      <c r="EV66" s="51"/>
      <c r="EW66" s="51"/>
      <c r="EX66" s="51"/>
      <c r="EY66" s="51"/>
      <c r="EZ66" s="51"/>
      <c r="FA66" s="51"/>
      <c r="FB66" s="51"/>
      <c r="FC66" s="51"/>
      <c r="FD66" s="51"/>
      <c r="FE66" s="51"/>
      <c r="FF66" s="51"/>
      <c r="FG66" s="51"/>
      <c r="FH66" s="51"/>
      <c r="FI66" s="51"/>
      <c r="FJ66" s="51"/>
      <c r="FK66" s="51"/>
      <c r="FL66" s="51"/>
      <c r="FM66" s="51"/>
      <c r="FN66" s="51"/>
      <c r="FO66" s="51"/>
      <c r="FP66" s="51"/>
      <c r="FQ66" s="51"/>
      <c r="FR66" s="51"/>
      <c r="FS66" s="51"/>
      <c r="FT66" s="51"/>
      <c r="FU66" s="51"/>
      <c r="FV66" s="51"/>
      <c r="FW66" s="51"/>
      <c r="FX66" s="51"/>
      <c r="FY66" s="51"/>
      <c r="FZ66" s="51"/>
      <c r="GA66" s="51"/>
      <c r="GB66" s="51"/>
      <c r="GC66" s="51"/>
      <c r="GD66" s="51"/>
      <c r="GE66" s="51"/>
      <c r="GF66" s="51"/>
      <c r="GG66" s="51"/>
      <c r="GH66" s="51"/>
      <c r="GI66" s="51"/>
      <c r="GJ66" s="51"/>
      <c r="GK66" s="51"/>
      <c r="GL66" s="51"/>
      <c r="GM66" s="51"/>
      <c r="GN66" s="51"/>
      <c r="GO66" s="51"/>
      <c r="GP66" s="51"/>
      <c r="GQ66" s="51"/>
      <c r="GR66" s="51"/>
      <c r="GS66" s="51"/>
      <c r="GT66" s="51"/>
      <c r="GU66" s="51"/>
      <c r="GV66" s="51"/>
      <c r="GW66" s="51"/>
      <c r="GX66" s="51"/>
      <c r="GY66" s="51"/>
      <c r="GZ66" s="51"/>
      <c r="HA66" s="51"/>
      <c r="HB66" s="51"/>
      <c r="HC66" s="51"/>
      <c r="HD66" s="51"/>
      <c r="HE66" s="51"/>
      <c r="HF66" s="51"/>
      <c r="HG66" s="51"/>
      <c r="HH66" s="51"/>
      <c r="HI66" s="51"/>
      <c r="HJ66" s="51"/>
      <c r="HK66" s="51"/>
      <c r="HL66" s="51"/>
      <c r="HM66" s="51"/>
      <c r="HN66" s="51"/>
      <c r="HO66" s="51"/>
      <c r="HP66" s="51"/>
      <c r="HQ66" s="51"/>
      <c r="HR66" s="51"/>
      <c r="HS66" s="51"/>
      <c r="HT66" s="51"/>
      <c r="HU66" s="51"/>
      <c r="HV66" s="51"/>
      <c r="HW66" s="51"/>
      <c r="HX66" s="51"/>
      <c r="HY66" s="51"/>
      <c r="HZ66" s="51"/>
      <c r="IA66" s="51"/>
      <c r="IB66" s="51"/>
      <c r="IC66" s="51"/>
      <c r="ID66" s="51"/>
      <c r="IE66" s="51"/>
      <c r="IF66" s="51"/>
      <c r="IG66" s="51"/>
      <c r="IH66" s="51"/>
      <c r="II66" s="51"/>
      <c r="IJ66" s="51"/>
      <c r="IK66" s="51"/>
      <c r="IL66" s="51"/>
    </row>
    <row r="67" spans="2:246" ht="12.95" customHeight="1">
      <c r="C67" s="14"/>
      <c r="D67" s="9"/>
      <c r="I67" s="17"/>
      <c r="AJ67" s="213"/>
      <c r="AK67" s="454"/>
      <c r="AP67" s="660" t="str">
        <f ca="1">IF(AT32=5,"",IF(AND(AT32=8,'Vận Năm'!B104="*",AP60=0),1,IF(AND(AT32=8,'Vận Năm'!B104="*",AP60=1),0,IF(AND(AT32=8,'Vận Năm'!B104=""),AP60))))</f>
        <v/>
      </c>
      <c r="AQ67" s="19" t="str">
        <f ca="1">IF(AP57="","",HLOOKUP(AP71,'64Quẻ'!B4:DX5,2,0))</f>
        <v/>
      </c>
      <c r="AR67" s="495" t="str">
        <f ca="1">AP66&amp;AP67&amp;AP68</f>
        <v/>
      </c>
      <c r="BP67" s="721"/>
      <c r="BQ67" s="706"/>
      <c r="BR67" s="722"/>
      <c r="BW67" s="51"/>
      <c r="BX67" s="51"/>
      <c r="BY67" s="51"/>
      <c r="BZ67" s="51"/>
      <c r="CA67" s="51"/>
      <c r="CB67" s="51"/>
      <c r="CC67" s="52"/>
      <c r="CD67" s="53" t="s">
        <v>2880</v>
      </c>
      <c r="CE67" s="55" t="s">
        <v>2688</v>
      </c>
      <c r="CF67" s="88">
        <f>BY45</f>
        <v>0</v>
      </c>
      <c r="CG67" s="55">
        <f>IF(CF67&gt;CG68,"Không Tồn Tại",CF67)</f>
        <v>0</v>
      </c>
      <c r="CH67" s="55"/>
      <c r="CI67" s="55"/>
      <c r="CJ67" s="55"/>
      <c r="CK67" s="55"/>
      <c r="CL67" s="55"/>
      <c r="CM67" s="55"/>
      <c r="CN67" s="55"/>
      <c r="CO67" s="55"/>
      <c r="CP67" s="55"/>
      <c r="CQ67" s="55"/>
      <c r="CR67" s="55"/>
      <c r="CS67" s="55"/>
      <c r="CT67" s="55"/>
      <c r="CU67" s="55"/>
      <c r="CV67" s="52"/>
      <c r="CW67" s="51"/>
      <c r="CX67" s="51"/>
      <c r="CY67" s="51">
        <v>1937</v>
      </c>
      <c r="CZ67" s="199">
        <v>17</v>
      </c>
      <c r="DA67" s="200"/>
      <c r="DB67" s="201" t="s">
        <v>9008</v>
      </c>
      <c r="DC67" s="200"/>
      <c r="DD67" s="202" t="s">
        <v>9301</v>
      </c>
      <c r="DE67" s="51"/>
      <c r="DF67" s="51"/>
      <c r="DG67" s="51"/>
      <c r="DH67" s="51"/>
      <c r="DI67" s="51"/>
      <c r="DJ67" s="51"/>
      <c r="DK67" s="190"/>
      <c r="DL67" s="190"/>
      <c r="DM67" s="51"/>
      <c r="DN67" s="51"/>
      <c r="DO67" s="51"/>
      <c r="DP67" s="51"/>
      <c r="DQ67" s="51"/>
      <c r="DR67" s="51"/>
      <c r="DS67" s="51"/>
      <c r="DT67" s="51"/>
      <c r="DU67" s="51"/>
      <c r="DV67" s="51"/>
      <c r="DW67" s="51"/>
      <c r="DX67" s="51"/>
      <c r="DY67" s="51"/>
      <c r="DZ67" s="51"/>
      <c r="EA67" s="51"/>
      <c r="EB67" s="51"/>
      <c r="EC67" s="51"/>
      <c r="ED67" s="51"/>
      <c r="EE67" s="51"/>
      <c r="EF67" s="51"/>
      <c r="EG67" s="51"/>
      <c r="EH67" s="51"/>
      <c r="EI67" s="51"/>
      <c r="EJ67" s="51"/>
      <c r="EK67" s="51"/>
      <c r="EL67" s="51"/>
      <c r="EM67" s="51"/>
      <c r="EN67" s="51"/>
      <c r="EO67" s="51"/>
      <c r="EP67" s="51"/>
      <c r="EQ67" s="51"/>
      <c r="ER67" s="51"/>
      <c r="ES67" s="51"/>
      <c r="ET67" s="51"/>
      <c r="EU67" s="51"/>
      <c r="EV67" s="51"/>
      <c r="EW67" s="51"/>
      <c r="EX67" s="51"/>
      <c r="EY67" s="51"/>
      <c r="EZ67" s="51"/>
      <c r="FA67" s="51"/>
      <c r="FB67" s="51"/>
      <c r="FC67" s="51"/>
      <c r="FD67" s="51"/>
      <c r="FE67" s="51"/>
      <c r="FF67" s="51"/>
      <c r="FG67" s="51"/>
      <c r="FH67" s="51"/>
      <c r="FI67" s="51"/>
      <c r="FJ67" s="51"/>
      <c r="FK67" s="51"/>
      <c r="FL67" s="51"/>
      <c r="FM67" s="51"/>
      <c r="FN67" s="51"/>
      <c r="FO67" s="51"/>
      <c r="FP67" s="51"/>
      <c r="FQ67" s="51"/>
      <c r="FR67" s="51"/>
      <c r="FS67" s="51"/>
      <c r="FT67" s="51"/>
      <c r="FU67" s="51"/>
      <c r="FV67" s="51"/>
      <c r="FW67" s="51"/>
      <c r="FX67" s="51"/>
      <c r="FY67" s="51"/>
      <c r="FZ67" s="51"/>
      <c r="GA67" s="51"/>
      <c r="GB67" s="51"/>
      <c r="GC67" s="51"/>
      <c r="GD67" s="51"/>
      <c r="GE67" s="51"/>
      <c r="GF67" s="51"/>
      <c r="GG67" s="51"/>
      <c r="GH67" s="51"/>
      <c r="GI67" s="51"/>
      <c r="GJ67" s="51"/>
      <c r="GK67" s="51"/>
      <c r="GL67" s="51"/>
      <c r="GM67" s="51"/>
      <c r="GN67" s="51"/>
      <c r="GO67" s="51"/>
      <c r="GP67" s="51"/>
      <c r="GQ67" s="51"/>
      <c r="GR67" s="51"/>
      <c r="GS67" s="51"/>
      <c r="GT67" s="51"/>
      <c r="GU67" s="51"/>
      <c r="GV67" s="51"/>
      <c r="GW67" s="51"/>
      <c r="GX67" s="51"/>
      <c r="GY67" s="51"/>
      <c r="GZ67" s="51"/>
      <c r="HA67" s="51"/>
      <c r="HB67" s="51"/>
      <c r="HC67" s="51"/>
      <c r="HD67" s="51"/>
      <c r="HE67" s="51"/>
      <c r="HF67" s="51"/>
      <c r="HG67" s="51"/>
      <c r="HH67" s="51"/>
      <c r="HI67" s="51"/>
      <c r="HJ67" s="51"/>
      <c r="HK67" s="51"/>
      <c r="HL67" s="51"/>
      <c r="HM67" s="51"/>
      <c r="HN67" s="51"/>
      <c r="HO67" s="51"/>
      <c r="HP67" s="51"/>
      <c r="HQ67" s="51"/>
      <c r="HR67" s="51"/>
      <c r="HS67" s="51"/>
      <c r="HT67" s="51"/>
      <c r="HU67" s="51"/>
      <c r="HV67" s="51"/>
      <c r="HW67" s="51"/>
      <c r="HX67" s="51"/>
      <c r="HY67" s="51"/>
      <c r="HZ67" s="51"/>
      <c r="IA67" s="51"/>
      <c r="IB67" s="51"/>
      <c r="IC67" s="51"/>
      <c r="ID67" s="51"/>
      <c r="IE67" s="51"/>
      <c r="IF67" s="51"/>
      <c r="IG67" s="51"/>
      <c r="IH67" s="51"/>
      <c r="II67" s="51"/>
      <c r="IJ67" s="51"/>
      <c r="IK67" s="51"/>
      <c r="IL67" s="51"/>
    </row>
    <row r="68" spans="2:246" ht="12.95" customHeight="1">
      <c r="B68" s="588" t="s">
        <v>2575</v>
      </c>
      <c r="C68" s="14"/>
      <c r="D68" s="9"/>
      <c r="I68" s="17"/>
      <c r="AJ68" s="213"/>
      <c r="AK68" s="454"/>
      <c r="AP68" s="660" t="str">
        <f ca="1">IF(AT32=5,"",IF(AND(AT32=8,'Vận Năm'!B105="*",AP61=0),1,IF(AND(AT32=8,'Vận Năm'!B105="*",AP61=1),0,IF(AND(AT32=8,'Vận Năm'!B105=""),AP61))))</f>
        <v/>
      </c>
      <c r="AQ68" s="216" t="str">
        <f ca="1">IF('Vận Năm'!B107="*",1,IF('Vận Năm'!B106="*",2,IF('Vận Năm'!B105="*",3,IF('Vận Năm'!B104="*",4,IF('Vận Năm'!B103="*",5,IF('Vận Năm'!B102="*",6,""))))))</f>
        <v/>
      </c>
      <c r="AR68" s="495" t="str">
        <f ca="1">AP67&amp;AP68&amp;AP69</f>
        <v/>
      </c>
      <c r="BP68" s="247"/>
      <c r="BQ68" s="727"/>
      <c r="BR68" s="722"/>
      <c r="BW68" s="51"/>
      <c r="BX68" s="51"/>
      <c r="BY68" s="51"/>
      <c r="BZ68" s="51"/>
      <c r="CA68" s="51"/>
      <c r="CB68" s="51"/>
      <c r="CC68" s="52"/>
      <c r="CD68" s="53" t="s">
        <v>5013</v>
      </c>
      <c r="CE68" s="55" t="s">
        <v>2688</v>
      </c>
      <c r="CF68" s="88">
        <f>BY46</f>
        <v>1</v>
      </c>
      <c r="CG68" s="55">
        <f>IF(OR(CF68=1,CF68=3,CF68=5,CF68=7,CF68=8,CF68=10,CF68=12),31,IF(CF68=2,CH69,30))</f>
        <v>31</v>
      </c>
      <c r="CH68" s="55"/>
      <c r="CI68" s="55"/>
      <c r="CJ68" s="55"/>
      <c r="CK68" s="55"/>
      <c r="CL68" s="55"/>
      <c r="CM68" s="55"/>
      <c r="CN68" s="55"/>
      <c r="CO68" s="55"/>
      <c r="CP68" s="55"/>
      <c r="CQ68" s="55"/>
      <c r="CR68" s="55"/>
      <c r="CS68" s="55"/>
      <c r="CT68" s="55"/>
      <c r="CU68" s="55"/>
      <c r="CV68" s="52"/>
      <c r="CW68" s="51"/>
      <c r="CX68" s="51"/>
      <c r="CY68" s="51">
        <v>1938</v>
      </c>
      <c r="CZ68" s="199">
        <v>18</v>
      </c>
      <c r="DA68" s="200"/>
      <c r="DB68" s="201" t="s">
        <v>9009</v>
      </c>
      <c r="DC68" s="200"/>
      <c r="DD68" s="202" t="s">
        <v>353</v>
      </c>
      <c r="DE68" s="51"/>
      <c r="DF68" s="51"/>
      <c r="DG68" s="51"/>
      <c r="DH68" s="51"/>
      <c r="DI68" s="51"/>
      <c r="DJ68" s="51"/>
      <c r="DK68" s="190"/>
      <c r="DL68" s="190"/>
      <c r="DM68" s="51"/>
      <c r="DN68" s="51"/>
      <c r="DO68" s="51"/>
      <c r="DP68" s="51"/>
      <c r="DQ68" s="51"/>
      <c r="DR68" s="51"/>
      <c r="DS68" s="51"/>
      <c r="DT68" s="51"/>
      <c r="DU68" s="51"/>
      <c r="DV68" s="51"/>
      <c r="DW68" s="51"/>
      <c r="DX68" s="51"/>
      <c r="DY68" s="51"/>
      <c r="DZ68" s="51"/>
      <c r="EA68" s="51"/>
      <c r="EB68" s="51"/>
      <c r="EC68" s="51"/>
      <c r="ED68" s="51"/>
      <c r="EE68" s="51"/>
      <c r="EF68" s="51"/>
      <c r="EG68" s="51"/>
      <c r="EH68" s="51"/>
      <c r="EI68" s="51"/>
      <c r="EJ68" s="51"/>
      <c r="EK68" s="51"/>
      <c r="EL68" s="51"/>
      <c r="EM68" s="51"/>
      <c r="EN68" s="51"/>
      <c r="EO68" s="51"/>
      <c r="EP68" s="51"/>
      <c r="EQ68" s="51"/>
      <c r="ER68" s="51"/>
      <c r="ES68" s="51"/>
      <c r="ET68" s="51"/>
      <c r="EU68" s="51"/>
      <c r="EV68" s="51"/>
      <c r="EW68" s="51"/>
      <c r="EX68" s="51"/>
      <c r="EY68" s="51"/>
      <c r="EZ68" s="51"/>
      <c r="FA68" s="51"/>
      <c r="FB68" s="51"/>
      <c r="FC68" s="51"/>
      <c r="FD68" s="51"/>
      <c r="FE68" s="51"/>
      <c r="FF68" s="51"/>
      <c r="FG68" s="51"/>
      <c r="FH68" s="51"/>
      <c r="FI68" s="51"/>
      <c r="FJ68" s="51"/>
      <c r="FK68" s="51"/>
      <c r="FL68" s="51"/>
      <c r="FM68" s="51"/>
      <c r="FN68" s="51"/>
      <c r="FO68" s="51"/>
      <c r="FP68" s="51"/>
      <c r="FQ68" s="51"/>
      <c r="FR68" s="51"/>
      <c r="FS68" s="51"/>
      <c r="FT68" s="51"/>
      <c r="FU68" s="51"/>
      <c r="FV68" s="51"/>
      <c r="FW68" s="51"/>
      <c r="FX68" s="51"/>
      <c r="FY68" s="51"/>
      <c r="FZ68" s="51"/>
      <c r="GA68" s="51"/>
      <c r="GB68" s="51"/>
      <c r="GC68" s="51"/>
      <c r="GD68" s="51"/>
      <c r="GE68" s="51"/>
      <c r="GF68" s="51"/>
      <c r="GG68" s="51"/>
      <c r="GH68" s="51"/>
      <c r="GI68" s="51"/>
      <c r="GJ68" s="51"/>
      <c r="GK68" s="51"/>
      <c r="GL68" s="51"/>
      <c r="GM68" s="51"/>
      <c r="GN68" s="51"/>
      <c r="GO68" s="51"/>
      <c r="GP68" s="51"/>
      <c r="GQ68" s="51"/>
      <c r="GR68" s="51"/>
      <c r="GS68" s="51"/>
      <c r="GT68" s="51"/>
      <c r="GU68" s="51"/>
      <c r="GV68" s="51"/>
      <c r="GW68" s="51"/>
      <c r="GX68" s="51"/>
      <c r="GY68" s="51"/>
      <c r="GZ68" s="51"/>
      <c r="HA68" s="51"/>
      <c r="HB68" s="51"/>
      <c r="HC68" s="51"/>
      <c r="HD68" s="51"/>
      <c r="HE68" s="51"/>
      <c r="HF68" s="51"/>
      <c r="HG68" s="51"/>
      <c r="HH68" s="51"/>
      <c r="HI68" s="51"/>
      <c r="HJ68" s="51"/>
      <c r="HK68" s="51"/>
      <c r="HL68" s="51"/>
      <c r="HM68" s="51"/>
      <c r="HN68" s="51"/>
      <c r="HO68" s="51"/>
      <c r="HP68" s="51"/>
      <c r="HQ68" s="51"/>
      <c r="HR68" s="51"/>
      <c r="HS68" s="51"/>
      <c r="HT68" s="51"/>
      <c r="HU68" s="51"/>
      <c r="HV68" s="51"/>
      <c r="HW68" s="51"/>
      <c r="HX68" s="51"/>
      <c r="HY68" s="51"/>
      <c r="HZ68" s="51"/>
      <c r="IA68" s="51"/>
      <c r="IB68" s="51"/>
      <c r="IC68" s="51"/>
      <c r="ID68" s="51"/>
      <c r="IE68" s="51"/>
      <c r="IF68" s="51"/>
      <c r="IG68" s="51"/>
      <c r="IH68" s="51"/>
      <c r="II68" s="51"/>
      <c r="IJ68" s="51"/>
      <c r="IK68" s="51"/>
      <c r="IL68" s="51"/>
    </row>
    <row r="69" spans="2:246" ht="12.95" customHeight="1">
      <c r="B69" s="567" t="s">
        <v>3028</v>
      </c>
      <c r="C69" s="14">
        <v>1</v>
      </c>
      <c r="D69" s="10" t="s">
        <v>2287</v>
      </c>
      <c r="I69" s="17"/>
      <c r="AJ69" s="213"/>
      <c r="AK69" s="454"/>
      <c r="AP69" s="660" t="str">
        <f ca="1">IF(AT32=5,"",IF(AND(AT32=8,'Vận Năm'!B106="*",AP62=0),1,IF(AND(AT32=8,'Vận Năm'!B106="*",AP62=1),0,IF(AND(AT32=8,'Vận Năm'!B106=""),AP62))))</f>
        <v/>
      </c>
      <c r="AQ69" s="662"/>
      <c r="AR69" s="663" t="str">
        <f ca="1">IF(OR(AU3=AR65,AU3=AR66,AU3=AR67,AU3=AR68),"TNK","")</f>
        <v/>
      </c>
      <c r="BQ69" s="706"/>
      <c r="BR69" s="212"/>
      <c r="BW69" s="51"/>
      <c r="BX69" s="51"/>
      <c r="BY69" s="51"/>
      <c r="BZ69" s="51"/>
      <c r="CA69" s="51"/>
      <c r="CB69" s="51"/>
      <c r="CC69" s="52"/>
      <c r="CD69" s="53"/>
      <c r="CE69" s="55"/>
      <c r="CF69" s="150" t="s">
        <v>5014</v>
      </c>
      <c r="CG69" s="55" t="s">
        <v>2688</v>
      </c>
      <c r="CH69" s="88">
        <f>IF(CH70-CI70&gt;0,28,29)</f>
        <v>29</v>
      </c>
      <c r="CI69" s="55"/>
      <c r="CJ69" s="55"/>
      <c r="CK69" s="55"/>
      <c r="CL69" s="55"/>
      <c r="CM69" s="55"/>
      <c r="CN69" s="55"/>
      <c r="CO69" s="55"/>
      <c r="CP69" s="55"/>
      <c r="CQ69" s="55"/>
      <c r="CR69" s="55"/>
      <c r="CS69" s="55"/>
      <c r="CT69" s="55"/>
      <c r="CU69" s="55"/>
      <c r="CV69" s="52"/>
      <c r="CW69" s="51"/>
      <c r="CX69" s="51"/>
      <c r="CY69" s="51">
        <v>1939</v>
      </c>
      <c r="CZ69" s="199">
        <v>19</v>
      </c>
      <c r="DA69" s="200"/>
      <c r="DB69" s="201" t="s">
        <v>9010</v>
      </c>
      <c r="DC69" s="200"/>
      <c r="DD69" s="202" t="s">
        <v>1399</v>
      </c>
      <c r="DE69" s="51"/>
      <c r="DF69" s="51"/>
      <c r="DG69" s="51"/>
      <c r="DH69" s="51"/>
      <c r="DI69" s="51"/>
      <c r="DJ69" s="51"/>
      <c r="DK69" s="190"/>
      <c r="DL69" s="190"/>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c r="HG69" s="51"/>
      <c r="HH69" s="51"/>
      <c r="HI69" s="51"/>
      <c r="HJ69" s="51"/>
      <c r="HK69" s="51"/>
      <c r="HL69" s="51"/>
      <c r="HM69" s="51"/>
      <c r="HN69" s="51"/>
      <c r="HO69" s="51"/>
      <c r="HP69" s="51"/>
      <c r="HQ69" s="51"/>
      <c r="HR69" s="51"/>
      <c r="HS69" s="51"/>
      <c r="HT69" s="51"/>
      <c r="HU69" s="51"/>
      <c r="HV69" s="51"/>
      <c r="HW69" s="51"/>
      <c r="HX69" s="51"/>
      <c r="HY69" s="51"/>
      <c r="HZ69" s="51"/>
      <c r="IA69" s="51"/>
      <c r="IB69" s="51"/>
      <c r="IC69" s="51"/>
      <c r="ID69" s="51"/>
      <c r="IE69" s="51"/>
      <c r="IF69" s="51"/>
      <c r="IG69" s="51"/>
      <c r="IH69" s="51"/>
      <c r="II69" s="51"/>
      <c r="IJ69" s="51"/>
      <c r="IK69" s="51"/>
      <c r="IL69" s="51"/>
    </row>
    <row r="70" spans="2:246" ht="12.95" customHeight="1">
      <c r="B70" s="567" t="s">
        <v>843</v>
      </c>
      <c r="C70" s="14">
        <v>2</v>
      </c>
      <c r="D70" s="10" t="s">
        <v>2288</v>
      </c>
      <c r="I70" s="17"/>
      <c r="AJ70" s="213"/>
      <c r="AK70" s="454"/>
      <c r="AP70" s="660" t="str">
        <f ca="1">IF(AT32=5,"",IF(AND(AT32=8,'Vận Năm'!B107="*",AP63=0),1,IF(AND(AT32=8,'Vận Năm'!B107="*",AP63=1),0,IF(AND(AT32=8,'Vận Năm'!B107=""),AP63))))</f>
        <v/>
      </c>
      <c r="AQ70" s="662"/>
      <c r="AR70" s="663" t="str">
        <f ca="1">IF(OR(AU4=AR65,AU4=AR66,AU4=AR67,AU4=AR68),"ĐNK","")</f>
        <v/>
      </c>
      <c r="BP70" s="712"/>
      <c r="BQ70" s="706"/>
      <c r="BR70" s="212"/>
      <c r="BW70" s="51"/>
      <c r="BX70" s="51"/>
      <c r="BY70" s="51"/>
      <c r="BZ70" s="51"/>
      <c r="CA70" s="51"/>
      <c r="CB70" s="51"/>
      <c r="CC70" s="52"/>
      <c r="CD70" s="53"/>
      <c r="CE70" s="55"/>
      <c r="CF70" s="55" t="s">
        <v>5015</v>
      </c>
      <c r="CG70" s="55" t="s">
        <v>2688</v>
      </c>
      <c r="CH70" s="88">
        <f>BY47/4</f>
        <v>475</v>
      </c>
      <c r="CI70" s="55">
        <f>INT(CH70)</f>
        <v>475</v>
      </c>
      <c r="CJ70" s="55"/>
      <c r="CK70" s="55"/>
      <c r="CL70" s="55"/>
      <c r="CM70" s="55"/>
      <c r="CN70" s="55"/>
      <c r="CO70" s="55"/>
      <c r="CP70" s="55"/>
      <c r="CQ70" s="55"/>
      <c r="CR70" s="55"/>
      <c r="CS70" s="55"/>
      <c r="CT70" s="55"/>
      <c r="CU70" s="55"/>
      <c r="CV70" s="52"/>
      <c r="CW70" s="51"/>
      <c r="CX70" s="51"/>
      <c r="CY70" s="51">
        <v>1940</v>
      </c>
      <c r="CZ70" s="199">
        <v>20</v>
      </c>
      <c r="DA70" s="200"/>
      <c r="DB70" s="201" t="s">
        <v>3733</v>
      </c>
      <c r="DC70" s="200"/>
      <c r="DD70" s="202" t="s">
        <v>505</v>
      </c>
      <c r="DE70" s="51"/>
      <c r="DF70" s="51"/>
      <c r="DG70" s="51"/>
      <c r="DH70" s="51"/>
      <c r="DI70" s="51"/>
      <c r="DJ70" s="51"/>
      <c r="DK70" s="190"/>
      <c r="DL70" s="190"/>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c r="HP70" s="51"/>
      <c r="HQ70" s="51"/>
      <c r="HR70" s="51"/>
      <c r="HS70" s="51"/>
      <c r="HT70" s="51"/>
      <c r="HU70" s="51"/>
      <c r="HV70" s="51"/>
      <c r="HW70" s="51"/>
      <c r="HX70" s="51"/>
      <c r="HY70" s="51"/>
      <c r="HZ70" s="51"/>
      <c r="IA70" s="51"/>
      <c r="IB70" s="51"/>
      <c r="IC70" s="51"/>
      <c r="ID70" s="51"/>
      <c r="IE70" s="51"/>
      <c r="IF70" s="51"/>
      <c r="IG70" s="51"/>
      <c r="IH70" s="51"/>
      <c r="II70" s="51"/>
      <c r="IJ70" s="51"/>
      <c r="IK70" s="51"/>
      <c r="IL70" s="51"/>
    </row>
    <row r="71" spans="2:246" ht="12.95" customHeight="1">
      <c r="B71" s="567" t="s">
        <v>830</v>
      </c>
      <c r="C71" s="14">
        <v>3</v>
      </c>
      <c r="D71" s="10" t="s">
        <v>3614</v>
      </c>
      <c r="I71" s="17"/>
      <c r="AJ71" s="213"/>
      <c r="AK71" s="454"/>
      <c r="AP71" s="664" t="str">
        <f ca="1">AP65&amp;AP66&amp;AP67&amp;AP68&amp;AP69&amp;AP70</f>
        <v/>
      </c>
      <c r="AQ71" s="665"/>
      <c r="AR71" s="666" t="str">
        <f ca="1">IF(OR(AU5=AR65,AU5=AR66,AU5=AR67,AU5=AR68),"HC","")</f>
        <v/>
      </c>
      <c r="BP71" s="661"/>
      <c r="BQ71" s="706"/>
      <c r="BR71" s="212"/>
      <c r="BW71" s="51"/>
      <c r="BX71" s="51"/>
      <c r="BY71" s="51"/>
      <c r="BZ71" s="51"/>
      <c r="CA71" s="51"/>
      <c r="CB71" s="51"/>
      <c r="CC71" s="52"/>
      <c r="CD71" s="154"/>
      <c r="CE71" s="155"/>
      <c r="CF71" s="155"/>
      <c r="CG71" s="155"/>
      <c r="CH71" s="155"/>
      <c r="CI71" s="155"/>
      <c r="CJ71" s="155"/>
      <c r="CK71" s="155"/>
      <c r="CL71" s="155"/>
      <c r="CM71" s="155"/>
      <c r="CN71" s="155"/>
      <c r="CO71" s="155"/>
      <c r="CP71" s="155"/>
      <c r="CQ71" s="155"/>
      <c r="CR71" s="155"/>
      <c r="CS71" s="155"/>
      <c r="CT71" s="155"/>
      <c r="CU71" s="155"/>
      <c r="CV71" s="52"/>
      <c r="CW71" s="51"/>
      <c r="CX71" s="51"/>
      <c r="CY71" s="51">
        <v>1941</v>
      </c>
      <c r="CZ71" s="199">
        <v>21</v>
      </c>
      <c r="DA71" s="200"/>
      <c r="DB71" s="201" t="s">
        <v>3734</v>
      </c>
      <c r="DC71" s="200"/>
      <c r="DD71" s="202" t="s">
        <v>9011</v>
      </c>
      <c r="DE71" s="51"/>
      <c r="DF71" s="51"/>
      <c r="DG71" s="51"/>
      <c r="DH71" s="51"/>
      <c r="DI71" s="51"/>
      <c r="DJ71" s="51"/>
      <c r="DK71" s="190"/>
      <c r="DL71" s="190"/>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c r="HG71" s="51"/>
      <c r="HH71" s="51"/>
      <c r="HI71" s="51"/>
      <c r="HJ71" s="51"/>
      <c r="HK71" s="51"/>
      <c r="HL71" s="51"/>
      <c r="HM71" s="51"/>
      <c r="HN71" s="51"/>
      <c r="HO71" s="51"/>
      <c r="HP71" s="51"/>
      <c r="HQ71" s="51"/>
      <c r="HR71" s="51"/>
      <c r="HS71" s="51"/>
      <c r="HT71" s="51"/>
      <c r="HU71" s="51"/>
      <c r="HV71" s="51"/>
      <c r="HW71" s="51"/>
      <c r="HX71" s="51"/>
      <c r="HY71" s="51"/>
      <c r="HZ71" s="51"/>
      <c r="IA71" s="51"/>
      <c r="IB71" s="51"/>
      <c r="IC71" s="51"/>
      <c r="ID71" s="51"/>
      <c r="IE71" s="51"/>
      <c r="IF71" s="51"/>
      <c r="IG71" s="51"/>
      <c r="IH71" s="51"/>
      <c r="II71" s="51"/>
      <c r="IJ71" s="51"/>
      <c r="IK71" s="51"/>
      <c r="IL71" s="51"/>
    </row>
    <row r="72" spans="2:246" ht="12.95" customHeight="1">
      <c r="B72" s="567" t="s">
        <v>5984</v>
      </c>
      <c r="C72" s="14">
        <v>4</v>
      </c>
      <c r="D72" s="10" t="s">
        <v>3615</v>
      </c>
      <c r="I72" s="17"/>
      <c r="AJ72" s="213"/>
      <c r="AK72" s="454"/>
      <c r="BP72" s="661"/>
      <c r="BQ72" s="706"/>
      <c r="BR72" s="212"/>
      <c r="BW72" s="51"/>
      <c r="BX72" s="51"/>
      <c r="BY72" s="51"/>
      <c r="BZ72" s="51"/>
      <c r="CA72" s="51"/>
      <c r="CB72" s="51"/>
      <c r="CC72" s="52"/>
      <c r="CD72" s="159"/>
      <c r="CE72" s="51" t="s">
        <v>5016</v>
      </c>
      <c r="CF72" s="160" t="e">
        <f>CH54</f>
        <v>#VALUE!</v>
      </c>
      <c r="CG72" s="51" t="s">
        <v>5017</v>
      </c>
      <c r="CH72" s="161" t="str">
        <f>CH52</f>
        <v>Nhâm</v>
      </c>
      <c r="CI72" s="51"/>
      <c r="CJ72" s="51"/>
      <c r="CK72" s="51"/>
      <c r="CL72" s="51"/>
      <c r="CM72" s="51"/>
      <c r="CN72" s="51"/>
      <c r="CO72" s="51"/>
      <c r="CP72" s="51"/>
      <c r="CQ72" s="51"/>
      <c r="CR72" s="51"/>
      <c r="CS72" s="51"/>
      <c r="CT72" s="51"/>
      <c r="CU72" s="51"/>
      <c r="CV72" s="52"/>
      <c r="CW72" s="51"/>
      <c r="CX72" s="51"/>
      <c r="CY72" s="51">
        <v>1942</v>
      </c>
      <c r="CZ72" s="199">
        <v>22</v>
      </c>
      <c r="DA72" s="200"/>
      <c r="DB72" s="201" t="s">
        <v>3735</v>
      </c>
      <c r="DC72" s="200"/>
      <c r="DD72" s="202" t="s">
        <v>506</v>
      </c>
      <c r="DE72" s="51"/>
      <c r="DF72" s="51"/>
      <c r="DG72" s="51"/>
      <c r="DH72" s="51"/>
      <c r="DI72" s="51"/>
      <c r="DJ72" s="51"/>
      <c r="DK72" s="190"/>
      <c r="DL72" s="190"/>
      <c r="DM72" s="51"/>
      <c r="DN72" s="51"/>
      <c r="DO72" s="51"/>
      <c r="DP72" s="51"/>
      <c r="DQ72" s="51"/>
      <c r="DR72" s="51"/>
      <c r="DS72" s="51"/>
      <c r="DT72" s="51"/>
      <c r="DU72" s="51"/>
      <c r="DV72" s="51"/>
      <c r="DW72" s="51"/>
      <c r="DX72" s="51"/>
      <c r="DY72" s="51"/>
      <c r="DZ72" s="51"/>
      <c r="EA72" s="51"/>
      <c r="EB72" s="51"/>
      <c r="EC72" s="51"/>
      <c r="ED72" s="51"/>
      <c r="EE72" s="51"/>
      <c r="EF72" s="51"/>
      <c r="EG72" s="51"/>
      <c r="EH72" s="51"/>
      <c r="EI72" s="51"/>
      <c r="EJ72" s="51"/>
      <c r="EK72" s="51"/>
      <c r="EL72" s="51"/>
      <c r="EM72" s="51"/>
      <c r="EN72" s="51"/>
      <c r="EO72" s="51"/>
      <c r="EP72" s="51"/>
      <c r="EQ72" s="51"/>
      <c r="ER72" s="51"/>
      <c r="ES72" s="51"/>
      <c r="ET72" s="51"/>
      <c r="EU72" s="51"/>
      <c r="EV72" s="51"/>
      <c r="EW72" s="51"/>
      <c r="EX72" s="51"/>
      <c r="EY72" s="51"/>
      <c r="EZ72" s="51"/>
      <c r="FA72" s="51"/>
      <c r="FB72" s="51"/>
      <c r="FC72" s="51"/>
      <c r="FD72" s="51"/>
      <c r="FE72" s="51"/>
      <c r="FF72" s="51"/>
      <c r="FG72" s="51"/>
      <c r="FH72" s="51"/>
      <c r="FI72" s="51"/>
      <c r="FJ72" s="51"/>
      <c r="FK72" s="51"/>
      <c r="FL72" s="51"/>
      <c r="FM72" s="51"/>
      <c r="FN72" s="51"/>
      <c r="FO72" s="51"/>
      <c r="FP72" s="51"/>
      <c r="FQ72" s="51"/>
      <c r="FR72" s="51"/>
      <c r="FS72" s="51"/>
      <c r="FT72" s="51"/>
      <c r="FU72" s="51"/>
      <c r="FV72" s="51"/>
      <c r="FW72" s="51"/>
      <c r="FX72" s="51"/>
      <c r="FY72" s="51"/>
      <c r="FZ72" s="51"/>
      <c r="GA72" s="51"/>
      <c r="GB72" s="51"/>
      <c r="GC72" s="51"/>
      <c r="GD72" s="51"/>
      <c r="GE72" s="51"/>
      <c r="GF72" s="51"/>
      <c r="GG72" s="51"/>
      <c r="GH72" s="51"/>
      <c r="GI72" s="51"/>
      <c r="GJ72" s="51"/>
      <c r="GK72" s="51"/>
      <c r="GL72" s="51"/>
      <c r="GM72" s="51"/>
      <c r="GN72" s="51"/>
      <c r="GO72" s="51"/>
      <c r="GP72" s="51"/>
      <c r="GQ72" s="51"/>
      <c r="GR72" s="51"/>
      <c r="GS72" s="51"/>
      <c r="GT72" s="51"/>
      <c r="GU72" s="51"/>
      <c r="GV72" s="51"/>
      <c r="GW72" s="51"/>
      <c r="GX72" s="51"/>
      <c r="GY72" s="51"/>
      <c r="GZ72" s="51"/>
      <c r="HA72" s="51"/>
      <c r="HB72" s="51"/>
      <c r="HC72" s="51"/>
      <c r="HD72" s="51"/>
      <c r="HE72" s="51"/>
      <c r="HF72" s="51"/>
      <c r="HG72" s="51"/>
      <c r="HH72" s="51"/>
      <c r="HI72" s="51"/>
      <c r="HJ72" s="51"/>
      <c r="HK72" s="51"/>
      <c r="HL72" s="51"/>
      <c r="HM72" s="51"/>
      <c r="HN72" s="51"/>
      <c r="HO72" s="51"/>
      <c r="HP72" s="51"/>
      <c r="HQ72" s="51"/>
      <c r="HR72" s="51"/>
      <c r="HS72" s="51"/>
      <c r="HT72" s="51"/>
      <c r="HU72" s="51"/>
      <c r="HV72" s="51"/>
      <c r="HW72" s="51"/>
      <c r="HX72" s="51"/>
      <c r="HY72" s="51"/>
      <c r="HZ72" s="51"/>
      <c r="IA72" s="51"/>
      <c r="IB72" s="51"/>
      <c r="IC72" s="51"/>
      <c r="ID72" s="51"/>
      <c r="IE72" s="51"/>
      <c r="IF72" s="51"/>
      <c r="IG72" s="51"/>
      <c r="IH72" s="51"/>
      <c r="II72" s="51"/>
      <c r="IJ72" s="51"/>
      <c r="IK72" s="51"/>
      <c r="IL72" s="51"/>
    </row>
    <row r="73" spans="2:246" ht="12.95" customHeight="1" thickBot="1">
      <c r="B73" s="567" t="s">
        <v>5930</v>
      </c>
      <c r="C73" s="14">
        <v>5</v>
      </c>
      <c r="D73" s="10" t="s">
        <v>3616</v>
      </c>
      <c r="I73" s="17"/>
      <c r="AJ73" s="213"/>
      <c r="AK73" s="454"/>
      <c r="BP73" s="721"/>
      <c r="BQ73" s="706"/>
      <c r="BR73" s="722"/>
      <c r="BW73" s="51"/>
      <c r="BX73" s="51"/>
      <c r="BY73" s="51"/>
      <c r="BZ73" s="51"/>
      <c r="CA73" s="51"/>
      <c r="CB73" s="51"/>
      <c r="CC73" s="52"/>
      <c r="CD73" s="159"/>
      <c r="CE73" s="51"/>
      <c r="CF73" s="51"/>
      <c r="CG73" s="51"/>
      <c r="CH73" s="51"/>
      <c r="CI73" s="51"/>
      <c r="CJ73" s="51"/>
      <c r="CK73" s="51"/>
      <c r="CL73" s="51"/>
      <c r="CM73" s="51"/>
      <c r="CN73" s="51"/>
      <c r="CO73" s="51"/>
      <c r="CP73" s="51"/>
      <c r="CQ73" s="51"/>
      <c r="CR73" s="51"/>
      <c r="CS73" s="51"/>
      <c r="CT73" s="51"/>
      <c r="CU73" s="51"/>
      <c r="CV73" s="52"/>
      <c r="CW73" s="51"/>
      <c r="CX73" s="51"/>
      <c r="CY73" s="51">
        <v>1943</v>
      </c>
      <c r="CZ73" s="199">
        <v>23</v>
      </c>
      <c r="DA73" s="200"/>
      <c r="DB73" s="201" t="s">
        <v>1876</v>
      </c>
      <c r="DC73" s="200"/>
      <c r="DD73" s="202" t="s">
        <v>507</v>
      </c>
      <c r="DE73" s="51"/>
      <c r="DF73" s="51"/>
      <c r="DG73" s="51"/>
      <c r="DH73" s="51"/>
      <c r="DI73" s="51"/>
      <c r="DJ73" s="51"/>
      <c r="DK73" s="190"/>
      <c r="DL73" s="190"/>
      <c r="DM73" s="51"/>
      <c r="DN73" s="51"/>
      <c r="DO73" s="51"/>
      <c r="DP73" s="51"/>
      <c r="DQ73" s="51"/>
      <c r="DR73" s="51"/>
      <c r="DS73" s="51"/>
      <c r="DT73" s="51"/>
      <c r="DU73" s="51"/>
      <c r="DV73" s="51"/>
      <c r="DW73" s="51"/>
      <c r="DX73" s="51"/>
      <c r="DY73" s="51"/>
      <c r="DZ73" s="51"/>
      <c r="EA73" s="51"/>
      <c r="EB73" s="51"/>
      <c r="EC73" s="51"/>
      <c r="ED73" s="51"/>
      <c r="EE73" s="51"/>
      <c r="EF73" s="51"/>
      <c r="EG73" s="51"/>
      <c r="EH73" s="51"/>
      <c r="EI73" s="51"/>
      <c r="EJ73" s="51"/>
      <c r="EK73" s="51"/>
      <c r="EL73" s="51"/>
      <c r="EM73" s="51"/>
      <c r="EN73" s="51"/>
      <c r="EO73" s="51"/>
      <c r="EP73" s="51"/>
      <c r="EQ73" s="51"/>
      <c r="ER73" s="51"/>
      <c r="ES73" s="51"/>
      <c r="ET73" s="51"/>
      <c r="EU73" s="51"/>
      <c r="EV73" s="51"/>
      <c r="EW73" s="51"/>
      <c r="EX73" s="51"/>
      <c r="EY73" s="51"/>
      <c r="EZ73" s="51"/>
      <c r="FA73" s="51"/>
      <c r="FB73" s="51"/>
      <c r="FC73" s="51"/>
      <c r="FD73" s="51"/>
      <c r="FE73" s="51"/>
      <c r="FF73" s="51"/>
      <c r="FG73" s="51"/>
      <c r="FH73" s="51"/>
      <c r="FI73" s="51"/>
      <c r="FJ73" s="51"/>
      <c r="FK73" s="51"/>
      <c r="FL73" s="51"/>
      <c r="FM73" s="51"/>
      <c r="FN73" s="51"/>
      <c r="FO73" s="51"/>
      <c r="FP73" s="51"/>
      <c r="FQ73" s="51"/>
      <c r="FR73" s="51"/>
      <c r="FS73" s="51"/>
      <c r="FT73" s="51"/>
      <c r="FU73" s="51"/>
      <c r="FV73" s="51"/>
      <c r="FW73" s="51"/>
      <c r="FX73" s="51"/>
      <c r="FY73" s="51"/>
      <c r="FZ73" s="51"/>
      <c r="GA73" s="51"/>
      <c r="GB73" s="51"/>
      <c r="GC73" s="51"/>
      <c r="GD73" s="51"/>
      <c r="GE73" s="51"/>
      <c r="GF73" s="51"/>
      <c r="GG73" s="51"/>
      <c r="GH73" s="51"/>
      <c r="GI73" s="51"/>
      <c r="GJ73" s="51"/>
      <c r="GK73" s="51"/>
      <c r="GL73" s="51"/>
      <c r="GM73" s="51"/>
      <c r="GN73" s="51"/>
      <c r="GO73" s="51"/>
      <c r="GP73" s="51"/>
      <c r="GQ73" s="51"/>
      <c r="GR73" s="51"/>
      <c r="GS73" s="51"/>
      <c r="GT73" s="51"/>
      <c r="GU73" s="51"/>
      <c r="GV73" s="51"/>
      <c r="GW73" s="51"/>
      <c r="GX73" s="51"/>
      <c r="GY73" s="51"/>
      <c r="GZ73" s="51"/>
      <c r="HA73" s="51"/>
      <c r="HB73" s="51"/>
      <c r="HC73" s="51"/>
      <c r="HD73" s="51"/>
      <c r="HE73" s="51"/>
      <c r="HF73" s="51"/>
      <c r="HG73" s="51"/>
      <c r="HH73" s="51"/>
      <c r="HI73" s="51"/>
      <c r="HJ73" s="51"/>
      <c r="HK73" s="51"/>
      <c r="HL73" s="51"/>
      <c r="HM73" s="51"/>
      <c r="HN73" s="51"/>
      <c r="HO73" s="51"/>
      <c r="HP73" s="51"/>
      <c r="HQ73" s="51"/>
      <c r="HR73" s="51"/>
      <c r="HS73" s="51"/>
      <c r="HT73" s="51"/>
      <c r="HU73" s="51"/>
      <c r="HV73" s="51"/>
      <c r="HW73" s="51"/>
      <c r="HX73" s="51"/>
      <c r="HY73" s="51"/>
      <c r="HZ73" s="51"/>
      <c r="IA73" s="51"/>
      <c r="IB73" s="51"/>
      <c r="IC73" s="51"/>
      <c r="ID73" s="51"/>
      <c r="IE73" s="51"/>
      <c r="IF73" s="51"/>
      <c r="IG73" s="51"/>
      <c r="IH73" s="51"/>
      <c r="II73" s="51"/>
      <c r="IJ73" s="51"/>
      <c r="IK73" s="51"/>
      <c r="IL73" s="51"/>
    </row>
    <row r="74" spans="2:246" ht="12.95" customHeight="1" thickTop="1">
      <c r="B74" s="567" t="s">
        <v>5938</v>
      </c>
      <c r="C74" s="14">
        <v>4</v>
      </c>
      <c r="D74" s="10" t="s">
        <v>3617</v>
      </c>
      <c r="I74" s="17"/>
      <c r="AJ74" s="213"/>
      <c r="AK74" s="454"/>
      <c r="BP74" s="721"/>
      <c r="BQ74" s="706"/>
      <c r="BR74" s="722"/>
      <c r="BW74" s="51"/>
      <c r="BX74" s="51"/>
      <c r="BY74" s="51"/>
      <c r="BZ74" s="51"/>
      <c r="CA74" s="51"/>
      <c r="CB74" s="51"/>
      <c r="CC74" s="52"/>
      <c r="CD74" s="159" t="s">
        <v>352</v>
      </c>
      <c r="CE74" s="165">
        <v>1</v>
      </c>
      <c r="CF74" s="166">
        <v>2</v>
      </c>
      <c r="CG74" s="166">
        <v>3</v>
      </c>
      <c r="CH74" s="166">
        <v>4</v>
      </c>
      <c r="CI74" s="166">
        <v>5</v>
      </c>
      <c r="CJ74" s="166">
        <v>6</v>
      </c>
      <c r="CK74" s="166">
        <v>7</v>
      </c>
      <c r="CL74" s="166">
        <v>8</v>
      </c>
      <c r="CM74" s="166">
        <v>9</v>
      </c>
      <c r="CN74" s="166">
        <v>10</v>
      </c>
      <c r="CO74" s="166">
        <v>11</v>
      </c>
      <c r="CP74" s="167">
        <v>12</v>
      </c>
      <c r="CQ74" s="51"/>
      <c r="CR74" s="51"/>
      <c r="CS74" s="51"/>
      <c r="CT74" s="51"/>
      <c r="CU74" s="51"/>
      <c r="CV74" s="52"/>
      <c r="CW74" s="51"/>
      <c r="CX74" s="51"/>
      <c r="CY74" s="51">
        <v>1944</v>
      </c>
      <c r="CZ74" s="199">
        <v>24</v>
      </c>
      <c r="DA74" s="200"/>
      <c r="DB74" s="201" t="s">
        <v>9005</v>
      </c>
      <c r="DC74" s="200"/>
      <c r="DD74" s="202" t="s">
        <v>9297</v>
      </c>
      <c r="DE74" s="51"/>
      <c r="DF74" s="51"/>
      <c r="DG74" s="51"/>
      <c r="DH74" s="51"/>
      <c r="DI74" s="51"/>
      <c r="DJ74" s="51"/>
      <c r="DK74" s="190"/>
      <c r="DL74" s="190"/>
      <c r="DM74" s="51"/>
      <c r="DN74" s="51"/>
      <c r="DO74" s="51"/>
      <c r="DP74" s="51"/>
      <c r="DQ74" s="51"/>
      <c r="DR74" s="51"/>
      <c r="DS74" s="51"/>
      <c r="DT74" s="51"/>
      <c r="DU74" s="51"/>
      <c r="DV74" s="51"/>
      <c r="DW74" s="51"/>
      <c r="DX74" s="51"/>
      <c r="DY74" s="51"/>
      <c r="DZ74" s="51"/>
      <c r="EA74" s="51"/>
      <c r="EB74" s="51"/>
      <c r="EC74" s="51"/>
      <c r="ED74" s="51"/>
      <c r="EE74" s="51"/>
      <c r="EF74" s="51"/>
      <c r="EG74" s="51"/>
      <c r="EH74" s="51"/>
      <c r="EI74" s="51"/>
      <c r="EJ74" s="51"/>
      <c r="EK74" s="51"/>
      <c r="EL74" s="51"/>
      <c r="EM74" s="51"/>
      <c r="EN74" s="51"/>
      <c r="EO74" s="51"/>
      <c r="EP74" s="51"/>
      <c r="EQ74" s="51"/>
      <c r="ER74" s="51"/>
      <c r="ES74" s="51"/>
      <c r="ET74" s="51"/>
      <c r="EU74" s="51"/>
      <c r="EV74" s="51"/>
      <c r="EW74" s="51"/>
      <c r="EX74" s="51"/>
      <c r="EY74" s="51"/>
      <c r="EZ74" s="51"/>
      <c r="FA74" s="51"/>
      <c r="FB74" s="51"/>
      <c r="FC74" s="51"/>
      <c r="FD74" s="51"/>
      <c r="FE74" s="51"/>
      <c r="FF74" s="51"/>
      <c r="FG74" s="51"/>
      <c r="FH74" s="51"/>
      <c r="FI74" s="51"/>
      <c r="FJ74" s="51"/>
      <c r="FK74" s="51"/>
      <c r="FL74" s="51"/>
      <c r="FM74" s="51"/>
      <c r="FN74" s="51"/>
      <c r="FO74" s="51"/>
      <c r="FP74" s="51"/>
      <c r="FQ74" s="51"/>
      <c r="FR74" s="51"/>
      <c r="FS74" s="51"/>
      <c r="FT74" s="51"/>
      <c r="FU74" s="51"/>
      <c r="FV74" s="51"/>
      <c r="FW74" s="51"/>
      <c r="FX74" s="51"/>
      <c r="FY74" s="51"/>
      <c r="FZ74" s="51"/>
      <c r="GA74" s="51"/>
      <c r="GB74" s="51"/>
      <c r="GC74" s="51"/>
      <c r="GD74" s="51"/>
      <c r="GE74" s="51"/>
      <c r="GF74" s="51"/>
      <c r="GG74" s="51"/>
      <c r="GH74" s="51"/>
      <c r="GI74" s="51"/>
      <c r="GJ74" s="51"/>
      <c r="GK74" s="51"/>
      <c r="GL74" s="51"/>
      <c r="GM74" s="51"/>
      <c r="GN74" s="51"/>
      <c r="GO74" s="51"/>
      <c r="GP74" s="51"/>
      <c r="GQ74" s="51"/>
      <c r="GR74" s="51"/>
      <c r="GS74" s="51"/>
      <c r="GT74" s="51"/>
      <c r="GU74" s="51"/>
      <c r="GV74" s="51"/>
      <c r="GW74" s="51"/>
      <c r="GX74" s="51"/>
      <c r="GY74" s="51"/>
      <c r="GZ74" s="51"/>
      <c r="HA74" s="51"/>
      <c r="HB74" s="51"/>
      <c r="HC74" s="51"/>
      <c r="HD74" s="51"/>
      <c r="HE74" s="51"/>
      <c r="HF74" s="51"/>
      <c r="HG74" s="51"/>
      <c r="HH74" s="51"/>
      <c r="HI74" s="51"/>
      <c r="HJ74" s="51"/>
      <c r="HK74" s="51"/>
      <c r="HL74" s="51"/>
      <c r="HM74" s="51"/>
      <c r="HN74" s="51"/>
      <c r="HO74" s="51"/>
      <c r="HP74" s="51"/>
      <c r="HQ74" s="51"/>
      <c r="HR74" s="51"/>
      <c r="HS74" s="51"/>
      <c r="HT74" s="51"/>
      <c r="HU74" s="51"/>
      <c r="HV74" s="51"/>
      <c r="HW74" s="51"/>
      <c r="HX74" s="51"/>
      <c r="HY74" s="51"/>
      <c r="HZ74" s="51"/>
      <c r="IA74" s="51"/>
      <c r="IB74" s="51"/>
      <c r="IC74" s="51"/>
      <c r="ID74" s="51"/>
      <c r="IE74" s="51"/>
      <c r="IF74" s="51"/>
      <c r="IG74" s="51"/>
      <c r="IH74" s="51"/>
      <c r="II74" s="51"/>
      <c r="IJ74" s="51"/>
      <c r="IK74" s="51"/>
      <c r="IL74" s="51"/>
    </row>
    <row r="75" spans="2:246" ht="12.95" customHeight="1" thickBot="1">
      <c r="B75" s="567" t="s">
        <v>3197</v>
      </c>
      <c r="C75" s="14">
        <v>5</v>
      </c>
      <c r="D75" s="10" t="s">
        <v>3618</v>
      </c>
      <c r="I75" s="17"/>
      <c r="AJ75" s="213"/>
      <c r="AK75" s="454"/>
      <c r="BP75" s="247"/>
      <c r="BQ75" s="727"/>
      <c r="BR75" s="722"/>
      <c r="BW75" s="51"/>
      <c r="BX75" s="51"/>
      <c r="BY75" s="51"/>
      <c r="BZ75" s="51"/>
      <c r="CA75" s="51"/>
      <c r="CB75" s="51"/>
      <c r="CC75" s="52"/>
      <c r="CD75" s="159" t="s">
        <v>5018</v>
      </c>
      <c r="CE75" s="168" t="e">
        <f>HLOOKUP(CF72,DA36:DJ38,2,FALSE)</f>
        <v>#VALUE!</v>
      </c>
      <c r="CF75" s="169" t="e">
        <f t="shared" ref="CF75:CP75" si="33">INDEX($CZ$34:$DS$34,1,MATCH(CE75,$CZ$34:$DS$34,0)+1)</f>
        <v>#VALUE!</v>
      </c>
      <c r="CG75" s="169" t="e">
        <f t="shared" si="33"/>
        <v>#VALUE!</v>
      </c>
      <c r="CH75" s="169" t="e">
        <f t="shared" si="33"/>
        <v>#VALUE!</v>
      </c>
      <c r="CI75" s="169" t="e">
        <f t="shared" si="33"/>
        <v>#VALUE!</v>
      </c>
      <c r="CJ75" s="170" t="e">
        <f t="shared" si="33"/>
        <v>#VALUE!</v>
      </c>
      <c r="CK75" s="169" t="e">
        <f t="shared" si="33"/>
        <v>#VALUE!</v>
      </c>
      <c r="CL75" s="169" t="e">
        <f t="shared" si="33"/>
        <v>#VALUE!</v>
      </c>
      <c r="CM75" s="169" t="e">
        <f t="shared" si="33"/>
        <v>#VALUE!</v>
      </c>
      <c r="CN75" s="169" t="e">
        <f t="shared" si="33"/>
        <v>#VALUE!</v>
      </c>
      <c r="CO75" s="169" t="e">
        <f t="shared" si="33"/>
        <v>#VALUE!</v>
      </c>
      <c r="CP75" s="171" t="e">
        <f t="shared" si="33"/>
        <v>#VALUE!</v>
      </c>
      <c r="CQ75" s="51"/>
      <c r="CR75" s="51"/>
      <c r="CS75" s="51"/>
      <c r="CT75" s="51"/>
      <c r="CU75" s="51"/>
      <c r="CV75" s="52"/>
      <c r="CW75" s="51"/>
      <c r="CX75" s="51"/>
      <c r="CY75" s="51">
        <v>1945</v>
      </c>
      <c r="CZ75" s="199">
        <v>25</v>
      </c>
      <c r="DA75" s="200"/>
      <c r="DB75" s="201" t="s">
        <v>9006</v>
      </c>
      <c r="DC75" s="200"/>
      <c r="DD75" s="202" t="s">
        <v>9298</v>
      </c>
      <c r="DE75" s="51"/>
      <c r="DF75" s="51"/>
      <c r="DG75" s="51"/>
      <c r="DH75" s="51"/>
      <c r="DI75" s="51"/>
      <c r="DJ75" s="51"/>
      <c r="DK75" s="190"/>
      <c r="DL75" s="190"/>
      <c r="DM75" s="51"/>
      <c r="DN75" s="51"/>
      <c r="DO75" s="51"/>
      <c r="DP75" s="51"/>
      <c r="DQ75" s="51"/>
      <c r="DR75" s="51"/>
      <c r="DS75" s="51"/>
      <c r="DT75" s="51"/>
      <c r="DU75" s="51"/>
      <c r="DV75" s="51"/>
      <c r="DW75" s="51"/>
      <c r="DX75" s="51"/>
      <c r="DY75" s="51"/>
      <c r="DZ75" s="51"/>
      <c r="EA75" s="51"/>
      <c r="EB75" s="51"/>
      <c r="EC75" s="51"/>
      <c r="ED75" s="51"/>
      <c r="EE75" s="51"/>
      <c r="EF75" s="51"/>
      <c r="EG75" s="51"/>
      <c r="EH75" s="51"/>
      <c r="EI75" s="51"/>
      <c r="EJ75" s="51"/>
      <c r="EK75" s="51"/>
      <c r="EL75" s="51"/>
      <c r="EM75" s="51"/>
      <c r="EN75" s="51"/>
      <c r="EO75" s="51"/>
      <c r="EP75" s="51"/>
      <c r="EQ75" s="51"/>
      <c r="ER75" s="51"/>
      <c r="ES75" s="51"/>
      <c r="ET75" s="51"/>
      <c r="EU75" s="51"/>
      <c r="EV75" s="51"/>
      <c r="EW75" s="51"/>
      <c r="EX75" s="51"/>
      <c r="EY75" s="51"/>
      <c r="EZ75" s="51"/>
      <c r="FA75" s="51"/>
      <c r="FB75" s="51"/>
      <c r="FC75" s="51"/>
      <c r="FD75" s="51"/>
      <c r="FE75" s="51"/>
      <c r="FF75" s="51"/>
      <c r="FG75" s="51"/>
      <c r="FH75" s="51"/>
      <c r="FI75" s="51"/>
      <c r="FJ75" s="51"/>
      <c r="FK75" s="51"/>
      <c r="FL75" s="51"/>
      <c r="FM75" s="51"/>
      <c r="FN75" s="51"/>
      <c r="FO75" s="51"/>
      <c r="FP75" s="51"/>
      <c r="FQ75" s="51"/>
      <c r="FR75" s="51"/>
      <c r="FS75" s="51"/>
      <c r="FT75" s="51"/>
      <c r="FU75" s="51"/>
      <c r="FV75" s="51"/>
      <c r="FW75" s="51"/>
      <c r="FX75" s="51"/>
      <c r="FY75" s="51"/>
      <c r="FZ75" s="51"/>
      <c r="GA75" s="51"/>
      <c r="GB75" s="51"/>
      <c r="GC75" s="51"/>
      <c r="GD75" s="51"/>
      <c r="GE75" s="51"/>
      <c r="GF75" s="51"/>
      <c r="GG75" s="51"/>
      <c r="GH75" s="51"/>
      <c r="GI75" s="51"/>
      <c r="GJ75" s="51"/>
      <c r="GK75" s="51"/>
      <c r="GL75" s="51"/>
      <c r="GM75" s="51"/>
      <c r="GN75" s="51"/>
      <c r="GO75" s="51"/>
      <c r="GP75" s="51"/>
      <c r="GQ75" s="51"/>
      <c r="GR75" s="51"/>
      <c r="GS75" s="51"/>
      <c r="GT75" s="51"/>
      <c r="GU75" s="51"/>
      <c r="GV75" s="51"/>
      <c r="GW75" s="51"/>
      <c r="GX75" s="51"/>
      <c r="GY75" s="51"/>
      <c r="GZ75" s="51"/>
      <c r="HA75" s="51"/>
      <c r="HB75" s="51"/>
      <c r="HC75" s="51"/>
      <c r="HD75" s="51"/>
      <c r="HE75" s="51"/>
      <c r="HF75" s="51"/>
      <c r="HG75" s="51"/>
      <c r="HH75" s="51"/>
      <c r="HI75" s="51"/>
      <c r="HJ75" s="51"/>
      <c r="HK75" s="51"/>
      <c r="HL75" s="51"/>
      <c r="HM75" s="51"/>
      <c r="HN75" s="51"/>
      <c r="HO75" s="51"/>
      <c r="HP75" s="51"/>
      <c r="HQ75" s="51"/>
      <c r="HR75" s="51"/>
      <c r="HS75" s="51"/>
      <c r="HT75" s="51"/>
      <c r="HU75" s="51"/>
      <c r="HV75" s="51"/>
      <c r="HW75" s="51"/>
      <c r="HX75" s="51"/>
      <c r="HY75" s="51"/>
      <c r="HZ75" s="51"/>
      <c r="IA75" s="51"/>
      <c r="IB75" s="51"/>
      <c r="IC75" s="51"/>
      <c r="ID75" s="51"/>
      <c r="IE75" s="51"/>
      <c r="IF75" s="51"/>
      <c r="IG75" s="51"/>
      <c r="IH75" s="51"/>
      <c r="II75" s="51"/>
      <c r="IJ75" s="51"/>
      <c r="IK75" s="51"/>
      <c r="IL75" s="51"/>
    </row>
    <row r="76" spans="2:246" ht="12.95" customHeight="1" thickTop="1" thickBot="1">
      <c r="B76" s="567" t="s">
        <v>9302</v>
      </c>
      <c r="C76" s="14">
        <v>6</v>
      </c>
      <c r="D76" s="10" t="s">
        <v>3619</v>
      </c>
      <c r="I76" s="17"/>
      <c r="AJ76" s="213"/>
      <c r="BQ76" s="706"/>
      <c r="BR76" s="212"/>
      <c r="BW76" s="51"/>
      <c r="BX76" s="51"/>
      <c r="BY76" s="51"/>
      <c r="BZ76" s="51"/>
      <c r="CA76" s="51"/>
      <c r="CB76" s="51"/>
      <c r="CC76" s="52"/>
      <c r="CD76" s="159"/>
      <c r="CE76" s="51"/>
      <c r="CF76" s="51"/>
      <c r="CG76" s="51"/>
      <c r="CH76" s="51"/>
      <c r="CI76" s="51"/>
      <c r="CJ76" s="51"/>
      <c r="CK76" s="51"/>
      <c r="CL76" s="51"/>
      <c r="CM76" s="51"/>
      <c r="CN76" s="51"/>
      <c r="CO76" s="51"/>
      <c r="CP76" s="51"/>
      <c r="CQ76" s="51"/>
      <c r="CR76" s="51"/>
      <c r="CS76" s="51"/>
      <c r="CT76" s="51"/>
      <c r="CU76" s="51"/>
      <c r="CV76" s="52"/>
      <c r="CW76" s="51"/>
      <c r="CX76" s="51"/>
      <c r="CY76" s="51">
        <v>1946</v>
      </c>
      <c r="CZ76" s="199">
        <v>26</v>
      </c>
      <c r="DA76" s="200"/>
      <c r="DB76" s="201" t="s">
        <v>9007</v>
      </c>
      <c r="DC76" s="200"/>
      <c r="DD76" s="202" t="s">
        <v>9299</v>
      </c>
      <c r="DE76" s="51"/>
      <c r="DF76" s="51"/>
      <c r="DG76" s="51"/>
      <c r="DH76" s="51"/>
      <c r="DI76" s="51"/>
      <c r="DJ76" s="51"/>
      <c r="DK76" s="190"/>
      <c r="DL76" s="190"/>
      <c r="DM76" s="51"/>
      <c r="DN76" s="51"/>
      <c r="DO76" s="51"/>
      <c r="DP76" s="51"/>
      <c r="DQ76" s="51"/>
      <c r="DR76" s="51"/>
      <c r="DS76" s="51"/>
      <c r="DT76" s="51"/>
      <c r="DU76" s="51"/>
      <c r="DV76" s="51"/>
      <c r="DW76" s="51"/>
      <c r="DX76" s="51"/>
      <c r="DY76" s="51"/>
      <c r="DZ76" s="51"/>
      <c r="EA76" s="51"/>
      <c r="EB76" s="51"/>
      <c r="EC76" s="51"/>
      <c r="ED76" s="51"/>
      <c r="EE76" s="51"/>
      <c r="EF76" s="51"/>
      <c r="EG76" s="51"/>
      <c r="EH76" s="51"/>
      <c r="EI76" s="51"/>
      <c r="EJ76" s="51"/>
      <c r="EK76" s="51"/>
      <c r="EL76" s="51"/>
      <c r="EM76" s="51"/>
      <c r="EN76" s="51"/>
      <c r="EO76" s="51"/>
      <c r="EP76" s="51"/>
      <c r="EQ76" s="51"/>
      <c r="ER76" s="51"/>
      <c r="ES76" s="51"/>
      <c r="ET76" s="51"/>
      <c r="EU76" s="51"/>
      <c r="EV76" s="51"/>
      <c r="EW76" s="51"/>
      <c r="EX76" s="51"/>
      <c r="EY76" s="51"/>
      <c r="EZ76" s="51"/>
      <c r="FA76" s="51"/>
      <c r="FB76" s="51"/>
      <c r="FC76" s="51"/>
      <c r="FD76" s="51"/>
      <c r="FE76" s="51"/>
      <c r="FF76" s="51"/>
      <c r="FG76" s="51"/>
      <c r="FH76" s="51"/>
      <c r="FI76" s="51"/>
      <c r="FJ76" s="51"/>
      <c r="FK76" s="51"/>
      <c r="FL76" s="51"/>
      <c r="FM76" s="51"/>
      <c r="FN76" s="51"/>
      <c r="FO76" s="51"/>
      <c r="FP76" s="51"/>
      <c r="FQ76" s="51"/>
      <c r="FR76" s="51"/>
      <c r="FS76" s="51"/>
      <c r="FT76" s="51"/>
      <c r="FU76" s="51"/>
      <c r="FV76" s="51"/>
      <c r="FW76" s="51"/>
      <c r="FX76" s="51"/>
      <c r="FY76" s="51"/>
      <c r="FZ76" s="51"/>
      <c r="GA76" s="51"/>
      <c r="GB76" s="51"/>
      <c r="GC76" s="51"/>
      <c r="GD76" s="51"/>
      <c r="GE76" s="51"/>
      <c r="GF76" s="51"/>
      <c r="GG76" s="51"/>
      <c r="GH76" s="51"/>
      <c r="GI76" s="51"/>
      <c r="GJ76" s="51"/>
      <c r="GK76" s="51"/>
      <c r="GL76" s="51"/>
      <c r="GM76" s="51"/>
      <c r="GN76" s="51"/>
      <c r="GO76" s="51"/>
      <c r="GP76" s="51"/>
      <c r="GQ76" s="51"/>
      <c r="GR76" s="51"/>
      <c r="GS76" s="51"/>
      <c r="GT76" s="51"/>
      <c r="GU76" s="51"/>
      <c r="GV76" s="51"/>
      <c r="GW76" s="51"/>
      <c r="GX76" s="51"/>
      <c r="GY76" s="51"/>
      <c r="GZ76" s="51"/>
      <c r="HA76" s="51"/>
      <c r="HB76" s="51"/>
      <c r="HC76" s="51"/>
      <c r="HD76" s="51"/>
      <c r="HE76" s="51"/>
      <c r="HF76" s="51"/>
      <c r="HG76" s="51"/>
      <c r="HH76" s="51"/>
      <c r="HI76" s="51"/>
      <c r="HJ76" s="51"/>
      <c r="HK76" s="51"/>
      <c r="HL76" s="51"/>
      <c r="HM76" s="51"/>
      <c r="HN76" s="51"/>
      <c r="HO76" s="51"/>
      <c r="HP76" s="51"/>
      <c r="HQ76" s="51"/>
      <c r="HR76" s="51"/>
      <c r="HS76" s="51"/>
      <c r="HT76" s="51"/>
      <c r="HU76" s="51"/>
      <c r="HV76" s="51"/>
      <c r="HW76" s="51"/>
      <c r="HX76" s="51"/>
      <c r="HY76" s="51"/>
      <c r="HZ76" s="51"/>
      <c r="IA76" s="51"/>
      <c r="IB76" s="51"/>
      <c r="IC76" s="51"/>
      <c r="ID76" s="51"/>
      <c r="IE76" s="51"/>
      <c r="IF76" s="51"/>
      <c r="IG76" s="51"/>
      <c r="IH76" s="51"/>
      <c r="II76" s="51"/>
      <c r="IJ76" s="51"/>
      <c r="IK76" s="51"/>
      <c r="IL76" s="51"/>
    </row>
    <row r="77" spans="2:246" ht="12.95" customHeight="1" thickTop="1">
      <c r="B77" s="33" t="s">
        <v>599</v>
      </c>
      <c r="C77" s="554" t="str">
        <f ca="1">IF(I27=B69,D69,IF(I27=B70,D70,IF(I27=B71,D71,IF(I27=B72,D72,IF(I27=B73,D73,IF(I27=B74,D74,IF(I27=B75,D75,IF(I27=B76,D76,""))))))))</f>
        <v/>
      </c>
      <c r="D77" s="9"/>
      <c r="I77" s="17"/>
      <c r="BP77" s="712"/>
      <c r="BQ77" s="706"/>
      <c r="BR77" s="212"/>
      <c r="BW77" s="51"/>
      <c r="BX77" s="51"/>
      <c r="BY77" s="51"/>
      <c r="BZ77" s="51"/>
      <c r="CA77" s="51"/>
      <c r="CB77" s="51"/>
      <c r="CC77" s="52"/>
      <c r="CD77" s="159" t="s">
        <v>5021</v>
      </c>
      <c r="CE77" s="172" t="s">
        <v>1402</v>
      </c>
      <c r="CF77" s="173" t="s">
        <v>9301</v>
      </c>
      <c r="CG77" s="173" t="s">
        <v>353</v>
      </c>
      <c r="CH77" s="173" t="s">
        <v>1399</v>
      </c>
      <c r="CI77" s="173" t="s">
        <v>505</v>
      </c>
      <c r="CJ77" s="173" t="s">
        <v>9011</v>
      </c>
      <c r="CK77" s="173" t="s">
        <v>506</v>
      </c>
      <c r="CL77" s="173" t="s">
        <v>507</v>
      </c>
      <c r="CM77" s="173" t="s">
        <v>9297</v>
      </c>
      <c r="CN77" s="173" t="s">
        <v>9298</v>
      </c>
      <c r="CO77" s="173" t="s">
        <v>9299</v>
      </c>
      <c r="CP77" s="174" t="s">
        <v>9300</v>
      </c>
      <c r="CQ77" s="51"/>
      <c r="CR77" s="51"/>
      <c r="CS77" s="51"/>
      <c r="CT77" s="51"/>
      <c r="CU77" s="51"/>
      <c r="CV77" s="52"/>
      <c r="CW77" s="51"/>
      <c r="CX77" s="51"/>
      <c r="CY77" s="51">
        <v>1947</v>
      </c>
      <c r="CZ77" s="199">
        <v>27</v>
      </c>
      <c r="DA77" s="200"/>
      <c r="DB77" s="201" t="s">
        <v>9008</v>
      </c>
      <c r="DC77" s="200"/>
      <c r="DD77" s="202" t="s">
        <v>9300</v>
      </c>
      <c r="DE77" s="51"/>
      <c r="DF77" s="51"/>
      <c r="DG77" s="51"/>
      <c r="DH77" s="51"/>
      <c r="DI77" s="51"/>
      <c r="DJ77" s="51"/>
      <c r="DK77" s="190"/>
      <c r="DL77" s="190"/>
      <c r="DM77" s="51"/>
      <c r="DN77" s="51"/>
      <c r="DO77" s="51"/>
      <c r="DP77" s="51"/>
      <c r="DQ77" s="51"/>
      <c r="DR77" s="51"/>
      <c r="DS77" s="51"/>
      <c r="DT77" s="51"/>
      <c r="DU77" s="51"/>
      <c r="DV77" s="51"/>
      <c r="DW77" s="51"/>
      <c r="DX77" s="51"/>
      <c r="DY77" s="51"/>
      <c r="DZ77" s="51"/>
      <c r="EA77" s="51"/>
      <c r="EB77" s="51"/>
      <c r="EC77" s="51"/>
      <c r="ED77" s="51"/>
      <c r="EE77" s="51"/>
      <c r="EF77" s="51"/>
      <c r="EG77" s="51"/>
      <c r="EH77" s="51"/>
      <c r="EI77" s="51"/>
      <c r="EJ77" s="51"/>
      <c r="EK77" s="51"/>
      <c r="EL77" s="51"/>
      <c r="EM77" s="51"/>
      <c r="EN77" s="51"/>
      <c r="EO77" s="51"/>
      <c r="EP77" s="51"/>
      <c r="EQ77" s="51"/>
      <c r="ER77" s="51"/>
      <c r="ES77" s="51"/>
      <c r="ET77" s="51"/>
      <c r="EU77" s="51"/>
      <c r="EV77" s="51"/>
      <c r="EW77" s="51"/>
      <c r="EX77" s="51"/>
      <c r="EY77" s="51"/>
      <c r="EZ77" s="51"/>
      <c r="FA77" s="51"/>
      <c r="FB77" s="51"/>
      <c r="FC77" s="51"/>
      <c r="FD77" s="51"/>
      <c r="FE77" s="51"/>
      <c r="FF77" s="51"/>
      <c r="FG77" s="51"/>
      <c r="FH77" s="51"/>
      <c r="FI77" s="51"/>
      <c r="FJ77" s="51"/>
      <c r="FK77" s="51"/>
      <c r="FL77" s="51"/>
      <c r="FM77" s="51"/>
      <c r="FN77" s="51"/>
      <c r="FO77" s="51"/>
      <c r="FP77" s="51"/>
      <c r="FQ77" s="51"/>
      <c r="FR77" s="51"/>
      <c r="FS77" s="51"/>
      <c r="FT77" s="51"/>
      <c r="FU77" s="51"/>
      <c r="FV77" s="51"/>
      <c r="FW77" s="51"/>
      <c r="FX77" s="51"/>
      <c r="FY77" s="51"/>
      <c r="FZ77" s="51"/>
      <c r="GA77" s="51"/>
      <c r="GB77" s="51"/>
      <c r="GC77" s="51"/>
      <c r="GD77" s="51"/>
      <c r="GE77" s="51"/>
      <c r="GF77" s="51"/>
      <c r="GG77" s="51"/>
      <c r="GH77" s="51"/>
      <c r="GI77" s="51"/>
      <c r="GJ77" s="51"/>
      <c r="GK77" s="51"/>
      <c r="GL77" s="51"/>
      <c r="GM77" s="51"/>
      <c r="GN77" s="51"/>
      <c r="GO77" s="51"/>
      <c r="GP77" s="51"/>
      <c r="GQ77" s="51"/>
      <c r="GR77" s="51"/>
      <c r="GS77" s="51"/>
      <c r="GT77" s="51"/>
      <c r="GU77" s="51"/>
      <c r="GV77" s="51"/>
      <c r="GW77" s="51"/>
      <c r="GX77" s="51"/>
      <c r="GY77" s="51"/>
      <c r="GZ77" s="51"/>
      <c r="HA77" s="51"/>
      <c r="HB77" s="51"/>
      <c r="HC77" s="51"/>
      <c r="HD77" s="51"/>
      <c r="HE77" s="51"/>
      <c r="HF77" s="51"/>
      <c r="HG77" s="51"/>
      <c r="HH77" s="51"/>
      <c r="HI77" s="51"/>
      <c r="HJ77" s="51"/>
      <c r="HK77" s="51"/>
      <c r="HL77" s="51"/>
      <c r="HM77" s="51"/>
      <c r="HN77" s="51"/>
      <c r="HO77" s="51"/>
      <c r="HP77" s="51"/>
      <c r="HQ77" s="51"/>
      <c r="HR77" s="51"/>
      <c r="HS77" s="51"/>
      <c r="HT77" s="51"/>
      <c r="HU77" s="51"/>
      <c r="HV77" s="51"/>
      <c r="HW77" s="51"/>
      <c r="HX77" s="51"/>
      <c r="HY77" s="51"/>
      <c r="HZ77" s="51"/>
      <c r="IA77" s="51"/>
      <c r="IB77" s="51"/>
      <c r="IC77" s="51"/>
      <c r="ID77" s="51"/>
      <c r="IE77" s="51"/>
      <c r="IF77" s="51"/>
      <c r="IG77" s="51"/>
      <c r="IH77" s="51"/>
      <c r="II77" s="51"/>
      <c r="IJ77" s="51"/>
      <c r="IK77" s="51"/>
      <c r="IL77" s="51"/>
    </row>
    <row r="78" spans="2:246" ht="12.95" customHeight="1" thickBot="1">
      <c r="B78" s="33" t="s">
        <v>600</v>
      </c>
      <c r="C78" s="554" t="str">
        <f ca="1">IF(I28=B69,D69,IF(I28=B70,D70,IF(I28=B71,D71,IF(I28=B72,D72,IF(I28=B73,D73,IF(I28=B74,D74,IF(I28=B75,D75,IF(I28=B76,D76,""))))))))</f>
        <v/>
      </c>
      <c r="D78" s="9"/>
      <c r="I78" s="17"/>
      <c r="BP78" s="661"/>
      <c r="BQ78" s="706"/>
      <c r="BR78" s="212"/>
      <c r="BW78" s="51"/>
      <c r="BX78" s="51"/>
      <c r="BY78" s="51"/>
      <c r="BZ78" s="51"/>
      <c r="CA78" s="51"/>
      <c r="CB78" s="51"/>
      <c r="CC78" s="52"/>
      <c r="CD78" s="159" t="s">
        <v>5023</v>
      </c>
      <c r="CE78" s="177" t="str">
        <f>HLOOKUP(CH72,DA36:DJ38,3,FALSE)</f>
        <v>Canh</v>
      </c>
      <c r="CF78" s="178" t="str">
        <f t="shared" ref="CF78:CP78" si="34">INDEX($CZ$34:$DS$34,1,MATCH(CE78,$CZ$34:$DS$34,0)+1)</f>
        <v>Tân</v>
      </c>
      <c r="CG78" s="178" t="str">
        <f t="shared" si="34"/>
        <v>Nhâm</v>
      </c>
      <c r="CH78" s="178" t="str">
        <f t="shared" si="34"/>
        <v>Quý</v>
      </c>
      <c r="CI78" s="178" t="str">
        <f t="shared" si="34"/>
        <v>Giáp</v>
      </c>
      <c r="CJ78" s="179" t="str">
        <f t="shared" si="34"/>
        <v>Ất</v>
      </c>
      <c r="CK78" s="178" t="str">
        <f t="shared" si="34"/>
        <v>Bính</v>
      </c>
      <c r="CL78" s="178" t="str">
        <f t="shared" si="34"/>
        <v>Đinh</v>
      </c>
      <c r="CM78" s="178" t="str">
        <f t="shared" si="34"/>
        <v>Mậu</v>
      </c>
      <c r="CN78" s="178" t="str">
        <f t="shared" si="34"/>
        <v>Kỷ</v>
      </c>
      <c r="CO78" s="178" t="str">
        <f t="shared" si="34"/>
        <v>Canh</v>
      </c>
      <c r="CP78" s="180" t="str">
        <f t="shared" si="34"/>
        <v>Tân</v>
      </c>
      <c r="CQ78" s="51"/>
      <c r="CR78" s="51"/>
      <c r="CS78" s="51"/>
      <c r="CT78" s="51"/>
      <c r="CU78" s="51"/>
      <c r="CV78" s="52"/>
      <c r="CW78" s="51"/>
      <c r="CX78" s="51"/>
      <c r="CY78" s="51">
        <v>1948</v>
      </c>
      <c r="CZ78" s="199">
        <v>28</v>
      </c>
      <c r="DA78" s="200"/>
      <c r="DB78" s="201" t="s">
        <v>9009</v>
      </c>
      <c r="DC78" s="200"/>
      <c r="DD78" s="202" t="s">
        <v>1402</v>
      </c>
      <c r="DE78" s="51"/>
      <c r="DF78" s="51"/>
      <c r="DG78" s="51"/>
      <c r="DH78" s="51"/>
      <c r="DI78" s="51"/>
      <c r="DJ78" s="51"/>
      <c r="DK78" s="190"/>
      <c r="DL78" s="190"/>
      <c r="DM78" s="51"/>
      <c r="DN78" s="51"/>
      <c r="DO78" s="51"/>
      <c r="DP78" s="51"/>
      <c r="DQ78" s="51"/>
      <c r="DR78" s="51"/>
      <c r="DS78" s="51"/>
      <c r="DT78" s="51"/>
      <c r="DU78" s="51"/>
      <c r="DV78" s="51"/>
      <c r="DW78" s="51"/>
      <c r="DX78" s="51"/>
      <c r="DY78" s="51"/>
      <c r="DZ78" s="51"/>
      <c r="EA78" s="51"/>
      <c r="EB78" s="51"/>
      <c r="EC78" s="51"/>
      <c r="ED78" s="51"/>
      <c r="EE78" s="51"/>
      <c r="EF78" s="51"/>
      <c r="EG78" s="51"/>
      <c r="EH78" s="51"/>
      <c r="EI78" s="51"/>
      <c r="EJ78" s="51"/>
      <c r="EK78" s="51"/>
      <c r="EL78" s="51"/>
      <c r="EM78" s="51"/>
      <c r="EN78" s="51"/>
      <c r="EO78" s="51"/>
      <c r="EP78" s="51"/>
      <c r="EQ78" s="51"/>
      <c r="ER78" s="51"/>
      <c r="ES78" s="51"/>
      <c r="ET78" s="51"/>
      <c r="EU78" s="51"/>
      <c r="EV78" s="51"/>
      <c r="EW78" s="51"/>
      <c r="EX78" s="51"/>
      <c r="EY78" s="51"/>
      <c r="EZ78" s="51"/>
      <c r="FA78" s="51"/>
      <c r="FB78" s="51"/>
      <c r="FC78" s="51"/>
      <c r="FD78" s="51"/>
      <c r="FE78" s="51"/>
      <c r="FF78" s="51"/>
      <c r="FG78" s="51"/>
      <c r="FH78" s="51"/>
      <c r="FI78" s="51"/>
      <c r="FJ78" s="51"/>
      <c r="FK78" s="51"/>
      <c r="FL78" s="51"/>
      <c r="FM78" s="51"/>
      <c r="FN78" s="51"/>
      <c r="FO78" s="51"/>
      <c r="FP78" s="51"/>
      <c r="FQ78" s="51"/>
      <c r="FR78" s="51"/>
      <c r="FS78" s="51"/>
      <c r="FT78" s="51"/>
      <c r="FU78" s="51"/>
      <c r="FV78" s="51"/>
      <c r="FW78" s="51"/>
      <c r="FX78" s="51"/>
      <c r="FY78" s="51"/>
      <c r="FZ78" s="51"/>
      <c r="GA78" s="51"/>
      <c r="GB78" s="51"/>
      <c r="GC78" s="51"/>
      <c r="GD78" s="51"/>
      <c r="GE78" s="51"/>
      <c r="GF78" s="51"/>
      <c r="GG78" s="51"/>
      <c r="GH78" s="51"/>
      <c r="GI78" s="51"/>
      <c r="GJ78" s="51"/>
      <c r="GK78" s="51"/>
      <c r="GL78" s="51"/>
      <c r="GM78" s="51"/>
      <c r="GN78" s="51"/>
      <c r="GO78" s="51"/>
      <c r="GP78" s="51"/>
      <c r="GQ78" s="51"/>
      <c r="GR78" s="51"/>
      <c r="GS78" s="51"/>
      <c r="GT78" s="51"/>
      <c r="GU78" s="51"/>
      <c r="GV78" s="51"/>
      <c r="GW78" s="51"/>
      <c r="GX78" s="51"/>
      <c r="GY78" s="51"/>
      <c r="GZ78" s="51"/>
      <c r="HA78" s="51"/>
      <c r="HB78" s="51"/>
      <c r="HC78" s="51"/>
      <c r="HD78" s="51"/>
      <c r="HE78" s="51"/>
      <c r="HF78" s="51"/>
      <c r="HG78" s="51"/>
      <c r="HH78" s="51"/>
      <c r="HI78" s="51"/>
      <c r="HJ78" s="51"/>
      <c r="HK78" s="51"/>
      <c r="HL78" s="51"/>
      <c r="HM78" s="51"/>
      <c r="HN78" s="51"/>
      <c r="HO78" s="51"/>
      <c r="HP78" s="51"/>
      <c r="HQ78" s="51"/>
      <c r="HR78" s="51"/>
      <c r="HS78" s="51"/>
      <c r="HT78" s="51"/>
      <c r="HU78" s="51"/>
      <c r="HV78" s="51"/>
      <c r="HW78" s="51"/>
      <c r="HX78" s="51"/>
      <c r="HY78" s="51"/>
      <c r="HZ78" s="51"/>
      <c r="IA78" s="51"/>
      <c r="IB78" s="51"/>
      <c r="IC78" s="51"/>
      <c r="ID78" s="51"/>
      <c r="IE78" s="51"/>
      <c r="IF78" s="51"/>
      <c r="IG78" s="51"/>
      <c r="IH78" s="51"/>
      <c r="II78" s="51"/>
      <c r="IJ78" s="51"/>
      <c r="IK78" s="51"/>
      <c r="IL78" s="51"/>
    </row>
    <row r="79" spans="2:246" ht="12.95" customHeight="1" thickTop="1">
      <c r="B79" s="33"/>
      <c r="C79" s="14"/>
      <c r="D79" s="9"/>
      <c r="I79" s="17"/>
      <c r="BP79" s="661"/>
      <c r="BQ79" s="706"/>
      <c r="BR79" s="212"/>
      <c r="BW79" s="51"/>
      <c r="BX79" s="51"/>
      <c r="BY79" s="51"/>
      <c r="BZ79" s="51"/>
      <c r="CA79" s="51"/>
      <c r="CB79" s="51"/>
      <c r="CC79" s="52"/>
      <c r="CD79" s="159"/>
      <c r="CE79" s="51"/>
      <c r="CF79" s="51"/>
      <c r="CG79" s="51"/>
      <c r="CH79" s="51"/>
      <c r="CI79" s="51"/>
      <c r="CJ79" s="51"/>
      <c r="CK79" s="51"/>
      <c r="CL79" s="51"/>
      <c r="CM79" s="51"/>
      <c r="CN79" s="51"/>
      <c r="CO79" s="51"/>
      <c r="CP79" s="51"/>
      <c r="CQ79" s="51"/>
      <c r="CR79" s="51"/>
      <c r="CS79" s="51"/>
      <c r="CT79" s="51"/>
      <c r="CU79" s="51"/>
      <c r="CV79" s="52"/>
      <c r="CW79" s="51"/>
      <c r="CX79" s="51"/>
      <c r="CY79" s="51">
        <v>1949</v>
      </c>
      <c r="CZ79" s="199">
        <v>29</v>
      </c>
      <c r="DA79" s="200"/>
      <c r="DB79" s="201" t="s">
        <v>9010</v>
      </c>
      <c r="DC79" s="200"/>
      <c r="DD79" s="202" t="s">
        <v>9301</v>
      </c>
      <c r="DE79" s="51"/>
      <c r="DF79" s="51"/>
      <c r="DG79" s="51"/>
      <c r="DH79" s="51"/>
      <c r="DI79" s="51"/>
      <c r="DJ79" s="51"/>
      <c r="DK79" s="190"/>
      <c r="DL79" s="190"/>
      <c r="DM79" s="51"/>
      <c r="DN79" s="51"/>
      <c r="DO79" s="51"/>
      <c r="DP79" s="51"/>
      <c r="DQ79" s="51"/>
      <c r="DR79" s="51"/>
      <c r="DS79" s="51"/>
      <c r="DT79" s="51"/>
      <c r="DU79" s="51"/>
      <c r="DV79" s="51"/>
      <c r="DW79" s="51"/>
      <c r="DX79" s="51"/>
      <c r="DY79" s="51"/>
      <c r="DZ79" s="51"/>
      <c r="EA79" s="51"/>
      <c r="EB79" s="51"/>
      <c r="EC79" s="51"/>
      <c r="ED79" s="51"/>
      <c r="EE79" s="51"/>
      <c r="EF79" s="51"/>
      <c r="EG79" s="51"/>
      <c r="EH79" s="51"/>
      <c r="EI79" s="51"/>
      <c r="EJ79" s="51"/>
      <c r="EK79" s="51"/>
      <c r="EL79" s="51"/>
      <c r="EM79" s="51"/>
      <c r="EN79" s="51"/>
      <c r="EO79" s="51"/>
      <c r="EP79" s="51"/>
      <c r="EQ79" s="51"/>
      <c r="ER79" s="51"/>
      <c r="ES79" s="51"/>
      <c r="ET79" s="51"/>
      <c r="EU79" s="51"/>
      <c r="EV79" s="51"/>
      <c r="EW79" s="51"/>
      <c r="EX79" s="51"/>
      <c r="EY79" s="51"/>
      <c r="EZ79" s="51"/>
      <c r="FA79" s="51"/>
      <c r="FB79" s="51"/>
      <c r="FC79" s="51"/>
      <c r="FD79" s="51"/>
      <c r="FE79" s="51"/>
      <c r="FF79" s="51"/>
      <c r="FG79" s="51"/>
      <c r="FH79" s="51"/>
      <c r="FI79" s="51"/>
      <c r="FJ79" s="51"/>
      <c r="FK79" s="51"/>
      <c r="FL79" s="51"/>
      <c r="FM79" s="51"/>
      <c r="FN79" s="51"/>
      <c r="FO79" s="51"/>
      <c r="FP79" s="51"/>
      <c r="FQ79" s="51"/>
      <c r="FR79" s="51"/>
      <c r="FS79" s="51"/>
      <c r="FT79" s="51"/>
      <c r="FU79" s="51"/>
      <c r="FV79" s="51"/>
      <c r="FW79" s="51"/>
      <c r="FX79" s="51"/>
      <c r="FY79" s="51"/>
      <c r="FZ79" s="51"/>
      <c r="GA79" s="51"/>
      <c r="GB79" s="51"/>
      <c r="GC79" s="51"/>
      <c r="GD79" s="51"/>
      <c r="GE79" s="51"/>
      <c r="GF79" s="51"/>
      <c r="GG79" s="51"/>
      <c r="GH79" s="51"/>
      <c r="GI79" s="51"/>
      <c r="GJ79" s="51"/>
      <c r="GK79" s="51"/>
      <c r="GL79" s="51"/>
      <c r="GM79" s="51"/>
      <c r="GN79" s="51"/>
      <c r="GO79" s="51"/>
      <c r="GP79" s="51"/>
      <c r="GQ79" s="51"/>
      <c r="GR79" s="51"/>
      <c r="GS79" s="51"/>
      <c r="GT79" s="51"/>
      <c r="GU79" s="51"/>
      <c r="GV79" s="51"/>
      <c r="GW79" s="51"/>
      <c r="GX79" s="51"/>
      <c r="GY79" s="51"/>
      <c r="GZ79" s="51"/>
      <c r="HA79" s="51"/>
      <c r="HB79" s="51"/>
      <c r="HC79" s="51"/>
      <c r="HD79" s="51"/>
      <c r="HE79" s="51"/>
      <c r="HF79" s="51"/>
      <c r="HG79" s="51"/>
      <c r="HH79" s="51"/>
      <c r="HI79" s="51"/>
      <c r="HJ79" s="51"/>
      <c r="HK79" s="51"/>
      <c r="HL79" s="51"/>
      <c r="HM79" s="51"/>
      <c r="HN79" s="51"/>
      <c r="HO79" s="51"/>
      <c r="HP79" s="51"/>
      <c r="HQ79" s="51"/>
      <c r="HR79" s="51"/>
      <c r="HS79" s="51"/>
      <c r="HT79" s="51"/>
      <c r="HU79" s="51"/>
      <c r="HV79" s="51"/>
      <c r="HW79" s="51"/>
      <c r="HX79" s="51"/>
      <c r="HY79" s="51"/>
      <c r="HZ79" s="51"/>
      <c r="IA79" s="51"/>
      <c r="IB79" s="51"/>
      <c r="IC79" s="51"/>
      <c r="ID79" s="51"/>
      <c r="IE79" s="51"/>
      <c r="IF79" s="51"/>
      <c r="IG79" s="51"/>
      <c r="IH79" s="51"/>
      <c r="II79" s="51"/>
      <c r="IJ79" s="51"/>
      <c r="IK79" s="51"/>
      <c r="IL79" s="51"/>
    </row>
    <row r="80" spans="2:246" ht="12.95" customHeight="1">
      <c r="B80" s="588" t="s">
        <v>2576</v>
      </c>
      <c r="C80" s="14"/>
      <c r="D80" s="10"/>
      <c r="I80" s="17"/>
      <c r="BP80" s="721"/>
      <c r="BQ80" s="706"/>
      <c r="BR80" s="722"/>
      <c r="BV80" s="276"/>
      <c r="BW80" s="175"/>
      <c r="BX80" s="175"/>
      <c r="BY80" s="175"/>
      <c r="BZ80" s="175"/>
      <c r="CA80" s="175"/>
      <c r="CB80" s="175"/>
      <c r="CC80" s="151"/>
      <c r="CD80" s="207"/>
      <c r="CE80" s="175"/>
      <c r="CF80" s="175"/>
      <c r="CG80" s="175"/>
      <c r="CH80" s="175"/>
      <c r="CI80" s="175"/>
      <c r="CJ80" s="175"/>
      <c r="CK80" s="175"/>
      <c r="CL80" s="175"/>
      <c r="CM80" s="175"/>
      <c r="CN80" s="175"/>
      <c r="CO80" s="175"/>
      <c r="CP80" s="175"/>
      <c r="CQ80" s="175"/>
      <c r="CR80" s="175"/>
      <c r="CS80" s="175"/>
      <c r="CT80" s="175"/>
      <c r="CU80" s="176"/>
      <c r="CV80" s="52"/>
      <c r="CW80" s="51"/>
      <c r="CX80" s="51"/>
      <c r="CY80" s="51">
        <v>1950</v>
      </c>
      <c r="CZ80" s="199">
        <v>30</v>
      </c>
      <c r="DA80" s="200"/>
      <c r="DB80" s="201" t="s">
        <v>3733</v>
      </c>
      <c r="DC80" s="200"/>
      <c r="DD80" s="202" t="s">
        <v>353</v>
      </c>
      <c r="DE80" s="51"/>
      <c r="DF80" s="51"/>
      <c r="DG80" s="51"/>
      <c r="DH80" s="51"/>
      <c r="DI80" s="51"/>
      <c r="DJ80" s="51"/>
      <c r="DK80" s="51"/>
      <c r="DL80" s="51"/>
      <c r="DM80" s="51"/>
      <c r="DN80" s="51"/>
      <c r="DO80" s="51"/>
      <c r="DP80" s="51"/>
      <c r="DQ80" s="51"/>
      <c r="DR80" s="51"/>
      <c r="DS80" s="51"/>
      <c r="DT80" s="51"/>
      <c r="DU80" s="51"/>
      <c r="DV80" s="51"/>
      <c r="DW80" s="51"/>
      <c r="DX80" s="51"/>
      <c r="DY80" s="51"/>
      <c r="DZ80" s="51"/>
      <c r="EA80" s="51"/>
      <c r="EB80" s="51"/>
      <c r="EC80" s="51"/>
      <c r="ED80" s="51"/>
      <c r="EE80" s="51"/>
      <c r="EF80" s="51"/>
      <c r="EG80" s="51"/>
      <c r="EH80" s="51"/>
      <c r="EI80" s="51"/>
      <c r="EJ80" s="51"/>
      <c r="EK80" s="51"/>
      <c r="EL80" s="51"/>
      <c r="EM80" s="51"/>
      <c r="EN80" s="51"/>
      <c r="EO80" s="51"/>
      <c r="EP80" s="51"/>
      <c r="EQ80" s="51"/>
      <c r="ER80" s="51"/>
      <c r="ES80" s="51"/>
      <c r="ET80" s="51"/>
      <c r="EU80" s="51"/>
      <c r="EV80" s="51"/>
      <c r="EW80" s="51"/>
      <c r="EX80" s="51"/>
      <c r="EY80" s="51"/>
      <c r="EZ80" s="51"/>
      <c r="FA80" s="51"/>
      <c r="FB80" s="51"/>
      <c r="FC80" s="51"/>
      <c r="FD80" s="51"/>
      <c r="FE80" s="51"/>
      <c r="FF80" s="51"/>
      <c r="FG80" s="51"/>
      <c r="FH80" s="51"/>
      <c r="FI80" s="51"/>
      <c r="FJ80" s="51"/>
      <c r="FK80" s="51"/>
      <c r="FL80" s="51"/>
      <c r="FM80" s="51"/>
      <c r="FN80" s="51"/>
      <c r="FO80" s="51"/>
      <c r="FP80" s="51"/>
      <c r="FQ80" s="51"/>
      <c r="FR80" s="51"/>
      <c r="FS80" s="51"/>
      <c r="FT80" s="51"/>
      <c r="FU80" s="51"/>
      <c r="FV80" s="51"/>
      <c r="FW80" s="51"/>
      <c r="FX80" s="51"/>
      <c r="FY80" s="51"/>
      <c r="FZ80" s="51"/>
      <c r="GA80" s="51"/>
      <c r="GB80" s="51"/>
      <c r="GC80" s="51"/>
      <c r="GD80" s="51"/>
      <c r="GE80" s="51"/>
      <c r="GF80" s="51"/>
      <c r="GG80" s="51"/>
      <c r="GH80" s="51"/>
      <c r="GI80" s="51"/>
      <c r="GJ80" s="51"/>
      <c r="GK80" s="51"/>
      <c r="GL80" s="51"/>
      <c r="GM80" s="51"/>
      <c r="GN80" s="51"/>
      <c r="GO80" s="51"/>
      <c r="GP80" s="51"/>
      <c r="GQ80" s="51"/>
      <c r="GR80" s="51"/>
      <c r="GS80" s="51"/>
      <c r="GT80" s="51"/>
      <c r="GU80" s="51"/>
      <c r="GV80" s="51"/>
      <c r="GW80" s="51"/>
      <c r="GX80" s="51"/>
      <c r="GY80" s="51"/>
      <c r="GZ80" s="51"/>
      <c r="HA80" s="51"/>
      <c r="HB80" s="51"/>
      <c r="HC80" s="51"/>
      <c r="HD80" s="51"/>
      <c r="HE80" s="51"/>
      <c r="HF80" s="51"/>
      <c r="HG80" s="51"/>
      <c r="HH80" s="51"/>
      <c r="HI80" s="51"/>
      <c r="HJ80" s="51"/>
      <c r="HK80" s="51"/>
      <c r="HL80" s="51"/>
      <c r="HM80" s="51"/>
      <c r="HN80" s="51"/>
      <c r="HO80" s="51"/>
      <c r="HP80" s="51"/>
      <c r="HQ80" s="51"/>
      <c r="HR80" s="51"/>
      <c r="HS80" s="51"/>
      <c r="HT80" s="51"/>
      <c r="HU80" s="51"/>
      <c r="HV80" s="51"/>
      <c r="HW80" s="51"/>
      <c r="HX80" s="51"/>
      <c r="HY80" s="51"/>
      <c r="HZ80" s="51"/>
      <c r="IA80" s="51"/>
      <c r="IB80" s="51"/>
      <c r="IC80" s="51"/>
      <c r="ID80" s="51"/>
      <c r="IE80" s="51"/>
      <c r="IF80" s="51"/>
      <c r="IG80" s="51"/>
      <c r="IH80" s="51"/>
      <c r="II80" s="51"/>
      <c r="IJ80" s="51"/>
      <c r="IK80" s="51"/>
      <c r="IL80" s="51"/>
    </row>
    <row r="81" spans="2:246" ht="12.95" customHeight="1" thickBot="1">
      <c r="B81" s="567" t="s">
        <v>3193</v>
      </c>
      <c r="C81" s="14">
        <v>1</v>
      </c>
      <c r="D81" s="10" t="s">
        <v>205</v>
      </c>
      <c r="I81" s="17"/>
      <c r="BP81" s="721"/>
      <c r="BQ81" s="706"/>
      <c r="BR81" s="722"/>
      <c r="BW81" s="51"/>
      <c r="BX81" s="51"/>
      <c r="BY81" s="51"/>
      <c r="BZ81" s="51"/>
      <c r="CA81" s="51"/>
      <c r="CB81" s="51"/>
      <c r="CC81" s="52"/>
      <c r="CD81" s="159"/>
      <c r="CE81" s="51"/>
      <c r="CF81" s="51"/>
      <c r="CG81" s="51"/>
      <c r="CH81" s="51"/>
      <c r="CI81" s="51"/>
      <c r="CJ81" s="51"/>
      <c r="CK81" s="51"/>
      <c r="CL81" s="51"/>
      <c r="CM81" s="51"/>
      <c r="CN81" s="51"/>
      <c r="CO81" s="51"/>
      <c r="CP81" s="51"/>
      <c r="CQ81" s="51"/>
      <c r="CR81" s="51"/>
      <c r="CS81" s="51"/>
      <c r="CT81" s="51"/>
      <c r="CU81" s="51"/>
      <c r="CV81" s="52"/>
      <c r="CW81" s="51"/>
      <c r="CX81" s="51"/>
      <c r="CY81" s="51">
        <v>1951</v>
      </c>
      <c r="CZ81" s="199">
        <v>31</v>
      </c>
      <c r="DA81" s="200"/>
      <c r="DB81" s="201" t="s">
        <v>3734</v>
      </c>
      <c r="DC81" s="200"/>
      <c r="DD81" s="202" t="s">
        <v>1399</v>
      </c>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c r="EC81" s="51"/>
      <c r="ED81" s="51"/>
      <c r="EE81" s="51"/>
      <c r="EF81" s="51"/>
      <c r="EG81" s="51"/>
      <c r="EH81" s="51"/>
      <c r="EI81" s="51"/>
      <c r="EJ81" s="51"/>
      <c r="EK81" s="51"/>
      <c r="EL81" s="51"/>
      <c r="EM81" s="51"/>
      <c r="EN81" s="51"/>
      <c r="EO81" s="51"/>
      <c r="EP81" s="51"/>
      <c r="EQ81" s="51"/>
      <c r="ER81" s="51"/>
      <c r="ES81" s="51"/>
      <c r="ET81" s="51"/>
      <c r="EU81" s="51"/>
      <c r="EV81" s="51"/>
      <c r="EW81" s="51"/>
      <c r="EX81" s="51"/>
      <c r="EY81" s="51"/>
      <c r="EZ81" s="51"/>
      <c r="FA81" s="51"/>
      <c r="FB81" s="51"/>
      <c r="FC81" s="51"/>
      <c r="FD81" s="51"/>
      <c r="FE81" s="51"/>
      <c r="FF81" s="51"/>
      <c r="FG81" s="51"/>
      <c r="FH81" s="51"/>
      <c r="FI81" s="51"/>
      <c r="FJ81" s="51"/>
      <c r="FK81" s="51"/>
      <c r="FL81" s="51"/>
      <c r="FM81" s="51"/>
      <c r="FN81" s="51"/>
      <c r="FO81" s="51"/>
      <c r="FP81" s="51"/>
      <c r="FQ81" s="51"/>
      <c r="FR81" s="51"/>
      <c r="FS81" s="51"/>
      <c r="FT81" s="51"/>
      <c r="FU81" s="51"/>
      <c r="FV81" s="51"/>
      <c r="FW81" s="51"/>
      <c r="FX81" s="51"/>
      <c r="FY81" s="51"/>
      <c r="FZ81" s="51"/>
      <c r="GA81" s="51"/>
      <c r="GB81" s="51"/>
      <c r="GC81" s="51"/>
      <c r="GD81" s="51"/>
      <c r="GE81" s="51"/>
      <c r="GF81" s="51"/>
      <c r="GG81" s="51"/>
      <c r="GH81" s="51"/>
      <c r="GI81" s="51"/>
      <c r="GJ81" s="51"/>
      <c r="GK81" s="51"/>
      <c r="GL81" s="51"/>
      <c r="GM81" s="51"/>
      <c r="GN81" s="51"/>
      <c r="GO81" s="51"/>
      <c r="GP81" s="51"/>
      <c r="GQ81" s="51"/>
      <c r="GR81" s="51"/>
      <c r="GS81" s="51"/>
      <c r="GT81" s="51"/>
      <c r="GU81" s="51"/>
      <c r="GV81" s="51"/>
      <c r="GW81" s="51"/>
      <c r="GX81" s="51"/>
      <c r="GY81" s="51"/>
      <c r="GZ81" s="51"/>
      <c r="HA81" s="51"/>
      <c r="HB81" s="51"/>
      <c r="HC81" s="51"/>
      <c r="HD81" s="51"/>
      <c r="HE81" s="51"/>
      <c r="HF81" s="51"/>
      <c r="HG81" s="51"/>
      <c r="HH81" s="51"/>
      <c r="HI81" s="51"/>
      <c r="HJ81" s="51"/>
      <c r="HK81" s="51"/>
      <c r="HL81" s="51"/>
      <c r="HM81" s="51"/>
      <c r="HN81" s="51"/>
      <c r="HO81" s="51"/>
      <c r="HP81" s="51"/>
      <c r="HQ81" s="51"/>
      <c r="HR81" s="51"/>
      <c r="HS81" s="51"/>
      <c r="HT81" s="51"/>
      <c r="HU81" s="51"/>
      <c r="HV81" s="51"/>
      <c r="HW81" s="51"/>
      <c r="HX81" s="51"/>
      <c r="HY81" s="51"/>
      <c r="HZ81" s="51"/>
      <c r="IA81" s="51"/>
      <c r="IB81" s="51"/>
      <c r="IC81" s="51"/>
      <c r="ID81" s="51"/>
      <c r="IE81" s="51"/>
      <c r="IF81" s="51"/>
      <c r="IG81" s="51"/>
      <c r="IH81" s="51"/>
      <c r="II81" s="51"/>
      <c r="IJ81" s="51"/>
      <c r="IK81" s="51"/>
      <c r="IL81" s="51"/>
    </row>
    <row r="82" spans="2:246" ht="12.95" customHeight="1" thickTop="1" thickBot="1">
      <c r="B82" s="567" t="s">
        <v>3700</v>
      </c>
      <c r="C82" s="14">
        <v>2</v>
      </c>
      <c r="D82" s="10" t="s">
        <v>6408</v>
      </c>
      <c r="I82" s="17"/>
      <c r="BP82" s="247"/>
      <c r="BQ82" s="727"/>
      <c r="BR82" s="722"/>
      <c r="BW82" s="988" t="s">
        <v>7448</v>
      </c>
      <c r="BX82" s="988"/>
      <c r="BY82" s="988"/>
      <c r="BZ82" s="988"/>
      <c r="CA82" s="988"/>
      <c r="CB82" s="51"/>
      <c r="CC82" s="52"/>
      <c r="CD82" s="57" t="s">
        <v>2687</v>
      </c>
      <c r="CE82" s="58" t="s">
        <v>2688</v>
      </c>
      <c r="CF82" s="59">
        <f>CY4</f>
        <v>366</v>
      </c>
      <c r="CG82" s="993" t="s">
        <v>2689</v>
      </c>
      <c r="CH82" s="993"/>
      <c r="CI82" s="994"/>
      <c r="CJ82" s="55"/>
      <c r="CK82" s="55"/>
      <c r="CL82" s="55"/>
      <c r="CM82" s="55"/>
      <c r="CN82" s="55"/>
      <c r="CO82" s="55"/>
      <c r="CP82" s="55"/>
      <c r="CQ82" s="55"/>
      <c r="CR82" s="55"/>
      <c r="CS82" s="55"/>
      <c r="CT82" s="55"/>
      <c r="CU82" s="55"/>
      <c r="CV82" s="52"/>
      <c r="CW82" s="51"/>
      <c r="CX82" s="51"/>
      <c r="CY82" s="51">
        <v>1952</v>
      </c>
      <c r="CZ82" s="199">
        <v>32</v>
      </c>
      <c r="DA82" s="200"/>
      <c r="DB82" s="201" t="s">
        <v>3735</v>
      </c>
      <c r="DC82" s="200"/>
      <c r="DD82" s="202" t="s">
        <v>505</v>
      </c>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c r="EC82" s="51"/>
      <c r="ED82" s="51"/>
      <c r="EE82" s="51"/>
      <c r="EF82" s="51"/>
      <c r="EG82" s="51"/>
      <c r="EH82" s="51"/>
      <c r="EI82" s="51"/>
      <c r="EJ82" s="51"/>
      <c r="EK82" s="51"/>
      <c r="EL82" s="51"/>
      <c r="EM82" s="51"/>
      <c r="EN82" s="51"/>
      <c r="EO82" s="51"/>
      <c r="EP82" s="51"/>
      <c r="EQ82" s="51"/>
      <c r="ER82" s="51"/>
      <c r="ES82" s="51"/>
      <c r="ET82" s="51"/>
      <c r="EU82" s="51"/>
      <c r="EV82" s="51"/>
      <c r="EW82" s="51"/>
      <c r="EX82" s="51"/>
      <c r="EY82" s="51"/>
      <c r="EZ82" s="51"/>
      <c r="FA82" s="51"/>
      <c r="FB82" s="51"/>
      <c r="FC82" s="51"/>
      <c r="FD82" s="51"/>
      <c r="FE82" s="51"/>
      <c r="FF82" s="51"/>
      <c r="FG82" s="51"/>
      <c r="FH82" s="51"/>
      <c r="FI82" s="51"/>
      <c r="FJ82" s="51"/>
      <c r="FK82" s="51"/>
      <c r="FL82" s="51"/>
      <c r="FM82" s="51"/>
      <c r="FN82" s="51"/>
      <c r="FO82" s="51"/>
      <c r="FP82" s="51"/>
      <c r="FQ82" s="51"/>
      <c r="FR82" s="51"/>
      <c r="FS82" s="51"/>
      <c r="FT82" s="51"/>
      <c r="FU82" s="51"/>
      <c r="FV82" s="51"/>
      <c r="FW82" s="51"/>
      <c r="FX82" s="51"/>
      <c r="FY82" s="51"/>
      <c r="FZ82" s="51"/>
      <c r="GA82" s="51"/>
      <c r="GB82" s="51"/>
      <c r="GC82" s="51"/>
      <c r="GD82" s="51"/>
      <c r="GE82" s="51"/>
      <c r="GF82" s="51"/>
      <c r="GG82" s="51"/>
      <c r="GH82" s="51"/>
      <c r="GI82" s="51"/>
      <c r="GJ82" s="51"/>
      <c r="GK82" s="51"/>
      <c r="GL82" s="51"/>
      <c r="GM82" s="51"/>
      <c r="GN82" s="51"/>
      <c r="GO82" s="51"/>
      <c r="GP82" s="51"/>
      <c r="GQ82" s="51"/>
      <c r="GR82" s="51"/>
      <c r="GS82" s="51"/>
      <c r="GT82" s="51"/>
      <c r="GU82" s="51"/>
      <c r="GV82" s="51"/>
      <c r="GW82" s="51"/>
      <c r="GX82" s="51"/>
      <c r="GY82" s="51"/>
      <c r="GZ82" s="51"/>
      <c r="HA82" s="51"/>
      <c r="HB82" s="51"/>
      <c r="HC82" s="51"/>
      <c r="HD82" s="51"/>
      <c r="HE82" s="51"/>
      <c r="HF82" s="51"/>
      <c r="HG82" s="51"/>
      <c r="HH82" s="51"/>
      <c r="HI82" s="51"/>
      <c r="HJ82" s="51"/>
      <c r="HK82" s="51"/>
      <c r="HL82" s="51"/>
      <c r="HM82" s="51"/>
      <c r="HN82" s="51"/>
      <c r="HO82" s="51"/>
      <c r="HP82" s="51"/>
      <c r="HQ82" s="51"/>
      <c r="HR82" s="51"/>
      <c r="HS82" s="51"/>
      <c r="HT82" s="51"/>
      <c r="HU82" s="51"/>
      <c r="HV82" s="51"/>
      <c r="HW82" s="51"/>
      <c r="HX82" s="51"/>
      <c r="HY82" s="51"/>
      <c r="HZ82" s="51"/>
      <c r="IA82" s="51"/>
      <c r="IB82" s="51"/>
      <c r="IC82" s="51"/>
      <c r="ID82" s="51"/>
      <c r="IE82" s="51"/>
      <c r="IF82" s="51"/>
      <c r="IG82" s="51"/>
      <c r="IH82" s="51"/>
      <c r="II82" s="51"/>
      <c r="IJ82" s="51"/>
      <c r="IK82" s="51"/>
      <c r="IL82" s="51"/>
    </row>
    <row r="83" spans="2:246" ht="12.95" customHeight="1" thickTop="1">
      <c r="B83" s="567" t="s">
        <v>457</v>
      </c>
      <c r="C83" s="14">
        <v>5</v>
      </c>
      <c r="D83" s="10" t="s">
        <v>2577</v>
      </c>
      <c r="I83" s="17"/>
      <c r="BQ83" s="706"/>
      <c r="BR83" s="212"/>
      <c r="BW83" s="264"/>
      <c r="BX83" s="66" t="s">
        <v>2688</v>
      </c>
      <c r="BY83" s="995" t="e">
        <f>VLOOKUP(BL13,BL14:BM43,2,0)</f>
        <v>#N/A</v>
      </c>
      <c r="BZ83" s="995"/>
      <c r="CA83" s="996"/>
      <c r="CB83" s="51"/>
      <c r="CC83" s="52"/>
      <c r="CD83" s="67" t="s">
        <v>4946</v>
      </c>
      <c r="CE83" s="54" t="s">
        <v>2688</v>
      </c>
      <c r="CF83" s="68">
        <v>315</v>
      </c>
      <c r="CG83" s="55"/>
      <c r="CH83" s="55"/>
      <c r="CI83" s="55"/>
      <c r="CJ83" s="55"/>
      <c r="CK83" s="55"/>
      <c r="CL83" s="55"/>
      <c r="CM83" s="55"/>
      <c r="CN83" s="55"/>
      <c r="CO83" s="55"/>
      <c r="CP83" s="55"/>
      <c r="CQ83" s="55"/>
      <c r="CR83" s="55"/>
      <c r="CS83" s="55"/>
      <c r="CT83" s="55"/>
      <c r="CU83" s="55"/>
      <c r="CV83" s="52"/>
      <c r="CW83" s="51"/>
      <c r="CX83" s="51"/>
      <c r="CY83" s="51">
        <v>1953</v>
      </c>
      <c r="CZ83" s="199">
        <v>33</v>
      </c>
      <c r="DA83" s="200"/>
      <c r="DB83" s="201" t="s">
        <v>1876</v>
      </c>
      <c r="DC83" s="200"/>
      <c r="DD83" s="202" t="s">
        <v>9011</v>
      </c>
      <c r="DE83" s="51"/>
      <c r="DF83" s="51"/>
      <c r="DG83" s="51"/>
      <c r="DH83" s="51"/>
      <c r="DI83" s="51"/>
      <c r="DJ83" s="51"/>
      <c r="DK83" s="51"/>
      <c r="DL83" s="51"/>
      <c r="DM83" s="51"/>
      <c r="DN83" s="51"/>
      <c r="DO83" s="51"/>
      <c r="DP83" s="51"/>
      <c r="DQ83" s="51"/>
      <c r="DR83" s="51"/>
      <c r="DS83" s="51"/>
      <c r="DT83" s="51"/>
      <c r="DU83" s="51"/>
      <c r="DV83" s="51"/>
      <c r="DW83" s="51"/>
      <c r="DX83" s="51"/>
      <c r="DY83" s="51"/>
      <c r="DZ83" s="51"/>
      <c r="EA83" s="51"/>
      <c r="EB83" s="51"/>
      <c r="EC83" s="51"/>
      <c r="ED83" s="51"/>
      <c r="EE83" s="51"/>
      <c r="EF83" s="51"/>
      <c r="EG83" s="51"/>
      <c r="EH83" s="51"/>
      <c r="EI83" s="51"/>
      <c r="EJ83" s="51"/>
      <c r="EK83" s="51"/>
      <c r="EL83" s="51"/>
      <c r="EM83" s="51"/>
      <c r="EN83" s="51"/>
      <c r="EO83" s="51"/>
      <c r="EP83" s="51"/>
      <c r="EQ83" s="51"/>
      <c r="ER83" s="51"/>
      <c r="ES83" s="51"/>
      <c r="ET83" s="51"/>
      <c r="EU83" s="51"/>
      <c r="EV83" s="51"/>
      <c r="EW83" s="51"/>
      <c r="EX83" s="51"/>
      <c r="EY83" s="51"/>
      <c r="EZ83" s="51"/>
      <c r="FA83" s="51"/>
      <c r="FB83" s="51"/>
      <c r="FC83" s="51"/>
      <c r="FD83" s="51"/>
      <c r="FE83" s="51"/>
      <c r="FF83" s="51"/>
      <c r="FG83" s="51"/>
      <c r="FH83" s="51"/>
      <c r="FI83" s="51"/>
      <c r="FJ83" s="51"/>
      <c r="FK83" s="51"/>
      <c r="FL83" s="51"/>
      <c r="FM83" s="51"/>
      <c r="FN83" s="51"/>
      <c r="FO83" s="51"/>
      <c r="FP83" s="51"/>
      <c r="FQ83" s="51"/>
      <c r="FR83" s="51"/>
      <c r="FS83" s="51"/>
      <c r="FT83" s="51"/>
      <c r="FU83" s="51"/>
      <c r="FV83" s="51"/>
      <c r="FW83" s="51"/>
      <c r="FX83" s="51"/>
      <c r="FY83" s="51"/>
      <c r="FZ83" s="51"/>
      <c r="GA83" s="51"/>
      <c r="GB83" s="51"/>
      <c r="GC83" s="51"/>
      <c r="GD83" s="51"/>
      <c r="GE83" s="51"/>
      <c r="GF83" s="51"/>
      <c r="GG83" s="51"/>
      <c r="GH83" s="51"/>
      <c r="GI83" s="51"/>
      <c r="GJ83" s="51"/>
      <c r="GK83" s="51"/>
      <c r="GL83" s="51"/>
      <c r="GM83" s="51"/>
      <c r="GN83" s="51"/>
      <c r="GO83" s="51"/>
      <c r="GP83" s="51"/>
      <c r="GQ83" s="51"/>
      <c r="GR83" s="51"/>
      <c r="GS83" s="51"/>
      <c r="GT83" s="51"/>
      <c r="GU83" s="51"/>
      <c r="GV83" s="51"/>
      <c r="GW83" s="51"/>
      <c r="GX83" s="51"/>
      <c r="GY83" s="51"/>
      <c r="GZ83" s="51"/>
      <c r="HA83" s="51"/>
      <c r="HB83" s="51"/>
      <c r="HC83" s="51"/>
      <c r="HD83" s="51"/>
      <c r="HE83" s="51"/>
      <c r="HF83" s="51"/>
      <c r="HG83" s="51"/>
      <c r="HH83" s="51"/>
      <c r="HI83" s="51"/>
      <c r="HJ83" s="51"/>
      <c r="HK83" s="51"/>
      <c r="HL83" s="51"/>
      <c r="HM83" s="51"/>
      <c r="HN83" s="51"/>
      <c r="HO83" s="51"/>
      <c r="HP83" s="51"/>
      <c r="HQ83" s="51"/>
      <c r="HR83" s="51"/>
      <c r="HS83" s="51"/>
      <c r="HT83" s="51"/>
      <c r="HU83" s="51"/>
      <c r="HV83" s="51"/>
      <c r="HW83" s="51"/>
      <c r="HX83" s="51"/>
      <c r="HY83" s="51"/>
      <c r="HZ83" s="51"/>
      <c r="IA83" s="51"/>
      <c r="IB83" s="51"/>
      <c r="IC83" s="51"/>
      <c r="ID83" s="51"/>
      <c r="IE83" s="51"/>
      <c r="IF83" s="51"/>
      <c r="IG83" s="51"/>
      <c r="IH83" s="51"/>
      <c r="II83" s="51"/>
      <c r="IJ83" s="51"/>
      <c r="IK83" s="51"/>
      <c r="IL83" s="51"/>
    </row>
    <row r="84" spans="2:246" ht="12.95" customHeight="1">
      <c r="B84" s="33" t="s">
        <v>599</v>
      </c>
      <c r="C84" s="554" t="str">
        <f ca="1">IF(I27=B81,D81,IF(I27=B82,D82,IF(I27=B83,D83,"")))</f>
        <v/>
      </c>
      <c r="D84" s="9"/>
      <c r="I84" s="17"/>
      <c r="BP84" s="712"/>
      <c r="BQ84" s="706"/>
      <c r="BR84" s="212"/>
      <c r="BW84" s="265" t="s">
        <v>7449</v>
      </c>
      <c r="BX84" s="71" t="s">
        <v>2688</v>
      </c>
      <c r="BY84" s="266" t="e">
        <f>DAY(BY83)</f>
        <v>#N/A</v>
      </c>
      <c r="BZ84" s="73"/>
      <c r="CA84" s="74"/>
      <c r="CB84" s="51"/>
      <c r="CC84" s="52"/>
      <c r="CD84" s="75" t="s">
        <v>4554</v>
      </c>
      <c r="CE84" s="54" t="s">
        <v>2688</v>
      </c>
      <c r="CF84" s="76" t="s">
        <v>9009</v>
      </c>
      <c r="CG84" s="55"/>
      <c r="CH84" s="55"/>
      <c r="CI84" s="55"/>
      <c r="CJ84" s="55"/>
      <c r="CK84" s="55"/>
      <c r="CL84" s="77"/>
      <c r="CM84" s="77"/>
      <c r="CN84" s="77"/>
      <c r="CO84" s="55"/>
      <c r="CP84" s="55"/>
      <c r="CQ84" s="55"/>
      <c r="CR84" s="55"/>
      <c r="CS84" s="55"/>
      <c r="CT84" s="55"/>
      <c r="CU84" s="55"/>
      <c r="CV84" s="52"/>
      <c r="CW84" s="51"/>
      <c r="CX84" s="51"/>
      <c r="CY84" s="51">
        <v>1954</v>
      </c>
      <c r="CZ84" s="199">
        <v>34</v>
      </c>
      <c r="DA84" s="200"/>
      <c r="DB84" s="201" t="s">
        <v>9005</v>
      </c>
      <c r="DC84" s="200"/>
      <c r="DD84" s="202" t="s">
        <v>506</v>
      </c>
      <c r="DE84" s="51"/>
      <c r="DF84" s="51"/>
      <c r="DG84" s="51"/>
      <c r="DH84" s="51"/>
      <c r="DI84" s="51"/>
      <c r="DJ84" s="51"/>
      <c r="DK84" s="51"/>
      <c r="DL84" s="51"/>
      <c r="DM84" s="51"/>
      <c r="DN84" s="51"/>
      <c r="DO84" s="51"/>
      <c r="DP84" s="51"/>
      <c r="DQ84" s="51"/>
      <c r="DR84" s="51"/>
      <c r="DS84" s="51"/>
      <c r="DT84" s="51"/>
      <c r="DU84" s="51"/>
      <c r="DV84" s="51"/>
      <c r="DW84" s="51"/>
      <c r="DX84" s="51"/>
      <c r="DY84" s="51"/>
      <c r="DZ84" s="51"/>
      <c r="EA84" s="51"/>
      <c r="EB84" s="51"/>
      <c r="EC84" s="51"/>
      <c r="ED84" s="51"/>
      <c r="EE84" s="51"/>
      <c r="EF84" s="51"/>
      <c r="EG84" s="51"/>
      <c r="EH84" s="51"/>
      <c r="EI84" s="51"/>
      <c r="EJ84" s="51"/>
      <c r="EK84" s="51"/>
      <c r="EL84" s="51"/>
      <c r="EM84" s="51"/>
      <c r="EN84" s="51"/>
      <c r="EO84" s="51"/>
      <c r="EP84" s="51"/>
      <c r="EQ84" s="51"/>
      <c r="ER84" s="51"/>
      <c r="ES84" s="51"/>
      <c r="ET84" s="51"/>
      <c r="EU84" s="51"/>
      <c r="EV84" s="51"/>
      <c r="EW84" s="51"/>
      <c r="EX84" s="51"/>
      <c r="EY84" s="51"/>
      <c r="EZ84" s="51"/>
      <c r="FA84" s="51"/>
      <c r="FB84" s="51"/>
      <c r="FC84" s="51"/>
      <c r="FD84" s="51"/>
      <c r="FE84" s="51"/>
      <c r="FF84" s="51"/>
      <c r="FG84" s="51"/>
      <c r="FH84" s="51"/>
      <c r="FI84" s="51"/>
      <c r="FJ84" s="51"/>
      <c r="FK84" s="51"/>
      <c r="FL84" s="51"/>
      <c r="FM84" s="51"/>
      <c r="FN84" s="51"/>
      <c r="FO84" s="51"/>
      <c r="FP84" s="51"/>
      <c r="FQ84" s="51"/>
      <c r="FR84" s="51"/>
      <c r="FS84" s="51"/>
      <c r="FT84" s="51"/>
      <c r="FU84" s="51"/>
      <c r="FV84" s="51"/>
      <c r="FW84" s="51"/>
      <c r="FX84" s="51"/>
      <c r="FY84" s="51"/>
      <c r="FZ84" s="51"/>
      <c r="GA84" s="51"/>
      <c r="GB84" s="51"/>
      <c r="GC84" s="51"/>
      <c r="GD84" s="51"/>
      <c r="GE84" s="51"/>
      <c r="GF84" s="51"/>
      <c r="GG84" s="51"/>
      <c r="GH84" s="51"/>
      <c r="GI84" s="51"/>
      <c r="GJ84" s="51"/>
      <c r="GK84" s="51"/>
      <c r="GL84" s="51"/>
      <c r="GM84" s="51"/>
      <c r="GN84" s="51"/>
      <c r="GO84" s="51"/>
      <c r="GP84" s="51"/>
      <c r="GQ84" s="51"/>
      <c r="GR84" s="51"/>
      <c r="GS84" s="51"/>
      <c r="GT84" s="51"/>
      <c r="GU84" s="51"/>
      <c r="GV84" s="51"/>
      <c r="GW84" s="51"/>
      <c r="GX84" s="51"/>
      <c r="GY84" s="51"/>
      <c r="GZ84" s="51"/>
      <c r="HA84" s="51"/>
      <c r="HB84" s="51"/>
      <c r="HC84" s="51"/>
      <c r="HD84" s="51"/>
      <c r="HE84" s="51"/>
      <c r="HF84" s="51"/>
      <c r="HG84" s="51"/>
      <c r="HH84" s="51"/>
      <c r="HI84" s="51"/>
      <c r="HJ84" s="51"/>
      <c r="HK84" s="51"/>
      <c r="HL84" s="51"/>
      <c r="HM84" s="51"/>
      <c r="HN84" s="51"/>
      <c r="HO84" s="51"/>
      <c r="HP84" s="51"/>
      <c r="HQ84" s="51"/>
      <c r="HR84" s="51"/>
      <c r="HS84" s="51"/>
      <c r="HT84" s="51"/>
      <c r="HU84" s="51"/>
      <c r="HV84" s="51"/>
      <c r="HW84" s="51"/>
      <c r="HX84" s="51"/>
      <c r="HY84" s="51"/>
      <c r="HZ84" s="51"/>
      <c r="IA84" s="51"/>
      <c r="IB84" s="51"/>
      <c r="IC84" s="51"/>
      <c r="ID84" s="51"/>
      <c r="IE84" s="51"/>
      <c r="IF84" s="51"/>
      <c r="IG84" s="51"/>
      <c r="IH84" s="51"/>
      <c r="II84" s="51"/>
      <c r="IJ84" s="51"/>
      <c r="IK84" s="51"/>
      <c r="IL84" s="51"/>
    </row>
    <row r="85" spans="2:246" ht="12.95" customHeight="1" thickBot="1">
      <c r="B85" s="33" t="s">
        <v>600</v>
      </c>
      <c r="C85" s="554" t="str">
        <f ca="1">IF(I28=B81,D81,IF(I28=B82,D82,IF(I28=B83,D83,"")))</f>
        <v/>
      </c>
      <c r="D85" s="9"/>
      <c r="I85" s="17"/>
      <c r="BP85" s="661"/>
      <c r="BQ85" s="706"/>
      <c r="BR85" s="212"/>
      <c r="BW85" s="265" t="s">
        <v>178</v>
      </c>
      <c r="BX85" s="71" t="s">
        <v>2688</v>
      </c>
      <c r="BY85" s="266" t="e">
        <f>MONTH(BY83)</f>
        <v>#N/A</v>
      </c>
      <c r="BZ85" s="73"/>
      <c r="CA85" s="74"/>
      <c r="CB85" s="51"/>
      <c r="CC85" s="52"/>
      <c r="CD85" s="78" t="s">
        <v>3424</v>
      </c>
      <c r="CE85" s="79" t="s">
        <v>2688</v>
      </c>
      <c r="CF85" s="80" t="s">
        <v>353</v>
      </c>
      <c r="CG85" s="81" t="s">
        <v>3425</v>
      </c>
      <c r="CH85" s="82">
        <v>18</v>
      </c>
      <c r="CI85" s="55"/>
      <c r="CJ85" s="60" t="s">
        <v>3426</v>
      </c>
      <c r="CK85" s="83" t="e">
        <f>BY86-1</f>
        <v>#N/A</v>
      </c>
      <c r="CL85" s="84" t="s">
        <v>3427</v>
      </c>
      <c r="CM85" s="85"/>
      <c r="CN85" s="86" t="s">
        <v>2876</v>
      </c>
      <c r="CO85" s="85" t="s">
        <v>2877</v>
      </c>
      <c r="CP85" s="55"/>
      <c r="CQ85" s="55"/>
      <c r="CR85" s="55"/>
      <c r="CS85" s="55"/>
      <c r="CT85" s="55"/>
      <c r="CU85" s="55"/>
      <c r="CV85" s="52"/>
      <c r="CW85" s="51"/>
      <c r="CX85" s="51"/>
      <c r="CY85" s="51">
        <v>1955</v>
      </c>
      <c r="CZ85" s="199">
        <v>35</v>
      </c>
      <c r="DA85" s="200"/>
      <c r="DB85" s="201" t="s">
        <v>9006</v>
      </c>
      <c r="DC85" s="200"/>
      <c r="DD85" s="202" t="s">
        <v>507</v>
      </c>
      <c r="DE85" s="51"/>
      <c r="DF85" s="51"/>
      <c r="DG85" s="51"/>
      <c r="DH85" s="51"/>
      <c r="DI85" s="51"/>
      <c r="DJ85" s="51"/>
      <c r="DK85" s="51"/>
      <c r="DL85" s="51"/>
      <c r="DM85" s="51"/>
      <c r="DN85" s="51"/>
      <c r="DO85" s="51"/>
      <c r="DP85" s="51"/>
      <c r="DQ85" s="51"/>
      <c r="DR85" s="51"/>
      <c r="DS85" s="51"/>
      <c r="DT85" s="51"/>
      <c r="DU85" s="51"/>
      <c r="DV85" s="51"/>
      <c r="DW85" s="51"/>
      <c r="DX85" s="51"/>
      <c r="DY85" s="51"/>
      <c r="DZ85" s="51"/>
      <c r="EA85" s="51"/>
      <c r="EB85" s="51"/>
      <c r="EC85" s="51"/>
      <c r="ED85" s="51"/>
      <c r="EE85" s="51"/>
      <c r="EF85" s="51"/>
      <c r="EG85" s="51"/>
      <c r="EH85" s="51"/>
      <c r="EI85" s="51"/>
      <c r="EJ85" s="51"/>
      <c r="EK85" s="51"/>
      <c r="EL85" s="51"/>
      <c r="EM85" s="51"/>
      <c r="EN85" s="51"/>
      <c r="EO85" s="51"/>
      <c r="EP85" s="51"/>
      <c r="EQ85" s="51"/>
      <c r="ER85" s="51"/>
      <c r="ES85" s="51"/>
      <c r="ET85" s="51"/>
      <c r="EU85" s="51"/>
      <c r="EV85" s="51"/>
      <c r="EW85" s="51"/>
      <c r="EX85" s="51"/>
      <c r="EY85" s="51"/>
      <c r="EZ85" s="51"/>
      <c r="FA85" s="51"/>
      <c r="FB85" s="51"/>
      <c r="FC85" s="51"/>
      <c r="FD85" s="51"/>
      <c r="FE85" s="51"/>
      <c r="FF85" s="51"/>
      <c r="FG85" s="51"/>
      <c r="FH85" s="51"/>
      <c r="FI85" s="51"/>
      <c r="FJ85" s="51"/>
      <c r="FK85" s="51"/>
      <c r="FL85" s="51"/>
      <c r="FM85" s="51"/>
      <c r="FN85" s="51"/>
      <c r="FO85" s="51"/>
      <c r="FP85" s="51"/>
      <c r="FQ85" s="51"/>
      <c r="FR85" s="51"/>
      <c r="FS85" s="51"/>
      <c r="FT85" s="51"/>
      <c r="FU85" s="51"/>
      <c r="FV85" s="51"/>
      <c r="FW85" s="51"/>
      <c r="FX85" s="51"/>
      <c r="FY85" s="51"/>
      <c r="FZ85" s="51"/>
      <c r="GA85" s="51"/>
      <c r="GB85" s="51"/>
      <c r="GC85" s="51"/>
      <c r="GD85" s="51"/>
      <c r="GE85" s="51"/>
      <c r="GF85" s="51"/>
      <c r="GG85" s="51"/>
      <c r="GH85" s="51"/>
      <c r="GI85" s="51"/>
      <c r="GJ85" s="51"/>
      <c r="GK85" s="51"/>
      <c r="GL85" s="51"/>
      <c r="GM85" s="51"/>
      <c r="GN85" s="51"/>
      <c r="GO85" s="51"/>
      <c r="GP85" s="51"/>
      <c r="GQ85" s="51"/>
      <c r="GR85" s="51"/>
      <c r="GS85" s="51"/>
      <c r="GT85" s="51"/>
      <c r="GU85" s="51"/>
      <c r="GV85" s="51"/>
      <c r="GW85" s="51"/>
      <c r="GX85" s="51"/>
      <c r="GY85" s="51"/>
      <c r="GZ85" s="51"/>
      <c r="HA85" s="51"/>
      <c r="HB85" s="51"/>
      <c r="HC85" s="51"/>
      <c r="HD85" s="51"/>
      <c r="HE85" s="51"/>
      <c r="HF85" s="51"/>
      <c r="HG85" s="51"/>
      <c r="HH85" s="51"/>
      <c r="HI85" s="51"/>
      <c r="HJ85" s="51"/>
      <c r="HK85" s="51"/>
      <c r="HL85" s="51"/>
      <c r="HM85" s="51"/>
      <c r="HN85" s="51"/>
      <c r="HO85" s="51"/>
      <c r="HP85" s="51"/>
      <c r="HQ85" s="51"/>
      <c r="HR85" s="51"/>
      <c r="HS85" s="51"/>
      <c r="HT85" s="51"/>
      <c r="HU85" s="51"/>
      <c r="HV85" s="51"/>
      <c r="HW85" s="51"/>
      <c r="HX85" s="51"/>
      <c r="HY85" s="51"/>
      <c r="HZ85" s="51"/>
      <c r="IA85" s="51"/>
      <c r="IB85" s="51"/>
      <c r="IC85" s="51"/>
      <c r="ID85" s="51"/>
      <c r="IE85" s="51"/>
      <c r="IF85" s="51"/>
      <c r="IG85" s="51"/>
      <c r="IH85" s="51"/>
      <c r="II85" s="51"/>
      <c r="IJ85" s="51"/>
      <c r="IK85" s="51"/>
      <c r="IL85" s="51"/>
    </row>
    <row r="86" spans="2:246" ht="12.95" customHeight="1" thickTop="1">
      <c r="C86" s="14"/>
      <c r="D86" s="9"/>
      <c r="I86" s="17"/>
      <c r="BP86" s="661"/>
      <c r="BQ86" s="706"/>
      <c r="BR86" s="212"/>
      <c r="BW86" s="265" t="s">
        <v>179</v>
      </c>
      <c r="BX86" s="71" t="s">
        <v>2688</v>
      </c>
      <c r="BY86" s="266" t="e">
        <f>YEAR(BY83)</f>
        <v>#N/A</v>
      </c>
      <c r="BZ86" s="73"/>
      <c r="CA86" s="74"/>
      <c r="CB86" s="51"/>
      <c r="CC86" s="52"/>
      <c r="CD86" s="53"/>
      <c r="CE86" s="55"/>
      <c r="CF86" s="55"/>
      <c r="CG86" s="55"/>
      <c r="CH86" s="55"/>
      <c r="CI86" s="55"/>
      <c r="CJ86" s="56"/>
      <c r="CK86" s="87" t="e">
        <f>(BY86-1900)*365+INT((BY86-1-1900)/4+1)</f>
        <v>#N/A</v>
      </c>
      <c r="CL86" s="88" t="e">
        <f>IF(BY85&gt;2,IF(CL88=0,1,2),0)</f>
        <v>#N/A</v>
      </c>
      <c r="CM86" s="89"/>
      <c r="CN86" s="90" t="e">
        <f>30*(BY85-1)+CN87</f>
        <v>#N/A</v>
      </c>
      <c r="CO86" s="87" t="e">
        <f>BY84</f>
        <v>#N/A</v>
      </c>
      <c r="CP86" s="55"/>
      <c r="CQ86" s="55"/>
      <c r="CR86" s="55"/>
      <c r="CS86" s="55"/>
      <c r="CT86" s="55"/>
      <c r="CU86" s="55"/>
      <c r="CV86" s="52"/>
      <c r="CW86" s="51"/>
      <c r="CX86" s="51"/>
      <c r="CY86" s="51">
        <v>1956</v>
      </c>
      <c r="CZ86" s="199">
        <v>36</v>
      </c>
      <c r="DA86" s="200"/>
      <c r="DB86" s="201" t="s">
        <v>9007</v>
      </c>
      <c r="DC86" s="200"/>
      <c r="DD86" s="202" t="s">
        <v>9297</v>
      </c>
      <c r="DE86" s="51"/>
      <c r="DF86" s="51"/>
      <c r="DG86" s="51"/>
      <c r="DH86" s="51"/>
      <c r="DI86" s="51"/>
      <c r="DJ86" s="51"/>
      <c r="DK86" s="51"/>
      <c r="DL86" s="51"/>
      <c r="DM86" s="51"/>
      <c r="DN86" s="51"/>
      <c r="DO86" s="51"/>
      <c r="DP86" s="51"/>
      <c r="DQ86" s="51"/>
      <c r="DR86" s="51"/>
      <c r="DS86" s="51"/>
      <c r="DT86" s="51"/>
      <c r="DU86" s="51"/>
      <c r="DV86" s="51"/>
      <c r="DW86" s="51"/>
      <c r="DX86" s="51"/>
      <c r="DY86" s="51"/>
      <c r="DZ86" s="51"/>
      <c r="EA86" s="51"/>
      <c r="EB86" s="51"/>
      <c r="EC86" s="51"/>
      <c r="ED86" s="51"/>
      <c r="EE86" s="51"/>
      <c r="EF86" s="51"/>
      <c r="EG86" s="51"/>
      <c r="EH86" s="51"/>
      <c r="EI86" s="51"/>
      <c r="EJ86" s="51"/>
      <c r="EK86" s="51"/>
      <c r="EL86" s="51"/>
      <c r="EM86" s="51"/>
      <c r="EN86" s="51"/>
      <c r="EO86" s="51"/>
      <c r="EP86" s="51"/>
      <c r="EQ86" s="51"/>
      <c r="ER86" s="51"/>
      <c r="ES86" s="51"/>
      <c r="ET86" s="51"/>
      <c r="EU86" s="51"/>
      <c r="EV86" s="51"/>
      <c r="EW86" s="51"/>
      <c r="EX86" s="51"/>
      <c r="EY86" s="51"/>
      <c r="EZ86" s="51"/>
      <c r="FA86" s="51"/>
      <c r="FB86" s="51"/>
      <c r="FC86" s="51"/>
      <c r="FD86" s="51"/>
      <c r="FE86" s="51"/>
      <c r="FF86" s="51"/>
      <c r="FG86" s="51"/>
      <c r="FH86" s="51"/>
      <c r="FI86" s="51"/>
      <c r="FJ86" s="51"/>
      <c r="FK86" s="51"/>
      <c r="FL86" s="51"/>
      <c r="FM86" s="51"/>
      <c r="FN86" s="51"/>
      <c r="FO86" s="51"/>
      <c r="FP86" s="51"/>
      <c r="FQ86" s="51"/>
      <c r="FR86" s="51"/>
      <c r="FS86" s="51"/>
      <c r="FT86" s="51"/>
      <c r="FU86" s="51"/>
      <c r="FV86" s="51"/>
      <c r="FW86" s="51"/>
      <c r="FX86" s="51"/>
      <c r="FY86" s="51"/>
      <c r="FZ86" s="51"/>
      <c r="GA86" s="51"/>
      <c r="GB86" s="51"/>
      <c r="GC86" s="51"/>
      <c r="GD86" s="51"/>
      <c r="GE86" s="51"/>
      <c r="GF86" s="51"/>
      <c r="GG86" s="51"/>
      <c r="GH86" s="51"/>
      <c r="GI86" s="51"/>
      <c r="GJ86" s="51"/>
      <c r="GK86" s="51"/>
      <c r="GL86" s="51"/>
      <c r="GM86" s="51"/>
      <c r="GN86" s="51"/>
      <c r="GO86" s="51"/>
      <c r="GP86" s="51"/>
      <c r="GQ86" s="51"/>
      <c r="GR86" s="51"/>
      <c r="GS86" s="51"/>
      <c r="GT86" s="51"/>
      <c r="GU86" s="51"/>
      <c r="GV86" s="51"/>
      <c r="GW86" s="51"/>
      <c r="GX86" s="51"/>
      <c r="GY86" s="51"/>
      <c r="GZ86" s="51"/>
      <c r="HA86" s="51"/>
      <c r="HB86" s="51"/>
      <c r="HC86" s="51"/>
      <c r="HD86" s="51"/>
      <c r="HE86" s="51"/>
      <c r="HF86" s="51"/>
      <c r="HG86" s="51"/>
      <c r="HH86" s="51"/>
      <c r="HI86" s="51"/>
      <c r="HJ86" s="51"/>
      <c r="HK86" s="51"/>
      <c r="HL86" s="51"/>
      <c r="HM86" s="51"/>
      <c r="HN86" s="51"/>
      <c r="HO86" s="51"/>
      <c r="HP86" s="51"/>
      <c r="HQ86" s="51"/>
      <c r="HR86" s="51"/>
      <c r="HS86" s="51"/>
      <c r="HT86" s="51"/>
      <c r="HU86" s="51"/>
      <c r="HV86" s="51"/>
      <c r="HW86" s="51"/>
      <c r="HX86" s="51"/>
      <c r="HY86" s="51"/>
      <c r="HZ86" s="51"/>
      <c r="IA86" s="51"/>
      <c r="IB86" s="51"/>
      <c r="IC86" s="51"/>
      <c r="ID86" s="51"/>
      <c r="IE86" s="51"/>
      <c r="IF86" s="51"/>
      <c r="IG86" s="51"/>
      <c r="IH86" s="51"/>
      <c r="II86" s="51"/>
      <c r="IJ86" s="51"/>
      <c r="IK86" s="51"/>
      <c r="IL86" s="51"/>
    </row>
    <row r="87" spans="2:246" ht="12.95" customHeight="1">
      <c r="B87" s="588" t="s">
        <v>1548</v>
      </c>
      <c r="C87" s="601" t="str">
        <f ca="1">S6</f>
        <v>Nhâm</v>
      </c>
      <c r="D87" s="19" t="str">
        <f ca="1">VLOOKUP(C87,U10:V19,2,0)</f>
        <v>Càn</v>
      </c>
      <c r="E87" s="17" t="str">
        <f ca="1">HLOOKUP(D87,K11:T16,6,0)</f>
        <v>111</v>
      </c>
      <c r="I87" s="17"/>
      <c r="BP87" s="721"/>
      <c r="BQ87" s="706"/>
      <c r="BR87" s="722"/>
      <c r="BW87" s="265" t="s">
        <v>4471</v>
      </c>
      <c r="BX87" s="71" t="s">
        <v>2688</v>
      </c>
      <c r="BY87" s="267">
        <v>12</v>
      </c>
      <c r="BZ87" s="73"/>
      <c r="CA87" s="74"/>
      <c r="CB87" s="51"/>
      <c r="CC87" s="52"/>
      <c r="CD87" s="53" t="s">
        <v>2880</v>
      </c>
      <c r="CE87" s="55"/>
      <c r="CF87" s="91" t="e">
        <f>CK86-CL86+CN86+CO86</f>
        <v>#N/A</v>
      </c>
      <c r="CG87" s="55" t="e">
        <f>CF87-CF82</f>
        <v>#N/A</v>
      </c>
      <c r="CH87" s="55"/>
      <c r="CI87" s="55"/>
      <c r="CJ87" s="56"/>
      <c r="CK87" s="69"/>
      <c r="CL87" s="88" t="e">
        <f>BY86/4</f>
        <v>#N/A</v>
      </c>
      <c r="CM87" s="69" t="e">
        <f>INT(CL87)</f>
        <v>#N/A</v>
      </c>
      <c r="CN87" s="90" t="e">
        <f>IF(BY85&lt;8,INT((BY85-1)/2+0.5),INT((BY85-1)/2+1))</f>
        <v>#N/A</v>
      </c>
      <c r="CO87" s="69"/>
      <c r="CP87" s="55"/>
      <c r="CQ87" s="55"/>
      <c r="CR87" s="55"/>
      <c r="CS87" s="55"/>
      <c r="CT87" s="55"/>
      <c r="CU87" s="55"/>
      <c r="CV87" s="52"/>
      <c r="CW87" s="51"/>
      <c r="CX87" s="51"/>
      <c r="CY87" s="51">
        <v>1957</v>
      </c>
      <c r="CZ87" s="199">
        <v>37</v>
      </c>
      <c r="DA87" s="200"/>
      <c r="DB87" s="201" t="s">
        <v>9008</v>
      </c>
      <c r="DC87" s="200"/>
      <c r="DD87" s="202" t="s">
        <v>9298</v>
      </c>
      <c r="DE87" s="51"/>
      <c r="DF87" s="51"/>
      <c r="DG87" s="51"/>
      <c r="DH87" s="51"/>
      <c r="DI87" s="51"/>
      <c r="DJ87" s="51"/>
      <c r="DK87" s="51"/>
      <c r="DL87" s="51"/>
      <c r="DM87" s="51"/>
      <c r="DN87" s="51"/>
      <c r="DO87" s="51"/>
      <c r="DP87" s="51"/>
      <c r="DQ87" s="51"/>
      <c r="DR87" s="51"/>
      <c r="DS87" s="51"/>
      <c r="DT87" s="51"/>
      <c r="DU87" s="51"/>
      <c r="DV87" s="51"/>
      <c r="DW87" s="51"/>
      <c r="DX87" s="51"/>
      <c r="DY87" s="51"/>
      <c r="DZ87" s="51"/>
      <c r="EA87" s="51"/>
      <c r="EB87" s="51"/>
      <c r="EC87" s="51"/>
      <c r="ED87" s="51"/>
      <c r="EE87" s="51"/>
      <c r="EF87" s="51"/>
      <c r="EG87" s="51"/>
      <c r="EH87" s="51"/>
      <c r="EI87" s="51"/>
      <c r="EJ87" s="51"/>
      <c r="EK87" s="51"/>
      <c r="EL87" s="51"/>
      <c r="EM87" s="51"/>
      <c r="EN87" s="51"/>
      <c r="EO87" s="51"/>
      <c r="EP87" s="51"/>
      <c r="EQ87" s="51"/>
      <c r="ER87" s="51"/>
      <c r="ES87" s="51"/>
      <c r="ET87" s="51"/>
      <c r="EU87" s="51"/>
      <c r="EV87" s="51"/>
      <c r="EW87" s="51"/>
      <c r="EX87" s="51"/>
      <c r="EY87" s="51"/>
      <c r="EZ87" s="51"/>
      <c r="FA87" s="51"/>
      <c r="FB87" s="51"/>
      <c r="FC87" s="51"/>
      <c r="FD87" s="51"/>
      <c r="FE87" s="51"/>
      <c r="FF87" s="51"/>
      <c r="FG87" s="51"/>
      <c r="FH87" s="51"/>
      <c r="FI87" s="51"/>
      <c r="FJ87" s="51"/>
      <c r="FK87" s="51"/>
      <c r="FL87" s="51"/>
      <c r="FM87" s="51"/>
      <c r="FN87" s="51"/>
      <c r="FO87" s="51"/>
      <c r="FP87" s="51"/>
      <c r="FQ87" s="51"/>
      <c r="FR87" s="51"/>
      <c r="FS87" s="51"/>
      <c r="FT87" s="51"/>
      <c r="FU87" s="51"/>
      <c r="FV87" s="51"/>
      <c r="FW87" s="51"/>
      <c r="FX87" s="51"/>
      <c r="FY87" s="51"/>
      <c r="FZ87" s="51"/>
      <c r="GA87" s="51"/>
      <c r="GB87" s="51"/>
      <c r="GC87" s="51"/>
      <c r="GD87" s="51"/>
      <c r="GE87" s="51"/>
      <c r="GF87" s="51"/>
      <c r="GG87" s="51"/>
      <c r="GH87" s="51"/>
      <c r="GI87" s="51"/>
      <c r="GJ87" s="51"/>
      <c r="GK87" s="51"/>
      <c r="GL87" s="51"/>
      <c r="GM87" s="51"/>
      <c r="GN87" s="51"/>
      <c r="GO87" s="51"/>
      <c r="GP87" s="51"/>
      <c r="GQ87" s="51"/>
      <c r="GR87" s="51"/>
      <c r="GS87" s="51"/>
      <c r="GT87" s="51"/>
      <c r="GU87" s="51"/>
      <c r="GV87" s="51"/>
      <c r="GW87" s="51"/>
      <c r="GX87" s="51"/>
      <c r="GY87" s="51"/>
      <c r="GZ87" s="51"/>
      <c r="HA87" s="51"/>
      <c r="HB87" s="51"/>
      <c r="HC87" s="51"/>
      <c r="HD87" s="51"/>
      <c r="HE87" s="51"/>
      <c r="HF87" s="51"/>
      <c r="HG87" s="51"/>
      <c r="HH87" s="51"/>
      <c r="HI87" s="51"/>
      <c r="HJ87" s="51"/>
      <c r="HK87" s="51"/>
      <c r="HL87" s="51"/>
      <c r="HM87" s="51"/>
      <c r="HN87" s="51"/>
      <c r="HO87" s="51"/>
      <c r="HP87" s="51"/>
      <c r="HQ87" s="51"/>
      <c r="HR87" s="51"/>
      <c r="HS87" s="51"/>
      <c r="HT87" s="51"/>
      <c r="HU87" s="51"/>
      <c r="HV87" s="51"/>
      <c r="HW87" s="51"/>
      <c r="HX87" s="51"/>
      <c r="HY87" s="51"/>
      <c r="HZ87" s="51"/>
      <c r="IA87" s="51"/>
      <c r="IB87" s="51"/>
      <c r="IC87" s="51"/>
      <c r="ID87" s="51"/>
      <c r="IE87" s="51"/>
      <c r="IF87" s="51"/>
      <c r="IG87" s="51"/>
      <c r="IH87" s="51"/>
      <c r="II87" s="51"/>
      <c r="IJ87" s="51"/>
      <c r="IK87" s="51"/>
      <c r="IL87" s="51"/>
    </row>
    <row r="88" spans="2:246" ht="12.95" customHeight="1">
      <c r="B88" s="33" t="s">
        <v>599</v>
      </c>
      <c r="C88" s="554" t="str">
        <f ca="1">IF(OR(E87=Q23,E87=R23),", quẻ "&amp;D87&amp;" ở tiên thiên","")</f>
        <v>, quẻ Càn ở tiên thiên</v>
      </c>
      <c r="D88" s="9"/>
      <c r="I88" s="17"/>
      <c r="BP88" s="721"/>
      <c r="BQ88" s="706"/>
      <c r="BR88" s="722"/>
      <c r="BW88" s="70"/>
      <c r="BX88" s="71"/>
      <c r="BY88" s="72"/>
      <c r="BZ88" s="73"/>
      <c r="CA88" s="74"/>
      <c r="CB88" s="51"/>
      <c r="CC88" s="52"/>
      <c r="CD88" s="53"/>
      <c r="CE88" s="55"/>
      <c r="CF88" s="55"/>
      <c r="CG88" s="55"/>
      <c r="CH88" s="55"/>
      <c r="CI88" s="55"/>
      <c r="CJ88" s="92"/>
      <c r="CK88" s="95"/>
      <c r="CL88" s="96" t="e">
        <f>CL87-CM87</f>
        <v>#N/A</v>
      </c>
      <c r="CM88" s="95"/>
      <c r="CN88" s="97"/>
      <c r="CO88" s="95"/>
      <c r="CP88" s="55"/>
      <c r="CQ88" s="55"/>
      <c r="CR88" s="55"/>
      <c r="CS88" s="55"/>
      <c r="CT88" s="55"/>
      <c r="CU88" s="55"/>
      <c r="CV88" s="52"/>
      <c r="CW88" s="51"/>
      <c r="CX88" s="51"/>
      <c r="CY88" s="51">
        <v>1958</v>
      </c>
      <c r="CZ88" s="199">
        <v>38</v>
      </c>
      <c r="DA88" s="200"/>
      <c r="DB88" s="201" t="s">
        <v>9009</v>
      </c>
      <c r="DC88" s="200"/>
      <c r="DD88" s="202" t="s">
        <v>9299</v>
      </c>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1"/>
      <c r="FT88" s="51"/>
      <c r="FU88" s="51"/>
      <c r="FV88" s="51"/>
      <c r="FW88" s="51"/>
      <c r="FX88" s="51"/>
      <c r="FY88" s="51"/>
      <c r="FZ88" s="51"/>
      <c r="GA88" s="51"/>
      <c r="GB88" s="51"/>
      <c r="GC88" s="51"/>
      <c r="GD88" s="51"/>
      <c r="GE88" s="51"/>
      <c r="GF88" s="51"/>
      <c r="GG88" s="51"/>
      <c r="GH88" s="51"/>
      <c r="GI88" s="51"/>
      <c r="GJ88" s="51"/>
      <c r="GK88" s="51"/>
      <c r="GL88" s="51"/>
      <c r="GM88" s="51"/>
      <c r="GN88" s="51"/>
      <c r="GO88" s="51"/>
      <c r="GP88" s="51"/>
      <c r="GQ88" s="51"/>
      <c r="GR88" s="51"/>
      <c r="GS88" s="51"/>
      <c r="GT88" s="51"/>
      <c r="GU88" s="51"/>
      <c r="GV88" s="51"/>
      <c r="GW88" s="51"/>
      <c r="GX88" s="51"/>
      <c r="GY88" s="51"/>
      <c r="GZ88" s="51"/>
      <c r="HA88" s="51"/>
      <c r="HB88" s="51"/>
      <c r="HC88" s="51"/>
      <c r="HD88" s="51"/>
      <c r="HE88" s="51"/>
      <c r="HF88" s="51"/>
      <c r="HG88" s="51"/>
      <c r="HH88" s="51"/>
      <c r="HI88" s="51"/>
      <c r="HJ88" s="51"/>
      <c r="HK88" s="51"/>
      <c r="HL88" s="51"/>
      <c r="HM88" s="51"/>
      <c r="HN88" s="51"/>
      <c r="HO88" s="51"/>
      <c r="HP88" s="51"/>
      <c r="HQ88" s="51"/>
      <c r="HR88" s="51"/>
      <c r="HS88" s="51"/>
      <c r="HT88" s="51"/>
      <c r="HU88" s="51"/>
      <c r="HV88" s="51"/>
      <c r="HW88" s="51"/>
      <c r="HX88" s="51"/>
      <c r="HY88" s="51"/>
      <c r="HZ88" s="51"/>
      <c r="IA88" s="51"/>
      <c r="IB88" s="51"/>
      <c r="IC88" s="51"/>
      <c r="ID88" s="51"/>
      <c r="IE88" s="51"/>
      <c r="IF88" s="51"/>
      <c r="IG88" s="51"/>
      <c r="IH88" s="51"/>
      <c r="II88" s="51"/>
      <c r="IJ88" s="51"/>
      <c r="IK88" s="51"/>
      <c r="IL88" s="51"/>
    </row>
    <row r="89" spans="2:246" ht="12.95" customHeight="1">
      <c r="B89" s="33" t="s">
        <v>600</v>
      </c>
      <c r="C89" s="554" t="str">
        <f ca="1">IF(OR(E87=S23,E87=T23),", quẻ "&amp;D87&amp;" ở hậu thiên","")</f>
        <v/>
      </c>
      <c r="D89" s="9"/>
      <c r="I89" s="17"/>
      <c r="BP89" s="247"/>
      <c r="BQ89" s="727"/>
      <c r="BR89" s="722"/>
      <c r="BW89" s="70"/>
      <c r="BX89" s="71"/>
      <c r="BY89" s="268" t="e">
        <f>BY83</f>
        <v>#N/A</v>
      </c>
      <c r="BZ89" s="73"/>
      <c r="CA89" s="74"/>
      <c r="CB89" s="51"/>
      <c r="CC89" s="52"/>
      <c r="CD89" s="53" t="s">
        <v>4312</v>
      </c>
      <c r="CE89" s="54" t="s">
        <v>2688</v>
      </c>
      <c r="CF89" s="88" t="e">
        <f>IF(BY87&lt;23,CG87,CG87+1)</f>
        <v>#N/A</v>
      </c>
      <c r="CG89" s="55"/>
      <c r="CH89" s="99" t="e">
        <f>CF89/60</f>
        <v>#N/A</v>
      </c>
      <c r="CI89" s="100" t="e">
        <f>INT(CH89)</f>
        <v>#N/A</v>
      </c>
      <c r="CJ89" s="88" t="e">
        <f>CF89-CI89*60</f>
        <v>#N/A</v>
      </c>
      <c r="CK89" s="55" t="e">
        <f>CJ89+CH85</f>
        <v>#N/A</v>
      </c>
      <c r="CL89" s="55"/>
      <c r="CM89" s="55"/>
      <c r="CN89" s="55"/>
      <c r="CO89" s="55"/>
      <c r="CP89" s="55"/>
      <c r="CQ89" s="55"/>
      <c r="CR89" s="55"/>
      <c r="CS89" s="55"/>
      <c r="CT89" s="55"/>
      <c r="CU89" s="55"/>
      <c r="CV89" s="52"/>
      <c r="CW89" s="51"/>
      <c r="CX89" s="51"/>
      <c r="CY89" s="51">
        <v>1959</v>
      </c>
      <c r="CZ89" s="199">
        <v>39</v>
      </c>
      <c r="DA89" s="200"/>
      <c r="DB89" s="201" t="s">
        <v>9010</v>
      </c>
      <c r="DC89" s="200"/>
      <c r="DD89" s="202" t="s">
        <v>9300</v>
      </c>
      <c r="DE89" s="51"/>
      <c r="DF89" s="51"/>
      <c r="DG89" s="51"/>
      <c r="DH89" s="51"/>
      <c r="DI89" s="51"/>
      <c r="DJ89" s="51"/>
      <c r="DK89" s="51"/>
      <c r="DL89" s="51"/>
      <c r="DM89" s="51"/>
      <c r="DN89" s="51"/>
      <c r="DO89" s="51"/>
      <c r="DP89" s="51"/>
      <c r="DQ89" s="51"/>
      <c r="DR89" s="51"/>
      <c r="DS89" s="51"/>
      <c r="DT89" s="51"/>
      <c r="DU89" s="51"/>
      <c r="DV89" s="51"/>
      <c r="DW89" s="51"/>
      <c r="DX89" s="51"/>
      <c r="DY89" s="51"/>
      <c r="DZ89" s="51"/>
      <c r="EA89" s="51"/>
      <c r="EB89" s="51"/>
      <c r="EC89" s="51"/>
      <c r="ED89" s="51"/>
      <c r="EE89" s="51"/>
      <c r="EF89" s="51"/>
      <c r="EG89" s="51"/>
      <c r="EH89" s="51"/>
      <c r="EI89" s="51"/>
      <c r="EJ89" s="51"/>
      <c r="EK89" s="51"/>
      <c r="EL89" s="51"/>
      <c r="EM89" s="51"/>
      <c r="EN89" s="51"/>
      <c r="EO89" s="51"/>
      <c r="EP89" s="51"/>
      <c r="EQ89" s="51"/>
      <c r="ER89" s="51"/>
      <c r="ES89" s="51"/>
      <c r="ET89" s="51"/>
      <c r="EU89" s="51"/>
      <c r="EV89" s="51"/>
      <c r="EW89" s="51"/>
      <c r="EX89" s="51"/>
      <c r="EY89" s="51"/>
      <c r="EZ89" s="51"/>
      <c r="FA89" s="51"/>
      <c r="FB89" s="51"/>
      <c r="FC89" s="51"/>
      <c r="FD89" s="51"/>
      <c r="FE89" s="51"/>
      <c r="FF89" s="51"/>
      <c r="FG89" s="51"/>
      <c r="FH89" s="51"/>
      <c r="FI89" s="51"/>
      <c r="FJ89" s="51"/>
      <c r="FK89" s="51"/>
      <c r="FL89" s="51"/>
      <c r="FM89" s="51"/>
      <c r="FN89" s="51"/>
      <c r="FO89" s="51"/>
      <c r="FP89" s="51"/>
      <c r="FQ89" s="51"/>
      <c r="FR89" s="51"/>
      <c r="FS89" s="51"/>
      <c r="FT89" s="51"/>
      <c r="FU89" s="51"/>
      <c r="FV89" s="51"/>
      <c r="FW89" s="51"/>
      <c r="FX89" s="51"/>
      <c r="FY89" s="51"/>
      <c r="FZ89" s="51"/>
      <c r="GA89" s="51"/>
      <c r="GB89" s="51"/>
      <c r="GC89" s="51"/>
      <c r="GD89" s="51"/>
      <c r="GE89" s="51"/>
      <c r="GF89" s="51"/>
      <c r="GG89" s="51"/>
      <c r="GH89" s="51"/>
      <c r="GI89" s="51"/>
      <c r="GJ89" s="51"/>
      <c r="GK89" s="51"/>
      <c r="GL89" s="51"/>
      <c r="GM89" s="51"/>
      <c r="GN89" s="51"/>
      <c r="GO89" s="51"/>
      <c r="GP89" s="51"/>
      <c r="GQ89" s="51"/>
      <c r="GR89" s="51"/>
      <c r="GS89" s="51"/>
      <c r="GT89" s="51"/>
      <c r="GU89" s="51"/>
      <c r="GV89" s="51"/>
      <c r="GW89" s="51"/>
      <c r="GX89" s="51"/>
      <c r="GY89" s="51"/>
      <c r="GZ89" s="51"/>
      <c r="HA89" s="51"/>
      <c r="HB89" s="51"/>
      <c r="HC89" s="51"/>
      <c r="HD89" s="51"/>
      <c r="HE89" s="51"/>
      <c r="HF89" s="51"/>
      <c r="HG89" s="51"/>
      <c r="HH89" s="51"/>
      <c r="HI89" s="51"/>
      <c r="HJ89" s="51"/>
      <c r="HK89" s="51"/>
      <c r="HL89" s="51"/>
      <c r="HM89" s="51"/>
      <c r="HN89" s="51"/>
      <c r="HO89" s="51"/>
      <c r="HP89" s="51"/>
      <c r="HQ89" s="51"/>
      <c r="HR89" s="51"/>
      <c r="HS89" s="51"/>
      <c r="HT89" s="51"/>
      <c r="HU89" s="51"/>
      <c r="HV89" s="51"/>
      <c r="HW89" s="51"/>
      <c r="HX89" s="51"/>
      <c r="HY89" s="51"/>
      <c r="HZ89" s="51"/>
      <c r="IA89" s="51"/>
      <c r="IB89" s="51"/>
      <c r="IC89" s="51"/>
      <c r="ID89" s="51"/>
      <c r="IE89" s="51"/>
      <c r="IF89" s="51"/>
      <c r="IG89" s="51"/>
      <c r="IH89" s="51"/>
      <c r="II89" s="51"/>
      <c r="IJ89" s="51"/>
      <c r="IK89" s="51"/>
      <c r="IL89" s="51"/>
    </row>
    <row r="90" spans="2:246" ht="12.95" customHeight="1" thickBot="1">
      <c r="C90" s="14"/>
      <c r="D90" s="9"/>
      <c r="I90" s="17"/>
      <c r="BQ90" s="706"/>
      <c r="BR90" s="212"/>
      <c r="BW90" s="997"/>
      <c r="BX90" s="998"/>
      <c r="BY90" s="998"/>
      <c r="BZ90" s="998"/>
      <c r="CA90" s="999"/>
      <c r="CB90" s="51"/>
      <c r="CC90" s="52"/>
      <c r="CD90" s="53"/>
      <c r="CE90" s="54"/>
      <c r="CF90" s="105"/>
      <c r="CG90" s="55"/>
      <c r="CH90" s="99"/>
      <c r="CI90" s="100"/>
      <c r="CJ90" s="55"/>
      <c r="CK90" s="55"/>
      <c r="CL90" s="55"/>
      <c r="CM90" s="55"/>
      <c r="CN90" s="55"/>
      <c r="CO90" s="55"/>
      <c r="CP90" s="55"/>
      <c r="CQ90" s="55"/>
      <c r="CR90" s="55"/>
      <c r="CS90" s="55"/>
      <c r="CT90" s="55"/>
      <c r="CU90" s="55"/>
      <c r="CV90" s="52"/>
      <c r="CW90" s="51"/>
      <c r="CX90" s="51"/>
      <c r="CY90" s="51">
        <v>1960</v>
      </c>
      <c r="CZ90" s="199">
        <v>40</v>
      </c>
      <c r="DA90" s="200"/>
      <c r="DB90" s="201" t="s">
        <v>3733</v>
      </c>
      <c r="DC90" s="200"/>
      <c r="DD90" s="202" t="s">
        <v>1402</v>
      </c>
      <c r="DE90" s="51"/>
      <c r="DF90" s="51"/>
      <c r="DG90" s="51"/>
      <c r="DH90" s="51"/>
      <c r="DI90" s="51"/>
      <c r="DJ90" s="51"/>
      <c r="DK90" s="51"/>
      <c r="DL90" s="51"/>
      <c r="DM90" s="51"/>
      <c r="DN90" s="51"/>
      <c r="DO90" s="51"/>
      <c r="DP90" s="51"/>
      <c r="DQ90" s="51"/>
      <c r="DR90" s="51"/>
      <c r="DS90" s="51"/>
      <c r="DT90" s="51"/>
      <c r="DU90" s="51"/>
      <c r="DV90" s="51"/>
      <c r="DW90" s="51"/>
      <c r="DX90" s="51"/>
      <c r="DY90" s="51"/>
      <c r="DZ90" s="51"/>
      <c r="EA90" s="51"/>
      <c r="EB90" s="51"/>
      <c r="EC90" s="51"/>
      <c r="ED90" s="51"/>
      <c r="EE90" s="51"/>
      <c r="EF90" s="51"/>
      <c r="EG90" s="51"/>
      <c r="EH90" s="51"/>
      <c r="EI90" s="51"/>
      <c r="EJ90" s="51"/>
      <c r="EK90" s="51"/>
      <c r="EL90" s="51"/>
      <c r="EM90" s="51"/>
      <c r="EN90" s="51"/>
      <c r="EO90" s="51"/>
      <c r="EP90" s="51"/>
      <c r="EQ90" s="51"/>
      <c r="ER90" s="51"/>
      <c r="ES90" s="51"/>
      <c r="ET90" s="51"/>
      <c r="EU90" s="51"/>
      <c r="EV90" s="51"/>
      <c r="EW90" s="51"/>
      <c r="EX90" s="51"/>
      <c r="EY90" s="51"/>
      <c r="EZ90" s="51"/>
      <c r="FA90" s="51"/>
      <c r="FB90" s="51"/>
      <c r="FC90" s="51"/>
      <c r="FD90" s="51"/>
      <c r="FE90" s="51"/>
      <c r="FF90" s="51"/>
      <c r="FG90" s="51"/>
      <c r="FH90" s="51"/>
      <c r="FI90" s="51"/>
      <c r="FJ90" s="51"/>
      <c r="FK90" s="51"/>
      <c r="FL90" s="51"/>
      <c r="FM90" s="51"/>
      <c r="FN90" s="51"/>
      <c r="FO90" s="51"/>
      <c r="FP90" s="51"/>
      <c r="FQ90" s="51"/>
      <c r="FR90" s="51"/>
      <c r="FS90" s="51"/>
      <c r="FT90" s="51"/>
      <c r="FU90" s="51"/>
      <c r="FV90" s="51"/>
      <c r="FW90" s="51"/>
      <c r="FX90" s="51"/>
      <c r="FY90" s="51"/>
      <c r="FZ90" s="51"/>
      <c r="GA90" s="51"/>
      <c r="GB90" s="51"/>
      <c r="GC90" s="51"/>
      <c r="GD90" s="51"/>
      <c r="GE90" s="51"/>
      <c r="GF90" s="51"/>
      <c r="GG90" s="51"/>
      <c r="GH90" s="51"/>
      <c r="GI90" s="51"/>
      <c r="GJ90" s="51"/>
      <c r="GK90" s="51"/>
      <c r="GL90" s="51"/>
      <c r="GM90" s="51"/>
      <c r="GN90" s="51"/>
      <c r="GO90" s="51"/>
      <c r="GP90" s="51"/>
      <c r="GQ90" s="51"/>
      <c r="GR90" s="51"/>
      <c r="GS90" s="51"/>
      <c r="GT90" s="51"/>
      <c r="GU90" s="51"/>
      <c r="GV90" s="51"/>
      <c r="GW90" s="51"/>
      <c r="GX90" s="51"/>
      <c r="GY90" s="51"/>
      <c r="GZ90" s="51"/>
      <c r="HA90" s="51"/>
      <c r="HB90" s="51"/>
      <c r="HC90" s="51"/>
      <c r="HD90" s="51"/>
      <c r="HE90" s="51"/>
      <c r="HF90" s="51"/>
      <c r="HG90" s="51"/>
      <c r="HH90" s="51"/>
      <c r="HI90" s="51"/>
      <c r="HJ90" s="51"/>
      <c r="HK90" s="51"/>
      <c r="HL90" s="51"/>
      <c r="HM90" s="51"/>
      <c r="HN90" s="51"/>
      <c r="HO90" s="51"/>
      <c r="HP90" s="51"/>
      <c r="HQ90" s="51"/>
      <c r="HR90" s="51"/>
      <c r="HS90" s="51"/>
      <c r="HT90" s="51"/>
      <c r="HU90" s="51"/>
      <c r="HV90" s="51"/>
      <c r="HW90" s="51"/>
      <c r="HX90" s="51"/>
      <c r="HY90" s="51"/>
      <c r="HZ90" s="51"/>
      <c r="IA90" s="51"/>
      <c r="IB90" s="51"/>
      <c r="IC90" s="51"/>
      <c r="ID90" s="51"/>
      <c r="IE90" s="51"/>
      <c r="IF90" s="51"/>
      <c r="IG90" s="51"/>
      <c r="IH90" s="51"/>
      <c r="II90" s="51"/>
      <c r="IJ90" s="51"/>
      <c r="IK90" s="51"/>
      <c r="IL90" s="51"/>
    </row>
    <row r="91" spans="2:246" ht="12.95" customHeight="1" thickTop="1">
      <c r="B91" s="588" t="s">
        <v>1547</v>
      </c>
      <c r="C91" s="14"/>
      <c r="D91" s="9"/>
      <c r="I91" s="17"/>
      <c r="BP91" s="712"/>
      <c r="BQ91" s="706"/>
      <c r="BR91" s="212"/>
      <c r="BW91" s="107"/>
      <c r="BX91" s="107"/>
      <c r="BY91" s="107"/>
      <c r="BZ91" s="108"/>
      <c r="CA91" s="108"/>
      <c r="CB91" s="51"/>
      <c r="CC91" s="52"/>
      <c r="CD91" s="109" t="s">
        <v>1420</v>
      </c>
      <c r="CE91" s="61" t="s">
        <v>2688</v>
      </c>
      <c r="CF91" s="84"/>
      <c r="CG91" s="61" t="e">
        <f>IF(CK89&gt;59,CK89-60,CK89)</f>
        <v>#N/A</v>
      </c>
      <c r="CH91" s="110" t="e">
        <f>VLOOKUP(CG91,CZ50:DD109,3,FALSE)</f>
        <v>#N/A</v>
      </c>
      <c r="CI91" s="111" t="e">
        <f>VLOOKUP(CG91,CZ50:DD109,5,FALSE)</f>
        <v>#N/A</v>
      </c>
      <c r="CJ91" s="84"/>
      <c r="CK91" s="84"/>
      <c r="CL91" s="84"/>
      <c r="CM91" s="85"/>
      <c r="CN91" s="55"/>
      <c r="CO91" s="55"/>
      <c r="CP91" s="55"/>
      <c r="CQ91" s="55"/>
      <c r="CR91" s="55"/>
      <c r="CS91" s="55"/>
      <c r="CT91" s="55"/>
      <c r="CU91" s="55"/>
      <c r="CV91" s="52"/>
      <c r="CW91" s="51"/>
      <c r="CX91" s="51"/>
      <c r="CY91" s="51">
        <v>1961</v>
      </c>
      <c r="CZ91" s="199">
        <v>41</v>
      </c>
      <c r="DA91" s="200"/>
      <c r="DB91" s="201" t="s">
        <v>3734</v>
      </c>
      <c r="DC91" s="200"/>
      <c r="DD91" s="202" t="s">
        <v>9301</v>
      </c>
      <c r="DE91" s="51"/>
      <c r="DF91" s="51"/>
      <c r="DG91" s="51"/>
      <c r="DH91" s="51"/>
      <c r="DI91" s="51"/>
      <c r="DJ91" s="51"/>
      <c r="DK91" s="51"/>
      <c r="DL91" s="51"/>
      <c r="DM91" s="51"/>
      <c r="DN91" s="51"/>
      <c r="DO91" s="51"/>
      <c r="DP91" s="51"/>
      <c r="DQ91" s="51"/>
      <c r="DR91" s="51"/>
      <c r="DS91" s="51"/>
      <c r="DT91" s="51"/>
      <c r="DU91" s="51"/>
      <c r="DV91" s="51"/>
      <c r="DW91" s="51"/>
      <c r="DX91" s="51"/>
      <c r="DY91" s="51"/>
      <c r="DZ91" s="51"/>
      <c r="EA91" s="51"/>
      <c r="EB91" s="51"/>
      <c r="EC91" s="51"/>
      <c r="ED91" s="51"/>
      <c r="EE91" s="51"/>
      <c r="EF91" s="51"/>
      <c r="EG91" s="51"/>
      <c r="EH91" s="51"/>
      <c r="EI91" s="51"/>
      <c r="EJ91" s="51"/>
      <c r="EK91" s="51"/>
      <c r="EL91" s="51"/>
      <c r="EM91" s="51"/>
      <c r="EN91" s="51"/>
      <c r="EO91" s="51"/>
      <c r="EP91" s="51"/>
      <c r="EQ91" s="51"/>
      <c r="ER91" s="51"/>
      <c r="ES91" s="51"/>
      <c r="ET91" s="51"/>
      <c r="EU91" s="51"/>
      <c r="EV91" s="51"/>
      <c r="EW91" s="51"/>
      <c r="EX91" s="51"/>
      <c r="EY91" s="51"/>
      <c r="EZ91" s="51"/>
      <c r="FA91" s="51"/>
      <c r="FB91" s="51"/>
      <c r="FC91" s="51"/>
      <c r="FD91" s="51"/>
      <c r="FE91" s="51"/>
      <c r="FF91" s="51"/>
      <c r="FG91" s="51"/>
      <c r="FH91" s="51"/>
      <c r="FI91" s="51"/>
      <c r="FJ91" s="51"/>
      <c r="FK91" s="51"/>
      <c r="FL91" s="51"/>
      <c r="FM91" s="51"/>
      <c r="FN91" s="51"/>
      <c r="FO91" s="51"/>
      <c r="FP91" s="51"/>
      <c r="FQ91" s="51"/>
      <c r="FR91" s="51"/>
      <c r="FS91" s="51"/>
      <c r="FT91" s="51"/>
      <c r="FU91" s="51"/>
      <c r="FV91" s="51"/>
      <c r="FW91" s="51"/>
      <c r="FX91" s="51"/>
      <c r="FY91" s="51"/>
      <c r="FZ91" s="51"/>
      <c r="GA91" s="51"/>
      <c r="GB91" s="51"/>
      <c r="GC91" s="51"/>
      <c r="GD91" s="51"/>
      <c r="GE91" s="51"/>
      <c r="GF91" s="51"/>
      <c r="GG91" s="51"/>
      <c r="GH91" s="51"/>
      <c r="GI91" s="51"/>
      <c r="GJ91" s="51"/>
      <c r="GK91" s="51"/>
      <c r="GL91" s="51"/>
      <c r="GM91" s="51"/>
      <c r="GN91" s="51"/>
      <c r="GO91" s="51"/>
      <c r="GP91" s="51"/>
      <c r="GQ91" s="51"/>
      <c r="GR91" s="51"/>
      <c r="GS91" s="51"/>
      <c r="GT91" s="51"/>
      <c r="GU91" s="51"/>
      <c r="GV91" s="51"/>
      <c r="GW91" s="51"/>
      <c r="GX91" s="51"/>
      <c r="GY91" s="51"/>
      <c r="GZ91" s="51"/>
      <c r="HA91" s="51"/>
      <c r="HB91" s="51"/>
      <c r="HC91" s="51"/>
      <c r="HD91" s="51"/>
      <c r="HE91" s="51"/>
      <c r="HF91" s="51"/>
      <c r="HG91" s="51"/>
      <c r="HH91" s="51"/>
      <c r="HI91" s="51"/>
      <c r="HJ91" s="51"/>
      <c r="HK91" s="51"/>
      <c r="HL91" s="51"/>
      <c r="HM91" s="51"/>
      <c r="HN91" s="51"/>
      <c r="HO91" s="51"/>
      <c r="HP91" s="51"/>
      <c r="HQ91" s="51"/>
      <c r="HR91" s="51"/>
      <c r="HS91" s="51"/>
      <c r="HT91" s="51"/>
      <c r="HU91" s="51"/>
      <c r="HV91" s="51"/>
      <c r="HW91" s="51"/>
      <c r="HX91" s="51"/>
      <c r="HY91" s="51"/>
      <c r="HZ91" s="51"/>
      <c r="IA91" s="51"/>
      <c r="IB91" s="51"/>
      <c r="IC91" s="51"/>
      <c r="ID91" s="51"/>
      <c r="IE91" s="51"/>
      <c r="IF91" s="51"/>
      <c r="IG91" s="51"/>
      <c r="IH91" s="51"/>
      <c r="II91" s="51"/>
      <c r="IJ91" s="51"/>
      <c r="IK91" s="51"/>
      <c r="IL91" s="51"/>
    </row>
    <row r="92" spans="2:246" ht="12.95" customHeight="1" thickBot="1">
      <c r="B92" s="16" t="s">
        <v>352</v>
      </c>
      <c r="C92" s="14" t="str">
        <f ca="1">IF(MOD(B13,2)=1,"dg","âm")</f>
        <v>dg</v>
      </c>
      <c r="D92" s="9"/>
      <c r="I92" s="17"/>
      <c r="BP92" s="661"/>
      <c r="BQ92" s="706"/>
      <c r="BR92" s="212"/>
      <c r="BW92" s="988" t="s">
        <v>442</v>
      </c>
      <c r="BX92" s="988"/>
      <c r="BY92" s="988"/>
      <c r="BZ92" s="988"/>
      <c r="CA92" s="988"/>
      <c r="CB92" s="51"/>
      <c r="CC92" s="52"/>
      <c r="CD92" s="114" t="s">
        <v>1421</v>
      </c>
      <c r="CE92" s="54" t="s">
        <v>2688</v>
      </c>
      <c r="CF92" s="115" t="e">
        <f>IF(AND(51522&gt;CF89,CF89&gt;49),IF(CF89=CF95,HLOOKUP(CF89-1,CZ6:IJ9,4),HLOOKUP(CF89,CZ6:IJ9,4)),"Vượt phạm vi đổi DL-ÂL")</f>
        <v>#N/A</v>
      </c>
      <c r="CG92" s="116" t="e">
        <f>HLOOKUP(CF89,CZ6:IJ9,2)</f>
        <v>#N/A</v>
      </c>
      <c r="CH92" s="117" t="s">
        <v>1422</v>
      </c>
      <c r="CI92" s="118" t="e">
        <f>HLOOKUP(CF89,CZ6:IJ9,3)</f>
        <v>#N/A</v>
      </c>
      <c r="CJ92" s="55"/>
      <c r="CK92" s="119" t="e">
        <f>CF92/60</f>
        <v>#N/A</v>
      </c>
      <c r="CL92" s="119" t="e">
        <f>INT(CK92)</f>
        <v>#N/A</v>
      </c>
      <c r="CM92" s="89" t="e">
        <f>CF92-60*CL92</f>
        <v>#N/A</v>
      </c>
      <c r="CN92" s="55"/>
      <c r="CO92" s="55"/>
      <c r="CP92" s="55"/>
      <c r="CQ92" s="55"/>
      <c r="CR92" s="55"/>
      <c r="CS92" s="55"/>
      <c r="CT92" s="55"/>
      <c r="CU92" s="55"/>
      <c r="CV92" s="52"/>
      <c r="CW92" s="51"/>
      <c r="CX92" s="51"/>
      <c r="CY92" s="51">
        <v>1962</v>
      </c>
      <c r="CZ92" s="199">
        <v>42</v>
      </c>
      <c r="DA92" s="200"/>
      <c r="DB92" s="201" t="s">
        <v>3735</v>
      </c>
      <c r="DC92" s="200"/>
      <c r="DD92" s="202" t="s">
        <v>353</v>
      </c>
      <c r="DE92" s="51"/>
      <c r="DF92" s="51"/>
      <c r="DG92" s="51"/>
      <c r="DH92" s="51"/>
      <c r="DI92" s="51"/>
      <c r="DJ92" s="51"/>
      <c r="DK92" s="51"/>
      <c r="DL92" s="51"/>
      <c r="DM92" s="51"/>
      <c r="DN92" s="51"/>
      <c r="DO92" s="51"/>
      <c r="DP92" s="51"/>
      <c r="DQ92" s="51"/>
      <c r="DR92" s="51"/>
      <c r="DS92" s="51"/>
      <c r="DT92" s="51"/>
      <c r="DU92" s="51"/>
      <c r="DV92" s="51"/>
      <c r="DW92" s="51"/>
      <c r="DX92" s="51"/>
      <c r="DY92" s="51"/>
      <c r="DZ92" s="51"/>
      <c r="EA92" s="51"/>
      <c r="EB92" s="51"/>
      <c r="EC92" s="51"/>
      <c r="ED92" s="51"/>
      <c r="EE92" s="51"/>
      <c r="EF92" s="51"/>
      <c r="EG92" s="51"/>
      <c r="EH92" s="51"/>
      <c r="EI92" s="51"/>
      <c r="EJ92" s="51"/>
      <c r="EK92" s="51"/>
      <c r="EL92" s="51"/>
      <c r="EM92" s="51"/>
      <c r="EN92" s="51"/>
      <c r="EO92" s="51"/>
      <c r="EP92" s="51"/>
      <c r="EQ92" s="51"/>
      <c r="ER92" s="51"/>
      <c r="ES92" s="51"/>
      <c r="ET92" s="51"/>
      <c r="EU92" s="51"/>
      <c r="EV92" s="51"/>
      <c r="EW92" s="51"/>
      <c r="EX92" s="51"/>
      <c r="EY92" s="51"/>
      <c r="EZ92" s="51"/>
      <c r="FA92" s="51"/>
      <c r="FB92" s="51"/>
      <c r="FC92" s="51"/>
      <c r="FD92" s="51"/>
      <c r="FE92" s="51"/>
      <c r="FF92" s="51"/>
      <c r="FG92" s="51"/>
      <c r="FH92" s="51"/>
      <c r="FI92" s="51"/>
      <c r="FJ92" s="51"/>
      <c r="FK92" s="51"/>
      <c r="FL92" s="51"/>
      <c r="FM92" s="51"/>
      <c r="FN92" s="51"/>
      <c r="FO92" s="51"/>
      <c r="FP92" s="51"/>
      <c r="FQ92" s="51"/>
      <c r="FR92" s="51"/>
      <c r="FS92" s="51"/>
      <c r="FT92" s="51"/>
      <c r="FU92" s="51"/>
      <c r="FV92" s="51"/>
      <c r="FW92" s="51"/>
      <c r="FX92" s="51"/>
      <c r="FY92" s="51"/>
      <c r="FZ92" s="51"/>
      <c r="GA92" s="51"/>
      <c r="GB92" s="51"/>
      <c r="GC92" s="51"/>
      <c r="GD92" s="51"/>
      <c r="GE92" s="51"/>
      <c r="GF92" s="51"/>
      <c r="GG92" s="51"/>
      <c r="GH92" s="51"/>
      <c r="GI92" s="51"/>
      <c r="GJ92" s="51"/>
      <c r="GK92" s="51"/>
      <c r="GL92" s="51"/>
      <c r="GM92" s="51"/>
      <c r="GN92" s="51"/>
      <c r="GO92" s="51"/>
      <c r="GP92" s="51"/>
      <c r="GQ92" s="51"/>
      <c r="GR92" s="51"/>
      <c r="GS92" s="51"/>
      <c r="GT92" s="51"/>
      <c r="GU92" s="51"/>
      <c r="GV92" s="51"/>
      <c r="GW92" s="51"/>
      <c r="GX92" s="51"/>
      <c r="GY92" s="51"/>
      <c r="GZ92" s="51"/>
      <c r="HA92" s="51"/>
      <c r="HB92" s="51"/>
      <c r="HC92" s="51"/>
      <c r="HD92" s="51"/>
      <c r="HE92" s="51"/>
      <c r="HF92" s="51"/>
      <c r="HG92" s="51"/>
      <c r="HH92" s="51"/>
      <c r="HI92" s="51"/>
      <c r="HJ92" s="51"/>
      <c r="HK92" s="51"/>
      <c r="HL92" s="51"/>
      <c r="HM92" s="51"/>
      <c r="HN92" s="51"/>
      <c r="HO92" s="51"/>
      <c r="HP92" s="51"/>
      <c r="HQ92" s="51"/>
      <c r="HR92" s="51"/>
      <c r="HS92" s="51"/>
      <c r="HT92" s="51"/>
      <c r="HU92" s="51"/>
      <c r="HV92" s="51"/>
      <c r="HW92" s="51"/>
      <c r="HX92" s="51"/>
      <c r="HY92" s="51"/>
      <c r="HZ92" s="51"/>
      <c r="IA92" s="51"/>
      <c r="IB92" s="51"/>
      <c r="IC92" s="51"/>
      <c r="ID92" s="51"/>
      <c r="IE92" s="51"/>
      <c r="IF92" s="51"/>
      <c r="IG92" s="51"/>
      <c r="IH92" s="51"/>
      <c r="II92" s="51"/>
      <c r="IJ92" s="51"/>
      <c r="IK92" s="51"/>
      <c r="IL92" s="51"/>
    </row>
    <row r="93" spans="2:246" ht="12.95" customHeight="1" thickTop="1">
      <c r="B93" s="16" t="s">
        <v>3704</v>
      </c>
      <c r="C93" s="14" t="str">
        <f ca="1">IF(VLOOKUP(AA40,J23:K28,2,0)=1,"dg","âm")</f>
        <v>dg</v>
      </c>
      <c r="D93" s="9"/>
      <c r="I93" s="17"/>
      <c r="BP93" s="661"/>
      <c r="BQ93" s="706"/>
      <c r="BR93" s="212"/>
      <c r="BW93" s="269"/>
      <c r="BX93" s="123" t="s">
        <v>2688</v>
      </c>
      <c r="BY93" s="986"/>
      <c r="BZ93" s="986"/>
      <c r="CA93" s="987"/>
      <c r="CB93" s="51"/>
      <c r="CC93" s="52"/>
      <c r="CD93" s="124"/>
      <c r="CE93" s="93"/>
      <c r="CF93" s="125"/>
      <c r="CG93" s="93"/>
      <c r="CH93" s="126" t="e">
        <f>VLOOKUP(CM92,CZ50:DD109,3,FALSE)</f>
        <v>#N/A</v>
      </c>
      <c r="CI93" s="127" t="e">
        <f>VLOOKUP(CM92,CZ50:DD109,5,FALSE)</f>
        <v>#N/A</v>
      </c>
      <c r="CJ93" s="96"/>
      <c r="CK93" s="96"/>
      <c r="CL93" s="96"/>
      <c r="CM93" s="95"/>
      <c r="CN93" s="55"/>
      <c r="CO93" s="55"/>
      <c r="CP93" s="55"/>
      <c r="CQ93" s="55"/>
      <c r="CR93" s="55"/>
      <c r="CS93" s="55"/>
      <c r="CT93" s="55"/>
      <c r="CU93" s="55"/>
      <c r="CV93" s="52"/>
      <c r="CW93" s="51"/>
      <c r="CX93" s="51"/>
      <c r="CY93" s="51">
        <v>1963</v>
      </c>
      <c r="CZ93" s="199">
        <v>43</v>
      </c>
      <c r="DA93" s="200"/>
      <c r="DB93" s="201" t="s">
        <v>1876</v>
      </c>
      <c r="DC93" s="200"/>
      <c r="DD93" s="202" t="s">
        <v>1399</v>
      </c>
      <c r="DE93" s="51"/>
      <c r="DF93" s="51"/>
      <c r="DG93" s="51"/>
      <c r="DH93" s="51"/>
      <c r="DI93" s="51"/>
      <c r="DJ93" s="51"/>
      <c r="DK93" s="51"/>
      <c r="DL93" s="51"/>
      <c r="DM93" s="51"/>
      <c r="DN93" s="51"/>
      <c r="DO93" s="51"/>
      <c r="DP93" s="51"/>
      <c r="DQ93" s="51"/>
      <c r="DR93" s="51"/>
      <c r="DS93" s="51"/>
      <c r="DT93" s="51"/>
      <c r="DU93" s="51"/>
      <c r="DV93" s="51"/>
      <c r="DW93" s="51"/>
      <c r="DX93" s="51"/>
      <c r="DY93" s="51"/>
      <c r="DZ93" s="51"/>
      <c r="EA93" s="51"/>
      <c r="EB93" s="51"/>
      <c r="EC93" s="51"/>
      <c r="ED93" s="51"/>
      <c r="EE93" s="51"/>
      <c r="EF93" s="51"/>
      <c r="EG93" s="51"/>
      <c r="EH93" s="51"/>
      <c r="EI93" s="51"/>
      <c r="EJ93" s="51"/>
      <c r="EK93" s="51"/>
      <c r="EL93" s="51"/>
      <c r="EM93" s="51"/>
      <c r="EN93" s="51"/>
      <c r="EO93" s="51"/>
      <c r="EP93" s="51"/>
      <c r="EQ93" s="51"/>
      <c r="ER93" s="51"/>
      <c r="ES93" s="51"/>
      <c r="ET93" s="51"/>
      <c r="EU93" s="51"/>
      <c r="EV93" s="51"/>
      <c r="EW93" s="51"/>
      <c r="EX93" s="51"/>
      <c r="EY93" s="51"/>
      <c r="EZ93" s="51"/>
      <c r="FA93" s="51"/>
      <c r="FB93" s="51"/>
      <c r="FC93" s="51"/>
      <c r="FD93" s="51"/>
      <c r="FE93" s="51"/>
      <c r="FF93" s="51"/>
      <c r="FG93" s="51"/>
      <c r="FH93" s="51"/>
      <c r="FI93" s="51"/>
      <c r="FJ93" s="51"/>
      <c r="FK93" s="51"/>
      <c r="FL93" s="51"/>
      <c r="FM93" s="51"/>
      <c r="FN93" s="51"/>
      <c r="FO93" s="51"/>
      <c r="FP93" s="51"/>
      <c r="FQ93" s="51"/>
      <c r="FR93" s="51"/>
      <c r="FS93" s="51"/>
      <c r="FT93" s="51"/>
      <c r="FU93" s="51"/>
      <c r="FV93" s="51"/>
      <c r="FW93" s="51"/>
      <c r="FX93" s="51"/>
      <c r="FY93" s="51"/>
      <c r="FZ93" s="51"/>
      <c r="GA93" s="51"/>
      <c r="GB93" s="51"/>
      <c r="GC93" s="51"/>
      <c r="GD93" s="51"/>
      <c r="GE93" s="51"/>
      <c r="GF93" s="51"/>
      <c r="GG93" s="51"/>
      <c r="GH93" s="51"/>
      <c r="GI93" s="51"/>
      <c r="GJ93" s="51"/>
      <c r="GK93" s="51"/>
      <c r="GL93" s="51"/>
      <c r="GM93" s="51"/>
      <c r="GN93" s="51"/>
      <c r="GO93" s="51"/>
      <c r="GP93" s="51"/>
      <c r="GQ93" s="51"/>
      <c r="GR93" s="51"/>
      <c r="GS93" s="51"/>
      <c r="GT93" s="51"/>
      <c r="GU93" s="51"/>
      <c r="GV93" s="51"/>
      <c r="GW93" s="51"/>
      <c r="GX93" s="51"/>
      <c r="GY93" s="51"/>
      <c r="GZ93" s="51"/>
      <c r="HA93" s="51"/>
      <c r="HB93" s="51"/>
      <c r="HC93" s="51"/>
      <c r="HD93" s="51"/>
      <c r="HE93" s="51"/>
      <c r="HF93" s="51"/>
      <c r="HG93" s="51"/>
      <c r="HH93" s="51"/>
      <c r="HI93" s="51"/>
      <c r="HJ93" s="51"/>
      <c r="HK93" s="51"/>
      <c r="HL93" s="51"/>
      <c r="HM93" s="51"/>
      <c r="HN93" s="51"/>
      <c r="HO93" s="51"/>
      <c r="HP93" s="51"/>
      <c r="HQ93" s="51"/>
      <c r="HR93" s="51"/>
      <c r="HS93" s="51"/>
      <c r="HT93" s="51"/>
      <c r="HU93" s="51"/>
      <c r="HV93" s="51"/>
      <c r="HW93" s="51"/>
      <c r="HX93" s="51"/>
      <c r="HY93" s="51"/>
      <c r="HZ93" s="51"/>
      <c r="IA93" s="51"/>
      <c r="IB93" s="51"/>
      <c r="IC93" s="51"/>
      <c r="ID93" s="51"/>
      <c r="IE93" s="51"/>
      <c r="IF93" s="51"/>
      <c r="IG93" s="51"/>
      <c r="IH93" s="51"/>
      <c r="II93" s="51"/>
      <c r="IJ93" s="51"/>
      <c r="IK93" s="51"/>
      <c r="IL93" s="51"/>
    </row>
    <row r="94" spans="2:246" ht="12.95" customHeight="1">
      <c r="C94" s="14"/>
      <c r="D94" s="9"/>
      <c r="I94" s="17"/>
      <c r="BP94" s="721"/>
      <c r="BQ94" s="706"/>
      <c r="BR94" s="722"/>
      <c r="BW94" s="128" t="s">
        <v>4472</v>
      </c>
      <c r="BX94" s="129" t="s">
        <v>2688</v>
      </c>
      <c r="BY94" s="130">
        <f>IF(OR(BY87&gt;=25,BY87-INT(BY87)&gt;0.59),"Nhập sai Giờ",BY87)</f>
        <v>12</v>
      </c>
      <c r="BZ94" s="131" t="e">
        <f>HLOOKUP(CA94,CE116:CP117,2,FALSE)</f>
        <v>#N/A</v>
      </c>
      <c r="CA94" s="132" t="str">
        <f>HLOOKUP(BY94,CZ41:DL42,2)</f>
        <v>Ngọ</v>
      </c>
      <c r="CB94" s="51"/>
      <c r="CC94" s="52"/>
      <c r="CD94" s="116"/>
      <c r="CE94" s="55"/>
      <c r="CF94" s="115"/>
      <c r="CG94" s="54"/>
      <c r="CH94" s="117"/>
      <c r="CI94" s="54"/>
      <c r="CJ94" s="55"/>
      <c r="CK94" s="55"/>
      <c r="CL94" s="55"/>
      <c r="CM94" s="55"/>
      <c r="CN94" s="55"/>
      <c r="CO94" s="55"/>
      <c r="CP94" s="55"/>
      <c r="CQ94" s="55"/>
      <c r="CR94" s="55"/>
      <c r="CS94" s="55"/>
      <c r="CT94" s="55"/>
      <c r="CU94" s="55"/>
      <c r="CV94" s="52"/>
      <c r="CW94" s="51"/>
      <c r="CX94" s="51"/>
      <c r="CY94" s="51">
        <v>1964</v>
      </c>
      <c r="CZ94" s="199">
        <v>44</v>
      </c>
      <c r="DA94" s="200"/>
      <c r="DB94" s="201" t="s">
        <v>9005</v>
      </c>
      <c r="DC94" s="200"/>
      <c r="DD94" s="202" t="s">
        <v>505</v>
      </c>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1"/>
      <c r="FT94" s="51"/>
      <c r="FU94" s="51"/>
      <c r="FV94" s="51"/>
      <c r="FW94" s="51"/>
      <c r="FX94" s="51"/>
      <c r="FY94" s="51"/>
      <c r="FZ94" s="51"/>
      <c r="GA94" s="51"/>
      <c r="GB94" s="51"/>
      <c r="GC94" s="51"/>
      <c r="GD94" s="51"/>
      <c r="GE94" s="51"/>
      <c r="GF94" s="51"/>
      <c r="GG94" s="51"/>
      <c r="GH94" s="51"/>
      <c r="GI94" s="51"/>
      <c r="GJ94" s="51"/>
      <c r="GK94" s="51"/>
      <c r="GL94" s="51"/>
      <c r="GM94" s="51"/>
      <c r="GN94" s="51"/>
      <c r="GO94" s="51"/>
      <c r="GP94" s="51"/>
      <c r="GQ94" s="51"/>
      <c r="GR94" s="51"/>
      <c r="GS94" s="51"/>
      <c r="GT94" s="51"/>
      <c r="GU94" s="51"/>
      <c r="GV94" s="51"/>
      <c r="GW94" s="51"/>
      <c r="GX94" s="51"/>
      <c r="GY94" s="51"/>
      <c r="GZ94" s="51"/>
      <c r="HA94" s="51"/>
      <c r="HB94" s="51"/>
      <c r="HC94" s="51"/>
      <c r="HD94" s="51"/>
      <c r="HE94" s="51"/>
      <c r="HF94" s="51"/>
      <c r="HG94" s="51"/>
      <c r="HH94" s="51"/>
      <c r="HI94" s="51"/>
      <c r="HJ94" s="51"/>
      <c r="HK94" s="51"/>
      <c r="HL94" s="51"/>
      <c r="HM94" s="51"/>
      <c r="HN94" s="51"/>
      <c r="HO94" s="51"/>
      <c r="HP94" s="51"/>
      <c r="HQ94" s="51"/>
      <c r="HR94" s="51"/>
      <c r="HS94" s="51"/>
      <c r="HT94" s="51"/>
      <c r="HU94" s="51"/>
      <c r="HV94" s="51"/>
      <c r="HW94" s="51"/>
      <c r="HX94" s="51"/>
      <c r="HY94" s="51"/>
      <c r="HZ94" s="51"/>
      <c r="IA94" s="51"/>
      <c r="IB94" s="51"/>
      <c r="IC94" s="51"/>
      <c r="ID94" s="51"/>
      <c r="IE94" s="51"/>
      <c r="IF94" s="51"/>
      <c r="IG94" s="51"/>
      <c r="IH94" s="51"/>
      <c r="II94" s="51"/>
      <c r="IJ94" s="51"/>
      <c r="IK94" s="51"/>
      <c r="IL94" s="51"/>
    </row>
    <row r="95" spans="2:246" ht="12.95" customHeight="1">
      <c r="C95" s="14"/>
      <c r="D95" s="9"/>
      <c r="I95" s="17"/>
      <c r="BP95" s="721"/>
      <c r="BQ95" s="706"/>
      <c r="BR95" s="722"/>
      <c r="BW95" s="128" t="s">
        <v>4473</v>
      </c>
      <c r="BX95" s="129" t="s">
        <v>2688</v>
      </c>
      <c r="BY95" s="133" t="e">
        <f>CF104</f>
        <v>#N/A</v>
      </c>
      <c r="BZ95" s="131" t="e">
        <f>CH91</f>
        <v>#N/A</v>
      </c>
      <c r="CA95" s="134" t="e">
        <f>CI91</f>
        <v>#N/A</v>
      </c>
      <c r="CB95" s="51"/>
      <c r="CC95" s="52"/>
      <c r="CD95" s="53" t="s">
        <v>2681</v>
      </c>
      <c r="CE95" s="54" t="s">
        <v>2688</v>
      </c>
      <c r="CF95" s="105" t="e">
        <f>HLOOKUP(CF89,CZ6:IJ9,1)</f>
        <v>#N/A</v>
      </c>
      <c r="CG95" s="105" t="e">
        <f>IF(CF89=CF95,HLOOKUP(CF89-1,CZ6:IJ6,1),CF95)</f>
        <v>#N/A</v>
      </c>
      <c r="CH95" s="55"/>
      <c r="CI95" s="55"/>
      <c r="CJ95" s="55"/>
      <c r="CK95" s="55"/>
      <c r="CL95" s="55"/>
      <c r="CM95" s="55"/>
      <c r="CN95" s="55"/>
      <c r="CO95" s="55"/>
      <c r="CP95" s="55"/>
      <c r="CQ95" s="55"/>
      <c r="CR95" s="55"/>
      <c r="CS95" s="55"/>
      <c r="CT95" s="55"/>
      <c r="CU95" s="55"/>
      <c r="CV95" s="52"/>
      <c r="CW95" s="51"/>
      <c r="CX95" s="51"/>
      <c r="CY95" s="51">
        <v>1965</v>
      </c>
      <c r="CZ95" s="199">
        <v>45</v>
      </c>
      <c r="DA95" s="200"/>
      <c r="DB95" s="201" t="s">
        <v>9006</v>
      </c>
      <c r="DC95" s="200"/>
      <c r="DD95" s="202" t="s">
        <v>9011</v>
      </c>
      <c r="DE95" s="51"/>
      <c r="DF95" s="51"/>
      <c r="DG95" s="51"/>
      <c r="DH95" s="51"/>
      <c r="DI95" s="51"/>
      <c r="DJ95" s="51"/>
      <c r="DK95" s="51"/>
      <c r="DL95" s="51"/>
      <c r="DM95" s="51"/>
      <c r="DN95" s="51"/>
      <c r="DO95" s="51"/>
      <c r="DP95" s="51"/>
      <c r="DQ95" s="51"/>
      <c r="DR95" s="51"/>
      <c r="DS95" s="51"/>
      <c r="DT95" s="51"/>
      <c r="DU95" s="51"/>
      <c r="DV95" s="51"/>
      <c r="DW95" s="51"/>
      <c r="DX95" s="51"/>
      <c r="DY95" s="51"/>
      <c r="DZ95" s="51"/>
      <c r="EA95" s="51"/>
      <c r="EB95" s="51"/>
      <c r="EC95" s="51"/>
      <c r="ED95" s="51"/>
      <c r="EE95" s="51"/>
      <c r="EF95" s="51"/>
      <c r="EG95" s="51"/>
      <c r="EH95" s="51"/>
      <c r="EI95" s="51"/>
      <c r="EJ95" s="51"/>
      <c r="EK95" s="51"/>
      <c r="EL95" s="51"/>
      <c r="EM95" s="51"/>
      <c r="EN95" s="51"/>
      <c r="EO95" s="51"/>
      <c r="EP95" s="51"/>
      <c r="EQ95" s="51"/>
      <c r="ER95" s="51"/>
      <c r="ES95" s="51"/>
      <c r="ET95" s="51"/>
      <c r="EU95" s="51"/>
      <c r="EV95" s="51"/>
      <c r="EW95" s="51"/>
      <c r="EX95" s="51"/>
      <c r="EY95" s="51"/>
      <c r="EZ95" s="51"/>
      <c r="FA95" s="51"/>
      <c r="FB95" s="51"/>
      <c r="FC95" s="51"/>
      <c r="FD95" s="51"/>
      <c r="FE95" s="51"/>
      <c r="FF95" s="51"/>
      <c r="FG95" s="51"/>
      <c r="FH95" s="51"/>
      <c r="FI95" s="51"/>
      <c r="FJ95" s="51"/>
      <c r="FK95" s="51"/>
      <c r="FL95" s="51"/>
      <c r="FM95" s="51"/>
      <c r="FN95" s="51"/>
      <c r="FO95" s="51"/>
      <c r="FP95" s="51"/>
      <c r="FQ95" s="51"/>
      <c r="FR95" s="51"/>
      <c r="FS95" s="51"/>
      <c r="FT95" s="51"/>
      <c r="FU95" s="51"/>
      <c r="FV95" s="51"/>
      <c r="FW95" s="51"/>
      <c r="FX95" s="51"/>
      <c r="FY95" s="51"/>
      <c r="FZ95" s="51"/>
      <c r="GA95" s="51"/>
      <c r="GB95" s="51"/>
      <c r="GC95" s="51"/>
      <c r="GD95" s="51"/>
      <c r="GE95" s="51"/>
      <c r="GF95" s="51"/>
      <c r="GG95" s="51"/>
      <c r="GH95" s="51"/>
      <c r="GI95" s="51"/>
      <c r="GJ95" s="51"/>
      <c r="GK95" s="51"/>
      <c r="GL95" s="51"/>
      <c r="GM95" s="51"/>
      <c r="GN95" s="51"/>
      <c r="GO95" s="51"/>
      <c r="GP95" s="51"/>
      <c r="GQ95" s="51"/>
      <c r="GR95" s="51"/>
      <c r="GS95" s="51"/>
      <c r="GT95" s="51"/>
      <c r="GU95" s="51"/>
      <c r="GV95" s="51"/>
      <c r="GW95" s="51"/>
      <c r="GX95" s="51"/>
      <c r="GY95" s="51"/>
      <c r="GZ95" s="51"/>
      <c r="HA95" s="51"/>
      <c r="HB95" s="51"/>
      <c r="HC95" s="51"/>
      <c r="HD95" s="51"/>
      <c r="HE95" s="51"/>
      <c r="HF95" s="51"/>
      <c r="HG95" s="51"/>
      <c r="HH95" s="51"/>
      <c r="HI95" s="51"/>
      <c r="HJ95" s="51"/>
      <c r="HK95" s="51"/>
      <c r="HL95" s="51"/>
      <c r="HM95" s="51"/>
      <c r="HN95" s="51"/>
      <c r="HO95" s="51"/>
      <c r="HP95" s="51"/>
      <c r="HQ95" s="51"/>
      <c r="HR95" s="51"/>
      <c r="HS95" s="51"/>
      <c r="HT95" s="51"/>
      <c r="HU95" s="51"/>
      <c r="HV95" s="51"/>
      <c r="HW95" s="51"/>
      <c r="HX95" s="51"/>
      <c r="HY95" s="51"/>
      <c r="HZ95" s="51"/>
      <c r="IA95" s="51"/>
      <c r="IB95" s="51"/>
      <c r="IC95" s="51"/>
      <c r="ID95" s="51"/>
      <c r="IE95" s="51"/>
      <c r="IF95" s="51"/>
      <c r="IG95" s="51"/>
      <c r="IH95" s="51"/>
      <c r="II95" s="51"/>
      <c r="IJ95" s="51"/>
      <c r="IK95" s="51"/>
      <c r="IL95" s="51"/>
    </row>
    <row r="96" spans="2:246" ht="12.95" customHeight="1">
      <c r="C96" s="14"/>
      <c r="D96" s="9"/>
      <c r="I96" s="17"/>
      <c r="BP96" s="247"/>
      <c r="BQ96" s="727"/>
      <c r="BR96" s="722"/>
      <c r="BW96" s="128" t="s">
        <v>4474</v>
      </c>
      <c r="BX96" s="129" t="s">
        <v>2688</v>
      </c>
      <c r="BY96" s="135" t="e">
        <f>IF(OR(BY85&gt;12,BY85&lt;1),"Nhập sai tháng DL",CF103)</f>
        <v>#N/A</v>
      </c>
      <c r="BZ96" s="131" t="e">
        <f>HLOOKUP(BY96,CE113:CP114,2,FALSE)</f>
        <v>#N/A</v>
      </c>
      <c r="CA96" s="132" t="e">
        <f>HLOOKUP(BY96,CZ45:DK46,2,FALSE)</f>
        <v>#N/A</v>
      </c>
      <c r="CB96" s="51"/>
      <c r="CC96" s="52"/>
      <c r="CD96" s="53" t="s">
        <v>2683</v>
      </c>
      <c r="CE96" s="55"/>
      <c r="CF96" s="136" t="e">
        <f>IF(CF89=CF95,CF89-CG95,CF89-CF95)</f>
        <v>#N/A</v>
      </c>
      <c r="CG96" s="55"/>
      <c r="CH96" s="55"/>
      <c r="CI96" s="55"/>
      <c r="CJ96" s="55"/>
      <c r="CK96" s="55"/>
      <c r="CL96" s="55"/>
      <c r="CM96" s="55"/>
      <c r="CN96" s="55"/>
      <c r="CO96" s="55"/>
      <c r="CP96" s="55"/>
      <c r="CQ96" s="55"/>
      <c r="CR96" s="55"/>
      <c r="CS96" s="55"/>
      <c r="CT96" s="55"/>
      <c r="CU96" s="55"/>
      <c r="CV96" s="52"/>
      <c r="CW96" s="51"/>
      <c r="CX96" s="51"/>
      <c r="CY96" s="51">
        <v>1966</v>
      </c>
      <c r="CZ96" s="199">
        <v>46</v>
      </c>
      <c r="DA96" s="200"/>
      <c r="DB96" s="201" t="s">
        <v>9007</v>
      </c>
      <c r="DC96" s="200"/>
      <c r="DD96" s="202" t="s">
        <v>506</v>
      </c>
      <c r="DE96" s="51"/>
      <c r="DF96" s="51"/>
      <c r="DG96" s="51"/>
      <c r="DH96" s="51"/>
      <c r="DI96" s="51"/>
      <c r="DJ96" s="51"/>
      <c r="DK96" s="51"/>
      <c r="DL96" s="51"/>
      <c r="DM96" s="51"/>
      <c r="DN96" s="51"/>
      <c r="DO96" s="51"/>
      <c r="DP96" s="51"/>
      <c r="DQ96" s="51"/>
      <c r="DR96" s="51"/>
      <c r="DS96" s="51"/>
      <c r="DT96" s="51"/>
      <c r="DU96" s="51"/>
      <c r="DV96" s="51"/>
      <c r="DW96" s="51"/>
      <c r="DX96" s="51"/>
      <c r="DY96" s="51"/>
      <c r="DZ96" s="51"/>
      <c r="EA96" s="51"/>
      <c r="EB96" s="51"/>
      <c r="EC96" s="51"/>
      <c r="ED96" s="51"/>
      <c r="EE96" s="51"/>
      <c r="EF96" s="51"/>
      <c r="EG96" s="51"/>
      <c r="EH96" s="51"/>
      <c r="EI96" s="51"/>
      <c r="EJ96" s="51"/>
      <c r="EK96" s="51"/>
      <c r="EL96" s="51"/>
      <c r="EM96" s="51"/>
      <c r="EN96" s="51"/>
      <c r="EO96" s="51"/>
      <c r="EP96" s="51"/>
      <c r="EQ96" s="51"/>
      <c r="ER96" s="51"/>
      <c r="ES96" s="51"/>
      <c r="ET96" s="51"/>
      <c r="EU96" s="51"/>
      <c r="EV96" s="51"/>
      <c r="EW96" s="51"/>
      <c r="EX96" s="51"/>
      <c r="EY96" s="51"/>
      <c r="EZ96" s="51"/>
      <c r="FA96" s="51"/>
      <c r="FB96" s="51"/>
      <c r="FC96" s="51"/>
      <c r="FD96" s="51"/>
      <c r="FE96" s="51"/>
      <c r="FF96" s="51"/>
      <c r="FG96" s="51"/>
      <c r="FH96" s="51"/>
      <c r="FI96" s="51"/>
      <c r="FJ96" s="51"/>
      <c r="FK96" s="51"/>
      <c r="FL96" s="51"/>
      <c r="FM96" s="51"/>
      <c r="FN96" s="51"/>
      <c r="FO96" s="51"/>
      <c r="FP96" s="51"/>
      <c r="FQ96" s="51"/>
      <c r="FR96" s="51"/>
      <c r="FS96" s="51"/>
      <c r="FT96" s="51"/>
      <c r="FU96" s="51"/>
      <c r="FV96" s="51"/>
      <c r="FW96" s="51"/>
      <c r="FX96" s="51"/>
      <c r="FY96" s="51"/>
      <c r="FZ96" s="51"/>
      <c r="GA96" s="51"/>
      <c r="GB96" s="51"/>
      <c r="GC96" s="51"/>
      <c r="GD96" s="51"/>
      <c r="GE96" s="51"/>
      <c r="GF96" s="51"/>
      <c r="GG96" s="51"/>
      <c r="GH96" s="51"/>
      <c r="GI96" s="51"/>
      <c r="GJ96" s="51"/>
      <c r="GK96" s="51"/>
      <c r="GL96" s="51"/>
      <c r="GM96" s="51"/>
      <c r="GN96" s="51"/>
      <c r="GO96" s="51"/>
      <c r="GP96" s="51"/>
      <c r="GQ96" s="51"/>
      <c r="GR96" s="51"/>
      <c r="GS96" s="51"/>
      <c r="GT96" s="51"/>
      <c r="GU96" s="51"/>
      <c r="GV96" s="51"/>
      <c r="GW96" s="51"/>
      <c r="GX96" s="51"/>
      <c r="GY96" s="51"/>
      <c r="GZ96" s="51"/>
      <c r="HA96" s="51"/>
      <c r="HB96" s="51"/>
      <c r="HC96" s="51"/>
      <c r="HD96" s="51"/>
      <c r="HE96" s="51"/>
      <c r="HF96" s="51"/>
      <c r="HG96" s="51"/>
      <c r="HH96" s="51"/>
      <c r="HI96" s="51"/>
      <c r="HJ96" s="51"/>
      <c r="HK96" s="51"/>
      <c r="HL96" s="51"/>
      <c r="HM96" s="51"/>
      <c r="HN96" s="51"/>
      <c r="HO96" s="51"/>
      <c r="HP96" s="51"/>
      <c r="HQ96" s="51"/>
      <c r="HR96" s="51"/>
      <c r="HS96" s="51"/>
      <c r="HT96" s="51"/>
      <c r="HU96" s="51"/>
      <c r="HV96" s="51"/>
      <c r="HW96" s="51"/>
      <c r="HX96" s="51"/>
      <c r="HY96" s="51"/>
      <c r="HZ96" s="51"/>
      <c r="IA96" s="51"/>
      <c r="IB96" s="51"/>
      <c r="IC96" s="51"/>
      <c r="ID96" s="51"/>
      <c r="IE96" s="51"/>
      <c r="IF96" s="51"/>
      <c r="IG96" s="51"/>
      <c r="IH96" s="51"/>
      <c r="II96" s="51"/>
      <c r="IJ96" s="51"/>
      <c r="IK96" s="51"/>
      <c r="IL96" s="51"/>
    </row>
    <row r="97" spans="3:246" ht="12.95" customHeight="1">
      <c r="C97" s="14"/>
      <c r="D97" s="9"/>
      <c r="I97" s="17"/>
      <c r="BW97" s="128" t="s">
        <v>4475</v>
      </c>
      <c r="BX97" s="129" t="s">
        <v>2688</v>
      </c>
      <c r="BY97" s="133" t="e">
        <f>CF92</f>
        <v>#N/A</v>
      </c>
      <c r="BZ97" s="131" t="e">
        <f>CH93</f>
        <v>#N/A</v>
      </c>
      <c r="CA97" s="134" t="e">
        <f>CI93</f>
        <v>#N/A</v>
      </c>
      <c r="CB97" s="51"/>
      <c r="CC97" s="52"/>
      <c r="CD97" s="53"/>
      <c r="CE97" s="55"/>
      <c r="CF97" s="136"/>
      <c r="CG97" s="55"/>
      <c r="CH97" s="55"/>
      <c r="CI97" s="55"/>
      <c r="CJ97" s="55"/>
      <c r="CK97" s="55"/>
      <c r="CL97" s="55"/>
      <c r="CM97" s="55"/>
      <c r="CN97" s="55"/>
      <c r="CO97" s="55"/>
      <c r="CP97" s="55"/>
      <c r="CQ97" s="55"/>
      <c r="CR97" s="55"/>
      <c r="CS97" s="55"/>
      <c r="CT97" s="55"/>
      <c r="CU97" s="55"/>
      <c r="CV97" s="52"/>
      <c r="CW97" s="51"/>
      <c r="CX97" s="51"/>
      <c r="CY97" s="51">
        <v>1967</v>
      </c>
      <c r="CZ97" s="199">
        <v>47</v>
      </c>
      <c r="DA97" s="200"/>
      <c r="DB97" s="201" t="s">
        <v>9008</v>
      </c>
      <c r="DC97" s="200"/>
      <c r="DD97" s="202" t="s">
        <v>507</v>
      </c>
      <c r="DE97" s="51"/>
      <c r="DF97" s="51"/>
      <c r="DG97" s="51"/>
      <c r="DH97" s="51"/>
      <c r="DI97" s="51"/>
      <c r="DJ97" s="51"/>
      <c r="DK97" s="51"/>
      <c r="DL97" s="51"/>
      <c r="DM97" s="51"/>
      <c r="DN97" s="51"/>
      <c r="DO97" s="51"/>
      <c r="DP97" s="51"/>
      <c r="DQ97" s="51"/>
      <c r="DR97" s="51"/>
      <c r="DS97" s="51"/>
      <c r="DT97" s="51"/>
      <c r="DU97" s="51"/>
      <c r="DV97" s="51"/>
      <c r="DW97" s="51"/>
      <c r="DX97" s="51"/>
      <c r="DY97" s="51"/>
      <c r="DZ97" s="51"/>
      <c r="EA97" s="51"/>
      <c r="EB97" s="51"/>
      <c r="EC97" s="51"/>
      <c r="ED97" s="51"/>
      <c r="EE97" s="51"/>
      <c r="EF97" s="51"/>
      <c r="EG97" s="51"/>
      <c r="EH97" s="51"/>
      <c r="EI97" s="51"/>
      <c r="EJ97" s="51"/>
      <c r="EK97" s="51"/>
      <c r="EL97" s="51"/>
      <c r="EM97" s="51"/>
      <c r="EN97" s="51"/>
      <c r="EO97" s="51"/>
      <c r="EP97" s="51"/>
      <c r="EQ97" s="51"/>
      <c r="ER97" s="51"/>
      <c r="ES97" s="51"/>
      <c r="ET97" s="51"/>
      <c r="EU97" s="51"/>
      <c r="EV97" s="51"/>
      <c r="EW97" s="51"/>
      <c r="EX97" s="51"/>
      <c r="EY97" s="51"/>
      <c r="EZ97" s="51"/>
      <c r="FA97" s="51"/>
      <c r="FB97" s="51"/>
      <c r="FC97" s="51"/>
      <c r="FD97" s="51"/>
      <c r="FE97" s="51"/>
      <c r="FF97" s="51"/>
      <c r="FG97" s="51"/>
      <c r="FH97" s="51"/>
      <c r="FI97" s="51"/>
      <c r="FJ97" s="51"/>
      <c r="FK97" s="51"/>
      <c r="FL97" s="51"/>
      <c r="FM97" s="51"/>
      <c r="FN97" s="51"/>
      <c r="FO97" s="51"/>
      <c r="FP97" s="51"/>
      <c r="FQ97" s="51"/>
      <c r="FR97" s="51"/>
      <c r="FS97" s="51"/>
      <c r="FT97" s="51"/>
      <c r="FU97" s="51"/>
      <c r="FV97" s="51"/>
      <c r="FW97" s="51"/>
      <c r="FX97" s="51"/>
      <c r="FY97" s="51"/>
      <c r="FZ97" s="51"/>
      <c r="GA97" s="51"/>
      <c r="GB97" s="51"/>
      <c r="GC97" s="51"/>
      <c r="GD97" s="51"/>
      <c r="GE97" s="51"/>
      <c r="GF97" s="51"/>
      <c r="GG97" s="51"/>
      <c r="GH97" s="51"/>
      <c r="GI97" s="51"/>
      <c r="GJ97" s="51"/>
      <c r="GK97" s="51"/>
      <c r="GL97" s="51"/>
      <c r="GM97" s="51"/>
      <c r="GN97" s="51"/>
      <c r="GO97" s="51"/>
      <c r="GP97" s="51"/>
      <c r="GQ97" s="51"/>
      <c r="GR97" s="51"/>
      <c r="GS97" s="51"/>
      <c r="GT97" s="51"/>
      <c r="GU97" s="51"/>
      <c r="GV97" s="51"/>
      <c r="GW97" s="51"/>
      <c r="GX97" s="51"/>
      <c r="GY97" s="51"/>
      <c r="GZ97" s="51"/>
      <c r="HA97" s="51"/>
      <c r="HB97" s="51"/>
      <c r="HC97" s="51"/>
      <c r="HD97" s="51"/>
      <c r="HE97" s="51"/>
      <c r="HF97" s="51"/>
      <c r="HG97" s="51"/>
      <c r="HH97" s="51"/>
      <c r="HI97" s="51"/>
      <c r="HJ97" s="51"/>
      <c r="HK97" s="51"/>
      <c r="HL97" s="51"/>
      <c r="HM97" s="51"/>
      <c r="HN97" s="51"/>
      <c r="HO97" s="51"/>
      <c r="HP97" s="51"/>
      <c r="HQ97" s="51"/>
      <c r="HR97" s="51"/>
      <c r="HS97" s="51"/>
      <c r="HT97" s="51"/>
      <c r="HU97" s="51"/>
      <c r="HV97" s="51"/>
      <c r="HW97" s="51"/>
      <c r="HX97" s="51"/>
      <c r="HY97" s="51"/>
      <c r="HZ97" s="51"/>
      <c r="IA97" s="51"/>
      <c r="IB97" s="51"/>
      <c r="IC97" s="51"/>
      <c r="ID97" s="51"/>
      <c r="IE97" s="51"/>
      <c r="IF97" s="51"/>
      <c r="IG97" s="51"/>
      <c r="IH97" s="51"/>
      <c r="II97" s="51"/>
      <c r="IJ97" s="51"/>
      <c r="IK97" s="51"/>
      <c r="IL97" s="51"/>
    </row>
    <row r="98" spans="3:246" ht="12.95" customHeight="1" thickBot="1">
      <c r="C98" s="14"/>
      <c r="D98" s="9"/>
      <c r="I98" s="17"/>
      <c r="BW98" s="137"/>
      <c r="BX98" s="138"/>
      <c r="BY98" s="139"/>
      <c r="BZ98" s="140"/>
      <c r="CA98" s="141"/>
      <c r="CB98" s="51"/>
      <c r="CC98" s="52"/>
      <c r="CD98" s="109" t="s">
        <v>2686</v>
      </c>
      <c r="CE98" s="61" t="s">
        <v>2688</v>
      </c>
      <c r="CF98" s="111" t="e">
        <f>CF92</f>
        <v>#N/A</v>
      </c>
      <c r="CG98" s="84">
        <v>1</v>
      </c>
      <c r="CH98" s="142" t="e">
        <f>IF(CI92=CG98,CI92,CG98+1)</f>
        <v>#N/A</v>
      </c>
      <c r="CI98" s="84" t="e">
        <f t="shared" ref="CI98:CS98" si="35">IF($CI$92-CG98=1,CH98,CH98+1)</f>
        <v>#N/A</v>
      </c>
      <c r="CJ98" s="142" t="e">
        <f t="shared" si="35"/>
        <v>#N/A</v>
      </c>
      <c r="CK98" s="142" t="e">
        <f t="shared" si="35"/>
        <v>#N/A</v>
      </c>
      <c r="CL98" s="84" t="e">
        <f t="shared" si="35"/>
        <v>#N/A</v>
      </c>
      <c r="CM98" s="84" t="e">
        <f t="shared" si="35"/>
        <v>#N/A</v>
      </c>
      <c r="CN98" s="84" t="e">
        <f t="shared" si="35"/>
        <v>#N/A</v>
      </c>
      <c r="CO98" s="84" t="e">
        <f t="shared" si="35"/>
        <v>#N/A</v>
      </c>
      <c r="CP98" s="84" t="e">
        <f t="shared" si="35"/>
        <v>#N/A</v>
      </c>
      <c r="CQ98" s="84" t="e">
        <f t="shared" si="35"/>
        <v>#N/A</v>
      </c>
      <c r="CR98" s="84" t="e">
        <f t="shared" si="35"/>
        <v>#N/A</v>
      </c>
      <c r="CS98" s="85" t="e">
        <f t="shared" si="35"/>
        <v>#N/A</v>
      </c>
      <c r="CT98" s="143"/>
      <c r="CU98" s="55"/>
      <c r="CV98" s="52"/>
      <c r="CW98" s="51"/>
      <c r="CX98" s="51"/>
      <c r="CY98" s="51">
        <v>1968</v>
      </c>
      <c r="CZ98" s="199">
        <v>48</v>
      </c>
      <c r="DA98" s="200"/>
      <c r="DB98" s="201" t="s">
        <v>9009</v>
      </c>
      <c r="DC98" s="200"/>
      <c r="DD98" s="202" t="s">
        <v>9297</v>
      </c>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1"/>
      <c r="FT98" s="51"/>
      <c r="FU98" s="51"/>
      <c r="FV98" s="51"/>
      <c r="FW98" s="51"/>
      <c r="FX98" s="51"/>
      <c r="FY98" s="51"/>
      <c r="FZ98" s="51"/>
      <c r="GA98" s="51"/>
      <c r="GB98" s="51"/>
      <c r="GC98" s="51"/>
      <c r="GD98" s="51"/>
      <c r="GE98" s="51"/>
      <c r="GF98" s="51"/>
      <c r="GG98" s="51"/>
      <c r="GH98" s="51"/>
      <c r="GI98" s="51"/>
      <c r="GJ98" s="51"/>
      <c r="GK98" s="51"/>
      <c r="GL98" s="51"/>
      <c r="GM98" s="51"/>
      <c r="GN98" s="51"/>
      <c r="GO98" s="51"/>
      <c r="GP98" s="51"/>
      <c r="GQ98" s="51"/>
      <c r="GR98" s="51"/>
      <c r="GS98" s="51"/>
      <c r="GT98" s="51"/>
      <c r="GU98" s="51"/>
      <c r="GV98" s="51"/>
      <c r="GW98" s="51"/>
      <c r="GX98" s="51"/>
      <c r="GY98" s="51"/>
      <c r="GZ98" s="51"/>
      <c r="HA98" s="51"/>
      <c r="HB98" s="51"/>
      <c r="HC98" s="51"/>
      <c r="HD98" s="51"/>
      <c r="HE98" s="51"/>
      <c r="HF98" s="51"/>
      <c r="HG98" s="51"/>
      <c r="HH98" s="51"/>
      <c r="HI98" s="51"/>
      <c r="HJ98" s="51"/>
      <c r="HK98" s="51"/>
      <c r="HL98" s="51"/>
      <c r="HM98" s="51"/>
      <c r="HN98" s="51"/>
      <c r="HO98" s="51"/>
      <c r="HP98" s="51"/>
      <c r="HQ98" s="51"/>
      <c r="HR98" s="51"/>
      <c r="HS98" s="51"/>
      <c r="HT98" s="51"/>
      <c r="HU98" s="51"/>
      <c r="HV98" s="51"/>
      <c r="HW98" s="51"/>
      <c r="HX98" s="51"/>
      <c r="HY98" s="51"/>
      <c r="HZ98" s="51"/>
      <c r="IA98" s="51"/>
      <c r="IB98" s="51"/>
      <c r="IC98" s="51"/>
      <c r="ID98" s="51"/>
      <c r="IE98" s="51"/>
      <c r="IF98" s="51"/>
      <c r="IG98" s="51"/>
      <c r="IH98" s="51"/>
      <c r="II98" s="51"/>
      <c r="IJ98" s="51"/>
      <c r="IK98" s="51"/>
      <c r="IL98" s="51"/>
    </row>
    <row r="99" spans="3:246" ht="12.95" customHeight="1" thickTop="1">
      <c r="C99" s="14"/>
      <c r="D99" s="9"/>
      <c r="I99" s="17"/>
      <c r="BW99" s="51"/>
      <c r="BX99" s="51"/>
      <c r="BY99" s="51"/>
      <c r="BZ99" s="51"/>
      <c r="CA99" s="51"/>
      <c r="CB99" s="51"/>
      <c r="CC99" s="52"/>
      <c r="CD99" s="144" t="s">
        <v>2660</v>
      </c>
      <c r="CE99" s="54" t="s">
        <v>2688</v>
      </c>
      <c r="CF99" s="55"/>
      <c r="CG99" s="55" t="e">
        <f>HLOOKUP(CF98,CZ13:IJ26,2)</f>
        <v>#N/A</v>
      </c>
      <c r="CH99" s="55" t="e">
        <f>HLOOKUP(CF98,CZ13:IJ26,3)</f>
        <v>#N/A</v>
      </c>
      <c r="CI99" s="55" t="e">
        <f>HLOOKUP(CF98,CZ13:IJ26,4)</f>
        <v>#N/A</v>
      </c>
      <c r="CJ99" s="55" t="e">
        <f>HLOOKUP(CF98,CZ13:IJ26,5)</f>
        <v>#N/A</v>
      </c>
      <c r="CK99" s="55" t="e">
        <f>HLOOKUP(CF98,CZ13:IJ26,6)</f>
        <v>#N/A</v>
      </c>
      <c r="CL99" s="55" t="e">
        <f>HLOOKUP(CF98,CZ13:IJ26,7)</f>
        <v>#N/A</v>
      </c>
      <c r="CM99" s="55" t="e">
        <f>HLOOKUP(CF98,CZ13:IJ26,8)</f>
        <v>#N/A</v>
      </c>
      <c r="CN99" s="55" t="e">
        <f>HLOOKUP(CF98,CZ13:IJ26,9)</f>
        <v>#N/A</v>
      </c>
      <c r="CO99" s="55" t="e">
        <f>HLOOKUP(CF98,CZ13:IJ26,10)</f>
        <v>#N/A</v>
      </c>
      <c r="CP99" s="55" t="e">
        <f>HLOOKUP(CF98,CZ13:IJ26,11)</f>
        <v>#N/A</v>
      </c>
      <c r="CQ99" s="55" t="e">
        <f>HLOOKUP(CF98,CZ13:IJ26,12)</f>
        <v>#N/A</v>
      </c>
      <c r="CR99" s="55" t="e">
        <f>HLOOKUP(CF98,CZ13:IJ26,13)</f>
        <v>#N/A</v>
      </c>
      <c r="CS99" s="69" t="e">
        <f>HLOOKUP(CF98,CZ13:IJ26,14)</f>
        <v>#N/A</v>
      </c>
      <c r="CT99" s="55"/>
      <c r="CU99" s="55"/>
      <c r="CV99" s="52"/>
      <c r="CW99" s="51"/>
      <c r="CX99" s="51"/>
      <c r="CY99" s="51">
        <v>1969</v>
      </c>
      <c r="CZ99" s="199">
        <v>49</v>
      </c>
      <c r="DA99" s="200"/>
      <c r="DB99" s="201" t="s">
        <v>9010</v>
      </c>
      <c r="DC99" s="200"/>
      <c r="DD99" s="202" t="s">
        <v>9298</v>
      </c>
      <c r="DE99" s="51"/>
      <c r="DF99" s="51"/>
      <c r="DG99" s="51"/>
      <c r="DH99" s="51"/>
      <c r="DI99" s="51"/>
      <c r="DJ99" s="51"/>
      <c r="DK99" s="51"/>
      <c r="DL99" s="51"/>
      <c r="DM99" s="51"/>
      <c r="DN99" s="51"/>
      <c r="DO99" s="51"/>
      <c r="DP99" s="51"/>
      <c r="DQ99" s="51"/>
      <c r="DR99" s="51"/>
      <c r="DS99" s="51"/>
      <c r="DT99" s="51"/>
      <c r="DU99" s="51"/>
      <c r="DV99" s="51"/>
      <c r="DW99" s="51"/>
      <c r="DX99" s="51"/>
      <c r="DY99" s="51"/>
      <c r="DZ99" s="51"/>
      <c r="EA99" s="51"/>
      <c r="EB99" s="51"/>
      <c r="EC99" s="51"/>
      <c r="ED99" s="51"/>
      <c r="EE99" s="51"/>
      <c r="EF99" s="51"/>
      <c r="EG99" s="51"/>
      <c r="EH99" s="51"/>
      <c r="EI99" s="51"/>
      <c r="EJ99" s="51"/>
      <c r="EK99" s="51"/>
      <c r="EL99" s="51"/>
      <c r="EM99" s="51"/>
      <c r="EN99" s="51"/>
      <c r="EO99" s="51"/>
      <c r="EP99" s="51"/>
      <c r="EQ99" s="51"/>
      <c r="ER99" s="51"/>
      <c r="ES99" s="51"/>
      <c r="ET99" s="51"/>
      <c r="EU99" s="51"/>
      <c r="EV99" s="51"/>
      <c r="EW99" s="51"/>
      <c r="EX99" s="51"/>
      <c r="EY99" s="51"/>
      <c r="EZ99" s="51"/>
      <c r="FA99" s="51"/>
      <c r="FB99" s="51"/>
      <c r="FC99" s="51"/>
      <c r="FD99" s="51"/>
      <c r="FE99" s="51"/>
      <c r="FF99" s="51"/>
      <c r="FG99" s="51"/>
      <c r="FH99" s="51"/>
      <c r="FI99" s="51"/>
      <c r="FJ99" s="51"/>
      <c r="FK99" s="51"/>
      <c r="FL99" s="51"/>
      <c r="FM99" s="51"/>
      <c r="FN99" s="51"/>
      <c r="FO99" s="51"/>
      <c r="FP99" s="51"/>
      <c r="FQ99" s="51"/>
      <c r="FR99" s="51"/>
      <c r="FS99" s="51"/>
      <c r="FT99" s="51"/>
      <c r="FU99" s="51"/>
      <c r="FV99" s="51"/>
      <c r="FW99" s="51"/>
      <c r="FX99" s="51"/>
      <c r="FY99" s="51"/>
      <c r="FZ99" s="51"/>
      <c r="GA99" s="51"/>
      <c r="GB99" s="51"/>
      <c r="GC99" s="51"/>
      <c r="GD99" s="51"/>
      <c r="GE99" s="51"/>
      <c r="GF99" s="51"/>
      <c r="GG99" s="51"/>
      <c r="GH99" s="51"/>
      <c r="GI99" s="51"/>
      <c r="GJ99" s="51"/>
      <c r="GK99" s="51"/>
      <c r="GL99" s="51"/>
      <c r="GM99" s="51"/>
      <c r="GN99" s="51"/>
      <c r="GO99" s="51"/>
      <c r="GP99" s="51"/>
      <c r="GQ99" s="51"/>
      <c r="GR99" s="51"/>
      <c r="GS99" s="51"/>
      <c r="GT99" s="51"/>
      <c r="GU99" s="51"/>
      <c r="GV99" s="51"/>
      <c r="GW99" s="51"/>
      <c r="GX99" s="51"/>
      <c r="GY99" s="51"/>
      <c r="GZ99" s="51"/>
      <c r="HA99" s="51"/>
      <c r="HB99" s="51"/>
      <c r="HC99" s="51"/>
      <c r="HD99" s="51"/>
      <c r="HE99" s="51"/>
      <c r="HF99" s="51"/>
      <c r="HG99" s="51"/>
      <c r="HH99" s="51"/>
      <c r="HI99" s="51"/>
      <c r="HJ99" s="51"/>
      <c r="HK99" s="51"/>
      <c r="HL99" s="51"/>
      <c r="HM99" s="51"/>
      <c r="HN99" s="51"/>
      <c r="HO99" s="51"/>
      <c r="HP99" s="51"/>
      <c r="HQ99" s="51"/>
      <c r="HR99" s="51"/>
      <c r="HS99" s="51"/>
      <c r="HT99" s="51"/>
      <c r="HU99" s="51"/>
      <c r="HV99" s="51"/>
      <c r="HW99" s="51"/>
      <c r="HX99" s="51"/>
      <c r="HY99" s="51"/>
      <c r="HZ99" s="51"/>
      <c r="IA99" s="51"/>
      <c r="IB99" s="51"/>
      <c r="IC99" s="51"/>
      <c r="ID99" s="51"/>
      <c r="IE99" s="51"/>
      <c r="IF99" s="51"/>
      <c r="IG99" s="51"/>
      <c r="IH99" s="51"/>
      <c r="II99" s="51"/>
      <c r="IJ99" s="51"/>
      <c r="IK99" s="51"/>
      <c r="IL99" s="51"/>
    </row>
    <row r="100" spans="3:246" ht="12.95" customHeight="1">
      <c r="BW100" s="51"/>
      <c r="BX100" s="51"/>
      <c r="BY100" s="51"/>
      <c r="BZ100" s="51"/>
      <c r="CA100" s="51"/>
      <c r="CB100" s="51"/>
      <c r="CC100" s="52"/>
      <c r="CD100" s="144" t="s">
        <v>2035</v>
      </c>
      <c r="CE100" s="54" t="s">
        <v>2688</v>
      </c>
      <c r="CF100" s="55">
        <v>0</v>
      </c>
      <c r="CG100" s="55" t="e">
        <f>SUM($CG$99:CG99)</f>
        <v>#N/A</v>
      </c>
      <c r="CH100" s="55" t="e">
        <f>SUM($CG$99:CH99)</f>
        <v>#N/A</v>
      </c>
      <c r="CI100" s="88" t="e">
        <f>SUM($CG$99:CI99)</f>
        <v>#N/A</v>
      </c>
      <c r="CJ100" s="55" t="e">
        <f>SUM($CG$99:CJ99)</f>
        <v>#N/A</v>
      </c>
      <c r="CK100" s="55" t="e">
        <f>SUM($CG$99:CK99)</f>
        <v>#N/A</v>
      </c>
      <c r="CL100" s="55" t="e">
        <f>SUM($CG$99:CL99)</f>
        <v>#N/A</v>
      </c>
      <c r="CM100" s="55" t="e">
        <f>SUM($CG$99:CM99)</f>
        <v>#N/A</v>
      </c>
      <c r="CN100" s="55" t="e">
        <f>SUM($CG$99:CN99)</f>
        <v>#N/A</v>
      </c>
      <c r="CO100" s="55" t="e">
        <f>SUM($CG$99:CO99)</f>
        <v>#N/A</v>
      </c>
      <c r="CP100" s="55" t="e">
        <f>SUM($CG$99:CP99)</f>
        <v>#N/A</v>
      </c>
      <c r="CQ100" s="55" t="e">
        <f>SUM($CG$99:CQ99)</f>
        <v>#N/A</v>
      </c>
      <c r="CR100" s="55" t="e">
        <f>SUM($CG$99:CR99)</f>
        <v>#N/A</v>
      </c>
      <c r="CS100" s="69" t="e">
        <f>SUM($CG$99:CS99)</f>
        <v>#N/A</v>
      </c>
      <c r="CT100" s="55"/>
      <c r="CU100" s="55"/>
      <c r="CV100" s="52"/>
      <c r="CW100" s="51"/>
      <c r="CX100" s="51"/>
      <c r="CY100" s="51">
        <v>1970</v>
      </c>
      <c r="CZ100" s="199">
        <v>50</v>
      </c>
      <c r="DA100" s="200"/>
      <c r="DB100" s="201" t="s">
        <v>3733</v>
      </c>
      <c r="DC100" s="200"/>
      <c r="DD100" s="202" t="s">
        <v>9299</v>
      </c>
      <c r="DE100" s="51"/>
      <c r="DF100" s="51"/>
      <c r="DG100" s="51"/>
      <c r="DH100" s="51"/>
      <c r="DI100" s="51"/>
      <c r="DJ100" s="51"/>
      <c r="DK100" s="51"/>
      <c r="DL100" s="51"/>
      <c r="DM100" s="51"/>
      <c r="DN100" s="51"/>
      <c r="DO100" s="51"/>
      <c r="DP100" s="51"/>
      <c r="DQ100" s="51"/>
      <c r="DR100" s="51"/>
      <c r="DS100" s="51"/>
      <c r="DT100" s="51"/>
      <c r="DU100" s="51"/>
      <c r="DV100" s="51"/>
      <c r="DW100" s="51"/>
      <c r="DX100" s="51"/>
      <c r="DY100" s="51"/>
      <c r="DZ100" s="51"/>
      <c r="EA100" s="51"/>
      <c r="EB100" s="51"/>
      <c r="EC100" s="51"/>
      <c r="ED100" s="51"/>
      <c r="EE100" s="51"/>
      <c r="EF100" s="51"/>
      <c r="EG100" s="51"/>
      <c r="EH100" s="51"/>
      <c r="EI100" s="51"/>
      <c r="EJ100" s="51"/>
      <c r="EK100" s="51"/>
      <c r="EL100" s="51"/>
      <c r="EM100" s="51"/>
      <c r="EN100" s="51"/>
      <c r="EO100" s="51"/>
      <c r="EP100" s="51"/>
      <c r="EQ100" s="51"/>
      <c r="ER100" s="51"/>
      <c r="ES100" s="51"/>
      <c r="ET100" s="51"/>
      <c r="EU100" s="51"/>
      <c r="EV100" s="51"/>
      <c r="EW100" s="51"/>
      <c r="EX100" s="51"/>
      <c r="EY100" s="51"/>
      <c r="EZ100" s="51"/>
      <c r="FA100" s="51"/>
      <c r="FB100" s="51"/>
      <c r="FC100" s="51"/>
      <c r="FD100" s="51"/>
      <c r="FE100" s="51"/>
      <c r="FF100" s="51"/>
      <c r="FG100" s="51"/>
      <c r="FH100" s="51"/>
      <c r="FI100" s="51"/>
      <c r="FJ100" s="51"/>
      <c r="FK100" s="51"/>
      <c r="FL100" s="51"/>
      <c r="FM100" s="51"/>
      <c r="FN100" s="51"/>
      <c r="FO100" s="51"/>
      <c r="FP100" s="51"/>
      <c r="FQ100" s="51"/>
      <c r="FR100" s="51"/>
      <c r="FS100" s="51"/>
      <c r="FT100" s="51"/>
      <c r="FU100" s="51"/>
      <c r="FV100" s="51"/>
      <c r="FW100" s="51"/>
      <c r="FX100" s="51"/>
      <c r="FY100" s="51"/>
      <c r="FZ100" s="51"/>
      <c r="GA100" s="51"/>
      <c r="GB100" s="51"/>
      <c r="GC100" s="51"/>
      <c r="GD100" s="51"/>
      <c r="GE100" s="51"/>
      <c r="GF100" s="51"/>
      <c r="GG100" s="51"/>
      <c r="GH100" s="51"/>
      <c r="GI100" s="51"/>
      <c r="GJ100" s="51"/>
      <c r="GK100" s="51"/>
      <c r="GL100" s="51"/>
      <c r="GM100" s="51"/>
      <c r="GN100" s="51"/>
      <c r="GO100" s="51"/>
      <c r="GP100" s="51"/>
      <c r="GQ100" s="51"/>
      <c r="GR100" s="51"/>
      <c r="GS100" s="51"/>
      <c r="GT100" s="51"/>
      <c r="GU100" s="51"/>
      <c r="GV100" s="51"/>
      <c r="GW100" s="51"/>
      <c r="GX100" s="51"/>
      <c r="GY100" s="51"/>
      <c r="GZ100" s="51"/>
      <c r="HA100" s="51"/>
      <c r="HB100" s="51"/>
      <c r="HC100" s="51"/>
      <c r="HD100" s="51"/>
      <c r="HE100" s="51"/>
      <c r="HF100" s="51"/>
      <c r="HG100" s="51"/>
      <c r="HH100" s="51"/>
      <c r="HI100" s="51"/>
      <c r="HJ100" s="51"/>
      <c r="HK100" s="51"/>
      <c r="HL100" s="51"/>
      <c r="HM100" s="51"/>
      <c r="HN100" s="51"/>
      <c r="HO100" s="51"/>
      <c r="HP100" s="51"/>
      <c r="HQ100" s="51"/>
      <c r="HR100" s="51"/>
      <c r="HS100" s="51"/>
      <c r="HT100" s="51"/>
      <c r="HU100" s="51"/>
      <c r="HV100" s="51"/>
      <c r="HW100" s="51"/>
      <c r="HX100" s="51"/>
      <c r="HY100" s="51"/>
      <c r="HZ100" s="51"/>
      <c r="IA100" s="51"/>
      <c r="IB100" s="51"/>
      <c r="IC100" s="51"/>
      <c r="ID100" s="51"/>
      <c r="IE100" s="51"/>
      <c r="IF100" s="51"/>
      <c r="IG100" s="51"/>
      <c r="IH100" s="51"/>
      <c r="II100" s="51"/>
      <c r="IJ100" s="51"/>
      <c r="IK100" s="51"/>
      <c r="IL100" s="51"/>
    </row>
    <row r="101" spans="3:246" ht="12.95" customHeight="1">
      <c r="BW101" s="51"/>
      <c r="BX101" s="51"/>
      <c r="BY101" s="51"/>
      <c r="BZ101" s="51"/>
      <c r="CA101" s="51"/>
      <c r="CB101" s="51"/>
      <c r="CC101" s="52"/>
      <c r="CD101" s="145" t="s">
        <v>481</v>
      </c>
      <c r="CE101" s="93" t="s">
        <v>2688</v>
      </c>
      <c r="CF101" s="96">
        <f t="shared" ref="CF101:CS101" si="36">CG98</f>
        <v>1</v>
      </c>
      <c r="CG101" s="96" t="e">
        <f t="shared" si="36"/>
        <v>#N/A</v>
      </c>
      <c r="CH101" s="146" t="e">
        <f t="shared" si="36"/>
        <v>#N/A</v>
      </c>
      <c r="CI101" s="96" t="e">
        <f t="shared" si="36"/>
        <v>#N/A</v>
      </c>
      <c r="CJ101" s="96" t="e">
        <f t="shared" si="36"/>
        <v>#N/A</v>
      </c>
      <c r="CK101" s="96" t="e">
        <f t="shared" si="36"/>
        <v>#N/A</v>
      </c>
      <c r="CL101" s="96" t="e">
        <f t="shared" si="36"/>
        <v>#N/A</v>
      </c>
      <c r="CM101" s="96" t="e">
        <f t="shared" si="36"/>
        <v>#N/A</v>
      </c>
      <c r="CN101" s="96" t="e">
        <f t="shared" si="36"/>
        <v>#N/A</v>
      </c>
      <c r="CO101" s="96" t="e">
        <f t="shared" si="36"/>
        <v>#N/A</v>
      </c>
      <c r="CP101" s="96" t="e">
        <f t="shared" si="36"/>
        <v>#N/A</v>
      </c>
      <c r="CQ101" s="96" t="e">
        <f t="shared" si="36"/>
        <v>#N/A</v>
      </c>
      <c r="CR101" s="96" t="e">
        <f t="shared" si="36"/>
        <v>#N/A</v>
      </c>
      <c r="CS101" s="95">
        <f t="shared" si="36"/>
        <v>0</v>
      </c>
      <c r="CT101" s="55"/>
      <c r="CU101" s="55"/>
      <c r="CV101" s="52"/>
      <c r="CW101" s="51"/>
      <c r="CX101" s="51"/>
      <c r="CY101" s="51">
        <v>1971</v>
      </c>
      <c r="CZ101" s="199">
        <v>51</v>
      </c>
      <c r="DA101" s="200"/>
      <c r="DB101" s="201" t="s">
        <v>3734</v>
      </c>
      <c r="DC101" s="200"/>
      <c r="DD101" s="202" t="s">
        <v>9300</v>
      </c>
      <c r="DE101" s="51"/>
      <c r="DF101" s="51"/>
      <c r="DG101" s="51"/>
      <c r="DH101" s="51"/>
      <c r="DI101" s="51"/>
      <c r="DJ101" s="51"/>
      <c r="DK101" s="51"/>
      <c r="DL101" s="51"/>
      <c r="DM101" s="51"/>
      <c r="DN101" s="51"/>
      <c r="DO101" s="51"/>
      <c r="DP101" s="51"/>
      <c r="DQ101" s="51"/>
      <c r="DR101" s="51"/>
      <c r="DS101" s="51"/>
      <c r="DT101" s="51"/>
      <c r="DU101" s="51"/>
      <c r="DV101" s="51"/>
      <c r="DW101" s="51"/>
      <c r="DX101" s="51"/>
      <c r="DY101" s="51"/>
      <c r="DZ101" s="51"/>
      <c r="EA101" s="51"/>
      <c r="EB101" s="51"/>
      <c r="EC101" s="51"/>
      <c r="ED101" s="51"/>
      <c r="EE101" s="51"/>
      <c r="EF101" s="51"/>
      <c r="EG101" s="51"/>
      <c r="EH101" s="51"/>
      <c r="EI101" s="51"/>
      <c r="EJ101" s="51"/>
      <c r="EK101" s="51"/>
      <c r="EL101" s="51"/>
      <c r="EM101" s="51"/>
      <c r="EN101" s="51"/>
      <c r="EO101" s="51"/>
      <c r="EP101" s="51"/>
      <c r="EQ101" s="51"/>
      <c r="ER101" s="51"/>
      <c r="ES101" s="51"/>
      <c r="ET101" s="51"/>
      <c r="EU101" s="51"/>
      <c r="EV101" s="51"/>
      <c r="EW101" s="51"/>
      <c r="EX101" s="51"/>
      <c r="EY101" s="51"/>
      <c r="EZ101" s="51"/>
      <c r="FA101" s="51"/>
      <c r="FB101" s="51"/>
      <c r="FC101" s="51"/>
      <c r="FD101" s="51"/>
      <c r="FE101" s="51"/>
      <c r="FF101" s="51"/>
      <c r="FG101" s="51"/>
      <c r="FH101" s="51"/>
      <c r="FI101" s="51"/>
      <c r="FJ101" s="51"/>
      <c r="FK101" s="51"/>
      <c r="FL101" s="51"/>
      <c r="FM101" s="51"/>
      <c r="FN101" s="51"/>
      <c r="FO101" s="51"/>
      <c r="FP101" s="51"/>
      <c r="FQ101" s="51"/>
      <c r="FR101" s="51"/>
      <c r="FS101" s="51"/>
      <c r="FT101" s="51"/>
      <c r="FU101" s="51"/>
      <c r="FV101" s="51"/>
      <c r="FW101" s="51"/>
      <c r="FX101" s="51"/>
      <c r="FY101" s="51"/>
      <c r="FZ101" s="51"/>
      <c r="GA101" s="51"/>
      <c r="GB101" s="51"/>
      <c r="GC101" s="51"/>
      <c r="GD101" s="51"/>
      <c r="GE101" s="51"/>
      <c r="GF101" s="51"/>
      <c r="GG101" s="51"/>
      <c r="GH101" s="51"/>
      <c r="GI101" s="51"/>
      <c r="GJ101" s="51"/>
      <c r="GK101" s="51"/>
      <c r="GL101" s="51"/>
      <c r="GM101" s="51"/>
      <c r="GN101" s="51"/>
      <c r="GO101" s="51"/>
      <c r="GP101" s="51"/>
      <c r="GQ101" s="51"/>
      <c r="GR101" s="51"/>
      <c r="GS101" s="51"/>
      <c r="GT101" s="51"/>
      <c r="GU101" s="51"/>
      <c r="GV101" s="51"/>
      <c r="GW101" s="51"/>
      <c r="GX101" s="51"/>
      <c r="GY101" s="51"/>
      <c r="GZ101" s="51"/>
      <c r="HA101" s="51"/>
      <c r="HB101" s="51"/>
      <c r="HC101" s="51"/>
      <c r="HD101" s="51"/>
      <c r="HE101" s="51"/>
      <c r="HF101" s="51"/>
      <c r="HG101" s="51"/>
      <c r="HH101" s="51"/>
      <c r="HI101" s="51"/>
      <c r="HJ101" s="51"/>
      <c r="HK101" s="51"/>
      <c r="HL101" s="51"/>
      <c r="HM101" s="51"/>
      <c r="HN101" s="51"/>
      <c r="HO101" s="51"/>
      <c r="HP101" s="51"/>
      <c r="HQ101" s="51"/>
      <c r="HR101" s="51"/>
      <c r="HS101" s="51"/>
      <c r="HT101" s="51"/>
      <c r="HU101" s="51"/>
      <c r="HV101" s="51"/>
      <c r="HW101" s="51"/>
      <c r="HX101" s="51"/>
      <c r="HY101" s="51"/>
      <c r="HZ101" s="51"/>
      <c r="IA101" s="51"/>
      <c r="IB101" s="51"/>
      <c r="IC101" s="51"/>
      <c r="ID101" s="51"/>
      <c r="IE101" s="51"/>
      <c r="IF101" s="51"/>
      <c r="IG101" s="51"/>
      <c r="IH101" s="51"/>
      <c r="II101" s="51"/>
      <c r="IJ101" s="51"/>
      <c r="IK101" s="51"/>
      <c r="IL101" s="51"/>
    </row>
    <row r="102" spans="3:246" ht="12.95" customHeight="1">
      <c r="BW102" s="51"/>
      <c r="BX102" s="51"/>
      <c r="BY102" s="51"/>
      <c r="BZ102" s="51"/>
      <c r="CA102" s="51"/>
      <c r="CB102" s="51"/>
      <c r="CC102" s="52"/>
      <c r="CD102" s="109" t="s">
        <v>355</v>
      </c>
      <c r="CE102" s="61" t="s">
        <v>2688</v>
      </c>
      <c r="CF102" s="147" t="e">
        <f>HLOOKUP(CF96,CF100:CS100,1)</f>
        <v>#N/A</v>
      </c>
      <c r="CG102" s="112" t="e">
        <f>IF(CF96=CF102,HLOOKUP(CF96-1,CF100:CS100,1),CF102)</f>
        <v>#N/A</v>
      </c>
      <c r="CH102" s="55"/>
      <c r="CI102" s="55"/>
      <c r="CJ102" s="55"/>
      <c r="CK102" s="55"/>
      <c r="CL102" s="55"/>
      <c r="CM102" s="55"/>
      <c r="CN102" s="55"/>
      <c r="CO102" s="55"/>
      <c r="CP102" s="55"/>
      <c r="CQ102" s="55"/>
      <c r="CR102" s="55"/>
      <c r="CS102" s="55"/>
      <c r="CT102" s="55"/>
      <c r="CU102" s="55"/>
      <c r="CV102" s="52"/>
      <c r="CW102" s="51"/>
      <c r="CX102" s="51"/>
      <c r="CY102" s="51">
        <v>1972</v>
      </c>
      <c r="CZ102" s="199">
        <v>52</v>
      </c>
      <c r="DA102" s="200"/>
      <c r="DB102" s="201" t="s">
        <v>3735</v>
      </c>
      <c r="DC102" s="200"/>
      <c r="DD102" s="202" t="s">
        <v>1402</v>
      </c>
      <c r="DE102" s="51"/>
      <c r="DF102" s="51"/>
      <c r="DG102" s="51"/>
      <c r="DH102" s="51"/>
      <c r="DI102" s="51"/>
      <c r="DJ102" s="51"/>
      <c r="DK102" s="51"/>
      <c r="DL102" s="51"/>
      <c r="DM102" s="51"/>
      <c r="DN102" s="51"/>
      <c r="DO102" s="51"/>
      <c r="DP102" s="51"/>
      <c r="DQ102" s="51"/>
      <c r="DR102" s="51"/>
      <c r="DS102" s="51"/>
      <c r="DT102" s="51"/>
      <c r="DU102" s="51"/>
      <c r="DV102" s="51"/>
      <c r="DW102" s="51"/>
      <c r="DX102" s="51"/>
      <c r="DY102" s="51"/>
      <c r="DZ102" s="51"/>
      <c r="EA102" s="51"/>
      <c r="EB102" s="51"/>
      <c r="EC102" s="51"/>
      <c r="ED102" s="51"/>
      <c r="EE102" s="51"/>
      <c r="EF102" s="51"/>
      <c r="EG102" s="51"/>
      <c r="EH102" s="51"/>
      <c r="EI102" s="51"/>
      <c r="EJ102" s="51"/>
      <c r="EK102" s="51"/>
      <c r="EL102" s="51"/>
      <c r="EM102" s="51"/>
      <c r="EN102" s="51"/>
      <c r="EO102" s="51"/>
      <c r="EP102" s="51"/>
      <c r="EQ102" s="51"/>
      <c r="ER102" s="51"/>
      <c r="ES102" s="51"/>
      <c r="ET102" s="51"/>
      <c r="EU102" s="51"/>
      <c r="EV102" s="51"/>
      <c r="EW102" s="51"/>
      <c r="EX102" s="51"/>
      <c r="EY102" s="51"/>
      <c r="EZ102" s="51"/>
      <c r="FA102" s="51"/>
      <c r="FB102" s="51"/>
      <c r="FC102" s="51"/>
      <c r="FD102" s="51"/>
      <c r="FE102" s="51"/>
      <c r="FF102" s="51"/>
      <c r="FG102" s="51"/>
      <c r="FH102" s="51"/>
      <c r="FI102" s="51"/>
      <c r="FJ102" s="51"/>
      <c r="FK102" s="51"/>
      <c r="FL102" s="51"/>
      <c r="FM102" s="51"/>
      <c r="FN102" s="51"/>
      <c r="FO102" s="51"/>
      <c r="FP102" s="51"/>
      <c r="FQ102" s="51"/>
      <c r="FR102" s="51"/>
      <c r="FS102" s="51"/>
      <c r="FT102" s="51"/>
      <c r="FU102" s="51"/>
      <c r="FV102" s="51"/>
      <c r="FW102" s="51"/>
      <c r="FX102" s="51"/>
      <c r="FY102" s="51"/>
      <c r="FZ102" s="51"/>
      <c r="GA102" s="51"/>
      <c r="GB102" s="51"/>
      <c r="GC102" s="51"/>
      <c r="GD102" s="51"/>
      <c r="GE102" s="51"/>
      <c r="GF102" s="51"/>
      <c r="GG102" s="51"/>
      <c r="GH102" s="51"/>
      <c r="GI102" s="51"/>
      <c r="GJ102" s="51"/>
      <c r="GK102" s="51"/>
      <c r="GL102" s="51"/>
      <c r="GM102" s="51"/>
      <c r="GN102" s="51"/>
      <c r="GO102" s="51"/>
      <c r="GP102" s="51"/>
      <c r="GQ102" s="51"/>
      <c r="GR102" s="51"/>
      <c r="GS102" s="51"/>
      <c r="GT102" s="51"/>
      <c r="GU102" s="51"/>
      <c r="GV102" s="51"/>
      <c r="GW102" s="51"/>
      <c r="GX102" s="51"/>
      <c r="GY102" s="51"/>
      <c r="GZ102" s="51"/>
      <c r="HA102" s="51"/>
      <c r="HB102" s="51"/>
      <c r="HC102" s="51"/>
      <c r="HD102" s="51"/>
      <c r="HE102" s="51"/>
      <c r="HF102" s="51"/>
      <c r="HG102" s="51"/>
      <c r="HH102" s="51"/>
      <c r="HI102" s="51"/>
      <c r="HJ102" s="51"/>
      <c r="HK102" s="51"/>
      <c r="HL102" s="51"/>
      <c r="HM102" s="51"/>
      <c r="HN102" s="51"/>
      <c r="HO102" s="51"/>
      <c r="HP102" s="51"/>
      <c r="HQ102" s="51"/>
      <c r="HR102" s="51"/>
      <c r="HS102" s="51"/>
      <c r="HT102" s="51"/>
      <c r="HU102" s="51"/>
      <c r="HV102" s="51"/>
      <c r="HW102" s="51"/>
      <c r="HX102" s="51"/>
      <c r="HY102" s="51"/>
      <c r="HZ102" s="51"/>
      <c r="IA102" s="51"/>
      <c r="IB102" s="51"/>
      <c r="IC102" s="51"/>
      <c r="ID102" s="51"/>
      <c r="IE102" s="51"/>
      <c r="IF102" s="51"/>
      <c r="IG102" s="51"/>
      <c r="IH102" s="51"/>
      <c r="II102" s="51"/>
      <c r="IJ102" s="51"/>
      <c r="IK102" s="51"/>
      <c r="IL102" s="51"/>
    </row>
    <row r="103" spans="3:246" ht="12.95" customHeight="1">
      <c r="BW103" s="51"/>
      <c r="BX103" s="51"/>
      <c r="BY103" s="51"/>
      <c r="BZ103" s="51"/>
      <c r="CA103" s="51"/>
      <c r="CB103" s="51"/>
      <c r="CC103" s="52"/>
      <c r="CD103" s="144" t="s">
        <v>5011</v>
      </c>
      <c r="CE103" s="54" t="s">
        <v>2688</v>
      </c>
      <c r="CF103" s="89" t="e">
        <f>IF(CF96=CF102,HLOOKUP(CG102,CF100:CS101,2),HLOOKUP(CF102,CF100:CS101,2))</f>
        <v>#N/A</v>
      </c>
      <c r="CG103" s="55"/>
      <c r="CH103" s="55"/>
      <c r="CI103" s="55"/>
      <c r="CJ103" s="55"/>
      <c r="CK103" s="55"/>
      <c r="CL103" s="55"/>
      <c r="CM103" s="55"/>
      <c r="CN103" s="55"/>
      <c r="CO103" s="55"/>
      <c r="CP103" s="55"/>
      <c r="CQ103" s="55"/>
      <c r="CR103" s="55"/>
      <c r="CS103" s="55"/>
      <c r="CT103" s="55"/>
      <c r="CU103" s="55"/>
      <c r="CV103" s="52"/>
      <c r="CW103" s="51"/>
      <c r="CX103" s="51"/>
      <c r="CY103" s="51">
        <v>1973</v>
      </c>
      <c r="CZ103" s="199">
        <v>53</v>
      </c>
      <c r="DA103" s="200"/>
      <c r="DB103" s="201" t="s">
        <v>1876</v>
      </c>
      <c r="DC103" s="200"/>
      <c r="DD103" s="202" t="s">
        <v>9301</v>
      </c>
      <c r="DE103" s="51"/>
      <c r="DF103" s="51"/>
      <c r="DG103" s="51"/>
      <c r="DH103" s="51"/>
      <c r="DI103" s="51"/>
      <c r="DJ103" s="51"/>
      <c r="DK103" s="51"/>
      <c r="DL103" s="51"/>
      <c r="DM103" s="51"/>
      <c r="DN103" s="51"/>
      <c r="DO103" s="51"/>
      <c r="DP103" s="51"/>
      <c r="DQ103" s="51"/>
      <c r="DR103" s="51"/>
      <c r="DS103" s="51"/>
      <c r="DT103" s="51"/>
      <c r="DU103" s="51"/>
      <c r="DV103" s="51"/>
      <c r="DW103" s="51"/>
      <c r="DX103" s="51"/>
      <c r="DY103" s="51"/>
      <c r="DZ103" s="51"/>
      <c r="EA103" s="51"/>
      <c r="EB103" s="51"/>
      <c r="EC103" s="51"/>
      <c r="ED103" s="51"/>
      <c r="EE103" s="51"/>
      <c r="EF103" s="51"/>
      <c r="EG103" s="51"/>
      <c r="EH103" s="51"/>
      <c r="EI103" s="51"/>
      <c r="EJ103" s="51"/>
      <c r="EK103" s="51"/>
      <c r="EL103" s="51"/>
      <c r="EM103" s="51"/>
      <c r="EN103" s="51"/>
      <c r="EO103" s="51"/>
      <c r="EP103" s="51"/>
      <c r="EQ103" s="51"/>
      <c r="ER103" s="51"/>
      <c r="ES103" s="51"/>
      <c r="ET103" s="51"/>
      <c r="EU103" s="51"/>
      <c r="EV103" s="51"/>
      <c r="EW103" s="51"/>
      <c r="EX103" s="51"/>
      <c r="EY103" s="51"/>
      <c r="EZ103" s="51"/>
      <c r="FA103" s="51"/>
      <c r="FB103" s="51"/>
      <c r="FC103" s="51"/>
      <c r="FD103" s="51"/>
      <c r="FE103" s="51"/>
      <c r="FF103" s="51"/>
      <c r="FG103" s="51"/>
      <c r="FH103" s="51"/>
      <c r="FI103" s="51"/>
      <c r="FJ103" s="51"/>
      <c r="FK103" s="51"/>
      <c r="FL103" s="51"/>
      <c r="FM103" s="51"/>
      <c r="FN103" s="51"/>
      <c r="FO103" s="51"/>
      <c r="FP103" s="51"/>
      <c r="FQ103" s="51"/>
      <c r="FR103" s="51"/>
      <c r="FS103" s="51"/>
      <c r="FT103" s="51"/>
      <c r="FU103" s="51"/>
      <c r="FV103" s="51"/>
      <c r="FW103" s="51"/>
      <c r="FX103" s="51"/>
      <c r="FY103" s="51"/>
      <c r="FZ103" s="51"/>
      <c r="GA103" s="51"/>
      <c r="GB103" s="51"/>
      <c r="GC103" s="51"/>
      <c r="GD103" s="51"/>
      <c r="GE103" s="51"/>
      <c r="GF103" s="51"/>
      <c r="GG103" s="51"/>
      <c r="GH103" s="51"/>
      <c r="GI103" s="51"/>
      <c r="GJ103" s="51"/>
      <c r="GK103" s="51"/>
      <c r="GL103" s="51"/>
      <c r="GM103" s="51"/>
      <c r="GN103" s="51"/>
      <c r="GO103" s="51"/>
      <c r="GP103" s="51"/>
      <c r="GQ103" s="51"/>
      <c r="GR103" s="51"/>
      <c r="GS103" s="51"/>
      <c r="GT103" s="51"/>
      <c r="GU103" s="51"/>
      <c r="GV103" s="51"/>
      <c r="GW103" s="51"/>
      <c r="GX103" s="51"/>
      <c r="GY103" s="51"/>
      <c r="GZ103" s="51"/>
      <c r="HA103" s="51"/>
      <c r="HB103" s="51"/>
      <c r="HC103" s="51"/>
      <c r="HD103" s="51"/>
      <c r="HE103" s="51"/>
      <c r="HF103" s="51"/>
      <c r="HG103" s="51"/>
      <c r="HH103" s="51"/>
      <c r="HI103" s="51"/>
      <c r="HJ103" s="51"/>
      <c r="HK103" s="51"/>
      <c r="HL103" s="51"/>
      <c r="HM103" s="51"/>
      <c r="HN103" s="51"/>
      <c r="HO103" s="51"/>
      <c r="HP103" s="51"/>
      <c r="HQ103" s="51"/>
      <c r="HR103" s="51"/>
      <c r="HS103" s="51"/>
      <c r="HT103" s="51"/>
      <c r="HU103" s="51"/>
      <c r="HV103" s="51"/>
      <c r="HW103" s="51"/>
      <c r="HX103" s="51"/>
      <c r="HY103" s="51"/>
      <c r="HZ103" s="51"/>
      <c r="IA103" s="51"/>
      <c r="IB103" s="51"/>
      <c r="IC103" s="51"/>
      <c r="ID103" s="51"/>
      <c r="IE103" s="51"/>
      <c r="IF103" s="51"/>
      <c r="IG103" s="51"/>
      <c r="IH103" s="51"/>
      <c r="II103" s="51"/>
      <c r="IJ103" s="51"/>
      <c r="IK103" s="51"/>
      <c r="IL103" s="51"/>
    </row>
    <row r="104" spans="3:246" ht="12.95" customHeight="1">
      <c r="BW104" s="51"/>
      <c r="BX104" s="51"/>
      <c r="BY104" s="51"/>
      <c r="BZ104" s="51"/>
      <c r="CA104" s="51"/>
      <c r="CB104" s="51"/>
      <c r="CC104" s="52"/>
      <c r="CD104" s="145" t="s">
        <v>5012</v>
      </c>
      <c r="CE104" s="93" t="s">
        <v>2688</v>
      </c>
      <c r="CF104" s="148" t="e">
        <f>IF(AND(CF106=CG106,BY84&gt;0),IF(CF96=CF102,CF96-CG102,CF96-CF102),"Nhập sai ngày DL")</f>
        <v>#N/A</v>
      </c>
      <c r="CG104" s="55"/>
      <c r="CH104" s="55"/>
      <c r="CI104" s="55"/>
      <c r="CJ104" s="55"/>
      <c r="CK104" s="55"/>
      <c r="CL104" s="55"/>
      <c r="CM104" s="55"/>
      <c r="CN104" s="55"/>
      <c r="CO104" s="55"/>
      <c r="CP104" s="55"/>
      <c r="CQ104" s="55"/>
      <c r="CR104" s="55"/>
      <c r="CS104" s="55"/>
      <c r="CT104" s="55"/>
      <c r="CU104" s="55"/>
      <c r="CV104" s="52"/>
      <c r="CW104" s="51"/>
      <c r="CX104" s="51"/>
      <c r="CY104" s="51">
        <v>1974</v>
      </c>
      <c r="CZ104" s="199">
        <v>54</v>
      </c>
      <c r="DA104" s="200"/>
      <c r="DB104" s="201" t="s">
        <v>9005</v>
      </c>
      <c r="DC104" s="200"/>
      <c r="DD104" s="202" t="s">
        <v>353</v>
      </c>
      <c r="DE104" s="51"/>
      <c r="DF104" s="51"/>
      <c r="DG104" s="51"/>
      <c r="DH104" s="51"/>
      <c r="DI104" s="51"/>
      <c r="DJ104" s="51"/>
      <c r="DK104" s="51"/>
      <c r="DL104" s="51"/>
      <c r="DM104" s="51"/>
      <c r="DN104" s="51"/>
      <c r="DO104" s="51"/>
      <c r="DP104" s="51"/>
      <c r="DQ104" s="51"/>
      <c r="DR104" s="51"/>
      <c r="DS104" s="51"/>
      <c r="DT104" s="51"/>
      <c r="DU104" s="51"/>
      <c r="DV104" s="51"/>
      <c r="DW104" s="51"/>
      <c r="DX104" s="51"/>
      <c r="DY104" s="51"/>
      <c r="DZ104" s="51"/>
      <c r="EA104" s="51"/>
      <c r="EB104" s="51"/>
      <c r="EC104" s="51"/>
      <c r="ED104" s="51"/>
      <c r="EE104" s="51"/>
      <c r="EF104" s="51"/>
      <c r="EG104" s="51"/>
      <c r="EH104" s="51"/>
      <c r="EI104" s="51"/>
      <c r="EJ104" s="51"/>
      <c r="EK104" s="51"/>
      <c r="EL104" s="51"/>
      <c r="EM104" s="51"/>
      <c r="EN104" s="51"/>
      <c r="EO104" s="51"/>
      <c r="EP104" s="51"/>
      <c r="EQ104" s="51"/>
      <c r="ER104" s="51"/>
      <c r="ES104" s="51"/>
      <c r="ET104" s="51"/>
      <c r="EU104" s="51"/>
      <c r="EV104" s="51"/>
      <c r="EW104" s="51"/>
      <c r="EX104" s="51"/>
      <c r="EY104" s="51"/>
      <c r="EZ104" s="51"/>
      <c r="FA104" s="51"/>
      <c r="FB104" s="51"/>
      <c r="FC104" s="51"/>
      <c r="FD104" s="51"/>
      <c r="FE104" s="51"/>
      <c r="FF104" s="51"/>
      <c r="FG104" s="51"/>
      <c r="FH104" s="51"/>
      <c r="FI104" s="51"/>
      <c r="FJ104" s="51"/>
      <c r="FK104" s="51"/>
      <c r="FL104" s="51"/>
      <c r="FM104" s="51"/>
      <c r="FN104" s="51"/>
      <c r="FO104" s="51"/>
      <c r="FP104" s="51"/>
      <c r="FQ104" s="51"/>
      <c r="FR104" s="51"/>
      <c r="FS104" s="51"/>
      <c r="FT104" s="51"/>
      <c r="FU104" s="51"/>
      <c r="FV104" s="51"/>
      <c r="FW104" s="51"/>
      <c r="FX104" s="51"/>
      <c r="FY104" s="51"/>
      <c r="FZ104" s="51"/>
      <c r="GA104" s="51"/>
      <c r="GB104" s="51"/>
      <c r="GC104" s="51"/>
      <c r="GD104" s="51"/>
      <c r="GE104" s="51"/>
      <c r="GF104" s="51"/>
      <c r="GG104" s="51"/>
      <c r="GH104" s="51"/>
      <c r="GI104" s="51"/>
      <c r="GJ104" s="51"/>
      <c r="GK104" s="51"/>
      <c r="GL104" s="51"/>
      <c r="GM104" s="51"/>
      <c r="GN104" s="51"/>
      <c r="GO104" s="51"/>
      <c r="GP104" s="51"/>
      <c r="GQ104" s="51"/>
      <c r="GR104" s="51"/>
      <c r="GS104" s="51"/>
      <c r="GT104" s="51"/>
      <c r="GU104" s="51"/>
      <c r="GV104" s="51"/>
      <c r="GW104" s="51"/>
      <c r="GX104" s="51"/>
      <c r="GY104" s="51"/>
      <c r="GZ104" s="51"/>
      <c r="HA104" s="51"/>
      <c r="HB104" s="51"/>
      <c r="HC104" s="51"/>
      <c r="HD104" s="51"/>
      <c r="HE104" s="51"/>
      <c r="HF104" s="51"/>
      <c r="HG104" s="51"/>
      <c r="HH104" s="51"/>
      <c r="HI104" s="51"/>
      <c r="HJ104" s="51"/>
      <c r="HK104" s="51"/>
      <c r="HL104" s="51"/>
      <c r="HM104" s="51"/>
      <c r="HN104" s="51"/>
      <c r="HO104" s="51"/>
      <c r="HP104" s="51"/>
      <c r="HQ104" s="51"/>
      <c r="HR104" s="51"/>
      <c r="HS104" s="51"/>
      <c r="HT104" s="51"/>
      <c r="HU104" s="51"/>
      <c r="HV104" s="51"/>
      <c r="HW104" s="51"/>
      <c r="HX104" s="51"/>
      <c r="HY104" s="51"/>
      <c r="HZ104" s="51"/>
      <c r="IA104" s="51"/>
      <c r="IB104" s="51"/>
      <c r="IC104" s="51"/>
      <c r="ID104" s="51"/>
      <c r="IE104" s="51"/>
      <c r="IF104" s="51"/>
      <c r="IG104" s="51"/>
      <c r="IH104" s="51"/>
      <c r="II104" s="51"/>
      <c r="IJ104" s="51"/>
      <c r="IK104" s="51"/>
      <c r="IL104" s="51"/>
    </row>
    <row r="105" spans="3:246" ht="12.95" customHeight="1">
      <c r="BW105" s="51"/>
      <c r="BX105" s="51"/>
      <c r="BY105" s="51"/>
      <c r="BZ105" s="51"/>
      <c r="CA105" s="51"/>
      <c r="CB105" s="51"/>
      <c r="CC105" s="52"/>
      <c r="CD105" s="53"/>
      <c r="CE105" s="55"/>
      <c r="CF105" s="55"/>
      <c r="CG105" s="55"/>
      <c r="CH105" s="55"/>
      <c r="CI105" s="55"/>
      <c r="CJ105" s="55"/>
      <c r="CK105" s="55"/>
      <c r="CL105" s="55"/>
      <c r="CM105" s="55"/>
      <c r="CN105" s="55"/>
      <c r="CO105" s="55"/>
      <c r="CP105" s="55"/>
      <c r="CQ105" s="55"/>
      <c r="CR105" s="55"/>
      <c r="CS105" s="55"/>
      <c r="CT105" s="55"/>
      <c r="CU105" s="55"/>
      <c r="CV105" s="52"/>
      <c r="CW105" s="51"/>
      <c r="CX105" s="51"/>
      <c r="CY105" s="51">
        <v>1975</v>
      </c>
      <c r="CZ105" s="199">
        <v>55</v>
      </c>
      <c r="DA105" s="200"/>
      <c r="DB105" s="201" t="s">
        <v>9006</v>
      </c>
      <c r="DC105" s="200"/>
      <c r="DD105" s="202" t="s">
        <v>1399</v>
      </c>
      <c r="DE105" s="51"/>
      <c r="DF105" s="51"/>
      <c r="DG105" s="51"/>
      <c r="DH105" s="51"/>
      <c r="DI105" s="51"/>
      <c r="DJ105" s="51"/>
      <c r="DK105" s="51"/>
      <c r="DL105" s="51"/>
      <c r="DM105" s="51"/>
      <c r="DN105" s="51"/>
      <c r="DO105" s="51"/>
      <c r="DP105" s="51"/>
      <c r="DQ105" s="51"/>
      <c r="DR105" s="51"/>
      <c r="DS105" s="51"/>
      <c r="DT105" s="51"/>
      <c r="DU105" s="51"/>
      <c r="DV105" s="51"/>
      <c r="DW105" s="51"/>
      <c r="DX105" s="51"/>
      <c r="DY105" s="51"/>
      <c r="DZ105" s="51"/>
      <c r="EA105" s="51"/>
      <c r="EB105" s="51"/>
      <c r="EC105" s="51"/>
      <c r="ED105" s="51"/>
      <c r="EE105" s="51"/>
      <c r="EF105" s="51"/>
      <c r="EG105" s="51"/>
      <c r="EH105" s="51"/>
      <c r="EI105" s="51"/>
      <c r="EJ105" s="51"/>
      <c r="EK105" s="51"/>
      <c r="EL105" s="51"/>
      <c r="EM105" s="51"/>
      <c r="EN105" s="51"/>
      <c r="EO105" s="51"/>
      <c r="EP105" s="51"/>
      <c r="EQ105" s="51"/>
      <c r="ER105" s="51"/>
      <c r="ES105" s="51"/>
      <c r="ET105" s="51"/>
      <c r="EU105" s="51"/>
      <c r="EV105" s="51"/>
      <c r="EW105" s="51"/>
      <c r="EX105" s="51"/>
      <c r="EY105" s="51"/>
      <c r="EZ105" s="51"/>
      <c r="FA105" s="51"/>
      <c r="FB105" s="51"/>
      <c r="FC105" s="51"/>
      <c r="FD105" s="51"/>
      <c r="FE105" s="51"/>
      <c r="FF105" s="51"/>
      <c r="FG105" s="51"/>
      <c r="FH105" s="51"/>
      <c r="FI105" s="51"/>
      <c r="FJ105" s="51"/>
      <c r="FK105" s="51"/>
      <c r="FL105" s="51"/>
      <c r="FM105" s="51"/>
      <c r="FN105" s="51"/>
      <c r="FO105" s="51"/>
      <c r="FP105" s="51"/>
      <c r="FQ105" s="51"/>
      <c r="FR105" s="51"/>
      <c r="FS105" s="51"/>
      <c r="FT105" s="51"/>
      <c r="FU105" s="51"/>
      <c r="FV105" s="51"/>
      <c r="FW105" s="51"/>
      <c r="FX105" s="51"/>
      <c r="FY105" s="51"/>
      <c r="FZ105" s="51"/>
      <c r="GA105" s="51"/>
      <c r="GB105" s="51"/>
      <c r="GC105" s="51"/>
      <c r="GD105" s="51"/>
      <c r="GE105" s="51"/>
      <c r="GF105" s="51"/>
      <c r="GG105" s="51"/>
      <c r="GH105" s="51"/>
      <c r="GI105" s="51"/>
      <c r="GJ105" s="51"/>
      <c r="GK105" s="51"/>
      <c r="GL105" s="51"/>
      <c r="GM105" s="51"/>
      <c r="GN105" s="51"/>
      <c r="GO105" s="51"/>
      <c r="GP105" s="51"/>
      <c r="GQ105" s="51"/>
      <c r="GR105" s="51"/>
      <c r="GS105" s="51"/>
      <c r="GT105" s="51"/>
      <c r="GU105" s="51"/>
      <c r="GV105" s="51"/>
      <c r="GW105" s="51"/>
      <c r="GX105" s="51"/>
      <c r="GY105" s="51"/>
      <c r="GZ105" s="51"/>
      <c r="HA105" s="51"/>
      <c r="HB105" s="51"/>
      <c r="HC105" s="51"/>
      <c r="HD105" s="51"/>
      <c r="HE105" s="51"/>
      <c r="HF105" s="51"/>
      <c r="HG105" s="51"/>
      <c r="HH105" s="51"/>
      <c r="HI105" s="51"/>
      <c r="HJ105" s="51"/>
      <c r="HK105" s="51"/>
      <c r="HL105" s="51"/>
      <c r="HM105" s="51"/>
      <c r="HN105" s="51"/>
      <c r="HO105" s="51"/>
      <c r="HP105" s="51"/>
      <c r="HQ105" s="51"/>
      <c r="HR105" s="51"/>
      <c r="HS105" s="51"/>
      <c r="HT105" s="51"/>
      <c r="HU105" s="51"/>
      <c r="HV105" s="51"/>
      <c r="HW105" s="51"/>
      <c r="HX105" s="51"/>
      <c r="HY105" s="51"/>
      <c r="HZ105" s="51"/>
      <c r="IA105" s="51"/>
      <c r="IB105" s="51"/>
      <c r="IC105" s="51"/>
      <c r="ID105" s="51"/>
      <c r="IE105" s="51"/>
      <c r="IF105" s="51"/>
      <c r="IG105" s="51"/>
      <c r="IH105" s="51"/>
      <c r="II105" s="51"/>
      <c r="IJ105" s="51"/>
      <c r="IK105" s="51"/>
      <c r="IL105" s="51"/>
    </row>
    <row r="106" spans="3:246" ht="12.95" customHeight="1">
      <c r="BW106" s="51"/>
      <c r="BX106" s="51"/>
      <c r="BY106" s="51"/>
      <c r="BZ106" s="51"/>
      <c r="CA106" s="51"/>
      <c r="CB106" s="51"/>
      <c r="CC106" s="52"/>
      <c r="CD106" s="53" t="s">
        <v>2880</v>
      </c>
      <c r="CE106" s="55" t="s">
        <v>2688</v>
      </c>
      <c r="CF106" s="88" t="e">
        <f>BY84</f>
        <v>#N/A</v>
      </c>
      <c r="CG106" s="55" t="e">
        <f>IF(CF106&gt;CG107,"Không Tồn Tại",CF106)</f>
        <v>#N/A</v>
      </c>
      <c r="CH106" s="55"/>
      <c r="CI106" s="55"/>
      <c r="CJ106" s="55"/>
      <c r="CK106" s="55"/>
      <c r="CL106" s="55"/>
      <c r="CM106" s="55"/>
      <c r="CN106" s="55"/>
      <c r="CO106" s="55"/>
      <c r="CP106" s="55"/>
      <c r="CQ106" s="55"/>
      <c r="CR106" s="55"/>
      <c r="CS106" s="55"/>
      <c r="CT106" s="55"/>
      <c r="CU106" s="55"/>
      <c r="CV106" s="52"/>
      <c r="CW106" s="51"/>
      <c r="CX106" s="51"/>
      <c r="CY106" s="51">
        <v>1976</v>
      </c>
      <c r="CZ106" s="199">
        <v>56</v>
      </c>
      <c r="DA106" s="200"/>
      <c r="DB106" s="201" t="s">
        <v>9007</v>
      </c>
      <c r="DC106" s="200"/>
      <c r="DD106" s="202" t="s">
        <v>505</v>
      </c>
      <c r="DE106" s="51"/>
      <c r="DF106" s="51"/>
      <c r="DG106" s="51"/>
      <c r="DH106" s="51"/>
      <c r="DI106" s="51"/>
      <c r="DJ106" s="51"/>
      <c r="DK106" s="51"/>
      <c r="DL106" s="51"/>
      <c r="DM106" s="51"/>
      <c r="DN106" s="51"/>
      <c r="DO106" s="51"/>
      <c r="DP106" s="51"/>
      <c r="DQ106" s="51"/>
      <c r="DR106" s="51"/>
      <c r="DS106" s="51"/>
      <c r="DT106" s="51"/>
      <c r="DU106" s="51"/>
      <c r="DV106" s="51"/>
      <c r="DW106" s="51"/>
      <c r="DX106" s="51"/>
      <c r="DY106" s="51"/>
      <c r="DZ106" s="51"/>
      <c r="EA106" s="51"/>
      <c r="EB106" s="51"/>
      <c r="EC106" s="51"/>
      <c r="ED106" s="51"/>
      <c r="EE106" s="51"/>
      <c r="EF106" s="51"/>
      <c r="EG106" s="51"/>
      <c r="EH106" s="51"/>
      <c r="EI106" s="51"/>
      <c r="EJ106" s="51"/>
      <c r="EK106" s="51"/>
      <c r="EL106" s="51"/>
      <c r="EM106" s="51"/>
      <c r="EN106" s="51"/>
      <c r="EO106" s="51"/>
      <c r="EP106" s="51"/>
      <c r="EQ106" s="51"/>
      <c r="ER106" s="51"/>
      <c r="ES106" s="51"/>
      <c r="ET106" s="51"/>
      <c r="EU106" s="51"/>
      <c r="EV106" s="51"/>
      <c r="EW106" s="51"/>
      <c r="EX106" s="51"/>
      <c r="EY106" s="51"/>
      <c r="EZ106" s="51"/>
      <c r="FA106" s="51"/>
      <c r="FB106" s="51"/>
      <c r="FC106" s="51"/>
      <c r="FD106" s="51"/>
      <c r="FE106" s="51"/>
      <c r="FF106" s="51"/>
      <c r="FG106" s="51"/>
      <c r="FH106" s="51"/>
      <c r="FI106" s="51"/>
      <c r="FJ106" s="51"/>
      <c r="FK106" s="51"/>
      <c r="FL106" s="51"/>
      <c r="FM106" s="51"/>
      <c r="FN106" s="51"/>
      <c r="FO106" s="51"/>
      <c r="FP106" s="51"/>
      <c r="FQ106" s="51"/>
      <c r="FR106" s="51"/>
      <c r="FS106" s="51"/>
      <c r="FT106" s="51"/>
      <c r="FU106" s="51"/>
      <c r="FV106" s="51"/>
      <c r="FW106" s="51"/>
      <c r="FX106" s="51"/>
      <c r="FY106" s="51"/>
      <c r="FZ106" s="51"/>
      <c r="GA106" s="51"/>
      <c r="GB106" s="51"/>
      <c r="GC106" s="51"/>
      <c r="GD106" s="51"/>
      <c r="GE106" s="51"/>
      <c r="GF106" s="51"/>
      <c r="GG106" s="51"/>
      <c r="GH106" s="51"/>
      <c r="GI106" s="51"/>
      <c r="GJ106" s="51"/>
      <c r="GK106" s="51"/>
      <c r="GL106" s="51"/>
      <c r="GM106" s="51"/>
      <c r="GN106" s="51"/>
      <c r="GO106" s="51"/>
      <c r="GP106" s="51"/>
      <c r="GQ106" s="51"/>
      <c r="GR106" s="51"/>
      <c r="GS106" s="51"/>
      <c r="GT106" s="51"/>
      <c r="GU106" s="51"/>
      <c r="GV106" s="51"/>
      <c r="GW106" s="51"/>
      <c r="GX106" s="51"/>
      <c r="GY106" s="51"/>
      <c r="GZ106" s="51"/>
      <c r="HA106" s="51"/>
      <c r="HB106" s="51"/>
      <c r="HC106" s="51"/>
      <c r="HD106" s="51"/>
      <c r="HE106" s="51"/>
      <c r="HF106" s="51"/>
      <c r="HG106" s="51"/>
      <c r="HH106" s="51"/>
      <c r="HI106" s="51"/>
      <c r="HJ106" s="51"/>
      <c r="HK106" s="51"/>
      <c r="HL106" s="51"/>
      <c r="HM106" s="51"/>
      <c r="HN106" s="51"/>
      <c r="HO106" s="51"/>
      <c r="HP106" s="51"/>
      <c r="HQ106" s="51"/>
      <c r="HR106" s="51"/>
      <c r="HS106" s="51"/>
      <c r="HT106" s="51"/>
      <c r="HU106" s="51"/>
      <c r="HV106" s="51"/>
      <c r="HW106" s="51"/>
      <c r="HX106" s="51"/>
      <c r="HY106" s="51"/>
      <c r="HZ106" s="51"/>
      <c r="IA106" s="51"/>
      <c r="IB106" s="51"/>
      <c r="IC106" s="51"/>
      <c r="ID106" s="51"/>
      <c r="IE106" s="51"/>
      <c r="IF106" s="51"/>
      <c r="IG106" s="51"/>
      <c r="IH106" s="51"/>
      <c r="II106" s="51"/>
      <c r="IJ106" s="51"/>
      <c r="IK106" s="51"/>
      <c r="IL106" s="51"/>
    </row>
    <row r="107" spans="3:246" ht="12.95" customHeight="1">
      <c r="BW107" s="51"/>
      <c r="BX107" s="51"/>
      <c r="BY107" s="51"/>
      <c r="BZ107" s="51"/>
      <c r="CA107" s="51"/>
      <c r="CB107" s="51"/>
      <c r="CC107" s="52"/>
      <c r="CD107" s="53" t="s">
        <v>5013</v>
      </c>
      <c r="CE107" s="55" t="s">
        <v>2688</v>
      </c>
      <c r="CF107" s="88" t="e">
        <f>BY85</f>
        <v>#N/A</v>
      </c>
      <c r="CG107" s="55" t="e">
        <f>IF(OR(CF107=1,CF107=3,CF107=5,CF107=7,CF107=8,CF107=10,CF107=12),31,IF(CF107=2,CH108,30))</f>
        <v>#N/A</v>
      </c>
      <c r="CH107" s="55"/>
      <c r="CI107" s="55"/>
      <c r="CJ107" s="55"/>
      <c r="CK107" s="55"/>
      <c r="CL107" s="55"/>
      <c r="CM107" s="55"/>
      <c r="CN107" s="55"/>
      <c r="CO107" s="55"/>
      <c r="CP107" s="55"/>
      <c r="CQ107" s="55"/>
      <c r="CR107" s="55"/>
      <c r="CS107" s="55"/>
      <c r="CT107" s="55"/>
      <c r="CU107" s="55"/>
      <c r="CV107" s="52"/>
      <c r="CW107" s="51"/>
      <c r="CX107" s="51"/>
      <c r="CY107" s="51">
        <v>1977</v>
      </c>
      <c r="CZ107" s="199">
        <v>57</v>
      </c>
      <c r="DA107" s="200"/>
      <c r="DB107" s="201" t="s">
        <v>9008</v>
      </c>
      <c r="DC107" s="200"/>
      <c r="DD107" s="202" t="s">
        <v>9011</v>
      </c>
      <c r="DE107" s="51"/>
      <c r="DF107" s="51"/>
      <c r="DG107" s="51"/>
      <c r="DH107" s="51"/>
      <c r="DI107" s="51"/>
      <c r="DJ107" s="51"/>
      <c r="DK107" s="51"/>
      <c r="DL107" s="51"/>
      <c r="DM107" s="51"/>
      <c r="DN107" s="51"/>
      <c r="DO107" s="51"/>
      <c r="DP107" s="51"/>
      <c r="DQ107" s="51"/>
      <c r="DR107" s="51"/>
      <c r="DS107" s="51"/>
      <c r="DT107" s="51"/>
      <c r="DU107" s="51"/>
      <c r="DV107" s="51"/>
      <c r="DW107" s="51"/>
      <c r="DX107" s="51"/>
      <c r="DY107" s="51"/>
      <c r="DZ107" s="51"/>
      <c r="EA107" s="51"/>
      <c r="EB107" s="51"/>
      <c r="EC107" s="51"/>
      <c r="ED107" s="51"/>
      <c r="EE107" s="51"/>
      <c r="EF107" s="51"/>
      <c r="EG107" s="51"/>
      <c r="EH107" s="51"/>
      <c r="EI107" s="51"/>
      <c r="EJ107" s="51"/>
      <c r="EK107" s="51"/>
      <c r="EL107" s="51"/>
      <c r="EM107" s="51"/>
      <c r="EN107" s="51"/>
      <c r="EO107" s="51"/>
      <c r="EP107" s="51"/>
      <c r="EQ107" s="51"/>
      <c r="ER107" s="51"/>
      <c r="ES107" s="51"/>
      <c r="ET107" s="51"/>
      <c r="EU107" s="51"/>
      <c r="EV107" s="51"/>
      <c r="EW107" s="51"/>
      <c r="EX107" s="51"/>
      <c r="EY107" s="51"/>
      <c r="EZ107" s="51"/>
      <c r="FA107" s="51"/>
      <c r="FB107" s="51"/>
      <c r="FC107" s="51"/>
      <c r="FD107" s="51"/>
      <c r="FE107" s="51"/>
      <c r="FF107" s="51"/>
      <c r="FG107" s="51"/>
      <c r="FH107" s="51"/>
      <c r="FI107" s="51"/>
      <c r="FJ107" s="51"/>
      <c r="FK107" s="51"/>
      <c r="FL107" s="51"/>
      <c r="FM107" s="51"/>
      <c r="FN107" s="51"/>
      <c r="FO107" s="51"/>
      <c r="FP107" s="51"/>
      <c r="FQ107" s="51"/>
      <c r="FR107" s="51"/>
      <c r="FS107" s="51"/>
      <c r="FT107" s="51"/>
      <c r="FU107" s="51"/>
      <c r="FV107" s="51"/>
      <c r="FW107" s="51"/>
      <c r="FX107" s="51"/>
      <c r="FY107" s="51"/>
      <c r="FZ107" s="51"/>
      <c r="GA107" s="51"/>
      <c r="GB107" s="51"/>
      <c r="GC107" s="51"/>
      <c r="GD107" s="51"/>
      <c r="GE107" s="51"/>
      <c r="GF107" s="51"/>
      <c r="GG107" s="51"/>
      <c r="GH107" s="51"/>
      <c r="GI107" s="51"/>
      <c r="GJ107" s="51"/>
      <c r="GK107" s="51"/>
      <c r="GL107" s="51"/>
      <c r="GM107" s="51"/>
      <c r="GN107" s="51"/>
      <c r="GO107" s="51"/>
      <c r="GP107" s="51"/>
      <c r="GQ107" s="51"/>
      <c r="GR107" s="51"/>
      <c r="GS107" s="51"/>
      <c r="GT107" s="51"/>
      <c r="GU107" s="51"/>
      <c r="GV107" s="51"/>
      <c r="GW107" s="51"/>
      <c r="GX107" s="51"/>
      <c r="GY107" s="51"/>
      <c r="GZ107" s="51"/>
      <c r="HA107" s="51"/>
      <c r="HB107" s="51"/>
      <c r="HC107" s="51"/>
      <c r="HD107" s="51"/>
      <c r="HE107" s="51"/>
      <c r="HF107" s="51"/>
      <c r="HG107" s="51"/>
      <c r="HH107" s="51"/>
      <c r="HI107" s="51"/>
      <c r="HJ107" s="51"/>
      <c r="HK107" s="51"/>
      <c r="HL107" s="51"/>
      <c r="HM107" s="51"/>
      <c r="HN107" s="51"/>
      <c r="HO107" s="51"/>
      <c r="HP107" s="51"/>
      <c r="HQ107" s="51"/>
      <c r="HR107" s="51"/>
      <c r="HS107" s="51"/>
      <c r="HT107" s="51"/>
      <c r="HU107" s="51"/>
      <c r="HV107" s="51"/>
      <c r="HW107" s="51"/>
      <c r="HX107" s="51"/>
      <c r="HY107" s="51"/>
      <c r="HZ107" s="51"/>
      <c r="IA107" s="51"/>
      <c r="IB107" s="51"/>
      <c r="IC107" s="51"/>
      <c r="ID107" s="51"/>
      <c r="IE107" s="51"/>
      <c r="IF107" s="51"/>
      <c r="IG107" s="51"/>
      <c r="IH107" s="51"/>
      <c r="II107" s="51"/>
      <c r="IJ107" s="51"/>
      <c r="IK107" s="51"/>
      <c r="IL107" s="51"/>
    </row>
    <row r="108" spans="3:246" ht="12.95" customHeight="1">
      <c r="BW108" s="51"/>
      <c r="BX108" s="51"/>
      <c r="BY108" s="51"/>
      <c r="BZ108" s="51"/>
      <c r="CA108" s="51"/>
      <c r="CB108" s="51"/>
      <c r="CC108" s="52"/>
      <c r="CD108" s="53"/>
      <c r="CE108" s="55"/>
      <c r="CF108" s="150" t="s">
        <v>5014</v>
      </c>
      <c r="CG108" s="55" t="s">
        <v>2688</v>
      </c>
      <c r="CH108" s="88" t="e">
        <f>IF(CH109-CI109&gt;0,28,29)</f>
        <v>#N/A</v>
      </c>
      <c r="CI108" s="55"/>
      <c r="CJ108" s="55"/>
      <c r="CK108" s="55"/>
      <c r="CL108" s="55"/>
      <c r="CM108" s="55"/>
      <c r="CN108" s="55"/>
      <c r="CO108" s="55"/>
      <c r="CP108" s="55"/>
      <c r="CQ108" s="55"/>
      <c r="CR108" s="55"/>
      <c r="CS108" s="55"/>
      <c r="CT108" s="55"/>
      <c r="CU108" s="55"/>
      <c r="CV108" s="52"/>
      <c r="CW108" s="51"/>
      <c r="CX108" s="51"/>
      <c r="CY108" s="51">
        <v>1978</v>
      </c>
      <c r="CZ108" s="199">
        <v>58</v>
      </c>
      <c r="DA108" s="200"/>
      <c r="DB108" s="201" t="s">
        <v>9009</v>
      </c>
      <c r="DC108" s="200"/>
      <c r="DD108" s="202" t="s">
        <v>506</v>
      </c>
      <c r="DE108" s="51"/>
      <c r="DF108" s="51"/>
      <c r="DG108" s="51"/>
      <c r="DH108" s="51"/>
      <c r="DI108" s="51"/>
      <c r="DJ108" s="51"/>
      <c r="DK108" s="51"/>
      <c r="DL108" s="51"/>
      <c r="DM108" s="51"/>
      <c r="DN108" s="51"/>
      <c r="DO108" s="51"/>
      <c r="DP108" s="51"/>
      <c r="DQ108" s="51"/>
      <c r="DR108" s="51"/>
      <c r="DS108" s="51"/>
      <c r="DT108" s="51"/>
      <c r="DU108" s="51"/>
      <c r="DV108" s="51"/>
      <c r="DW108" s="51"/>
      <c r="DX108" s="51"/>
      <c r="DY108" s="51"/>
      <c r="DZ108" s="51"/>
      <c r="EA108" s="51"/>
      <c r="EB108" s="51"/>
      <c r="EC108" s="51"/>
      <c r="ED108" s="51"/>
      <c r="EE108" s="51"/>
      <c r="EF108" s="51"/>
      <c r="EG108" s="51"/>
      <c r="EH108" s="51"/>
      <c r="EI108" s="51"/>
      <c r="EJ108" s="51"/>
      <c r="EK108" s="51"/>
      <c r="EL108" s="51"/>
      <c r="EM108" s="51"/>
      <c r="EN108" s="51"/>
      <c r="EO108" s="51"/>
      <c r="EP108" s="51"/>
      <c r="EQ108" s="51"/>
      <c r="ER108" s="51"/>
      <c r="ES108" s="51"/>
      <c r="ET108" s="51"/>
      <c r="EU108" s="51"/>
      <c r="EV108" s="51"/>
      <c r="EW108" s="51"/>
      <c r="EX108" s="51"/>
      <c r="EY108" s="51"/>
      <c r="EZ108" s="51"/>
      <c r="FA108" s="51"/>
      <c r="FB108" s="51"/>
      <c r="FC108" s="51"/>
      <c r="FD108" s="51"/>
      <c r="FE108" s="51"/>
      <c r="FF108" s="51"/>
      <c r="FG108" s="51"/>
      <c r="FH108" s="51"/>
      <c r="FI108" s="51"/>
      <c r="FJ108" s="51"/>
      <c r="FK108" s="51"/>
      <c r="FL108" s="51"/>
      <c r="FM108" s="51"/>
      <c r="FN108" s="51"/>
      <c r="FO108" s="51"/>
      <c r="FP108" s="51"/>
      <c r="FQ108" s="51"/>
      <c r="FR108" s="51"/>
      <c r="FS108" s="51"/>
      <c r="FT108" s="51"/>
      <c r="FU108" s="51"/>
      <c r="FV108" s="51"/>
      <c r="FW108" s="51"/>
      <c r="FX108" s="51"/>
      <c r="FY108" s="51"/>
      <c r="FZ108" s="51"/>
      <c r="GA108" s="51"/>
      <c r="GB108" s="51"/>
      <c r="GC108" s="51"/>
      <c r="GD108" s="51"/>
      <c r="GE108" s="51"/>
      <c r="GF108" s="51"/>
      <c r="GG108" s="51"/>
      <c r="GH108" s="51"/>
      <c r="GI108" s="51"/>
      <c r="GJ108" s="51"/>
      <c r="GK108" s="51"/>
      <c r="GL108" s="51"/>
      <c r="GM108" s="51"/>
      <c r="GN108" s="51"/>
      <c r="GO108" s="51"/>
      <c r="GP108" s="51"/>
      <c r="GQ108" s="51"/>
      <c r="GR108" s="51"/>
      <c r="GS108" s="51"/>
      <c r="GT108" s="51"/>
      <c r="GU108" s="51"/>
      <c r="GV108" s="51"/>
      <c r="GW108" s="51"/>
      <c r="GX108" s="51"/>
      <c r="GY108" s="51"/>
      <c r="GZ108" s="51"/>
      <c r="HA108" s="51"/>
      <c r="HB108" s="51"/>
      <c r="HC108" s="51"/>
      <c r="HD108" s="51"/>
      <c r="HE108" s="51"/>
      <c r="HF108" s="51"/>
      <c r="HG108" s="51"/>
      <c r="HH108" s="51"/>
      <c r="HI108" s="51"/>
      <c r="HJ108" s="51"/>
      <c r="HK108" s="51"/>
      <c r="HL108" s="51"/>
      <c r="HM108" s="51"/>
      <c r="HN108" s="51"/>
      <c r="HO108" s="51"/>
      <c r="HP108" s="51"/>
      <c r="HQ108" s="51"/>
      <c r="HR108" s="51"/>
      <c r="HS108" s="51"/>
      <c r="HT108" s="51"/>
      <c r="HU108" s="51"/>
      <c r="HV108" s="51"/>
      <c r="HW108" s="51"/>
      <c r="HX108" s="51"/>
      <c r="HY108" s="51"/>
      <c r="HZ108" s="51"/>
      <c r="IA108" s="51"/>
      <c r="IB108" s="51"/>
      <c r="IC108" s="51"/>
      <c r="ID108" s="51"/>
      <c r="IE108" s="51"/>
      <c r="IF108" s="51"/>
      <c r="IG108" s="51"/>
      <c r="IH108" s="51"/>
      <c r="II108" s="51"/>
      <c r="IJ108" s="51"/>
      <c r="IK108" s="51"/>
      <c r="IL108" s="51"/>
    </row>
    <row r="109" spans="3:246" ht="12.95" customHeight="1" thickBot="1">
      <c r="BW109" s="51"/>
      <c r="BX109" s="51"/>
      <c r="BY109" s="51"/>
      <c r="BZ109" s="51"/>
      <c r="CA109" s="51"/>
      <c r="CB109" s="51"/>
      <c r="CC109" s="52"/>
      <c r="CD109" s="53"/>
      <c r="CE109" s="55"/>
      <c r="CF109" s="55" t="s">
        <v>5015</v>
      </c>
      <c r="CG109" s="55" t="s">
        <v>2688</v>
      </c>
      <c r="CH109" s="88" t="e">
        <f>BY86/4</f>
        <v>#N/A</v>
      </c>
      <c r="CI109" s="55" t="e">
        <f>INT(CH109)</f>
        <v>#N/A</v>
      </c>
      <c r="CJ109" s="55"/>
      <c r="CK109" s="55"/>
      <c r="CL109" s="55"/>
      <c r="CM109" s="55"/>
      <c r="CN109" s="55"/>
      <c r="CO109" s="55"/>
      <c r="CP109" s="55"/>
      <c r="CQ109" s="55"/>
      <c r="CR109" s="55"/>
      <c r="CS109" s="55"/>
      <c r="CT109" s="55"/>
      <c r="CU109" s="55"/>
      <c r="CV109" s="52"/>
      <c r="CW109" s="51"/>
      <c r="CX109" s="51"/>
      <c r="CY109" s="51">
        <v>1979</v>
      </c>
      <c r="CZ109" s="203">
        <v>59</v>
      </c>
      <c r="DA109" s="206"/>
      <c r="DB109" s="204" t="s">
        <v>9010</v>
      </c>
      <c r="DC109" s="206"/>
      <c r="DD109" s="205" t="s">
        <v>507</v>
      </c>
      <c r="DE109" s="51"/>
      <c r="DF109" s="51"/>
      <c r="DG109" s="51"/>
      <c r="DH109" s="51"/>
      <c r="DI109" s="51"/>
      <c r="DJ109" s="51"/>
      <c r="DK109" s="51"/>
      <c r="DL109" s="51"/>
      <c r="DM109" s="51"/>
      <c r="DN109" s="51"/>
      <c r="DO109" s="51"/>
      <c r="DP109" s="51"/>
      <c r="DQ109" s="51"/>
      <c r="DR109" s="51"/>
      <c r="DS109" s="51"/>
      <c r="DT109" s="51"/>
      <c r="DU109" s="51"/>
      <c r="DV109" s="51"/>
      <c r="DW109" s="51"/>
      <c r="DX109" s="51"/>
      <c r="DY109" s="51"/>
      <c r="DZ109" s="51"/>
      <c r="EA109" s="51"/>
      <c r="EB109" s="51"/>
      <c r="EC109" s="51"/>
      <c r="ED109" s="51"/>
      <c r="EE109" s="51"/>
      <c r="EF109" s="51"/>
      <c r="EG109" s="51"/>
      <c r="EH109" s="51"/>
      <c r="EI109" s="51"/>
      <c r="EJ109" s="51"/>
      <c r="EK109" s="51"/>
      <c r="EL109" s="51"/>
      <c r="EM109" s="51"/>
      <c r="EN109" s="51"/>
      <c r="EO109" s="51"/>
      <c r="EP109" s="51"/>
      <c r="EQ109" s="51"/>
      <c r="ER109" s="51"/>
      <c r="ES109" s="51"/>
      <c r="ET109" s="51"/>
      <c r="EU109" s="51"/>
      <c r="EV109" s="51"/>
      <c r="EW109" s="51"/>
      <c r="EX109" s="51"/>
      <c r="EY109" s="51"/>
      <c r="EZ109" s="51"/>
      <c r="FA109" s="51"/>
      <c r="FB109" s="51"/>
      <c r="FC109" s="51"/>
      <c r="FD109" s="51"/>
      <c r="FE109" s="51"/>
      <c r="FF109" s="51"/>
      <c r="FG109" s="51"/>
      <c r="FH109" s="51"/>
      <c r="FI109" s="51"/>
      <c r="FJ109" s="51"/>
      <c r="FK109" s="51"/>
      <c r="FL109" s="51"/>
      <c r="FM109" s="51"/>
      <c r="FN109" s="51"/>
      <c r="FO109" s="51"/>
      <c r="FP109" s="51"/>
      <c r="FQ109" s="51"/>
      <c r="FR109" s="51"/>
      <c r="FS109" s="51"/>
      <c r="FT109" s="51"/>
      <c r="FU109" s="51"/>
      <c r="FV109" s="51"/>
      <c r="FW109" s="51"/>
      <c r="FX109" s="51"/>
      <c r="FY109" s="51"/>
      <c r="FZ109" s="51"/>
      <c r="GA109" s="51"/>
      <c r="GB109" s="51"/>
      <c r="GC109" s="51"/>
      <c r="GD109" s="51"/>
      <c r="GE109" s="51"/>
      <c r="GF109" s="51"/>
      <c r="GG109" s="51"/>
      <c r="GH109" s="51"/>
      <c r="GI109" s="51"/>
      <c r="GJ109" s="51"/>
      <c r="GK109" s="51"/>
      <c r="GL109" s="51"/>
      <c r="GM109" s="51"/>
      <c r="GN109" s="51"/>
      <c r="GO109" s="51"/>
      <c r="GP109" s="51"/>
      <c r="GQ109" s="51"/>
      <c r="GR109" s="51"/>
      <c r="GS109" s="51"/>
      <c r="GT109" s="51"/>
      <c r="GU109" s="51"/>
      <c r="GV109" s="51"/>
      <c r="GW109" s="51"/>
      <c r="GX109" s="51"/>
      <c r="GY109" s="51"/>
      <c r="GZ109" s="51"/>
      <c r="HA109" s="51"/>
      <c r="HB109" s="51"/>
      <c r="HC109" s="51"/>
      <c r="HD109" s="51"/>
      <c r="HE109" s="51"/>
      <c r="HF109" s="51"/>
      <c r="HG109" s="51"/>
      <c r="HH109" s="51"/>
      <c r="HI109" s="51"/>
      <c r="HJ109" s="51"/>
      <c r="HK109" s="51"/>
      <c r="HL109" s="51"/>
      <c r="HM109" s="51"/>
      <c r="HN109" s="51"/>
      <c r="HO109" s="51"/>
      <c r="HP109" s="51"/>
      <c r="HQ109" s="51"/>
      <c r="HR109" s="51"/>
      <c r="HS109" s="51"/>
      <c r="HT109" s="51"/>
      <c r="HU109" s="51"/>
      <c r="HV109" s="51"/>
      <c r="HW109" s="51"/>
      <c r="HX109" s="51"/>
      <c r="HY109" s="51"/>
      <c r="HZ109" s="51"/>
      <c r="IA109" s="51"/>
      <c r="IB109" s="51"/>
      <c r="IC109" s="51"/>
      <c r="ID109" s="51"/>
      <c r="IE109" s="51"/>
      <c r="IF109" s="51"/>
      <c r="IG109" s="51"/>
      <c r="IH109" s="51"/>
      <c r="II109" s="51"/>
      <c r="IJ109" s="51"/>
      <c r="IK109" s="51"/>
      <c r="IL109" s="51"/>
    </row>
    <row r="110" spans="3:246" ht="12.95" customHeight="1" thickTop="1">
      <c r="BM110" s="704"/>
      <c r="BW110" s="51"/>
      <c r="BX110" s="51"/>
      <c r="BY110" s="51"/>
      <c r="BZ110" s="51"/>
      <c r="CA110" s="51"/>
      <c r="CB110" s="51"/>
      <c r="CC110" s="52"/>
      <c r="CD110" s="154"/>
      <c r="CE110" s="155"/>
      <c r="CF110" s="155"/>
      <c r="CG110" s="155"/>
      <c r="CH110" s="155"/>
      <c r="CI110" s="155"/>
      <c r="CJ110" s="155"/>
      <c r="CK110" s="155"/>
      <c r="CL110" s="155"/>
      <c r="CM110" s="155"/>
      <c r="CN110" s="155"/>
      <c r="CO110" s="155"/>
      <c r="CP110" s="155"/>
      <c r="CQ110" s="155"/>
      <c r="CR110" s="155"/>
      <c r="CS110" s="155"/>
      <c r="CT110" s="155"/>
      <c r="CU110" s="155"/>
      <c r="CV110" s="52"/>
      <c r="CW110" s="51"/>
      <c r="CX110" s="51"/>
      <c r="CY110" s="51"/>
      <c r="CZ110" s="51"/>
      <c r="DA110" s="51"/>
      <c r="DB110" s="51"/>
      <c r="DC110" s="51"/>
      <c r="DD110" s="51"/>
      <c r="DE110" s="51"/>
      <c r="DF110" s="51"/>
      <c r="DG110" s="51"/>
      <c r="DH110" s="51"/>
      <c r="DI110" s="51"/>
      <c r="DJ110" s="51"/>
      <c r="DK110" s="51"/>
      <c r="DL110" s="51"/>
      <c r="DM110" s="51"/>
      <c r="DN110" s="51"/>
      <c r="DO110" s="51"/>
      <c r="DP110" s="51"/>
      <c r="DQ110" s="51"/>
      <c r="DR110" s="51"/>
      <c r="DS110" s="51"/>
      <c r="DT110" s="51"/>
      <c r="DU110" s="51"/>
      <c r="DV110" s="51"/>
      <c r="DW110" s="51"/>
      <c r="DX110" s="51"/>
      <c r="DY110" s="51"/>
      <c r="DZ110" s="51"/>
      <c r="EA110" s="51"/>
      <c r="EB110" s="51"/>
      <c r="EC110" s="51"/>
      <c r="ED110" s="51"/>
      <c r="EE110" s="51"/>
      <c r="EF110" s="51"/>
      <c r="EG110" s="51"/>
      <c r="EH110" s="51"/>
      <c r="EI110" s="51"/>
      <c r="EJ110" s="51"/>
      <c r="EK110" s="51"/>
      <c r="EL110" s="51"/>
      <c r="EM110" s="51"/>
      <c r="EN110" s="51"/>
      <c r="EO110" s="51"/>
      <c r="EP110" s="51"/>
      <c r="EQ110" s="51"/>
      <c r="ER110" s="51"/>
      <c r="ES110" s="51"/>
      <c r="ET110" s="51"/>
      <c r="EU110" s="51"/>
      <c r="EV110" s="51"/>
      <c r="EW110" s="51"/>
      <c r="EX110" s="51"/>
      <c r="EY110" s="51"/>
      <c r="EZ110" s="51"/>
      <c r="FA110" s="51"/>
      <c r="FB110" s="51"/>
      <c r="FC110" s="51"/>
      <c r="FD110" s="51"/>
      <c r="FE110" s="51"/>
      <c r="FF110" s="51"/>
      <c r="FG110" s="51"/>
      <c r="FH110" s="51"/>
      <c r="FI110" s="51"/>
      <c r="FJ110" s="51"/>
      <c r="FK110" s="51"/>
      <c r="FL110" s="51"/>
      <c r="FM110" s="51"/>
      <c r="FN110" s="51"/>
      <c r="FO110" s="51"/>
      <c r="FP110" s="51"/>
      <c r="FQ110" s="51"/>
      <c r="FR110" s="51"/>
      <c r="FS110" s="51"/>
      <c r="FT110" s="51"/>
      <c r="FU110" s="51"/>
      <c r="FV110" s="51"/>
      <c r="FW110" s="51"/>
      <c r="FX110" s="51"/>
      <c r="FY110" s="51"/>
      <c r="FZ110" s="51"/>
      <c r="GA110" s="51"/>
      <c r="GB110" s="51"/>
      <c r="GC110" s="51"/>
      <c r="GD110" s="51"/>
      <c r="GE110" s="51"/>
      <c r="GF110" s="51"/>
      <c r="GG110" s="51"/>
      <c r="GH110" s="51"/>
      <c r="GI110" s="51"/>
      <c r="GJ110" s="51"/>
      <c r="GK110" s="51"/>
      <c r="GL110" s="51"/>
      <c r="GM110" s="51"/>
      <c r="GN110" s="51"/>
      <c r="GO110" s="51"/>
      <c r="GP110" s="51"/>
      <c r="GQ110" s="51"/>
      <c r="GR110" s="51"/>
      <c r="GS110" s="51"/>
      <c r="GT110" s="51"/>
      <c r="GU110" s="51"/>
      <c r="GV110" s="51"/>
      <c r="GW110" s="51"/>
      <c r="GX110" s="51"/>
      <c r="GY110" s="51"/>
      <c r="GZ110" s="51"/>
      <c r="HA110" s="51"/>
      <c r="HB110" s="51"/>
      <c r="HC110" s="51"/>
      <c r="HD110" s="51"/>
      <c r="HE110" s="51"/>
      <c r="HF110" s="51"/>
      <c r="HG110" s="51"/>
      <c r="HH110" s="51"/>
      <c r="HI110" s="51"/>
      <c r="HJ110" s="51"/>
      <c r="HK110" s="51"/>
      <c r="HL110" s="51"/>
      <c r="HM110" s="51"/>
      <c r="HN110" s="51"/>
      <c r="HO110" s="51"/>
      <c r="HP110" s="51"/>
      <c r="HQ110" s="51"/>
      <c r="HR110" s="51"/>
      <c r="HS110" s="51"/>
      <c r="HT110" s="51"/>
      <c r="HU110" s="51"/>
      <c r="HV110" s="51"/>
      <c r="HW110" s="51"/>
      <c r="HX110" s="51"/>
      <c r="HY110" s="51"/>
      <c r="HZ110" s="51"/>
      <c r="IA110" s="51"/>
      <c r="IB110" s="51"/>
      <c r="IC110" s="51"/>
      <c r="ID110" s="51"/>
      <c r="IE110" s="51"/>
      <c r="IF110" s="51"/>
      <c r="IG110" s="51"/>
      <c r="IH110" s="51"/>
      <c r="II110" s="51"/>
      <c r="IJ110" s="51"/>
      <c r="IK110" s="51"/>
      <c r="IL110" s="51"/>
    </row>
    <row r="111" spans="3:246" ht="12.95" customHeight="1">
      <c r="BW111" s="51"/>
      <c r="BX111" s="51"/>
      <c r="BY111" s="51"/>
      <c r="BZ111" s="51"/>
      <c r="CA111" s="51"/>
      <c r="CB111" s="51"/>
      <c r="CC111" s="52"/>
      <c r="CD111" s="159"/>
      <c r="CE111" s="51" t="s">
        <v>5016</v>
      </c>
      <c r="CF111" s="160" t="e">
        <f>CH93</f>
        <v>#N/A</v>
      </c>
      <c r="CG111" s="51" t="s">
        <v>5017</v>
      </c>
      <c r="CH111" s="161" t="e">
        <f>CH91</f>
        <v>#N/A</v>
      </c>
      <c r="CI111" s="51"/>
      <c r="CJ111" s="51"/>
      <c r="CK111" s="51"/>
      <c r="CL111" s="51"/>
      <c r="CM111" s="51"/>
      <c r="CN111" s="51"/>
      <c r="CO111" s="51"/>
      <c r="CP111" s="51"/>
      <c r="CQ111" s="51"/>
      <c r="CR111" s="51"/>
      <c r="CS111" s="51"/>
      <c r="CT111" s="51"/>
      <c r="CU111" s="51"/>
      <c r="CV111" s="52"/>
      <c r="CW111" s="51"/>
      <c r="CX111" s="51"/>
      <c r="CY111" s="51"/>
      <c r="CZ111" s="51"/>
      <c r="DA111" s="51"/>
      <c r="DB111" s="51"/>
      <c r="DC111" s="51"/>
      <c r="DD111" s="51"/>
      <c r="DE111" s="51"/>
      <c r="DF111" s="51"/>
      <c r="DG111" s="51"/>
      <c r="DH111" s="51"/>
      <c r="DI111" s="51"/>
      <c r="DJ111" s="51"/>
      <c r="DK111" s="51"/>
      <c r="DL111" s="51"/>
      <c r="DM111" s="51"/>
      <c r="DN111" s="51"/>
      <c r="DO111" s="51"/>
      <c r="DP111" s="51"/>
      <c r="DQ111" s="51"/>
      <c r="DR111" s="51"/>
      <c r="DS111" s="51"/>
      <c r="DT111" s="51"/>
      <c r="DU111" s="51"/>
      <c r="DV111" s="51"/>
      <c r="DW111" s="51"/>
      <c r="DX111" s="51"/>
      <c r="DY111" s="51"/>
      <c r="DZ111" s="51"/>
      <c r="EA111" s="51"/>
      <c r="EB111" s="51"/>
      <c r="EC111" s="51"/>
      <c r="ED111" s="51"/>
      <c r="EE111" s="51"/>
      <c r="EF111" s="51"/>
      <c r="EG111" s="51"/>
      <c r="EH111" s="51"/>
      <c r="EI111" s="51"/>
      <c r="EJ111" s="51"/>
      <c r="EK111" s="51"/>
      <c r="EL111" s="51"/>
      <c r="EM111" s="51"/>
      <c r="EN111" s="51"/>
      <c r="EO111" s="51"/>
      <c r="EP111" s="51"/>
      <c r="EQ111" s="51"/>
      <c r="ER111" s="51"/>
      <c r="ES111" s="51"/>
      <c r="ET111" s="51"/>
      <c r="EU111" s="51"/>
      <c r="EV111" s="51"/>
      <c r="EW111" s="51"/>
      <c r="EX111" s="51"/>
      <c r="EY111" s="51"/>
      <c r="EZ111" s="51"/>
      <c r="FA111" s="51"/>
      <c r="FB111" s="51"/>
      <c r="FC111" s="51"/>
      <c r="FD111" s="51"/>
      <c r="FE111" s="51"/>
      <c r="FF111" s="51"/>
      <c r="FG111" s="51"/>
      <c r="FH111" s="51"/>
      <c r="FI111" s="51"/>
      <c r="FJ111" s="51"/>
      <c r="FK111" s="51"/>
      <c r="FL111" s="51"/>
      <c r="FM111" s="51"/>
      <c r="FN111" s="51"/>
      <c r="FO111" s="51"/>
      <c r="FP111" s="51"/>
      <c r="FQ111" s="51"/>
      <c r="FR111" s="51"/>
      <c r="FS111" s="51"/>
      <c r="FT111" s="51"/>
      <c r="FU111" s="51"/>
      <c r="FV111" s="51"/>
      <c r="FW111" s="51"/>
      <c r="FX111" s="51"/>
      <c r="FY111" s="51"/>
      <c r="FZ111" s="51"/>
      <c r="GA111" s="51"/>
      <c r="GB111" s="51"/>
      <c r="GC111" s="51"/>
      <c r="GD111" s="51"/>
      <c r="GE111" s="51"/>
      <c r="GF111" s="51"/>
      <c r="GG111" s="51"/>
      <c r="GH111" s="51"/>
      <c r="GI111" s="51"/>
      <c r="GJ111" s="51"/>
      <c r="GK111" s="51"/>
      <c r="GL111" s="51"/>
      <c r="GM111" s="51"/>
      <c r="GN111" s="51"/>
      <c r="GO111" s="51"/>
      <c r="GP111" s="51"/>
      <c r="GQ111" s="51"/>
      <c r="GR111" s="51"/>
      <c r="GS111" s="51"/>
      <c r="GT111" s="51"/>
      <c r="GU111" s="51"/>
      <c r="GV111" s="51"/>
      <c r="GW111" s="51"/>
      <c r="GX111" s="51"/>
      <c r="GY111" s="51"/>
      <c r="GZ111" s="51"/>
      <c r="HA111" s="51"/>
      <c r="HB111" s="51"/>
      <c r="HC111" s="51"/>
      <c r="HD111" s="51"/>
      <c r="HE111" s="51"/>
      <c r="HF111" s="51"/>
      <c r="HG111" s="51"/>
      <c r="HH111" s="51"/>
      <c r="HI111" s="51"/>
      <c r="HJ111" s="51"/>
      <c r="HK111" s="51"/>
      <c r="HL111" s="51"/>
      <c r="HM111" s="51"/>
      <c r="HN111" s="51"/>
      <c r="HO111" s="51"/>
      <c r="HP111" s="51"/>
      <c r="HQ111" s="51"/>
      <c r="HR111" s="51"/>
      <c r="HS111" s="51"/>
      <c r="HT111" s="51"/>
      <c r="HU111" s="51"/>
      <c r="HV111" s="51"/>
      <c r="HW111" s="51"/>
      <c r="HX111" s="51"/>
      <c r="HY111" s="51"/>
      <c r="HZ111" s="51"/>
      <c r="IA111" s="51"/>
      <c r="IB111" s="51"/>
      <c r="IC111" s="51"/>
      <c r="ID111" s="51"/>
      <c r="IE111" s="51"/>
      <c r="IF111" s="51"/>
      <c r="IG111" s="51"/>
      <c r="IH111" s="51"/>
      <c r="II111" s="51"/>
      <c r="IJ111" s="51"/>
      <c r="IK111" s="51"/>
      <c r="IL111" s="51"/>
    </row>
    <row r="112" spans="3:246" ht="12.95" customHeight="1" thickBot="1">
      <c r="BW112" s="51"/>
      <c r="BX112" s="51"/>
      <c r="BY112" s="51"/>
      <c r="BZ112" s="51"/>
      <c r="CA112" s="51"/>
      <c r="CB112" s="51"/>
      <c r="CC112" s="52"/>
      <c r="CD112" s="159"/>
      <c r="CE112" s="51"/>
      <c r="CF112" s="51"/>
      <c r="CG112" s="51"/>
      <c r="CH112" s="51"/>
      <c r="CI112" s="51"/>
      <c r="CJ112" s="51"/>
      <c r="CK112" s="51"/>
      <c r="CL112" s="51"/>
      <c r="CM112" s="51"/>
      <c r="CN112" s="51"/>
      <c r="CO112" s="51"/>
      <c r="CP112" s="51"/>
      <c r="CQ112" s="51"/>
      <c r="CR112" s="51"/>
      <c r="CS112" s="51"/>
      <c r="CT112" s="51"/>
      <c r="CU112" s="51"/>
      <c r="CV112" s="52"/>
      <c r="CW112" s="51"/>
      <c r="CX112" s="51"/>
      <c r="CY112" s="51"/>
      <c r="CZ112" s="51"/>
      <c r="DA112" s="51"/>
      <c r="DB112" s="51"/>
      <c r="DC112" s="51"/>
      <c r="DD112" s="51"/>
      <c r="DE112" s="51"/>
      <c r="DF112" s="51"/>
      <c r="DG112" s="51"/>
      <c r="DH112" s="51"/>
      <c r="DI112" s="51"/>
      <c r="DJ112" s="51"/>
      <c r="DK112" s="51"/>
      <c r="DL112" s="51"/>
      <c r="DM112" s="51"/>
      <c r="DN112" s="51"/>
      <c r="DO112" s="51"/>
      <c r="DP112" s="51"/>
      <c r="DQ112" s="51"/>
      <c r="DR112" s="51"/>
      <c r="DS112" s="51"/>
      <c r="DT112" s="51"/>
      <c r="DU112" s="51"/>
      <c r="DV112" s="51"/>
      <c r="DW112" s="51"/>
      <c r="DX112" s="51"/>
      <c r="DY112" s="51"/>
      <c r="DZ112" s="51"/>
      <c r="EA112" s="51"/>
      <c r="EB112" s="51"/>
      <c r="EC112" s="51"/>
      <c r="ED112" s="51"/>
      <c r="EE112" s="51"/>
      <c r="EF112" s="51"/>
      <c r="EG112" s="51"/>
      <c r="EH112" s="51"/>
      <c r="EI112" s="51"/>
      <c r="EJ112" s="51"/>
      <c r="EK112" s="51"/>
      <c r="EL112" s="51"/>
      <c r="EM112" s="51"/>
      <c r="EN112" s="51"/>
      <c r="EO112" s="51"/>
      <c r="EP112" s="51"/>
      <c r="EQ112" s="51"/>
      <c r="ER112" s="51"/>
      <c r="ES112" s="51"/>
      <c r="ET112" s="51"/>
      <c r="EU112" s="51"/>
      <c r="EV112" s="51"/>
      <c r="EW112" s="51"/>
      <c r="EX112" s="51"/>
      <c r="EY112" s="51"/>
      <c r="EZ112" s="51"/>
      <c r="FA112" s="51"/>
      <c r="FB112" s="51"/>
      <c r="FC112" s="51"/>
      <c r="FD112" s="51"/>
      <c r="FE112" s="51"/>
      <c r="FF112" s="51"/>
      <c r="FG112" s="51"/>
      <c r="FH112" s="51"/>
      <c r="FI112" s="51"/>
      <c r="FJ112" s="51"/>
      <c r="FK112" s="51"/>
      <c r="FL112" s="51"/>
      <c r="FM112" s="51"/>
      <c r="FN112" s="51"/>
      <c r="FO112" s="51"/>
      <c r="FP112" s="51"/>
      <c r="FQ112" s="51"/>
      <c r="FR112" s="51"/>
      <c r="FS112" s="51"/>
      <c r="FT112" s="51"/>
      <c r="FU112" s="51"/>
      <c r="FV112" s="51"/>
      <c r="FW112" s="51"/>
      <c r="FX112" s="51"/>
      <c r="FY112" s="51"/>
      <c r="FZ112" s="51"/>
      <c r="GA112" s="51"/>
      <c r="GB112" s="51"/>
      <c r="GC112" s="51"/>
      <c r="GD112" s="51"/>
      <c r="GE112" s="51"/>
      <c r="GF112" s="51"/>
      <c r="GG112" s="51"/>
      <c r="GH112" s="51"/>
      <c r="GI112" s="51"/>
      <c r="GJ112" s="51"/>
      <c r="GK112" s="51"/>
      <c r="GL112" s="51"/>
      <c r="GM112" s="51"/>
      <c r="GN112" s="51"/>
      <c r="GO112" s="51"/>
      <c r="GP112" s="51"/>
      <c r="GQ112" s="51"/>
      <c r="GR112" s="51"/>
      <c r="GS112" s="51"/>
      <c r="GT112" s="51"/>
      <c r="GU112" s="51"/>
      <c r="GV112" s="51"/>
      <c r="GW112" s="51"/>
      <c r="GX112" s="51"/>
      <c r="GY112" s="51"/>
      <c r="GZ112" s="51"/>
      <c r="HA112" s="51"/>
      <c r="HB112" s="51"/>
      <c r="HC112" s="51"/>
      <c r="HD112" s="51"/>
      <c r="HE112" s="51"/>
      <c r="HF112" s="51"/>
      <c r="HG112" s="51"/>
      <c r="HH112" s="51"/>
      <c r="HI112" s="51"/>
      <c r="HJ112" s="51"/>
      <c r="HK112" s="51"/>
      <c r="HL112" s="51"/>
      <c r="HM112" s="51"/>
      <c r="HN112" s="51"/>
      <c r="HO112" s="51"/>
      <c r="HP112" s="51"/>
      <c r="HQ112" s="51"/>
      <c r="HR112" s="51"/>
      <c r="HS112" s="51"/>
      <c r="HT112" s="51"/>
      <c r="HU112" s="51"/>
      <c r="HV112" s="51"/>
      <c r="HW112" s="51"/>
      <c r="HX112" s="51"/>
      <c r="HY112" s="51"/>
      <c r="HZ112" s="51"/>
      <c r="IA112" s="51"/>
      <c r="IB112" s="51"/>
      <c r="IC112" s="51"/>
      <c r="ID112" s="51"/>
      <c r="IE112" s="51"/>
      <c r="IF112" s="51"/>
      <c r="IG112" s="51"/>
      <c r="IH112" s="51"/>
      <c r="II112" s="51"/>
      <c r="IJ112" s="51"/>
      <c r="IK112" s="51"/>
      <c r="IL112" s="51"/>
    </row>
    <row r="113" spans="75:246" ht="12.95" customHeight="1" thickTop="1">
      <c r="BW113" s="51"/>
      <c r="BX113" s="51"/>
      <c r="BY113" s="51"/>
      <c r="BZ113" s="51"/>
      <c r="CA113" s="51"/>
      <c r="CB113" s="51"/>
      <c r="CC113" s="52"/>
      <c r="CD113" s="159" t="s">
        <v>352</v>
      </c>
      <c r="CE113" s="165">
        <v>1</v>
      </c>
      <c r="CF113" s="166">
        <v>2</v>
      </c>
      <c r="CG113" s="166">
        <v>3</v>
      </c>
      <c r="CH113" s="166">
        <v>4</v>
      </c>
      <c r="CI113" s="166">
        <v>5</v>
      </c>
      <c r="CJ113" s="166">
        <v>6</v>
      </c>
      <c r="CK113" s="166">
        <v>7</v>
      </c>
      <c r="CL113" s="166">
        <v>8</v>
      </c>
      <c r="CM113" s="166">
        <v>9</v>
      </c>
      <c r="CN113" s="166">
        <v>10</v>
      </c>
      <c r="CO113" s="166">
        <v>11</v>
      </c>
      <c r="CP113" s="167">
        <v>12</v>
      </c>
      <c r="CQ113" s="51"/>
      <c r="CR113" s="51"/>
      <c r="CS113" s="51"/>
      <c r="CT113" s="51"/>
      <c r="CU113" s="51"/>
      <c r="CV113" s="52"/>
      <c r="CW113" s="51"/>
      <c r="CX113" s="51"/>
      <c r="CY113" s="51"/>
      <c r="CZ113" s="51"/>
      <c r="DA113" s="51"/>
      <c r="DB113" s="51"/>
      <c r="DC113" s="51"/>
      <c r="DD113" s="51"/>
      <c r="DE113" s="51"/>
      <c r="DF113" s="51"/>
      <c r="DG113" s="51"/>
      <c r="DH113" s="51"/>
      <c r="DI113" s="51"/>
      <c r="DJ113" s="51"/>
      <c r="DK113" s="51"/>
      <c r="DL113" s="51"/>
      <c r="DM113" s="51"/>
      <c r="DN113" s="51"/>
      <c r="DO113" s="51"/>
      <c r="DP113" s="51"/>
      <c r="DQ113" s="51"/>
      <c r="DR113" s="51"/>
      <c r="DS113" s="51"/>
      <c r="DT113" s="51"/>
      <c r="DU113" s="51"/>
      <c r="DV113" s="51"/>
      <c r="DW113" s="51"/>
      <c r="DX113" s="51"/>
      <c r="DY113" s="51"/>
      <c r="DZ113" s="51"/>
      <c r="EA113" s="51"/>
      <c r="EB113" s="51"/>
      <c r="EC113" s="51"/>
      <c r="ED113" s="51"/>
      <c r="EE113" s="51"/>
      <c r="EF113" s="51"/>
      <c r="EG113" s="51"/>
      <c r="EH113" s="51"/>
      <c r="EI113" s="51"/>
      <c r="EJ113" s="51"/>
      <c r="EK113" s="51"/>
      <c r="EL113" s="51"/>
      <c r="EM113" s="51"/>
      <c r="EN113" s="51"/>
      <c r="EO113" s="51"/>
      <c r="EP113" s="51"/>
      <c r="EQ113" s="51"/>
      <c r="ER113" s="51"/>
      <c r="ES113" s="51"/>
      <c r="ET113" s="51"/>
      <c r="EU113" s="51"/>
      <c r="EV113" s="51"/>
      <c r="EW113" s="51"/>
      <c r="EX113" s="51"/>
      <c r="EY113" s="51"/>
      <c r="EZ113" s="51"/>
      <c r="FA113" s="51"/>
      <c r="FB113" s="51"/>
      <c r="FC113" s="51"/>
      <c r="FD113" s="51"/>
      <c r="FE113" s="51"/>
      <c r="FF113" s="51"/>
      <c r="FG113" s="51"/>
      <c r="FH113" s="51"/>
      <c r="FI113" s="51"/>
      <c r="FJ113" s="51"/>
      <c r="FK113" s="51"/>
      <c r="FL113" s="51"/>
      <c r="FM113" s="51"/>
      <c r="FN113" s="51"/>
      <c r="FO113" s="51"/>
      <c r="FP113" s="51"/>
      <c r="FQ113" s="51"/>
      <c r="FR113" s="51"/>
      <c r="FS113" s="51"/>
      <c r="FT113" s="51"/>
      <c r="FU113" s="51"/>
      <c r="FV113" s="51"/>
      <c r="FW113" s="51"/>
      <c r="FX113" s="51"/>
      <c r="FY113" s="51"/>
      <c r="FZ113" s="51"/>
      <c r="GA113" s="51"/>
      <c r="GB113" s="51"/>
      <c r="GC113" s="51"/>
      <c r="GD113" s="51"/>
      <c r="GE113" s="51"/>
      <c r="GF113" s="51"/>
      <c r="GG113" s="51"/>
      <c r="GH113" s="51"/>
      <c r="GI113" s="51"/>
      <c r="GJ113" s="51"/>
      <c r="GK113" s="51"/>
      <c r="GL113" s="51"/>
      <c r="GM113" s="51"/>
      <c r="GN113" s="51"/>
      <c r="GO113" s="51"/>
      <c r="GP113" s="51"/>
      <c r="GQ113" s="51"/>
      <c r="GR113" s="51"/>
      <c r="GS113" s="51"/>
      <c r="GT113" s="51"/>
      <c r="GU113" s="51"/>
      <c r="GV113" s="51"/>
      <c r="GW113" s="51"/>
      <c r="GX113" s="51"/>
      <c r="GY113" s="51"/>
      <c r="GZ113" s="51"/>
      <c r="HA113" s="51"/>
      <c r="HB113" s="51"/>
      <c r="HC113" s="51"/>
      <c r="HD113" s="51"/>
      <c r="HE113" s="51"/>
      <c r="HF113" s="51"/>
      <c r="HG113" s="51"/>
      <c r="HH113" s="51"/>
      <c r="HI113" s="51"/>
      <c r="HJ113" s="51"/>
      <c r="HK113" s="51"/>
      <c r="HL113" s="51"/>
      <c r="HM113" s="51"/>
      <c r="HN113" s="51"/>
      <c r="HO113" s="51"/>
      <c r="HP113" s="51"/>
      <c r="HQ113" s="51"/>
      <c r="HR113" s="51"/>
      <c r="HS113" s="51"/>
      <c r="HT113" s="51"/>
      <c r="HU113" s="51"/>
      <c r="HV113" s="51"/>
      <c r="HW113" s="51"/>
      <c r="HX113" s="51"/>
      <c r="HY113" s="51"/>
      <c r="HZ113" s="51"/>
      <c r="IA113" s="51"/>
      <c r="IB113" s="51"/>
      <c r="IC113" s="51"/>
      <c r="ID113" s="51"/>
      <c r="IE113" s="51"/>
      <c r="IF113" s="51"/>
      <c r="IG113" s="51"/>
      <c r="IH113" s="51"/>
      <c r="II113" s="51"/>
      <c r="IJ113" s="51"/>
      <c r="IK113" s="51"/>
      <c r="IL113" s="51"/>
    </row>
    <row r="114" spans="75:246" ht="12.95" customHeight="1" thickBot="1">
      <c r="BW114" s="51"/>
      <c r="BX114" s="51"/>
      <c r="BY114" s="51"/>
      <c r="BZ114" s="51"/>
      <c r="CA114" s="51"/>
      <c r="CB114" s="51"/>
      <c r="CC114" s="52"/>
      <c r="CD114" s="159" t="s">
        <v>5018</v>
      </c>
      <c r="CE114" s="168" t="e">
        <f>HLOOKUP(CF111,DA36:DJ38,2,FALSE)</f>
        <v>#N/A</v>
      </c>
      <c r="CF114" s="169" t="e">
        <f t="shared" ref="CF114:CP114" si="37">INDEX($CZ$34:$DS$34,1,MATCH(CE114,$CZ$34:$DS$34,0)+1)</f>
        <v>#N/A</v>
      </c>
      <c r="CG114" s="169" t="e">
        <f t="shared" si="37"/>
        <v>#N/A</v>
      </c>
      <c r="CH114" s="169" t="e">
        <f t="shared" si="37"/>
        <v>#N/A</v>
      </c>
      <c r="CI114" s="169" t="e">
        <f t="shared" si="37"/>
        <v>#N/A</v>
      </c>
      <c r="CJ114" s="170" t="e">
        <f t="shared" si="37"/>
        <v>#N/A</v>
      </c>
      <c r="CK114" s="169" t="e">
        <f t="shared" si="37"/>
        <v>#N/A</v>
      </c>
      <c r="CL114" s="169" t="e">
        <f t="shared" si="37"/>
        <v>#N/A</v>
      </c>
      <c r="CM114" s="169" t="e">
        <f t="shared" si="37"/>
        <v>#N/A</v>
      </c>
      <c r="CN114" s="169" t="e">
        <f t="shared" si="37"/>
        <v>#N/A</v>
      </c>
      <c r="CO114" s="169" t="e">
        <f t="shared" si="37"/>
        <v>#N/A</v>
      </c>
      <c r="CP114" s="171" t="e">
        <f t="shared" si="37"/>
        <v>#N/A</v>
      </c>
      <c r="CQ114" s="51"/>
      <c r="CR114" s="51"/>
      <c r="CS114" s="51"/>
      <c r="CT114" s="51"/>
      <c r="CU114" s="51"/>
      <c r="CV114" s="52"/>
      <c r="CW114" s="51"/>
      <c r="CX114" s="51"/>
      <c r="CY114" s="51"/>
      <c r="CZ114" s="51"/>
      <c r="DA114" s="51"/>
      <c r="DB114" s="51"/>
      <c r="DC114" s="51"/>
      <c r="DD114" s="51"/>
      <c r="DE114" s="51"/>
      <c r="DF114" s="51"/>
      <c r="DG114" s="51"/>
      <c r="DH114" s="51"/>
      <c r="DI114" s="51"/>
      <c r="DJ114" s="51"/>
      <c r="DK114" s="51"/>
      <c r="DL114" s="51"/>
      <c r="DM114" s="51"/>
      <c r="DN114" s="51"/>
      <c r="DO114" s="51"/>
      <c r="DP114" s="51"/>
      <c r="DQ114" s="51"/>
      <c r="DR114" s="51"/>
      <c r="DS114" s="51"/>
      <c r="DT114" s="51"/>
      <c r="DU114" s="51"/>
      <c r="DV114" s="51"/>
      <c r="DW114" s="51"/>
      <c r="DX114" s="51"/>
      <c r="DY114" s="51"/>
      <c r="DZ114" s="51"/>
      <c r="EA114" s="51"/>
      <c r="EB114" s="51"/>
      <c r="EC114" s="51"/>
      <c r="ED114" s="51"/>
      <c r="EE114" s="51"/>
      <c r="EF114" s="51"/>
      <c r="EG114" s="51"/>
      <c r="EH114" s="51"/>
      <c r="EI114" s="51"/>
      <c r="EJ114" s="51"/>
      <c r="EK114" s="51"/>
      <c r="EL114" s="51"/>
      <c r="EM114" s="51"/>
      <c r="EN114" s="51"/>
      <c r="EO114" s="51"/>
      <c r="EP114" s="51"/>
      <c r="EQ114" s="51"/>
      <c r="ER114" s="51"/>
      <c r="ES114" s="51"/>
      <c r="ET114" s="51"/>
      <c r="EU114" s="51"/>
      <c r="EV114" s="51"/>
      <c r="EW114" s="51"/>
      <c r="EX114" s="51"/>
      <c r="EY114" s="51"/>
      <c r="EZ114" s="51"/>
      <c r="FA114" s="51"/>
      <c r="FB114" s="51"/>
      <c r="FC114" s="51"/>
      <c r="FD114" s="51"/>
      <c r="FE114" s="51"/>
      <c r="FF114" s="51"/>
      <c r="FG114" s="51"/>
      <c r="FH114" s="51"/>
      <c r="FI114" s="51"/>
      <c r="FJ114" s="51"/>
      <c r="FK114" s="51"/>
      <c r="FL114" s="51"/>
      <c r="FM114" s="51"/>
      <c r="FN114" s="51"/>
      <c r="FO114" s="51"/>
      <c r="FP114" s="51"/>
      <c r="FQ114" s="51"/>
      <c r="FR114" s="51"/>
      <c r="FS114" s="51"/>
      <c r="FT114" s="51"/>
      <c r="FU114" s="51"/>
      <c r="FV114" s="51"/>
      <c r="FW114" s="51"/>
      <c r="FX114" s="51"/>
      <c r="FY114" s="51"/>
      <c r="FZ114" s="51"/>
      <c r="GA114" s="51"/>
      <c r="GB114" s="51"/>
      <c r="GC114" s="51"/>
      <c r="GD114" s="51"/>
      <c r="GE114" s="51"/>
      <c r="GF114" s="51"/>
      <c r="GG114" s="51"/>
      <c r="GH114" s="51"/>
      <c r="GI114" s="51"/>
      <c r="GJ114" s="51"/>
      <c r="GK114" s="51"/>
      <c r="GL114" s="51"/>
      <c r="GM114" s="51"/>
      <c r="GN114" s="51"/>
      <c r="GO114" s="51"/>
      <c r="GP114" s="51"/>
      <c r="GQ114" s="51"/>
      <c r="GR114" s="51"/>
      <c r="GS114" s="51"/>
      <c r="GT114" s="51"/>
      <c r="GU114" s="51"/>
      <c r="GV114" s="51"/>
      <c r="GW114" s="51"/>
      <c r="GX114" s="51"/>
      <c r="GY114" s="51"/>
      <c r="GZ114" s="51"/>
      <c r="HA114" s="51"/>
      <c r="HB114" s="51"/>
      <c r="HC114" s="51"/>
      <c r="HD114" s="51"/>
      <c r="HE114" s="51"/>
      <c r="HF114" s="51"/>
      <c r="HG114" s="51"/>
      <c r="HH114" s="51"/>
      <c r="HI114" s="51"/>
      <c r="HJ114" s="51"/>
      <c r="HK114" s="51"/>
      <c r="HL114" s="51"/>
      <c r="HM114" s="51"/>
      <c r="HN114" s="51"/>
      <c r="HO114" s="51"/>
      <c r="HP114" s="51"/>
      <c r="HQ114" s="51"/>
      <c r="HR114" s="51"/>
      <c r="HS114" s="51"/>
      <c r="HT114" s="51"/>
      <c r="HU114" s="51"/>
      <c r="HV114" s="51"/>
      <c r="HW114" s="51"/>
      <c r="HX114" s="51"/>
      <c r="HY114" s="51"/>
      <c r="HZ114" s="51"/>
      <c r="IA114" s="51"/>
      <c r="IB114" s="51"/>
      <c r="IC114" s="51"/>
      <c r="ID114" s="51"/>
      <c r="IE114" s="51"/>
      <c r="IF114" s="51"/>
      <c r="IG114" s="51"/>
      <c r="IH114" s="51"/>
      <c r="II114" s="51"/>
      <c r="IJ114" s="51"/>
      <c r="IK114" s="51"/>
      <c r="IL114" s="51"/>
    </row>
    <row r="115" spans="75:246" ht="12.95" customHeight="1" thickTop="1" thickBot="1">
      <c r="BW115" s="51"/>
      <c r="BX115" s="51"/>
      <c r="BY115" s="51"/>
      <c r="BZ115" s="51"/>
      <c r="CA115" s="51"/>
      <c r="CB115" s="51"/>
      <c r="CC115" s="52"/>
      <c r="CD115" s="159"/>
      <c r="CE115" s="51"/>
      <c r="CF115" s="51"/>
      <c r="CG115" s="51"/>
      <c r="CH115" s="51"/>
      <c r="CI115" s="51"/>
      <c r="CJ115" s="51"/>
      <c r="CK115" s="51"/>
      <c r="CL115" s="51"/>
      <c r="CM115" s="51"/>
      <c r="CN115" s="51"/>
      <c r="CO115" s="51"/>
      <c r="CP115" s="51"/>
      <c r="CQ115" s="51"/>
      <c r="CR115" s="51"/>
      <c r="CS115" s="51"/>
      <c r="CT115" s="51"/>
      <c r="CU115" s="51"/>
      <c r="CV115" s="52"/>
      <c r="CW115" s="51"/>
      <c r="CX115" s="51"/>
      <c r="CY115" s="51"/>
      <c r="CZ115" s="51"/>
      <c r="DA115" s="51"/>
      <c r="DB115" s="51"/>
      <c r="DC115" s="51"/>
      <c r="DD115" s="51"/>
      <c r="DE115" s="51"/>
      <c r="DF115" s="51"/>
      <c r="DG115" s="51"/>
      <c r="DH115" s="51"/>
      <c r="DI115" s="51"/>
      <c r="DJ115" s="51"/>
      <c r="DK115" s="51"/>
      <c r="DL115" s="51"/>
      <c r="DM115" s="51"/>
      <c r="DN115" s="51"/>
      <c r="DO115" s="51"/>
      <c r="DP115" s="51"/>
      <c r="DQ115" s="51"/>
      <c r="DR115" s="51"/>
      <c r="DS115" s="51"/>
      <c r="DT115" s="51"/>
      <c r="DU115" s="51"/>
      <c r="DV115" s="51"/>
      <c r="DW115" s="51"/>
      <c r="DX115" s="51"/>
      <c r="DY115" s="51"/>
      <c r="DZ115" s="51"/>
      <c r="EA115" s="51"/>
      <c r="EB115" s="51"/>
      <c r="EC115" s="51"/>
      <c r="ED115" s="51"/>
      <c r="EE115" s="51"/>
      <c r="EF115" s="51"/>
      <c r="EG115" s="51"/>
      <c r="EH115" s="51"/>
      <c r="EI115" s="51"/>
      <c r="EJ115" s="51"/>
      <c r="EK115" s="51"/>
      <c r="EL115" s="51"/>
      <c r="EM115" s="51"/>
      <c r="EN115" s="51"/>
      <c r="EO115" s="51"/>
      <c r="EP115" s="51"/>
      <c r="EQ115" s="51"/>
      <c r="ER115" s="51"/>
      <c r="ES115" s="51"/>
      <c r="ET115" s="51"/>
      <c r="EU115" s="51"/>
      <c r="EV115" s="51"/>
      <c r="EW115" s="51"/>
      <c r="EX115" s="51"/>
      <c r="EY115" s="51"/>
      <c r="EZ115" s="51"/>
      <c r="FA115" s="51"/>
      <c r="FB115" s="51"/>
      <c r="FC115" s="51"/>
      <c r="FD115" s="51"/>
      <c r="FE115" s="51"/>
      <c r="FF115" s="51"/>
      <c r="FG115" s="51"/>
      <c r="FH115" s="51"/>
      <c r="FI115" s="51"/>
      <c r="FJ115" s="51"/>
      <c r="FK115" s="51"/>
      <c r="FL115" s="51"/>
      <c r="FM115" s="51"/>
      <c r="FN115" s="51"/>
      <c r="FO115" s="51"/>
      <c r="FP115" s="51"/>
      <c r="FQ115" s="51"/>
      <c r="FR115" s="51"/>
      <c r="FS115" s="51"/>
      <c r="FT115" s="51"/>
      <c r="FU115" s="51"/>
      <c r="FV115" s="51"/>
      <c r="FW115" s="51"/>
      <c r="FX115" s="51"/>
      <c r="FY115" s="51"/>
      <c r="FZ115" s="51"/>
      <c r="GA115" s="51"/>
      <c r="GB115" s="51"/>
      <c r="GC115" s="51"/>
      <c r="GD115" s="51"/>
      <c r="GE115" s="51"/>
      <c r="GF115" s="51"/>
      <c r="GG115" s="51"/>
      <c r="GH115" s="51"/>
      <c r="GI115" s="51"/>
      <c r="GJ115" s="51"/>
      <c r="GK115" s="51"/>
      <c r="GL115" s="51"/>
      <c r="GM115" s="51"/>
      <c r="GN115" s="51"/>
      <c r="GO115" s="51"/>
      <c r="GP115" s="51"/>
      <c r="GQ115" s="51"/>
      <c r="GR115" s="51"/>
      <c r="GS115" s="51"/>
      <c r="GT115" s="51"/>
      <c r="GU115" s="51"/>
      <c r="GV115" s="51"/>
      <c r="GW115" s="51"/>
      <c r="GX115" s="51"/>
      <c r="GY115" s="51"/>
      <c r="GZ115" s="51"/>
      <c r="HA115" s="51"/>
      <c r="HB115" s="51"/>
      <c r="HC115" s="51"/>
      <c r="HD115" s="51"/>
      <c r="HE115" s="51"/>
      <c r="HF115" s="51"/>
      <c r="HG115" s="51"/>
      <c r="HH115" s="51"/>
      <c r="HI115" s="51"/>
      <c r="HJ115" s="51"/>
      <c r="HK115" s="51"/>
      <c r="HL115" s="51"/>
      <c r="HM115" s="51"/>
      <c r="HN115" s="51"/>
      <c r="HO115" s="51"/>
      <c r="HP115" s="51"/>
      <c r="HQ115" s="51"/>
      <c r="HR115" s="51"/>
      <c r="HS115" s="51"/>
      <c r="HT115" s="51"/>
      <c r="HU115" s="51"/>
      <c r="HV115" s="51"/>
      <c r="HW115" s="51"/>
      <c r="HX115" s="51"/>
      <c r="HY115" s="51"/>
      <c r="HZ115" s="51"/>
      <c r="IA115" s="51"/>
      <c r="IB115" s="51"/>
      <c r="IC115" s="51"/>
      <c r="ID115" s="51"/>
      <c r="IE115" s="51"/>
      <c r="IF115" s="51"/>
      <c r="IG115" s="51"/>
      <c r="IH115" s="51"/>
      <c r="II115" s="51"/>
      <c r="IJ115" s="51"/>
      <c r="IK115" s="51"/>
      <c r="IL115" s="51"/>
    </row>
    <row r="116" spans="75:246" ht="12.95" customHeight="1" thickTop="1">
      <c r="BW116" s="51"/>
      <c r="BX116" s="51"/>
      <c r="BY116" s="51"/>
      <c r="BZ116" s="51"/>
      <c r="CA116" s="51"/>
      <c r="CB116" s="51"/>
      <c r="CC116" s="52"/>
      <c r="CD116" s="159" t="s">
        <v>5021</v>
      </c>
      <c r="CE116" s="172" t="s">
        <v>1402</v>
      </c>
      <c r="CF116" s="173" t="s">
        <v>9301</v>
      </c>
      <c r="CG116" s="173" t="s">
        <v>353</v>
      </c>
      <c r="CH116" s="173" t="s">
        <v>1399</v>
      </c>
      <c r="CI116" s="173" t="s">
        <v>505</v>
      </c>
      <c r="CJ116" s="173" t="s">
        <v>9011</v>
      </c>
      <c r="CK116" s="173" t="s">
        <v>506</v>
      </c>
      <c r="CL116" s="173" t="s">
        <v>507</v>
      </c>
      <c r="CM116" s="173" t="s">
        <v>9297</v>
      </c>
      <c r="CN116" s="173" t="s">
        <v>9298</v>
      </c>
      <c r="CO116" s="173" t="s">
        <v>9299</v>
      </c>
      <c r="CP116" s="174" t="s">
        <v>9300</v>
      </c>
      <c r="CQ116" s="51"/>
      <c r="CR116" s="51"/>
      <c r="CS116" s="51"/>
      <c r="CT116" s="51"/>
      <c r="CU116" s="51"/>
      <c r="CV116" s="52"/>
      <c r="CW116" s="51"/>
      <c r="CX116" s="51"/>
      <c r="CY116" s="51"/>
      <c r="CZ116" s="51"/>
      <c r="DA116" s="51"/>
      <c r="DB116" s="51"/>
      <c r="DC116" s="51"/>
      <c r="DD116" s="51"/>
      <c r="DE116" s="51"/>
      <c r="DF116" s="51"/>
      <c r="DG116" s="51"/>
      <c r="DH116" s="51"/>
      <c r="DI116" s="51"/>
      <c r="DJ116" s="51"/>
      <c r="DK116" s="51"/>
      <c r="DL116" s="51"/>
      <c r="DM116" s="51"/>
      <c r="DN116" s="51"/>
      <c r="DO116" s="51"/>
      <c r="DP116" s="51"/>
      <c r="DQ116" s="51"/>
      <c r="DR116" s="51"/>
      <c r="DS116" s="51"/>
      <c r="DT116" s="51"/>
      <c r="DU116" s="51"/>
      <c r="DV116" s="51"/>
      <c r="DW116" s="51"/>
      <c r="DX116" s="51"/>
      <c r="DY116" s="51"/>
      <c r="DZ116" s="51"/>
      <c r="EA116" s="51"/>
      <c r="EB116" s="51"/>
      <c r="EC116" s="51"/>
      <c r="ED116" s="51"/>
      <c r="EE116" s="51"/>
      <c r="EF116" s="51"/>
      <c r="EG116" s="51"/>
      <c r="EH116" s="51"/>
      <c r="EI116" s="51"/>
      <c r="EJ116" s="51"/>
      <c r="EK116" s="51"/>
      <c r="EL116" s="51"/>
      <c r="EM116" s="51"/>
      <c r="EN116" s="51"/>
      <c r="EO116" s="51"/>
      <c r="EP116" s="51"/>
      <c r="EQ116" s="51"/>
      <c r="ER116" s="51"/>
      <c r="ES116" s="51"/>
      <c r="ET116" s="51"/>
      <c r="EU116" s="51"/>
      <c r="EV116" s="51"/>
      <c r="EW116" s="51"/>
      <c r="EX116" s="51"/>
      <c r="EY116" s="51"/>
      <c r="EZ116" s="51"/>
      <c r="FA116" s="51"/>
      <c r="FB116" s="51"/>
      <c r="FC116" s="51"/>
      <c r="FD116" s="51"/>
      <c r="FE116" s="51"/>
      <c r="FF116" s="51"/>
      <c r="FG116" s="51"/>
      <c r="FH116" s="51"/>
      <c r="FI116" s="51"/>
      <c r="FJ116" s="51"/>
      <c r="FK116" s="51"/>
      <c r="FL116" s="51"/>
      <c r="FM116" s="51"/>
      <c r="FN116" s="51"/>
      <c r="FO116" s="51"/>
      <c r="FP116" s="51"/>
      <c r="FQ116" s="51"/>
      <c r="FR116" s="51"/>
      <c r="FS116" s="51"/>
      <c r="FT116" s="51"/>
      <c r="FU116" s="51"/>
      <c r="FV116" s="51"/>
      <c r="FW116" s="51"/>
      <c r="FX116" s="51"/>
      <c r="FY116" s="51"/>
      <c r="FZ116" s="51"/>
      <c r="GA116" s="51"/>
      <c r="GB116" s="51"/>
      <c r="GC116" s="51"/>
      <c r="GD116" s="51"/>
      <c r="GE116" s="51"/>
      <c r="GF116" s="51"/>
      <c r="GG116" s="51"/>
      <c r="GH116" s="51"/>
      <c r="GI116" s="51"/>
      <c r="GJ116" s="51"/>
      <c r="GK116" s="51"/>
      <c r="GL116" s="51"/>
      <c r="GM116" s="51"/>
      <c r="GN116" s="51"/>
      <c r="GO116" s="51"/>
      <c r="GP116" s="51"/>
      <c r="GQ116" s="51"/>
      <c r="GR116" s="51"/>
      <c r="GS116" s="51"/>
      <c r="GT116" s="51"/>
      <c r="GU116" s="51"/>
      <c r="GV116" s="51"/>
      <c r="GW116" s="51"/>
      <c r="GX116" s="51"/>
      <c r="GY116" s="51"/>
      <c r="GZ116" s="51"/>
      <c r="HA116" s="51"/>
      <c r="HB116" s="51"/>
      <c r="HC116" s="51"/>
      <c r="HD116" s="51"/>
      <c r="HE116" s="51"/>
      <c r="HF116" s="51"/>
      <c r="HG116" s="51"/>
      <c r="HH116" s="51"/>
      <c r="HI116" s="51"/>
      <c r="HJ116" s="51"/>
      <c r="HK116" s="51"/>
      <c r="HL116" s="51"/>
      <c r="HM116" s="51"/>
      <c r="HN116" s="51"/>
      <c r="HO116" s="51"/>
      <c r="HP116" s="51"/>
      <c r="HQ116" s="51"/>
      <c r="HR116" s="51"/>
      <c r="HS116" s="51"/>
      <c r="HT116" s="51"/>
      <c r="HU116" s="51"/>
      <c r="HV116" s="51"/>
      <c r="HW116" s="51"/>
      <c r="HX116" s="51"/>
      <c r="HY116" s="51"/>
      <c r="HZ116" s="51"/>
      <c r="IA116" s="51"/>
      <c r="IB116" s="51"/>
      <c r="IC116" s="51"/>
      <c r="ID116" s="51"/>
      <c r="IE116" s="51"/>
      <c r="IF116" s="51"/>
      <c r="IG116" s="51"/>
      <c r="IH116" s="51"/>
      <c r="II116" s="51"/>
      <c r="IJ116" s="51"/>
      <c r="IK116" s="51"/>
      <c r="IL116" s="51"/>
    </row>
    <row r="117" spans="75:246" ht="12.95" customHeight="1" thickBot="1">
      <c r="BW117" s="51"/>
      <c r="BX117" s="51"/>
      <c r="BY117" s="51"/>
      <c r="BZ117" s="51"/>
      <c r="CA117" s="51"/>
      <c r="CB117" s="51"/>
      <c r="CC117" s="52"/>
      <c r="CD117" s="159" t="s">
        <v>5023</v>
      </c>
      <c r="CE117" s="177" t="e">
        <f>HLOOKUP(CH111,DA36:DJ38,3,FALSE)</f>
        <v>#N/A</v>
      </c>
      <c r="CF117" s="178" t="e">
        <f t="shared" ref="CF117:CP117" si="38">INDEX($CZ$34:$DS$34,1,MATCH(CE117,$CZ$34:$DS$34,0)+1)</f>
        <v>#N/A</v>
      </c>
      <c r="CG117" s="178" t="e">
        <f t="shared" si="38"/>
        <v>#N/A</v>
      </c>
      <c r="CH117" s="178" t="e">
        <f t="shared" si="38"/>
        <v>#N/A</v>
      </c>
      <c r="CI117" s="178" t="e">
        <f t="shared" si="38"/>
        <v>#N/A</v>
      </c>
      <c r="CJ117" s="179" t="e">
        <f t="shared" si="38"/>
        <v>#N/A</v>
      </c>
      <c r="CK117" s="178" t="e">
        <f t="shared" si="38"/>
        <v>#N/A</v>
      </c>
      <c r="CL117" s="178" t="e">
        <f t="shared" si="38"/>
        <v>#N/A</v>
      </c>
      <c r="CM117" s="178" t="e">
        <f t="shared" si="38"/>
        <v>#N/A</v>
      </c>
      <c r="CN117" s="178" t="e">
        <f t="shared" si="38"/>
        <v>#N/A</v>
      </c>
      <c r="CO117" s="178" t="e">
        <f t="shared" si="38"/>
        <v>#N/A</v>
      </c>
      <c r="CP117" s="180" t="e">
        <f t="shared" si="38"/>
        <v>#N/A</v>
      </c>
      <c r="CQ117" s="51"/>
      <c r="CR117" s="51"/>
      <c r="CS117" s="51"/>
      <c r="CT117" s="51"/>
      <c r="CU117" s="51"/>
      <c r="CV117" s="52"/>
      <c r="CW117" s="51"/>
      <c r="CX117" s="51"/>
      <c r="CY117" s="51"/>
      <c r="CZ117" s="51"/>
      <c r="DA117" s="51"/>
      <c r="DB117" s="51"/>
      <c r="DC117" s="51"/>
      <c r="DD117" s="51"/>
      <c r="DE117" s="51"/>
      <c r="DF117" s="51"/>
      <c r="DG117" s="51"/>
      <c r="DH117" s="51"/>
      <c r="DI117" s="51"/>
      <c r="DJ117" s="51"/>
      <c r="DK117" s="51"/>
      <c r="DL117" s="51"/>
      <c r="DM117" s="51"/>
      <c r="DN117" s="51"/>
      <c r="DO117" s="51"/>
      <c r="DP117" s="51"/>
      <c r="DQ117" s="51"/>
      <c r="DR117" s="51"/>
      <c r="DS117" s="51"/>
      <c r="DT117" s="51"/>
      <c r="DU117" s="51"/>
      <c r="DV117" s="51"/>
      <c r="DW117" s="51"/>
      <c r="DX117" s="51"/>
      <c r="DY117" s="51"/>
      <c r="DZ117" s="51"/>
      <c r="EA117" s="51"/>
      <c r="EB117" s="51"/>
      <c r="EC117" s="51"/>
      <c r="ED117" s="51"/>
      <c r="EE117" s="51"/>
      <c r="EF117" s="51"/>
      <c r="EG117" s="51"/>
      <c r="EH117" s="51"/>
      <c r="EI117" s="51"/>
      <c r="EJ117" s="51"/>
      <c r="EK117" s="51"/>
      <c r="EL117" s="51"/>
      <c r="EM117" s="51"/>
      <c r="EN117" s="51"/>
      <c r="EO117" s="51"/>
      <c r="EP117" s="51"/>
      <c r="EQ117" s="51"/>
      <c r="ER117" s="51"/>
      <c r="ES117" s="51"/>
      <c r="ET117" s="51"/>
      <c r="EU117" s="51"/>
      <c r="EV117" s="51"/>
      <c r="EW117" s="51"/>
      <c r="EX117" s="51"/>
      <c r="EY117" s="51"/>
      <c r="EZ117" s="51"/>
      <c r="FA117" s="51"/>
      <c r="FB117" s="51"/>
      <c r="FC117" s="51"/>
      <c r="FD117" s="51"/>
      <c r="FE117" s="51"/>
      <c r="FF117" s="51"/>
      <c r="FG117" s="51"/>
      <c r="FH117" s="51"/>
      <c r="FI117" s="51"/>
      <c r="FJ117" s="51"/>
      <c r="FK117" s="51"/>
      <c r="FL117" s="51"/>
      <c r="FM117" s="51"/>
      <c r="FN117" s="51"/>
      <c r="FO117" s="51"/>
      <c r="FP117" s="51"/>
      <c r="FQ117" s="51"/>
      <c r="FR117" s="51"/>
      <c r="FS117" s="51"/>
      <c r="FT117" s="51"/>
      <c r="FU117" s="51"/>
      <c r="FV117" s="51"/>
      <c r="FW117" s="51"/>
      <c r="FX117" s="51"/>
      <c r="FY117" s="51"/>
      <c r="FZ117" s="51"/>
      <c r="GA117" s="51"/>
      <c r="GB117" s="51"/>
      <c r="GC117" s="51"/>
      <c r="GD117" s="51"/>
      <c r="GE117" s="51"/>
      <c r="GF117" s="51"/>
      <c r="GG117" s="51"/>
      <c r="GH117" s="51"/>
      <c r="GI117" s="51"/>
      <c r="GJ117" s="51"/>
      <c r="GK117" s="51"/>
      <c r="GL117" s="51"/>
      <c r="GM117" s="51"/>
      <c r="GN117" s="51"/>
      <c r="GO117" s="51"/>
      <c r="GP117" s="51"/>
      <c r="GQ117" s="51"/>
      <c r="GR117" s="51"/>
      <c r="GS117" s="51"/>
      <c r="GT117" s="51"/>
      <c r="GU117" s="51"/>
      <c r="GV117" s="51"/>
      <c r="GW117" s="51"/>
      <c r="GX117" s="51"/>
      <c r="GY117" s="51"/>
      <c r="GZ117" s="51"/>
      <c r="HA117" s="51"/>
      <c r="HB117" s="51"/>
      <c r="HC117" s="51"/>
      <c r="HD117" s="51"/>
      <c r="HE117" s="51"/>
      <c r="HF117" s="51"/>
      <c r="HG117" s="51"/>
      <c r="HH117" s="51"/>
      <c r="HI117" s="51"/>
      <c r="HJ117" s="51"/>
      <c r="HK117" s="51"/>
      <c r="HL117" s="51"/>
      <c r="HM117" s="51"/>
      <c r="HN117" s="51"/>
      <c r="HO117" s="51"/>
      <c r="HP117" s="51"/>
      <c r="HQ117" s="51"/>
      <c r="HR117" s="51"/>
      <c r="HS117" s="51"/>
      <c r="HT117" s="51"/>
      <c r="HU117" s="51"/>
      <c r="HV117" s="51"/>
      <c r="HW117" s="51"/>
      <c r="HX117" s="51"/>
      <c r="HY117" s="51"/>
      <c r="HZ117" s="51"/>
      <c r="IA117" s="51"/>
      <c r="IB117" s="51"/>
      <c r="IC117" s="51"/>
      <c r="ID117" s="51"/>
      <c r="IE117" s="51"/>
      <c r="IF117" s="51"/>
      <c r="IG117" s="51"/>
      <c r="IH117" s="51"/>
      <c r="II117" s="51"/>
      <c r="IJ117" s="51"/>
      <c r="IK117" s="51"/>
      <c r="IL117" s="51"/>
    </row>
    <row r="118" spans="75:246" ht="12.95" customHeight="1" thickTop="1">
      <c r="BW118" s="51"/>
      <c r="BX118" s="51"/>
      <c r="BY118" s="51"/>
      <c r="BZ118" s="51"/>
      <c r="CA118" s="51"/>
      <c r="CB118" s="51"/>
      <c r="CC118" s="52"/>
      <c r="CD118" s="159"/>
      <c r="CE118" s="51"/>
      <c r="CF118" s="51"/>
      <c r="CG118" s="51"/>
      <c r="CH118" s="51"/>
      <c r="CI118" s="51"/>
      <c r="CJ118" s="51"/>
      <c r="CK118" s="51"/>
      <c r="CL118" s="51"/>
      <c r="CM118" s="51"/>
      <c r="CN118" s="51"/>
      <c r="CO118" s="51"/>
      <c r="CP118" s="51"/>
      <c r="CQ118" s="51"/>
      <c r="CR118" s="51"/>
      <c r="CS118" s="51"/>
      <c r="CT118" s="51"/>
      <c r="CU118" s="51"/>
      <c r="CV118" s="52"/>
      <c r="CW118" s="51"/>
      <c r="CX118" s="51"/>
      <c r="CY118" s="51"/>
      <c r="CZ118" s="51"/>
      <c r="DA118" s="51"/>
      <c r="DB118" s="51"/>
      <c r="DC118" s="51"/>
      <c r="DD118" s="51"/>
      <c r="DE118" s="51"/>
      <c r="DF118" s="51"/>
      <c r="DG118" s="51"/>
      <c r="DH118" s="51"/>
      <c r="DI118" s="51"/>
      <c r="DJ118" s="51"/>
      <c r="DK118" s="51"/>
      <c r="DL118" s="51"/>
      <c r="DM118" s="51"/>
      <c r="DN118" s="51"/>
      <c r="DO118" s="51"/>
      <c r="DP118" s="51"/>
      <c r="DQ118" s="51"/>
      <c r="DR118" s="51"/>
      <c r="DS118" s="51"/>
      <c r="DT118" s="51"/>
      <c r="DU118" s="51"/>
      <c r="DV118" s="51"/>
      <c r="DW118" s="51"/>
      <c r="DX118" s="51"/>
      <c r="DY118" s="51"/>
      <c r="DZ118" s="51"/>
      <c r="EA118" s="51"/>
      <c r="EB118" s="51"/>
      <c r="EC118" s="51"/>
      <c r="ED118" s="51"/>
      <c r="EE118" s="51"/>
      <c r="EF118" s="51"/>
      <c r="EG118" s="51"/>
      <c r="EH118" s="51"/>
      <c r="EI118" s="51"/>
      <c r="EJ118" s="51"/>
      <c r="EK118" s="51"/>
      <c r="EL118" s="51"/>
      <c r="EM118" s="51"/>
      <c r="EN118" s="51"/>
      <c r="EO118" s="51"/>
      <c r="EP118" s="51"/>
      <c r="EQ118" s="51"/>
      <c r="ER118" s="51"/>
      <c r="ES118" s="51"/>
      <c r="ET118" s="51"/>
      <c r="EU118" s="51"/>
      <c r="EV118" s="51"/>
      <c r="EW118" s="51"/>
      <c r="EX118" s="51"/>
      <c r="EY118" s="51"/>
      <c r="EZ118" s="51"/>
      <c r="FA118" s="51"/>
      <c r="FB118" s="51"/>
      <c r="FC118" s="51"/>
      <c r="FD118" s="51"/>
      <c r="FE118" s="51"/>
      <c r="FF118" s="51"/>
      <c r="FG118" s="51"/>
      <c r="FH118" s="51"/>
      <c r="FI118" s="51"/>
      <c r="FJ118" s="51"/>
      <c r="FK118" s="51"/>
      <c r="FL118" s="51"/>
      <c r="FM118" s="51"/>
      <c r="FN118" s="51"/>
      <c r="FO118" s="51"/>
      <c r="FP118" s="51"/>
      <c r="FQ118" s="51"/>
      <c r="FR118" s="51"/>
      <c r="FS118" s="51"/>
      <c r="FT118" s="51"/>
      <c r="FU118" s="51"/>
      <c r="FV118" s="51"/>
      <c r="FW118" s="51"/>
      <c r="FX118" s="51"/>
      <c r="FY118" s="51"/>
      <c r="FZ118" s="51"/>
      <c r="GA118" s="51"/>
      <c r="GB118" s="51"/>
      <c r="GC118" s="51"/>
      <c r="GD118" s="51"/>
      <c r="GE118" s="51"/>
      <c r="GF118" s="51"/>
      <c r="GG118" s="51"/>
      <c r="GH118" s="51"/>
      <c r="GI118" s="51"/>
      <c r="GJ118" s="51"/>
      <c r="GK118" s="51"/>
      <c r="GL118" s="51"/>
      <c r="GM118" s="51"/>
      <c r="GN118" s="51"/>
      <c r="GO118" s="51"/>
      <c r="GP118" s="51"/>
      <c r="GQ118" s="51"/>
      <c r="GR118" s="51"/>
      <c r="GS118" s="51"/>
      <c r="GT118" s="51"/>
      <c r="GU118" s="51"/>
      <c r="GV118" s="51"/>
      <c r="GW118" s="51"/>
      <c r="GX118" s="51"/>
      <c r="GY118" s="51"/>
      <c r="GZ118" s="51"/>
      <c r="HA118" s="51"/>
      <c r="HB118" s="51"/>
      <c r="HC118" s="51"/>
      <c r="HD118" s="51"/>
      <c r="HE118" s="51"/>
      <c r="HF118" s="51"/>
      <c r="HG118" s="51"/>
      <c r="HH118" s="51"/>
      <c r="HI118" s="51"/>
      <c r="HJ118" s="51"/>
      <c r="HK118" s="51"/>
      <c r="HL118" s="51"/>
      <c r="HM118" s="51"/>
      <c r="HN118" s="51"/>
      <c r="HO118" s="51"/>
      <c r="HP118" s="51"/>
      <c r="HQ118" s="51"/>
      <c r="HR118" s="51"/>
      <c r="HS118" s="51"/>
      <c r="HT118" s="51"/>
      <c r="HU118" s="51"/>
      <c r="HV118" s="51"/>
      <c r="HW118" s="51"/>
      <c r="HX118" s="51"/>
      <c r="HY118" s="51"/>
      <c r="HZ118" s="51"/>
      <c r="IA118" s="51"/>
      <c r="IB118" s="51"/>
      <c r="IC118" s="51"/>
      <c r="ID118" s="51"/>
      <c r="IE118" s="51"/>
      <c r="IF118" s="51"/>
      <c r="IG118" s="51"/>
      <c r="IH118" s="51"/>
      <c r="II118" s="51"/>
      <c r="IJ118" s="51"/>
      <c r="IK118" s="51"/>
      <c r="IL118" s="51"/>
    </row>
    <row r="119" spans="75:246" ht="12.95" customHeight="1">
      <c r="BW119" s="51"/>
      <c r="BX119" s="51"/>
      <c r="BY119" s="51"/>
      <c r="BZ119" s="51"/>
      <c r="CA119" s="51"/>
      <c r="CB119" s="51"/>
      <c r="CC119" s="52"/>
      <c r="CD119" s="159"/>
      <c r="CE119" s="51"/>
      <c r="CF119" s="51"/>
      <c r="CG119" s="51"/>
      <c r="CH119" s="51"/>
      <c r="CI119" s="51"/>
      <c r="CJ119" s="51"/>
      <c r="CK119" s="51"/>
      <c r="CL119" s="51"/>
      <c r="CM119" s="51"/>
      <c r="CN119" s="51"/>
      <c r="CO119" s="51"/>
      <c r="CP119" s="51"/>
      <c r="CQ119" s="51"/>
      <c r="CR119" s="51"/>
      <c r="CS119" s="51"/>
      <c r="CT119" s="51"/>
      <c r="CU119" s="51"/>
      <c r="CV119" s="52"/>
      <c r="CW119" s="51"/>
      <c r="CX119" s="51"/>
      <c r="CY119" s="51"/>
      <c r="CZ119" s="51"/>
      <c r="DA119" s="51"/>
      <c r="DB119" s="51"/>
      <c r="DC119" s="51"/>
      <c r="DD119" s="51"/>
      <c r="DE119" s="51"/>
      <c r="DF119" s="51"/>
      <c r="DG119" s="51"/>
      <c r="DH119" s="51"/>
      <c r="DI119" s="51"/>
      <c r="DJ119" s="51"/>
      <c r="DK119" s="51"/>
      <c r="DL119" s="51"/>
      <c r="DM119" s="51"/>
      <c r="DN119" s="51"/>
      <c r="DO119" s="51"/>
      <c r="DP119" s="51"/>
      <c r="DQ119" s="51"/>
      <c r="DR119" s="51"/>
      <c r="DS119" s="51"/>
      <c r="DT119" s="51"/>
      <c r="DU119" s="51"/>
      <c r="DV119" s="51"/>
      <c r="DW119" s="51"/>
      <c r="DX119" s="51"/>
      <c r="DY119" s="51"/>
      <c r="DZ119" s="51"/>
      <c r="EA119" s="51"/>
      <c r="EB119" s="51"/>
      <c r="EC119" s="51"/>
      <c r="ED119" s="51"/>
      <c r="EE119" s="51"/>
      <c r="EF119" s="51"/>
      <c r="EG119" s="51"/>
      <c r="EH119" s="51"/>
      <c r="EI119" s="51"/>
      <c r="EJ119" s="51"/>
      <c r="EK119" s="51"/>
      <c r="EL119" s="51"/>
      <c r="EM119" s="51"/>
      <c r="EN119" s="51"/>
      <c r="EO119" s="51"/>
      <c r="EP119" s="51"/>
      <c r="EQ119" s="51"/>
      <c r="ER119" s="51"/>
      <c r="ES119" s="51"/>
      <c r="ET119" s="51"/>
      <c r="EU119" s="51"/>
      <c r="EV119" s="51"/>
      <c r="EW119" s="51"/>
      <c r="EX119" s="51"/>
      <c r="EY119" s="51"/>
      <c r="EZ119" s="51"/>
      <c r="FA119" s="51"/>
      <c r="FB119" s="51"/>
      <c r="FC119" s="51"/>
      <c r="FD119" s="51"/>
      <c r="FE119" s="51"/>
      <c r="FF119" s="51"/>
      <c r="FG119" s="51"/>
      <c r="FH119" s="51"/>
      <c r="FI119" s="51"/>
      <c r="FJ119" s="51"/>
      <c r="FK119" s="51"/>
      <c r="FL119" s="51"/>
      <c r="FM119" s="51"/>
      <c r="FN119" s="51"/>
      <c r="FO119" s="51"/>
      <c r="FP119" s="51"/>
      <c r="FQ119" s="51"/>
      <c r="FR119" s="51"/>
      <c r="FS119" s="51"/>
      <c r="FT119" s="51"/>
      <c r="FU119" s="51"/>
      <c r="FV119" s="51"/>
      <c r="FW119" s="51"/>
      <c r="FX119" s="51"/>
      <c r="FY119" s="51"/>
      <c r="FZ119" s="51"/>
      <c r="GA119" s="51"/>
      <c r="GB119" s="51"/>
      <c r="GC119" s="51"/>
      <c r="GD119" s="51"/>
      <c r="GE119" s="51"/>
      <c r="GF119" s="51"/>
      <c r="GG119" s="51"/>
      <c r="GH119" s="51"/>
      <c r="GI119" s="51"/>
      <c r="GJ119" s="51"/>
      <c r="GK119" s="51"/>
      <c r="GL119" s="51"/>
      <c r="GM119" s="51"/>
      <c r="GN119" s="51"/>
      <c r="GO119" s="51"/>
      <c r="GP119" s="51"/>
      <c r="GQ119" s="51"/>
      <c r="GR119" s="51"/>
      <c r="GS119" s="51"/>
      <c r="GT119" s="51"/>
      <c r="GU119" s="51"/>
      <c r="GV119" s="51"/>
      <c r="GW119" s="51"/>
      <c r="GX119" s="51"/>
      <c r="GY119" s="51"/>
      <c r="GZ119" s="51"/>
      <c r="HA119" s="51"/>
      <c r="HB119" s="51"/>
      <c r="HC119" s="51"/>
      <c r="HD119" s="51"/>
      <c r="HE119" s="51"/>
      <c r="HF119" s="51"/>
      <c r="HG119" s="51"/>
      <c r="HH119" s="51"/>
      <c r="HI119" s="51"/>
      <c r="HJ119" s="51"/>
      <c r="HK119" s="51"/>
      <c r="HL119" s="51"/>
      <c r="HM119" s="51"/>
      <c r="HN119" s="51"/>
      <c r="HO119" s="51"/>
      <c r="HP119" s="51"/>
      <c r="HQ119" s="51"/>
      <c r="HR119" s="51"/>
      <c r="HS119" s="51"/>
      <c r="HT119" s="51"/>
      <c r="HU119" s="51"/>
      <c r="HV119" s="51"/>
      <c r="HW119" s="51"/>
      <c r="HX119" s="51"/>
      <c r="HY119" s="51"/>
      <c r="HZ119" s="51"/>
      <c r="IA119" s="51"/>
      <c r="IB119" s="51"/>
      <c r="IC119" s="51"/>
      <c r="ID119" s="51"/>
      <c r="IE119" s="51"/>
      <c r="IF119" s="51"/>
      <c r="IG119" s="51"/>
      <c r="IH119" s="51"/>
      <c r="II119" s="51"/>
      <c r="IJ119" s="51"/>
      <c r="IK119" s="51"/>
      <c r="IL119" s="51"/>
    </row>
    <row r="120" spans="75:246" ht="12.95" customHeight="1">
      <c r="BW120" s="51"/>
      <c r="BX120" s="51"/>
      <c r="BY120" s="51"/>
      <c r="BZ120" s="51"/>
      <c r="CA120" s="51"/>
      <c r="CB120" s="51"/>
      <c r="CC120" s="52"/>
      <c r="CD120" s="159"/>
      <c r="CE120" s="51"/>
      <c r="CF120" s="51"/>
      <c r="CG120" s="51"/>
      <c r="CH120" s="51"/>
      <c r="CI120" s="51"/>
      <c r="CJ120" s="51"/>
      <c r="CK120" s="51"/>
      <c r="CL120" s="51"/>
      <c r="CM120" s="51"/>
      <c r="CN120" s="51"/>
      <c r="CO120" s="51"/>
      <c r="CP120" s="51"/>
      <c r="CQ120" s="51"/>
      <c r="CR120" s="51"/>
      <c r="CS120" s="51"/>
      <c r="CT120" s="51"/>
      <c r="CU120" s="51"/>
      <c r="CV120" s="52"/>
      <c r="CW120" s="51"/>
      <c r="CX120" s="51"/>
      <c r="CY120" s="51"/>
      <c r="CZ120" s="51"/>
      <c r="DA120" s="51"/>
      <c r="DB120" s="51"/>
      <c r="DC120" s="51"/>
      <c r="DD120" s="51"/>
      <c r="DE120" s="51"/>
      <c r="DF120" s="51"/>
      <c r="DG120" s="51"/>
      <c r="DH120" s="51"/>
      <c r="DI120" s="51"/>
      <c r="DJ120" s="51"/>
      <c r="DK120" s="51"/>
      <c r="DL120" s="51"/>
      <c r="DM120" s="51"/>
      <c r="DN120" s="51"/>
      <c r="DO120" s="51"/>
      <c r="DP120" s="51"/>
      <c r="DQ120" s="51"/>
      <c r="DR120" s="51"/>
      <c r="DS120" s="51"/>
      <c r="DT120" s="51"/>
      <c r="DU120" s="51"/>
      <c r="DV120" s="51"/>
      <c r="DW120" s="51"/>
      <c r="DX120" s="51"/>
      <c r="DY120" s="51"/>
      <c r="DZ120" s="51"/>
      <c r="EA120" s="51"/>
      <c r="EB120" s="51"/>
      <c r="EC120" s="51"/>
      <c r="ED120" s="51"/>
      <c r="EE120" s="51"/>
      <c r="EF120" s="51"/>
      <c r="EG120" s="51"/>
      <c r="EH120" s="51"/>
      <c r="EI120" s="51"/>
      <c r="EJ120" s="51"/>
      <c r="EK120" s="51"/>
      <c r="EL120" s="51"/>
      <c r="EM120" s="51"/>
      <c r="EN120" s="51"/>
      <c r="EO120" s="51"/>
      <c r="EP120" s="51"/>
      <c r="EQ120" s="51"/>
      <c r="ER120" s="51"/>
      <c r="ES120" s="51"/>
      <c r="ET120" s="51"/>
      <c r="EU120" s="51"/>
      <c r="EV120" s="51"/>
      <c r="EW120" s="51"/>
      <c r="EX120" s="51"/>
      <c r="EY120" s="51"/>
      <c r="EZ120" s="51"/>
      <c r="FA120" s="51"/>
      <c r="FB120" s="51"/>
      <c r="FC120" s="51"/>
      <c r="FD120" s="51"/>
      <c r="FE120" s="51"/>
      <c r="FF120" s="51"/>
      <c r="FG120" s="51"/>
      <c r="FH120" s="51"/>
      <c r="FI120" s="51"/>
      <c r="FJ120" s="51"/>
      <c r="FK120" s="51"/>
      <c r="FL120" s="51"/>
      <c r="FM120" s="51"/>
      <c r="FN120" s="51"/>
      <c r="FO120" s="51"/>
      <c r="FP120" s="51"/>
      <c r="FQ120" s="51"/>
      <c r="FR120" s="51"/>
      <c r="FS120" s="51"/>
      <c r="FT120" s="51"/>
      <c r="FU120" s="51"/>
      <c r="FV120" s="51"/>
      <c r="FW120" s="51"/>
      <c r="FX120" s="51"/>
      <c r="FY120" s="51"/>
      <c r="FZ120" s="51"/>
      <c r="GA120" s="51"/>
      <c r="GB120" s="51"/>
      <c r="GC120" s="51"/>
      <c r="GD120" s="51"/>
      <c r="GE120" s="51"/>
      <c r="GF120" s="51"/>
      <c r="GG120" s="51"/>
      <c r="GH120" s="51"/>
      <c r="GI120" s="51"/>
      <c r="GJ120" s="51"/>
      <c r="GK120" s="51"/>
      <c r="GL120" s="51"/>
      <c r="GM120" s="51"/>
      <c r="GN120" s="51"/>
      <c r="GO120" s="51"/>
      <c r="GP120" s="51"/>
      <c r="GQ120" s="51"/>
      <c r="GR120" s="51"/>
      <c r="GS120" s="51"/>
      <c r="GT120" s="51"/>
      <c r="GU120" s="51"/>
      <c r="GV120" s="51"/>
      <c r="GW120" s="51"/>
      <c r="GX120" s="51"/>
      <c r="GY120" s="51"/>
      <c r="GZ120" s="51"/>
      <c r="HA120" s="51"/>
      <c r="HB120" s="51"/>
      <c r="HC120" s="51"/>
      <c r="HD120" s="51"/>
      <c r="HE120" s="51"/>
      <c r="HF120" s="51"/>
      <c r="HG120" s="51"/>
      <c r="HH120" s="51"/>
      <c r="HI120" s="51"/>
      <c r="HJ120" s="51"/>
      <c r="HK120" s="51"/>
      <c r="HL120" s="51"/>
      <c r="HM120" s="51"/>
      <c r="HN120" s="51"/>
      <c r="HO120" s="51"/>
      <c r="HP120" s="51"/>
      <c r="HQ120" s="51"/>
      <c r="HR120" s="51"/>
      <c r="HS120" s="51"/>
      <c r="HT120" s="51"/>
      <c r="HU120" s="51"/>
      <c r="HV120" s="51"/>
      <c r="HW120" s="51"/>
      <c r="HX120" s="51"/>
      <c r="HY120" s="51"/>
      <c r="HZ120" s="51"/>
      <c r="IA120" s="51"/>
      <c r="IB120" s="51"/>
      <c r="IC120" s="51"/>
      <c r="ID120" s="51"/>
      <c r="IE120" s="51"/>
      <c r="IF120" s="51"/>
      <c r="IG120" s="51"/>
      <c r="IH120" s="51"/>
      <c r="II120" s="51"/>
      <c r="IJ120" s="51"/>
      <c r="IK120" s="51"/>
      <c r="IL120" s="51"/>
    </row>
    <row r="121" spans="75:246" ht="12.95" customHeight="1">
      <c r="BW121" s="51"/>
      <c r="BX121" s="51"/>
      <c r="BY121" s="51"/>
      <c r="BZ121" s="51"/>
      <c r="CA121" s="51"/>
      <c r="CB121" s="51"/>
      <c r="CC121" s="52"/>
      <c r="CD121" s="159"/>
      <c r="CE121" s="51"/>
      <c r="CF121" s="51"/>
      <c r="CG121" s="51"/>
      <c r="CH121" s="51"/>
      <c r="CI121" s="51"/>
      <c r="CJ121" s="51"/>
      <c r="CK121" s="51"/>
      <c r="CL121" s="51"/>
      <c r="CM121" s="51"/>
      <c r="CN121" s="51"/>
      <c r="CO121" s="51"/>
      <c r="CP121" s="51"/>
      <c r="CQ121" s="51"/>
      <c r="CR121" s="51"/>
      <c r="CS121" s="51"/>
      <c r="CT121" s="51"/>
      <c r="CU121" s="51"/>
      <c r="CV121" s="52"/>
      <c r="CW121" s="51"/>
      <c r="CX121" s="51"/>
      <c r="CY121" s="51"/>
      <c r="CZ121" s="51"/>
      <c r="DA121" s="51"/>
      <c r="DB121" s="51"/>
      <c r="DC121" s="51"/>
      <c r="DD121" s="51"/>
      <c r="DE121" s="51"/>
      <c r="DF121" s="51"/>
      <c r="DG121" s="51"/>
      <c r="DH121" s="51"/>
      <c r="DI121" s="51"/>
      <c r="DJ121" s="51"/>
      <c r="DK121" s="51"/>
      <c r="DL121" s="51"/>
      <c r="DM121" s="51"/>
      <c r="DN121" s="51"/>
      <c r="DO121" s="51"/>
      <c r="DP121" s="51"/>
      <c r="DQ121" s="51"/>
      <c r="DR121" s="51"/>
      <c r="DS121" s="51"/>
      <c r="DT121" s="51"/>
      <c r="DU121" s="51"/>
      <c r="DV121" s="51"/>
      <c r="DW121" s="51"/>
      <c r="DX121" s="51"/>
      <c r="DY121" s="51"/>
      <c r="DZ121" s="51"/>
      <c r="EA121" s="51"/>
      <c r="EB121" s="51"/>
      <c r="EC121" s="51"/>
      <c r="ED121" s="51"/>
      <c r="EE121" s="51"/>
      <c r="EF121" s="51"/>
      <c r="EG121" s="51"/>
      <c r="EH121" s="51"/>
      <c r="EI121" s="51"/>
      <c r="EJ121" s="51"/>
      <c r="EK121" s="51"/>
      <c r="EL121" s="51"/>
      <c r="EM121" s="51"/>
      <c r="EN121" s="51"/>
      <c r="EO121" s="51"/>
      <c r="EP121" s="51"/>
      <c r="EQ121" s="51"/>
      <c r="ER121" s="51"/>
      <c r="ES121" s="51"/>
      <c r="ET121" s="51"/>
      <c r="EU121" s="51"/>
      <c r="EV121" s="51"/>
      <c r="EW121" s="51"/>
      <c r="EX121" s="51"/>
      <c r="EY121" s="51"/>
      <c r="EZ121" s="51"/>
      <c r="FA121" s="51"/>
      <c r="FB121" s="51"/>
      <c r="FC121" s="51"/>
      <c r="FD121" s="51"/>
      <c r="FE121" s="51"/>
      <c r="FF121" s="51"/>
      <c r="FG121" s="51"/>
      <c r="FH121" s="51"/>
      <c r="FI121" s="51"/>
      <c r="FJ121" s="51"/>
      <c r="FK121" s="51"/>
      <c r="FL121" s="51"/>
      <c r="FM121" s="51"/>
      <c r="FN121" s="51"/>
      <c r="FO121" s="51"/>
      <c r="FP121" s="51"/>
      <c r="FQ121" s="51"/>
      <c r="FR121" s="51"/>
      <c r="FS121" s="51"/>
      <c r="FT121" s="51"/>
      <c r="FU121" s="51"/>
      <c r="FV121" s="51"/>
      <c r="FW121" s="51"/>
      <c r="FX121" s="51"/>
      <c r="FY121" s="51"/>
      <c r="FZ121" s="51"/>
      <c r="GA121" s="51"/>
      <c r="GB121" s="51"/>
      <c r="GC121" s="51"/>
      <c r="GD121" s="51"/>
      <c r="GE121" s="51"/>
      <c r="GF121" s="51"/>
      <c r="GG121" s="51"/>
      <c r="GH121" s="51"/>
      <c r="GI121" s="51"/>
      <c r="GJ121" s="51"/>
      <c r="GK121" s="51"/>
      <c r="GL121" s="51"/>
      <c r="GM121" s="51"/>
      <c r="GN121" s="51"/>
      <c r="GO121" s="51"/>
      <c r="GP121" s="51"/>
      <c r="GQ121" s="51"/>
      <c r="GR121" s="51"/>
      <c r="GS121" s="51"/>
      <c r="GT121" s="51"/>
      <c r="GU121" s="51"/>
      <c r="GV121" s="51"/>
      <c r="GW121" s="51"/>
      <c r="GX121" s="51"/>
      <c r="GY121" s="51"/>
      <c r="GZ121" s="51"/>
      <c r="HA121" s="51"/>
      <c r="HB121" s="51"/>
      <c r="HC121" s="51"/>
      <c r="HD121" s="51"/>
      <c r="HE121" s="51"/>
      <c r="HF121" s="51"/>
      <c r="HG121" s="51"/>
      <c r="HH121" s="51"/>
      <c r="HI121" s="51"/>
      <c r="HJ121" s="51"/>
      <c r="HK121" s="51"/>
      <c r="HL121" s="51"/>
      <c r="HM121" s="51"/>
      <c r="HN121" s="51"/>
      <c r="HO121" s="51"/>
      <c r="HP121" s="51"/>
      <c r="HQ121" s="51"/>
      <c r="HR121" s="51"/>
      <c r="HS121" s="51"/>
      <c r="HT121" s="51"/>
      <c r="HU121" s="51"/>
      <c r="HV121" s="51"/>
      <c r="HW121" s="51"/>
      <c r="HX121" s="51"/>
      <c r="HY121" s="51"/>
      <c r="HZ121" s="51"/>
      <c r="IA121" s="51"/>
      <c r="IB121" s="51"/>
      <c r="IC121" s="51"/>
      <c r="ID121" s="51"/>
      <c r="IE121" s="51"/>
      <c r="IF121" s="51"/>
      <c r="IG121" s="51"/>
      <c r="IH121" s="51"/>
      <c r="II121" s="51"/>
      <c r="IJ121" s="51"/>
      <c r="IK121" s="51"/>
      <c r="IL121" s="51"/>
    </row>
    <row r="122" spans="75:246" ht="12.95" customHeight="1">
      <c r="BW122" s="51"/>
      <c r="BX122" s="51"/>
      <c r="BY122" s="51"/>
      <c r="BZ122" s="51"/>
      <c r="CA122" s="51"/>
      <c r="CB122" s="51"/>
      <c r="CC122" s="52"/>
      <c r="CD122" s="159"/>
      <c r="CE122" s="51"/>
      <c r="CF122" s="51"/>
      <c r="CG122" s="51"/>
      <c r="CH122" s="51"/>
      <c r="CI122" s="51"/>
      <c r="CJ122" s="51"/>
      <c r="CK122" s="51"/>
      <c r="CL122" s="51"/>
      <c r="CM122" s="51"/>
      <c r="CN122" s="51"/>
      <c r="CO122" s="51"/>
      <c r="CP122" s="51"/>
      <c r="CQ122" s="51"/>
      <c r="CR122" s="51"/>
      <c r="CS122" s="51"/>
      <c r="CT122" s="51"/>
      <c r="CU122" s="51"/>
      <c r="CV122" s="52"/>
      <c r="CW122" s="51"/>
      <c r="CX122" s="51"/>
      <c r="CY122" s="51"/>
      <c r="CZ122" s="51"/>
      <c r="DA122" s="51"/>
      <c r="DB122" s="51"/>
      <c r="DC122" s="51"/>
      <c r="DD122" s="51"/>
      <c r="DE122" s="51"/>
      <c r="DF122" s="51"/>
      <c r="DG122" s="51"/>
      <c r="DH122" s="51"/>
      <c r="DI122" s="51"/>
      <c r="DJ122" s="51"/>
      <c r="DK122" s="51"/>
      <c r="DL122" s="51"/>
      <c r="DM122" s="51"/>
      <c r="DN122" s="51"/>
      <c r="DO122" s="51"/>
      <c r="DP122" s="51"/>
      <c r="DQ122" s="51"/>
      <c r="DR122" s="51"/>
      <c r="DS122" s="51"/>
      <c r="DT122" s="51"/>
      <c r="DU122" s="51"/>
      <c r="DV122" s="51"/>
      <c r="DW122" s="51"/>
      <c r="DX122" s="51"/>
      <c r="DY122" s="51"/>
      <c r="DZ122" s="51"/>
      <c r="EA122" s="51"/>
      <c r="EB122" s="51"/>
      <c r="EC122" s="51"/>
      <c r="ED122" s="51"/>
      <c r="EE122" s="51"/>
      <c r="EF122" s="51"/>
      <c r="EG122" s="51"/>
      <c r="EH122" s="51"/>
      <c r="EI122" s="51"/>
      <c r="EJ122" s="51"/>
      <c r="EK122" s="51"/>
      <c r="EL122" s="51"/>
      <c r="EM122" s="51"/>
      <c r="EN122" s="51"/>
      <c r="EO122" s="51"/>
      <c r="EP122" s="51"/>
      <c r="EQ122" s="51"/>
      <c r="ER122" s="51"/>
      <c r="ES122" s="51"/>
      <c r="ET122" s="51"/>
      <c r="EU122" s="51"/>
      <c r="EV122" s="51"/>
      <c r="EW122" s="51"/>
      <c r="EX122" s="51"/>
      <c r="EY122" s="51"/>
      <c r="EZ122" s="51"/>
      <c r="FA122" s="51"/>
      <c r="FB122" s="51"/>
      <c r="FC122" s="51"/>
      <c r="FD122" s="51"/>
      <c r="FE122" s="51"/>
      <c r="FF122" s="51"/>
      <c r="FG122" s="51"/>
      <c r="FH122" s="51"/>
      <c r="FI122" s="51"/>
      <c r="FJ122" s="51"/>
      <c r="FK122" s="51"/>
      <c r="FL122" s="51"/>
      <c r="FM122" s="51"/>
      <c r="FN122" s="51"/>
      <c r="FO122" s="51"/>
      <c r="FP122" s="51"/>
      <c r="FQ122" s="51"/>
      <c r="FR122" s="51"/>
      <c r="FS122" s="51"/>
      <c r="FT122" s="51"/>
      <c r="FU122" s="51"/>
      <c r="FV122" s="51"/>
      <c r="FW122" s="51"/>
      <c r="FX122" s="51"/>
      <c r="FY122" s="51"/>
      <c r="FZ122" s="51"/>
      <c r="GA122" s="51"/>
      <c r="GB122" s="51"/>
      <c r="GC122" s="51"/>
      <c r="GD122" s="51"/>
      <c r="GE122" s="51"/>
      <c r="GF122" s="51"/>
      <c r="GG122" s="51"/>
      <c r="GH122" s="51"/>
      <c r="GI122" s="51"/>
      <c r="GJ122" s="51"/>
      <c r="GK122" s="51"/>
      <c r="GL122" s="51"/>
      <c r="GM122" s="51"/>
      <c r="GN122" s="51"/>
      <c r="GO122" s="51"/>
      <c r="GP122" s="51"/>
      <c r="GQ122" s="51"/>
      <c r="GR122" s="51"/>
      <c r="GS122" s="51"/>
      <c r="GT122" s="51"/>
      <c r="GU122" s="51"/>
      <c r="GV122" s="51"/>
      <c r="GW122" s="51"/>
      <c r="GX122" s="51"/>
      <c r="GY122" s="51"/>
      <c r="GZ122" s="51"/>
      <c r="HA122" s="51"/>
      <c r="HB122" s="51"/>
      <c r="HC122" s="51"/>
      <c r="HD122" s="51"/>
      <c r="HE122" s="51"/>
      <c r="HF122" s="51"/>
      <c r="HG122" s="51"/>
      <c r="HH122" s="51"/>
      <c r="HI122" s="51"/>
      <c r="HJ122" s="51"/>
      <c r="HK122" s="51"/>
      <c r="HL122" s="51"/>
      <c r="HM122" s="51"/>
      <c r="HN122" s="51"/>
      <c r="HO122" s="51"/>
      <c r="HP122" s="51"/>
      <c r="HQ122" s="51"/>
      <c r="HR122" s="51"/>
      <c r="HS122" s="51"/>
      <c r="HT122" s="51"/>
      <c r="HU122" s="51"/>
      <c r="HV122" s="51"/>
      <c r="HW122" s="51"/>
      <c r="HX122" s="51"/>
      <c r="HY122" s="51"/>
      <c r="HZ122" s="51"/>
      <c r="IA122" s="51"/>
      <c r="IB122" s="51"/>
      <c r="IC122" s="51"/>
      <c r="ID122" s="51"/>
      <c r="IE122" s="51"/>
      <c r="IF122" s="51"/>
      <c r="IG122" s="51"/>
      <c r="IH122" s="51"/>
      <c r="II122" s="51"/>
      <c r="IJ122" s="51"/>
      <c r="IK122" s="51"/>
      <c r="IL122" s="51"/>
    </row>
    <row r="123" spans="75:246" ht="12.95" customHeight="1">
      <c r="BW123" s="51"/>
      <c r="BX123" s="51"/>
      <c r="BY123" s="51"/>
      <c r="BZ123" s="51"/>
      <c r="CA123" s="51"/>
      <c r="CB123" s="51"/>
      <c r="CC123" s="52"/>
      <c r="CD123" s="159"/>
      <c r="CE123" s="51"/>
      <c r="CF123" s="51"/>
      <c r="CG123" s="51"/>
      <c r="CH123" s="51"/>
      <c r="CI123" s="51"/>
      <c r="CJ123" s="51"/>
      <c r="CK123" s="51"/>
      <c r="CL123" s="51"/>
      <c r="CM123" s="51"/>
      <c r="CN123" s="51"/>
      <c r="CO123" s="51"/>
      <c r="CP123" s="51"/>
      <c r="CQ123" s="51"/>
      <c r="CR123" s="51"/>
      <c r="CS123" s="51"/>
      <c r="CT123" s="51"/>
      <c r="CU123" s="51"/>
      <c r="CV123" s="52"/>
      <c r="CW123" s="51"/>
      <c r="CX123" s="51"/>
      <c r="CY123" s="51"/>
      <c r="CZ123" s="51"/>
      <c r="DA123" s="51"/>
      <c r="DB123" s="51"/>
      <c r="DC123" s="51"/>
      <c r="DD123" s="51"/>
      <c r="DE123" s="51"/>
      <c r="DF123" s="51"/>
      <c r="DG123" s="51"/>
      <c r="DH123" s="51"/>
      <c r="DI123" s="51"/>
      <c r="DJ123" s="51"/>
      <c r="DK123" s="51"/>
      <c r="DL123" s="51"/>
      <c r="DM123" s="51"/>
      <c r="DN123" s="51"/>
      <c r="DO123" s="51"/>
      <c r="DP123" s="51"/>
      <c r="DQ123" s="51"/>
      <c r="DR123" s="51"/>
      <c r="DS123" s="51"/>
      <c r="DT123" s="51"/>
      <c r="DU123" s="51"/>
      <c r="DV123" s="51"/>
      <c r="DW123" s="51"/>
      <c r="DX123" s="51"/>
      <c r="DY123" s="51"/>
      <c r="DZ123" s="51"/>
      <c r="EA123" s="51"/>
      <c r="EB123" s="51"/>
      <c r="EC123" s="51"/>
      <c r="ED123" s="51"/>
      <c r="EE123" s="51"/>
      <c r="EF123" s="51"/>
      <c r="EG123" s="51"/>
      <c r="EH123" s="51"/>
      <c r="EI123" s="51"/>
      <c r="EJ123" s="51"/>
      <c r="EK123" s="51"/>
      <c r="EL123" s="51"/>
      <c r="EM123" s="51"/>
      <c r="EN123" s="51"/>
      <c r="EO123" s="51"/>
      <c r="EP123" s="51"/>
      <c r="EQ123" s="51"/>
      <c r="ER123" s="51"/>
      <c r="ES123" s="51"/>
      <c r="ET123" s="51"/>
      <c r="EU123" s="51"/>
      <c r="EV123" s="51"/>
      <c r="EW123" s="51"/>
      <c r="EX123" s="51"/>
      <c r="EY123" s="51"/>
      <c r="EZ123" s="51"/>
      <c r="FA123" s="51"/>
      <c r="FB123" s="51"/>
      <c r="FC123" s="51"/>
      <c r="FD123" s="51"/>
      <c r="FE123" s="51"/>
      <c r="FF123" s="51"/>
      <c r="FG123" s="51"/>
      <c r="FH123" s="51"/>
      <c r="FI123" s="51"/>
      <c r="FJ123" s="51"/>
      <c r="FK123" s="51"/>
      <c r="FL123" s="51"/>
      <c r="FM123" s="51"/>
      <c r="FN123" s="51"/>
      <c r="FO123" s="51"/>
      <c r="FP123" s="51"/>
      <c r="FQ123" s="51"/>
      <c r="FR123" s="51"/>
      <c r="FS123" s="51"/>
      <c r="FT123" s="51"/>
      <c r="FU123" s="51"/>
      <c r="FV123" s="51"/>
      <c r="FW123" s="51"/>
      <c r="FX123" s="51"/>
      <c r="FY123" s="51"/>
      <c r="FZ123" s="51"/>
      <c r="GA123" s="51"/>
      <c r="GB123" s="51"/>
      <c r="GC123" s="51"/>
      <c r="GD123" s="51"/>
      <c r="GE123" s="51"/>
      <c r="GF123" s="51"/>
      <c r="GG123" s="51"/>
      <c r="GH123" s="51"/>
      <c r="GI123" s="51"/>
      <c r="GJ123" s="51"/>
      <c r="GK123" s="51"/>
      <c r="GL123" s="51"/>
      <c r="GM123" s="51"/>
      <c r="GN123" s="51"/>
      <c r="GO123" s="51"/>
      <c r="GP123" s="51"/>
      <c r="GQ123" s="51"/>
      <c r="GR123" s="51"/>
      <c r="GS123" s="51"/>
      <c r="GT123" s="51"/>
      <c r="GU123" s="51"/>
      <c r="GV123" s="51"/>
      <c r="GW123" s="51"/>
      <c r="GX123" s="51"/>
      <c r="GY123" s="51"/>
      <c r="GZ123" s="51"/>
      <c r="HA123" s="51"/>
      <c r="HB123" s="51"/>
      <c r="HC123" s="51"/>
      <c r="HD123" s="51"/>
      <c r="HE123" s="51"/>
      <c r="HF123" s="51"/>
      <c r="HG123" s="51"/>
      <c r="HH123" s="51"/>
      <c r="HI123" s="51"/>
      <c r="HJ123" s="51"/>
      <c r="HK123" s="51"/>
      <c r="HL123" s="51"/>
      <c r="HM123" s="51"/>
      <c r="HN123" s="51"/>
      <c r="HO123" s="51"/>
      <c r="HP123" s="51"/>
      <c r="HQ123" s="51"/>
      <c r="HR123" s="51"/>
      <c r="HS123" s="51"/>
      <c r="HT123" s="51"/>
      <c r="HU123" s="51"/>
      <c r="HV123" s="51"/>
      <c r="HW123" s="51"/>
      <c r="HX123" s="51"/>
      <c r="HY123" s="51"/>
      <c r="HZ123" s="51"/>
      <c r="IA123" s="51"/>
      <c r="IB123" s="51"/>
      <c r="IC123" s="51"/>
      <c r="ID123" s="51"/>
      <c r="IE123" s="51"/>
      <c r="IF123" s="51"/>
      <c r="IG123" s="51"/>
      <c r="IH123" s="51"/>
      <c r="II123" s="51"/>
      <c r="IJ123" s="51"/>
      <c r="IK123" s="51"/>
      <c r="IL123" s="51"/>
    </row>
    <row r="124" spans="75:246" ht="12.95" customHeight="1">
      <c r="BW124" s="51"/>
      <c r="BX124" s="51"/>
      <c r="BY124" s="51"/>
      <c r="BZ124" s="51"/>
      <c r="CA124" s="51"/>
      <c r="CB124" s="51"/>
      <c r="CC124" s="52"/>
      <c r="CD124" s="159"/>
      <c r="CE124" s="51"/>
      <c r="CF124" s="51"/>
      <c r="CG124" s="51"/>
      <c r="CH124" s="51"/>
      <c r="CI124" s="51"/>
      <c r="CJ124" s="51"/>
      <c r="CK124" s="51"/>
      <c r="CL124" s="51"/>
      <c r="CM124" s="51"/>
      <c r="CN124" s="51"/>
      <c r="CO124" s="51"/>
      <c r="CP124" s="51"/>
      <c r="CQ124" s="51"/>
      <c r="CR124" s="51"/>
      <c r="CS124" s="51"/>
      <c r="CT124" s="51"/>
      <c r="CU124" s="51"/>
      <c r="CV124" s="52"/>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1"/>
      <c r="FT124" s="51"/>
      <c r="FU124" s="51"/>
      <c r="FV124" s="51"/>
      <c r="FW124" s="51"/>
      <c r="FX124" s="51"/>
      <c r="FY124" s="51"/>
      <c r="FZ124" s="51"/>
      <c r="GA124" s="51"/>
      <c r="GB124" s="51"/>
      <c r="GC124" s="51"/>
      <c r="GD124" s="51"/>
      <c r="GE124" s="51"/>
      <c r="GF124" s="51"/>
      <c r="GG124" s="51"/>
      <c r="GH124" s="51"/>
      <c r="GI124" s="51"/>
      <c r="GJ124" s="51"/>
      <c r="GK124" s="51"/>
      <c r="GL124" s="51"/>
      <c r="GM124" s="51"/>
      <c r="GN124" s="51"/>
      <c r="GO124" s="51"/>
      <c r="GP124" s="51"/>
      <c r="GQ124" s="51"/>
      <c r="GR124" s="51"/>
      <c r="GS124" s="51"/>
      <c r="GT124" s="51"/>
      <c r="GU124" s="51"/>
      <c r="GV124" s="51"/>
      <c r="GW124" s="51"/>
      <c r="GX124" s="51"/>
      <c r="GY124" s="51"/>
      <c r="GZ124" s="51"/>
      <c r="HA124" s="51"/>
      <c r="HB124" s="51"/>
      <c r="HC124" s="51"/>
      <c r="HD124" s="51"/>
      <c r="HE124" s="51"/>
      <c r="HF124" s="51"/>
      <c r="HG124" s="51"/>
      <c r="HH124" s="51"/>
      <c r="HI124" s="51"/>
      <c r="HJ124" s="51"/>
      <c r="HK124" s="51"/>
      <c r="HL124" s="51"/>
      <c r="HM124" s="51"/>
      <c r="HN124" s="51"/>
      <c r="HO124" s="51"/>
      <c r="HP124" s="51"/>
      <c r="HQ124" s="51"/>
      <c r="HR124" s="51"/>
      <c r="HS124" s="51"/>
      <c r="HT124" s="51"/>
      <c r="HU124" s="51"/>
      <c r="HV124" s="51"/>
      <c r="HW124" s="51"/>
      <c r="HX124" s="51"/>
      <c r="HY124" s="51"/>
      <c r="HZ124" s="51"/>
      <c r="IA124" s="51"/>
      <c r="IB124" s="51"/>
      <c r="IC124" s="51"/>
      <c r="ID124" s="51"/>
      <c r="IE124" s="51"/>
      <c r="IF124" s="51"/>
      <c r="IG124" s="51"/>
      <c r="IH124" s="51"/>
      <c r="II124" s="51"/>
      <c r="IJ124" s="51"/>
      <c r="IK124" s="51"/>
      <c r="IL124" s="51"/>
    </row>
  </sheetData>
  <sheetProtection password="C623" sheet="1" objects="1" scenarios="1" selectLockedCells="1"/>
  <protectedRanges>
    <protectedRange sqref="BY5:BY11" name="Range1_1"/>
    <protectedRange sqref="BY44:BY50" name="Range1_1_2_1"/>
    <protectedRange sqref="BY83:BY89" name="Range1_1_2_1_1"/>
  </protectedRanges>
  <mergeCells count="37">
    <mergeCell ref="G18:H18"/>
    <mergeCell ref="G19:H19"/>
    <mergeCell ref="M22:N22"/>
    <mergeCell ref="O22:P22"/>
    <mergeCell ref="CZ11:DH11"/>
    <mergeCell ref="BW4:CA4"/>
    <mergeCell ref="AH4:AI4"/>
    <mergeCell ref="AH5:AI5"/>
    <mergeCell ref="CG4:CI4"/>
    <mergeCell ref="BN5:BO5"/>
    <mergeCell ref="BW2:CC2"/>
    <mergeCell ref="BY5:CA5"/>
    <mergeCell ref="K21:N21"/>
    <mergeCell ref="BE4:BG4"/>
    <mergeCell ref="Z4:AA4"/>
    <mergeCell ref="AB5:AF5"/>
    <mergeCell ref="K18:N18"/>
    <mergeCell ref="K19:N19"/>
    <mergeCell ref="BM3:BO3"/>
    <mergeCell ref="BE3:BG3"/>
    <mergeCell ref="Z5:AA5"/>
    <mergeCell ref="AB4:AF4"/>
    <mergeCell ref="CG82:CI82"/>
    <mergeCell ref="BY83:CA83"/>
    <mergeCell ref="BW90:CA90"/>
    <mergeCell ref="CG43:CI43"/>
    <mergeCell ref="BY54:CA54"/>
    <mergeCell ref="BW43:CA43"/>
    <mergeCell ref="BY44:CA44"/>
    <mergeCell ref="BW51:CA51"/>
    <mergeCell ref="BW53:CA53"/>
    <mergeCell ref="BY93:CA93"/>
    <mergeCell ref="BW82:CA82"/>
    <mergeCell ref="BW12:CA12"/>
    <mergeCell ref="BW14:CA14"/>
    <mergeCell ref="BY15:CA15"/>
    <mergeCell ref="BW92:CA92"/>
  </mergeCells>
  <phoneticPr fontId="3" type="noConversion"/>
  <conditionalFormatting sqref="BW10 BW49 BW88">
    <cfRule type="cellIs" dxfId="418" priority="2" stopIfTrue="1" operator="equal">
      <formula>"    Nhaäp laïi cho ñuùng Nam/Nöõ"</formula>
    </cfRule>
  </conditionalFormatting>
  <conditionalFormatting sqref="BX10 BX49 BX88">
    <cfRule type="cellIs" dxfId="417" priority="1" stopIfTrue="1" operator="equal">
      <formula>"SAI"</formula>
    </cfRule>
  </conditionalFormatting>
  <pageMargins left="0.75" right="0.75" top="1" bottom="1" header="0.5" footer="0.5"/>
  <pageSetup paperSize="9" orientation="portrait" r:id="rId1"/>
  <headerFooter alignWithMargins="0"/>
  <ignoredErrors>
    <ignoredError sqref="G15" unlockedFormula="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46FC-0926-447B-8782-EF112CA426F5}">
  <sheetPr codeName="Sheet4"/>
  <dimension ref="A1:BD202"/>
  <sheetViews>
    <sheetView workbookViewId="0">
      <selection activeCell="L11" sqref="L11"/>
    </sheetView>
  </sheetViews>
  <sheetFormatPr defaultRowHeight="12.75"/>
  <cols>
    <col min="1" max="1" width="6" style="773" customWidth="1"/>
    <col min="2" max="2" width="8" style="773" customWidth="1"/>
    <col min="3" max="3" width="4.42578125" style="773" customWidth="1"/>
    <col min="4" max="4" width="5.85546875" style="773" customWidth="1"/>
    <col min="5" max="5" width="8" style="773" customWidth="1"/>
    <col min="6" max="6" width="4.85546875" style="773" customWidth="1"/>
    <col min="7" max="7" width="6.28515625" style="773" customWidth="1"/>
    <col min="8" max="8" width="6.85546875" style="773" customWidth="1"/>
    <col min="9" max="9" width="4.85546875" style="773" customWidth="1"/>
    <col min="10" max="10" width="5.85546875" style="773" customWidth="1"/>
    <col min="11" max="11" width="8.5703125" style="773" customWidth="1"/>
    <col min="12" max="12" width="6" style="773" customWidth="1"/>
    <col min="13" max="13" width="12" style="773" customWidth="1"/>
    <col min="14" max="14" width="11.85546875" style="773" customWidth="1"/>
    <col min="15" max="15" width="12.7109375" style="773" customWidth="1"/>
    <col min="16" max="16" width="6.7109375" style="773" customWidth="1"/>
    <col min="17" max="17" width="5.140625" style="773" customWidth="1"/>
    <col min="18" max="16384" width="9.140625" style="773"/>
  </cols>
  <sheetData>
    <row r="1" spans="1:32">
      <c r="A1" s="772" t="s">
        <v>7815</v>
      </c>
      <c r="D1" s="774" t="s">
        <v>1422</v>
      </c>
      <c r="G1" s="775" t="s">
        <v>7816</v>
      </c>
      <c r="J1" s="772" t="s">
        <v>7817</v>
      </c>
      <c r="M1" s="776" t="s">
        <v>4986</v>
      </c>
      <c r="N1" s="777" t="str">
        <f>qdich!B1</f>
        <v>Lá số</v>
      </c>
      <c r="Z1" s="773" t="str">
        <f ca="1">VLOOKUP(1,$Y$24:$Z$42,2,0)</f>
        <v>Kình Dương</v>
      </c>
      <c r="AA1" s="773" t="b">
        <f t="shared" ref="AA1:AA11" ca="1" si="0">ISTEXT(Z1)</f>
        <v>1</v>
      </c>
      <c r="AB1" s="773">
        <f t="shared" ref="AB1:AB11" ca="1" si="1">IF(LEFT(AA1,1)="T",1,0)</f>
        <v>1</v>
      </c>
      <c r="AC1" s="773" t="str">
        <f ca="1">VLOOKUP(1,$AD$24:$AE$47,2,0)</f>
        <v>Văn Xương</v>
      </c>
      <c r="AD1" s="773" t="b">
        <f t="shared" ref="AD1:AD11" ca="1" si="2">ISTEXT(AC1)</f>
        <v>1</v>
      </c>
      <c r="AE1" s="773">
        <f t="shared" ref="AE1:AE11" ca="1" si="3">IF(LEFT(AD1,1)="T",1,0)</f>
        <v>1</v>
      </c>
    </row>
    <row r="2" spans="1:32" ht="15" customHeight="1">
      <c r="A2" s="778" t="str">
        <f ca="1">VLOOKUP(G3,$A$74:$K$83,E86+1,0)</f>
        <v>Sát</v>
      </c>
      <c r="B2" s="779" t="str">
        <f ca="1">HLOOKUP(A3,$A$58:$K$70,$F$87+1,0)</f>
        <v>Bệnh</v>
      </c>
      <c r="D2" s="778" t="str">
        <f ca="1">VLOOKUP(G3,$A$74:$K$83,E87+1,0)</f>
        <v>Sát</v>
      </c>
      <c r="E2" s="779" t="str">
        <f ca="1">HLOOKUP(D3,$A$58:$K$70,$F$87+1,0)</f>
        <v>Bệnh</v>
      </c>
      <c r="F2" s="780" t="str">
        <f ca="1">HLOOKUP($G$3,$A$141:$K$153,F86+1,0)</f>
        <v>Đ.Vượng</v>
      </c>
      <c r="G2" s="779" t="str">
        <f ca="1">HLOOKUP($G$3,$A$141:$K$153,F87+1,0)</f>
        <v>T.Sinh</v>
      </c>
      <c r="H2" s="781" t="str">
        <f ca="1">HLOOKUP($G$3,$A$141:$K$153,F88+1,0)</f>
        <v>Q.Đới</v>
      </c>
      <c r="I2" s="780" t="str">
        <f ca="1">HLOOKUP($G$3,$A$141:$K$153,F89+1,0)</f>
        <v>Q.Đới</v>
      </c>
      <c r="J2" s="778" t="str">
        <f ca="1">VLOOKUP(G3,$A$74:$K$83,E88+1,0)</f>
        <v>Sát</v>
      </c>
      <c r="K2" s="779" t="str">
        <f ca="1">HLOOKUP(J3,$A$58:$K$70,$F$87+1,0)</f>
        <v>Bệnh</v>
      </c>
      <c r="L2" s="782" t="str">
        <f t="shared" ref="L2:L9" ca="1" si="4">VLOOKUP($G$3,$A$74:$K$83,G86+1,0)</f>
        <v>Tài</v>
      </c>
      <c r="M2" s="783" t="str">
        <f ca="1">P46</f>
        <v>tân sửu</v>
      </c>
      <c r="N2" s="784">
        <f ca="1">qdich!P22</f>
        <v>4.333333333333333</v>
      </c>
      <c r="O2" s="773" t="str">
        <f t="shared" ref="O2:O9" ca="1" si="5">LEFT(M2,Q2-1)</f>
        <v>tân</v>
      </c>
      <c r="P2" s="773" t="str">
        <f t="shared" ref="P2:P9" ca="1" si="6">RIGHT(M2,LEN(M2)-Q2)</f>
        <v>sửu</v>
      </c>
      <c r="Q2" s="773">
        <f t="shared" ref="Q2:Q9" ca="1" si="7">FIND(" ",M2)</f>
        <v>4</v>
      </c>
      <c r="Z2" s="773" t="e">
        <f ca="1">VLOOKUP(2,$Y$24:$Z$42,2,0)</f>
        <v>#N/A</v>
      </c>
      <c r="AA2" s="773" t="b">
        <f t="shared" ca="1" si="0"/>
        <v>0</v>
      </c>
      <c r="AB2" s="773">
        <f t="shared" ca="1" si="1"/>
        <v>0</v>
      </c>
      <c r="AC2" s="773" t="str">
        <f ca="1">VLOOKUP(2,$AD$24:$AE$47,2,0)</f>
        <v>Phúc Tinh</v>
      </c>
      <c r="AD2" s="773" t="b">
        <f t="shared" ca="1" si="2"/>
        <v>1</v>
      </c>
      <c r="AE2" s="773">
        <f t="shared" ca="1" si="3"/>
        <v>1</v>
      </c>
    </row>
    <row r="3" spans="1:32">
      <c r="A3" s="785" t="str">
        <f ca="1">G128</f>
        <v>Nhâm</v>
      </c>
      <c r="B3" s="785" t="str">
        <f ca="1">H128</f>
        <v>Ngọ</v>
      </c>
      <c r="C3" s="772"/>
      <c r="D3" s="785" t="str">
        <f ca="1">G129</f>
        <v>Nhâm</v>
      </c>
      <c r="E3" s="785" t="str">
        <f ca="1">H129</f>
        <v>Dần</v>
      </c>
      <c r="F3" s="772"/>
      <c r="G3" s="786" t="str">
        <f ca="1">G130</f>
        <v>Bính</v>
      </c>
      <c r="H3" s="785" t="str">
        <f ca="1">H130</f>
        <v>Thìn</v>
      </c>
      <c r="I3" s="772"/>
      <c r="J3" s="785" t="str">
        <f ca="1">G131</f>
        <v>Nhâm</v>
      </c>
      <c r="K3" s="785" t="str">
        <f ca="1">H131</f>
        <v>Thìn</v>
      </c>
      <c r="L3" s="782" t="str">
        <f t="shared" ca="1" si="4"/>
        <v>Tài</v>
      </c>
      <c r="M3" s="783" t="str">
        <f ca="1">Q46</f>
        <v>canh tý</v>
      </c>
      <c r="N3" s="784">
        <f t="shared" ref="N3:N9" ca="1" si="8">N2+10</f>
        <v>14.333333333333332</v>
      </c>
      <c r="O3" s="773" t="str">
        <f t="shared" ca="1" si="5"/>
        <v>canh</v>
      </c>
      <c r="P3" s="773" t="str">
        <f t="shared" ca="1" si="6"/>
        <v>tý</v>
      </c>
      <c r="Q3" s="773">
        <f t="shared" ca="1" si="7"/>
        <v>5</v>
      </c>
      <c r="T3" s="773" t="str">
        <f>V7</f>
        <v>tân</v>
      </c>
      <c r="U3" s="773" t="str">
        <f>W7</f>
        <v>mão</v>
      </c>
      <c r="V3" s="773" t="str">
        <f ca="1">V5</f>
        <v>nhâm</v>
      </c>
      <c r="W3" s="773" t="str">
        <f ca="1">W5</f>
        <v>ngọ</v>
      </c>
      <c r="X3" s="773" t="str">
        <f ca="1">V6</f>
        <v>tân</v>
      </c>
      <c r="Y3" s="773" t="str">
        <f ca="1">W6</f>
        <v>sửu</v>
      </c>
      <c r="Z3" s="773" t="e">
        <f ca="1">VLOOKUP(3,$Y$24:$Z$42,2,0)</f>
        <v>#N/A</v>
      </c>
      <c r="AA3" s="773" t="b">
        <f t="shared" ca="1" si="0"/>
        <v>0</v>
      </c>
      <c r="AB3" s="773">
        <f t="shared" ca="1" si="1"/>
        <v>0</v>
      </c>
      <c r="AC3" s="773" t="str">
        <f ca="1">VLOOKUP(3,$AD$24:$AE$47,2,0)</f>
        <v>Thiên Mã</v>
      </c>
      <c r="AD3" s="773" t="b">
        <f t="shared" ca="1" si="2"/>
        <v>1</v>
      </c>
      <c r="AE3" s="773">
        <f t="shared" ca="1" si="3"/>
        <v>1</v>
      </c>
    </row>
    <row r="4" spans="1:32">
      <c r="A4" s="1024" t="str">
        <f ca="1">VLOOKUP(B3,$A$99:$E$110,5,0)</f>
        <v xml:space="preserve">kỷ Đinh </v>
      </c>
      <c r="B4" s="1024"/>
      <c r="D4" s="1024" t="str">
        <f ca="1">VLOOKUP(E3,$A$99:$E$110,5,0)</f>
        <v>mậu bính Giáp</v>
      </c>
      <c r="E4" s="1024"/>
      <c r="G4" s="1024" t="str">
        <f ca="1">VLOOKUP(H3,$A$99:$E$110,5,0)</f>
        <v>ất quý Mậu</v>
      </c>
      <c r="H4" s="1024"/>
      <c r="J4" s="1024" t="str">
        <f ca="1">VLOOKUP(K3,$A$99:$E$110,5,0)</f>
        <v>ất quý Mậu</v>
      </c>
      <c r="K4" s="1024"/>
      <c r="L4" s="782" t="str">
        <f t="shared" ca="1" si="4"/>
        <v>Thương</v>
      </c>
      <c r="M4" s="783" t="str">
        <f ca="1">R46</f>
        <v>kỷ hợi</v>
      </c>
      <c r="N4" s="784">
        <f t="shared" ca="1" si="8"/>
        <v>24.333333333333332</v>
      </c>
      <c r="O4" s="773" t="str">
        <f t="shared" ca="1" si="5"/>
        <v>kỷ</v>
      </c>
      <c r="P4" s="773" t="str">
        <f t="shared" ca="1" si="6"/>
        <v>hợi</v>
      </c>
      <c r="Q4" s="773">
        <f t="shared" ca="1" si="7"/>
        <v>3</v>
      </c>
      <c r="Z4" s="773" t="e">
        <f ca="1">VLOOKUP(4,$Y$24:$Z$42,2,0)</f>
        <v>#N/A</v>
      </c>
      <c r="AA4" s="773" t="b">
        <f t="shared" ca="1" si="0"/>
        <v>0</v>
      </c>
      <c r="AB4" s="773">
        <f t="shared" ca="1" si="1"/>
        <v>0</v>
      </c>
      <c r="AC4" s="773" t="e">
        <f ca="1">VLOOKUP(4,$AD$24:$AE$47,2,0)</f>
        <v>#N/A</v>
      </c>
      <c r="AD4" s="773" t="b">
        <f t="shared" ca="1" si="2"/>
        <v>0</v>
      </c>
      <c r="AE4" s="773">
        <f t="shared" ca="1" si="3"/>
        <v>0</v>
      </c>
    </row>
    <row r="5" spans="1:32" ht="14.1" customHeight="1">
      <c r="A5" s="1023" t="str">
        <f ca="1">H116</f>
        <v xml:space="preserve">ThươngKiếp </v>
      </c>
      <c r="B5" s="1023"/>
      <c r="C5" s="787"/>
      <c r="D5" s="1023" t="str">
        <f ca="1">E116</f>
        <v>ThựcTỷKiêu</v>
      </c>
      <c r="E5" s="1023"/>
      <c r="F5" s="787"/>
      <c r="G5" s="788" t="str">
        <f ca="1">B116</f>
        <v>ẤnQuanThực</v>
      </c>
      <c r="H5" s="789"/>
      <c r="I5" s="787"/>
      <c r="J5" s="1023" t="str">
        <f ca="1">B121</f>
        <v>ẤnQuanThực</v>
      </c>
      <c r="K5" s="1023"/>
      <c r="L5" s="782" t="str">
        <f t="shared" ca="1" si="4"/>
        <v>Thực</v>
      </c>
      <c r="M5" s="783" t="str">
        <f ca="1">S46</f>
        <v>mậu tuất</v>
      </c>
      <c r="N5" s="784">
        <f t="shared" ca="1" si="8"/>
        <v>34.333333333333329</v>
      </c>
      <c r="O5" s="773" t="str">
        <f t="shared" ca="1" si="5"/>
        <v>mậu</v>
      </c>
      <c r="P5" s="773" t="str">
        <f t="shared" ca="1" si="6"/>
        <v>tuất</v>
      </c>
      <c r="Q5" s="773">
        <f t="shared" ca="1" si="7"/>
        <v>4</v>
      </c>
      <c r="T5" s="773" t="str">
        <f ca="1">O12</f>
        <v>nhâm ngọ</v>
      </c>
      <c r="U5" s="773">
        <f ca="1">FIND(" ",T5)</f>
        <v>5</v>
      </c>
      <c r="V5" s="773" t="str">
        <f ca="1">LEFT(T5,U5-1)</f>
        <v>nhâm</v>
      </c>
      <c r="W5" s="773" t="str">
        <f ca="1">RIGHT(T5,LEN(T5)-U5)</f>
        <v>ngọ</v>
      </c>
      <c r="Z5" s="773" t="e">
        <f ca="1">VLOOKUP(5,$Y$24:$Z$42,2,0)</f>
        <v>#N/A</v>
      </c>
      <c r="AA5" s="773" t="b">
        <f t="shared" ca="1" si="0"/>
        <v>0</v>
      </c>
      <c r="AB5" s="773">
        <f t="shared" ca="1" si="1"/>
        <v>0</v>
      </c>
      <c r="AC5" s="773" t="e">
        <f ca="1">VLOOKUP(5,$AD$24:$AE$47,2,0)</f>
        <v>#N/A</v>
      </c>
      <c r="AD5" s="773" t="b">
        <f t="shared" ca="1" si="2"/>
        <v>0</v>
      </c>
      <c r="AE5" s="773">
        <f t="shared" ca="1" si="3"/>
        <v>0</v>
      </c>
    </row>
    <row r="6" spans="1:32">
      <c r="B6" s="779" t="str">
        <f ca="1">HLOOKUP(C128,$A$58:$K$70,$F$87+1,0)</f>
        <v>Tử</v>
      </c>
      <c r="C6" s="790"/>
      <c r="D6" s="790"/>
      <c r="E6" s="779" t="str">
        <f ca="1">HLOOKUP(C129,$A$58:$K$70,$F$87+1,0)</f>
        <v>Lâm quan</v>
      </c>
      <c r="F6" s="790"/>
      <c r="G6" s="790"/>
      <c r="H6" s="779" t="str">
        <f ca="1">HLOOKUP(C130,$A$58:$K$70,$F$87+1,0)</f>
        <v>Tràng sinh</v>
      </c>
      <c r="I6" s="790"/>
      <c r="J6" s="790"/>
      <c r="K6" s="779" t="str">
        <f ca="1">HLOOKUP(C131,$A$58:$K$70,$F$87+1,0)</f>
        <v>Tràng sinh</v>
      </c>
      <c r="L6" s="782" t="str">
        <f t="shared" ca="1" si="4"/>
        <v>Kiếp</v>
      </c>
      <c r="M6" s="783" t="str">
        <f ca="1">T46</f>
        <v>đinh dậu</v>
      </c>
      <c r="N6" s="784">
        <f t="shared" ca="1" si="8"/>
        <v>44.333333333333329</v>
      </c>
      <c r="O6" s="773" t="str">
        <f t="shared" ca="1" si="5"/>
        <v>đinh</v>
      </c>
      <c r="P6" s="773" t="str">
        <f t="shared" ca="1" si="6"/>
        <v>dậu</v>
      </c>
      <c r="Q6" s="773">
        <f t="shared" ca="1" si="7"/>
        <v>5</v>
      </c>
      <c r="T6" s="773" t="str">
        <f ca="1">S54</f>
        <v>tân sửu</v>
      </c>
      <c r="U6" s="773">
        <f ca="1">FIND(" ",T6)</f>
        <v>4</v>
      </c>
      <c r="V6" s="773" t="str">
        <f ca="1">LEFT(T6,U6-1)</f>
        <v>tân</v>
      </c>
      <c r="W6" s="773" t="str">
        <f ca="1">RIGHT(T6,LEN(T6)-U6)</f>
        <v>sửu</v>
      </c>
      <c r="Z6" s="773" t="e">
        <f ca="1">VLOOKUP(6,$Y$24:$Z$42,2,0)</f>
        <v>#N/A</v>
      </c>
      <c r="AA6" s="773" t="b">
        <f t="shared" ca="1" si="0"/>
        <v>0</v>
      </c>
      <c r="AB6" s="773">
        <f t="shared" ca="1" si="1"/>
        <v>0</v>
      </c>
      <c r="AC6" s="773" t="e">
        <f ca="1">VLOOKUP(6,$AD$24:$AE$47,2,0)</f>
        <v>#N/A</v>
      </c>
      <c r="AD6" s="773" t="b">
        <f t="shared" ca="1" si="2"/>
        <v>0</v>
      </c>
      <c r="AE6" s="773">
        <f t="shared" ca="1" si="3"/>
        <v>0</v>
      </c>
    </row>
    <row r="7" spans="1:32">
      <c r="A7" s="791" t="s">
        <v>6533</v>
      </c>
      <c r="B7" s="791" t="str">
        <f ca="1">N60</f>
        <v>Mộc</v>
      </c>
      <c r="L7" s="782" t="str">
        <f t="shared" ca="1" si="4"/>
        <v>Tỷ</v>
      </c>
      <c r="M7" s="783" t="str">
        <f ca="1">U46</f>
        <v>bính thân</v>
      </c>
      <c r="N7" s="784">
        <f t="shared" ca="1" si="8"/>
        <v>54.333333333333329</v>
      </c>
      <c r="O7" s="773" t="str">
        <f t="shared" ca="1" si="5"/>
        <v>bính</v>
      </c>
      <c r="P7" s="773" t="str">
        <f t="shared" ca="1" si="6"/>
        <v>thân</v>
      </c>
      <c r="Q7" s="773">
        <f t="shared" ca="1" si="7"/>
        <v>5</v>
      </c>
      <c r="T7" s="773" t="str">
        <f>N12</f>
        <v>tân mão</v>
      </c>
      <c r="U7" s="773">
        <f>FIND(" ",T7)</f>
        <v>4</v>
      </c>
      <c r="V7" s="773" t="str">
        <f>LEFT(T7,U7-1)</f>
        <v>tân</v>
      </c>
      <c r="W7" s="773" t="str">
        <f>RIGHT(T7,LEN(T7)-U7)</f>
        <v>mão</v>
      </c>
      <c r="Z7" s="773" t="e">
        <f ca="1">VLOOKUP(7,$Y$24:$Z$42,2,0)</f>
        <v>#N/A</v>
      </c>
      <c r="AA7" s="773" t="b">
        <f t="shared" ca="1" si="0"/>
        <v>0</v>
      </c>
      <c r="AB7" s="773">
        <f t="shared" ca="1" si="1"/>
        <v>0</v>
      </c>
      <c r="AC7" s="773" t="e">
        <f ca="1">VLOOKUP(7,$AD$24:$AE$47,2,0)</f>
        <v>#N/A</v>
      </c>
      <c r="AD7" s="773" t="b">
        <f t="shared" ca="1" si="2"/>
        <v>0</v>
      </c>
      <c r="AE7" s="773">
        <f t="shared" ca="1" si="3"/>
        <v>0</v>
      </c>
    </row>
    <row r="8" spans="1:32">
      <c r="A8" s="783" t="str">
        <f t="shared" ref="A8:A17" ca="1" si="9">IF(AB1=1,Z1," ")</f>
        <v>Kình Dương</v>
      </c>
      <c r="B8" s="783"/>
      <c r="D8" s="783" t="str">
        <f t="shared" ref="D8:D17" ca="1" si="10">IF(AE1=1,AC1," ")</f>
        <v>Văn Xương</v>
      </c>
      <c r="E8" s="783"/>
      <c r="G8" s="783" t="str">
        <f t="shared" ref="G8:G17" ca="1" si="11">IF(T12=1,R12," ")</f>
        <v>Nguyệt Đức</v>
      </c>
      <c r="H8" s="783"/>
      <c r="J8" s="783" t="str">
        <f t="shared" ref="J8:J17" ca="1" si="12">IF(W12=1,U12," ")</f>
        <v>Phúc Tinh</v>
      </c>
      <c r="K8" s="783"/>
      <c r="L8" s="782" t="str">
        <f t="shared" ca="1" si="4"/>
        <v>Ấn</v>
      </c>
      <c r="M8" s="783" t="str">
        <f ca="1">V46</f>
        <v>ất mùi</v>
      </c>
      <c r="N8" s="784">
        <f t="shared" ca="1" si="8"/>
        <v>64.333333333333329</v>
      </c>
      <c r="O8" s="773" t="str">
        <f t="shared" ca="1" si="5"/>
        <v>ất</v>
      </c>
      <c r="P8" s="773" t="str">
        <f t="shared" ca="1" si="6"/>
        <v>mùi</v>
      </c>
      <c r="Q8" s="773">
        <f t="shared" ca="1" si="7"/>
        <v>3</v>
      </c>
      <c r="Z8" s="773" t="e">
        <f ca="1">VLOOKUP(8,$Y$24:$Z$42,2,0)</f>
        <v>#N/A</v>
      </c>
      <c r="AA8" s="773" t="b">
        <f t="shared" ca="1" si="0"/>
        <v>0</v>
      </c>
      <c r="AB8" s="773">
        <f t="shared" ca="1" si="1"/>
        <v>0</v>
      </c>
      <c r="AC8" s="773" t="e">
        <f ca="1">VLOOKUP(8,$AD$24:$AE$47,2,0)</f>
        <v>#N/A</v>
      </c>
      <c r="AD8" s="773" t="b">
        <f t="shared" ca="1" si="2"/>
        <v>0</v>
      </c>
      <c r="AE8" s="773">
        <f t="shared" ca="1" si="3"/>
        <v>0</v>
      </c>
    </row>
    <row r="9" spans="1:32">
      <c r="A9" s="783" t="str">
        <f t="shared" ca="1" si="9"/>
        <v xml:space="preserve"> </v>
      </c>
      <c r="B9" s="783"/>
      <c r="D9" s="783" t="str">
        <f t="shared" ca="1" si="10"/>
        <v>Phúc Tinh</v>
      </c>
      <c r="E9" s="783"/>
      <c r="F9" s="792"/>
      <c r="G9" s="783" t="str">
        <f t="shared" ca="1" si="11"/>
        <v>Phúc Tinh</v>
      </c>
      <c r="H9" s="783"/>
      <c r="J9" s="783" t="str">
        <f t="shared" ca="1" si="12"/>
        <v>Hoa Cái</v>
      </c>
      <c r="K9" s="783"/>
      <c r="L9" s="782" t="str">
        <f t="shared" ca="1" si="4"/>
        <v>Kiêu</v>
      </c>
      <c r="M9" s="783" t="str">
        <f ca="1">W46</f>
        <v>giáp ngọ</v>
      </c>
      <c r="N9" s="784">
        <f t="shared" ca="1" si="8"/>
        <v>74.333333333333329</v>
      </c>
      <c r="O9" s="773" t="str">
        <f t="shared" ca="1" si="5"/>
        <v>giáp</v>
      </c>
      <c r="P9" s="773" t="str">
        <f t="shared" ca="1" si="6"/>
        <v>ngọ</v>
      </c>
      <c r="Q9" s="773">
        <f t="shared" ca="1" si="7"/>
        <v>5</v>
      </c>
      <c r="Z9" s="773" t="e">
        <f ca="1">VLOOKUP(9,$Y$24:$Z$42,2,0)</f>
        <v>#N/A</v>
      </c>
      <c r="AA9" s="773" t="b">
        <f t="shared" ca="1" si="0"/>
        <v>0</v>
      </c>
      <c r="AB9" s="773">
        <f t="shared" ca="1" si="1"/>
        <v>0</v>
      </c>
      <c r="AC9" s="773" t="e">
        <f ca="1">VLOOKUP(9,$AD$24:$AE$47,2,0)</f>
        <v>#N/A</v>
      </c>
      <c r="AD9" s="773" t="b">
        <f t="shared" ca="1" si="2"/>
        <v>0</v>
      </c>
      <c r="AE9" s="773">
        <f t="shared" ca="1" si="3"/>
        <v>0</v>
      </c>
    </row>
    <row r="10" spans="1:32">
      <c r="A10" s="783" t="str">
        <f t="shared" ca="1" si="9"/>
        <v xml:space="preserve"> </v>
      </c>
      <c r="B10" s="783"/>
      <c r="D10" s="783" t="str">
        <f t="shared" ca="1" si="10"/>
        <v>Thiên Mã</v>
      </c>
      <c r="E10" s="783"/>
      <c r="F10" s="792"/>
      <c r="G10" s="783" t="str">
        <f t="shared" ca="1" si="11"/>
        <v>Quả Tú</v>
      </c>
      <c r="H10" s="783"/>
      <c r="J10" s="783" t="str">
        <f t="shared" ca="1" si="12"/>
        <v>Quả Tú</v>
      </c>
      <c r="K10" s="783"/>
      <c r="L10" s="793" t="s">
        <v>6534</v>
      </c>
      <c r="M10" s="794" t="s">
        <v>4986</v>
      </c>
      <c r="N10" s="795" t="s">
        <v>6535</v>
      </c>
      <c r="O10" s="795" t="s">
        <v>7813</v>
      </c>
      <c r="Z10" s="773" t="e">
        <f ca="1">VLOOKUP(10,$Y$24:$Z$42,2,0)</f>
        <v>#N/A</v>
      </c>
      <c r="AA10" s="773" t="b">
        <f t="shared" ca="1" si="0"/>
        <v>0</v>
      </c>
      <c r="AB10" s="773">
        <f t="shared" ca="1" si="1"/>
        <v>0</v>
      </c>
      <c r="AC10" s="773" t="e">
        <f ca="1">VLOOKUP(10,$AD$24:$AE$47,2,0)</f>
        <v>#N/A</v>
      </c>
      <c r="AD10" s="773" t="b">
        <f t="shared" ca="1" si="2"/>
        <v>0</v>
      </c>
      <c r="AE10" s="773">
        <f t="shared" ca="1" si="3"/>
        <v>0</v>
      </c>
    </row>
    <row r="11" spans="1:32">
      <c r="A11" s="783" t="str">
        <f t="shared" ca="1" si="9"/>
        <v xml:space="preserve"> </v>
      </c>
      <c r="B11" s="783"/>
      <c r="D11" s="783" t="str">
        <f t="shared" ca="1" si="10"/>
        <v xml:space="preserve"> </v>
      </c>
      <c r="E11" s="783"/>
      <c r="F11" s="792"/>
      <c r="G11" s="783" t="str">
        <f t="shared" ca="1" si="11"/>
        <v xml:space="preserve"> </v>
      </c>
      <c r="H11" s="783"/>
      <c r="J11" s="783" t="str">
        <f t="shared" ca="1" si="12"/>
        <v xml:space="preserve"> </v>
      </c>
      <c r="K11" s="783"/>
      <c r="L11" s="796">
        <v>2011</v>
      </c>
      <c r="M11" s="797" t="str">
        <f ca="1">VLOOKUP($G$3,$A$74:$K$83,E90+1,0)</f>
        <v>Tài</v>
      </c>
      <c r="N11" s="797" t="str">
        <f ca="1">VLOOKUP($G$3,$A$74:$K$83,E91+1,0)</f>
        <v>Tài</v>
      </c>
      <c r="O11" s="797" t="str">
        <f ca="1">VLOOKUP($G$3,$A$74:$K$83,E92+1,0)</f>
        <v>Sát</v>
      </c>
      <c r="Z11" s="773" t="e">
        <f ca="1">VLOOKUP(11,$Y$24:$Z$42,2,0)</f>
        <v>#N/A</v>
      </c>
      <c r="AA11" s="773" t="b">
        <f t="shared" ca="1" si="0"/>
        <v>0</v>
      </c>
      <c r="AB11" s="773">
        <f t="shared" ca="1" si="1"/>
        <v>0</v>
      </c>
      <c r="AC11" s="773" t="e">
        <f ca="1">VLOOKUP(11,$AD$24:$AE$47,2,0)</f>
        <v>#N/A</v>
      </c>
      <c r="AD11" s="773" t="b">
        <f t="shared" ca="1" si="2"/>
        <v>0</v>
      </c>
      <c r="AE11" s="773">
        <f t="shared" ca="1" si="3"/>
        <v>0</v>
      </c>
    </row>
    <row r="12" spans="1:32" ht="15" customHeight="1">
      <c r="A12" s="783" t="str">
        <f t="shared" ca="1" si="9"/>
        <v xml:space="preserve"> </v>
      </c>
      <c r="B12" s="783"/>
      <c r="C12" s="798"/>
      <c r="D12" s="783" t="str">
        <f t="shared" ca="1" si="10"/>
        <v xml:space="preserve"> </v>
      </c>
      <c r="E12" s="783"/>
      <c r="F12" s="792"/>
      <c r="G12" s="783" t="str">
        <f t="shared" ca="1" si="11"/>
        <v xml:space="preserve"> </v>
      </c>
      <c r="H12" s="783"/>
      <c r="J12" s="783" t="str">
        <f t="shared" ca="1" si="12"/>
        <v xml:space="preserve"> </v>
      </c>
      <c r="K12" s="783"/>
      <c r="M12" s="772" t="str">
        <f ca="1">S54</f>
        <v>tân sửu</v>
      </c>
      <c r="N12" s="772" t="str">
        <f>VLOOKUP(L11,R58:S202,2,0)</f>
        <v>tân mão</v>
      </c>
      <c r="O12" s="772" t="str">
        <f ca="1">VLOOKUP(Q26,$L$64:$M$123,2,0)</f>
        <v>nhâm ngọ</v>
      </c>
      <c r="R12" s="773" t="str">
        <f ca="1">VLOOKUP(1,$AI$24:$AJ$52,2,0)</f>
        <v>Nguyệt Đức</v>
      </c>
      <c r="S12" s="773" t="b">
        <f t="shared" ref="S12:S22" ca="1" si="13">ISTEXT(R12)</f>
        <v>1</v>
      </c>
      <c r="T12" s="773">
        <f t="shared" ref="T12:T22" ca="1" si="14">IF(LEFT(S12,1)="T",1,0)</f>
        <v>1</v>
      </c>
      <c r="U12" s="773" t="str">
        <f ca="1">VLOOKUP(1,$AN$24:$AO$49,2,0)</f>
        <v>Phúc Tinh</v>
      </c>
      <c r="V12" s="773" t="b">
        <f t="shared" ref="V12:V22" ca="1" si="15">ISTEXT(U12)</f>
        <v>1</v>
      </c>
      <c r="W12" s="773">
        <f t="shared" ref="W12:W22" ca="1" si="16">IF(LEFT(V12,1)="T",1,0)</f>
        <v>1</v>
      </c>
      <c r="X12" s="773" t="str">
        <f ca="1">VLOOKUP(1,$AS$24:$AT$49,2,0)</f>
        <v>Không Vong</v>
      </c>
      <c r="Y12" s="773" t="b">
        <f t="shared" ref="Y12:Y22" ca="1" si="17">ISTEXT(X12)</f>
        <v>1</v>
      </c>
      <c r="Z12" s="773">
        <f t="shared" ref="Z12:Z22" ca="1" si="18">IF(LEFT(Y12,1)="T",1,0)</f>
        <v>1</v>
      </c>
      <c r="AA12" s="773" t="str">
        <f ca="1">VLOOKUP(1,$AX$24:$AY$49,2,0)</f>
        <v>Thiênất-Năm</v>
      </c>
      <c r="AB12" s="773" t="b">
        <f t="shared" ref="AB12:AB22" ca="1" si="19">ISTEXT(AA12)</f>
        <v>1</v>
      </c>
      <c r="AC12" s="773">
        <f t="shared" ref="AC12:AC22" ca="1" si="20">IF(LEFT(AB12,1)="T",1,0)</f>
        <v>1</v>
      </c>
      <c r="AD12" s="773" t="str">
        <f ca="1">VLOOKUP(1,$BC$24:$BD$49,2,0)</f>
        <v>Kình Dương</v>
      </c>
      <c r="AE12" s="773" t="b">
        <f t="shared" ref="AE12:AE22" ca="1" si="21">ISTEXT(AD12)</f>
        <v>1</v>
      </c>
      <c r="AF12" s="773">
        <f t="shared" ref="AF12:AF22" ca="1" si="22">IF(LEFT(AE12,1)="T",1,0)</f>
        <v>1</v>
      </c>
    </row>
    <row r="13" spans="1:32">
      <c r="A13" s="783" t="str">
        <f t="shared" ca="1" si="9"/>
        <v xml:space="preserve"> </v>
      </c>
      <c r="B13" s="783"/>
      <c r="C13" s="798"/>
      <c r="D13" s="783" t="str">
        <f t="shared" ca="1" si="10"/>
        <v xml:space="preserve"> </v>
      </c>
      <c r="E13" s="783"/>
      <c r="F13" s="798"/>
      <c r="G13" s="783" t="str">
        <f t="shared" ca="1" si="11"/>
        <v xml:space="preserve"> </v>
      </c>
      <c r="H13" s="783"/>
      <c r="I13" s="798"/>
      <c r="J13" s="783" t="str">
        <f t="shared" ca="1" si="12"/>
        <v xml:space="preserve"> </v>
      </c>
      <c r="K13" s="783"/>
      <c r="M13" s="799" t="str">
        <f ca="1">VLOOKUP(Y3,$A$99:$E$110,5,0)</f>
        <v>quý tân Kỷ</v>
      </c>
      <c r="N13" s="799" t="str">
        <f>VLOOKUP(U3,$A$99:$E$110,5,0)</f>
        <v xml:space="preserve">Ất  </v>
      </c>
      <c r="O13" s="799" t="str">
        <f ca="1">VLOOKUP(W3,$A$99:$E$110,5,0)</f>
        <v xml:space="preserve">kỷ Đinh </v>
      </c>
      <c r="R13" s="773" t="str">
        <f ca="1">VLOOKUP(2,$AI$24:$AJ$52,2,0)</f>
        <v>Phúc Tinh</v>
      </c>
      <c r="S13" s="773" t="b">
        <f t="shared" ca="1" si="13"/>
        <v>1</v>
      </c>
      <c r="T13" s="773">
        <f t="shared" ca="1" si="14"/>
        <v>1</v>
      </c>
      <c r="U13" s="773" t="str">
        <f ca="1">VLOOKUP(2,$AN$24:$AO$49,2,0)</f>
        <v>Hoa Cái</v>
      </c>
      <c r="V13" s="773" t="b">
        <f t="shared" ca="1" si="15"/>
        <v>1</v>
      </c>
      <c r="W13" s="773">
        <f t="shared" ca="1" si="16"/>
        <v>1</v>
      </c>
      <c r="X13" s="773" t="str">
        <f ca="1">VLOOKUP(2,$AS$24:$AT$49,2,0)</f>
        <v>Quốc ấn</v>
      </c>
      <c r="Y13" s="773" t="b">
        <f t="shared" ca="1" si="17"/>
        <v>1</v>
      </c>
      <c r="Z13" s="773">
        <f t="shared" ca="1" si="18"/>
        <v>1</v>
      </c>
      <c r="AA13" s="773" t="str">
        <f ca="1">VLOOKUP(2,$AX$24:$AY$49,2,0)</f>
        <v>Đào Hoa</v>
      </c>
      <c r="AB13" s="773" t="b">
        <f t="shared" ca="1" si="19"/>
        <v>1</v>
      </c>
      <c r="AC13" s="773">
        <f t="shared" ca="1" si="20"/>
        <v>1</v>
      </c>
      <c r="AD13" s="773" t="str">
        <f ca="1">VLOOKUP(2,$BC$24:$BD$49,2,0)</f>
        <v>Tướng Tinh</v>
      </c>
      <c r="AE13" s="773" t="b">
        <f t="shared" ca="1" si="21"/>
        <v>1</v>
      </c>
      <c r="AF13" s="773">
        <f t="shared" ca="1" si="22"/>
        <v>1</v>
      </c>
    </row>
    <row r="14" spans="1:32">
      <c r="A14" s="783" t="str">
        <f t="shared" ca="1" si="9"/>
        <v xml:space="preserve"> </v>
      </c>
      <c r="B14" s="783"/>
      <c r="C14" s="798"/>
      <c r="D14" s="783" t="str">
        <f t="shared" ca="1" si="10"/>
        <v xml:space="preserve"> </v>
      </c>
      <c r="E14" s="783"/>
      <c r="F14" s="798" t="s">
        <v>6536</v>
      </c>
      <c r="G14" s="783" t="str">
        <f t="shared" ca="1" si="11"/>
        <v xml:space="preserve"> </v>
      </c>
      <c r="H14" s="783"/>
      <c r="I14" s="798"/>
      <c r="J14" s="783" t="str">
        <f t="shared" ca="1" si="12"/>
        <v xml:space="preserve"> </v>
      </c>
      <c r="K14" s="783"/>
      <c r="M14" s="962" t="str">
        <f ca="1">E121</f>
        <v>QuanTàiThương</v>
      </c>
      <c r="N14" s="962" t="str">
        <f ca="1">B126</f>
        <v xml:space="preserve">Ấn  </v>
      </c>
      <c r="O14" s="962" t="str">
        <f ca="1">E126</f>
        <v xml:space="preserve">ThươngKiếp </v>
      </c>
      <c r="R14" s="773" t="str">
        <f ca="1">VLOOKUP(3,$AI$24:$AJ$52,2,0)</f>
        <v>Quả Tú</v>
      </c>
      <c r="S14" s="773" t="b">
        <f t="shared" ca="1" si="13"/>
        <v>1</v>
      </c>
      <c r="T14" s="773">
        <f t="shared" ca="1" si="14"/>
        <v>1</v>
      </c>
      <c r="U14" s="773" t="str">
        <f ca="1">VLOOKUP(3,$AN$24:$AO$49,2,0)</f>
        <v>Quả Tú</v>
      </c>
      <c r="V14" s="773" t="b">
        <f t="shared" ca="1" si="15"/>
        <v>1</v>
      </c>
      <c r="W14" s="773">
        <f t="shared" ca="1" si="16"/>
        <v>1</v>
      </c>
      <c r="X14" s="773" t="str">
        <f ca="1">VLOOKUP(3,$AS$24:$AT$49,2,0)</f>
        <v>Thiên Y</v>
      </c>
      <c r="Y14" s="773" t="b">
        <f t="shared" ca="1" si="17"/>
        <v>1</v>
      </c>
      <c r="Z14" s="773">
        <f t="shared" ca="1" si="18"/>
        <v>1</v>
      </c>
      <c r="AA14" s="773" t="str">
        <f ca="1">VLOOKUP(3,$AX$24:$AY$49,2,0)</f>
        <v>Giảo</v>
      </c>
      <c r="AB14" s="773" t="b">
        <f t="shared" ca="1" si="19"/>
        <v>1</v>
      </c>
      <c r="AC14" s="773">
        <f t="shared" ca="1" si="20"/>
        <v>1</v>
      </c>
      <c r="AD14" s="773" t="e">
        <f ca="1">VLOOKUP(3,$BC$24:$BD$49,2,0)</f>
        <v>#N/A</v>
      </c>
      <c r="AE14" s="773" t="b">
        <f t="shared" ca="1" si="21"/>
        <v>0</v>
      </c>
      <c r="AF14" s="773">
        <f t="shared" ca="1" si="22"/>
        <v>0</v>
      </c>
    </row>
    <row r="15" spans="1:32">
      <c r="A15" s="783" t="str">
        <f t="shared" ca="1" si="9"/>
        <v xml:space="preserve"> </v>
      </c>
      <c r="B15" s="783"/>
      <c r="C15" s="798"/>
      <c r="D15" s="783" t="str">
        <f t="shared" ca="1" si="10"/>
        <v xml:space="preserve"> </v>
      </c>
      <c r="E15" s="783"/>
      <c r="F15" s="798" t="s">
        <v>7815</v>
      </c>
      <c r="G15" s="783" t="str">
        <f t="shared" ca="1" si="11"/>
        <v xml:space="preserve"> </v>
      </c>
      <c r="H15" s="783"/>
      <c r="I15" s="798"/>
      <c r="J15" s="783" t="str">
        <f t="shared" ca="1" si="12"/>
        <v xml:space="preserve"> </v>
      </c>
      <c r="K15" s="783"/>
      <c r="M15" s="780" t="str">
        <f ca="1">HLOOKUP($G$3,$A$58:$K$70,H86+1,0)</f>
        <v>Dưỡng</v>
      </c>
      <c r="N15" s="780" t="str">
        <f ca="1">HLOOKUP($G$3,$A$58:$K$70,H87+1,0)</f>
        <v>Mộc dục</v>
      </c>
      <c r="O15" s="780" t="str">
        <f ca="1">HLOOKUP($G$3,$A$58:$K$70,H88+1,0)</f>
        <v>Đế vượng</v>
      </c>
      <c r="R15" s="773" t="e">
        <f ca="1">VLOOKUP(4,$AI$24:$AJ$52,2,0)</f>
        <v>#N/A</v>
      </c>
      <c r="S15" s="773" t="b">
        <f t="shared" ca="1" si="13"/>
        <v>0</v>
      </c>
      <c r="T15" s="773">
        <f t="shared" ca="1" si="14"/>
        <v>0</v>
      </c>
      <c r="U15" s="773" t="e">
        <f ca="1">VLOOKUP(4,$AN$24:$AO$49,2,0)</f>
        <v>#N/A</v>
      </c>
      <c r="V15" s="773" t="b">
        <f t="shared" ca="1" si="15"/>
        <v>0</v>
      </c>
      <c r="W15" s="773">
        <f t="shared" ca="1" si="16"/>
        <v>0</v>
      </c>
      <c r="X15" s="773" t="e">
        <f ca="1">VLOOKUP(4,$AS$24:$AT$49,2,0)</f>
        <v>#N/A</v>
      </c>
      <c r="Y15" s="773" t="b">
        <f t="shared" ca="1" si="17"/>
        <v>0</v>
      </c>
      <c r="Z15" s="773">
        <f t="shared" ca="1" si="18"/>
        <v>0</v>
      </c>
      <c r="AA15" s="773" t="e">
        <f ca="1">VLOOKUP(4,$AX$24:$AY$49,2,0)</f>
        <v>#N/A</v>
      </c>
      <c r="AB15" s="773" t="b">
        <f t="shared" ca="1" si="19"/>
        <v>0</v>
      </c>
      <c r="AC15" s="773">
        <f t="shared" ca="1" si="20"/>
        <v>0</v>
      </c>
      <c r="AD15" s="773" t="e">
        <f ca="1">VLOOKUP(4,$BC$24:$BD$49,2,0)</f>
        <v>#N/A</v>
      </c>
      <c r="AE15" s="773" t="b">
        <f t="shared" ca="1" si="21"/>
        <v>0</v>
      </c>
      <c r="AF15" s="773">
        <f t="shared" ca="1" si="22"/>
        <v>0</v>
      </c>
    </row>
    <row r="16" spans="1:32">
      <c r="A16" s="783" t="str">
        <f t="shared" ca="1" si="9"/>
        <v xml:space="preserve"> </v>
      </c>
      <c r="B16" s="783"/>
      <c r="C16" s="798"/>
      <c r="D16" s="783" t="str">
        <f t="shared" ca="1" si="10"/>
        <v xml:space="preserve"> </v>
      </c>
      <c r="E16" s="783"/>
      <c r="F16" s="798" t="s">
        <v>6537</v>
      </c>
      <c r="G16" s="783" t="str">
        <f t="shared" ca="1" si="11"/>
        <v xml:space="preserve"> </v>
      </c>
      <c r="H16" s="783"/>
      <c r="I16" s="798"/>
      <c r="J16" s="783" t="str">
        <f t="shared" ca="1" si="12"/>
        <v xml:space="preserve"> </v>
      </c>
      <c r="K16" s="783"/>
      <c r="L16" s="800" t="s">
        <v>7834</v>
      </c>
      <c r="M16" s="801" t="str">
        <f t="shared" ref="M16:M24" ca="1" si="23">IF(Z12=1,X12," ")</f>
        <v>Không Vong</v>
      </c>
      <c r="N16" s="801" t="str">
        <f t="shared" ref="N16:N24" ca="1" si="24">IF(AC12=1,AA12," ")</f>
        <v>Thiênất-Năm</v>
      </c>
      <c r="O16" s="801" t="str">
        <f t="shared" ref="O16:O24" ca="1" si="25">IF(AF12=1,AD12," ")</f>
        <v>Kình Dương</v>
      </c>
      <c r="R16" s="773" t="e">
        <f ca="1">VLOOKUP(5,$AI$24:$AJ$52,2,0)</f>
        <v>#N/A</v>
      </c>
      <c r="S16" s="773" t="b">
        <f t="shared" ca="1" si="13"/>
        <v>0</v>
      </c>
      <c r="T16" s="773">
        <f t="shared" ca="1" si="14"/>
        <v>0</v>
      </c>
      <c r="U16" s="773" t="e">
        <f ca="1">VLOOKUP(5,$AN$24:$AO$49,2,0)</f>
        <v>#N/A</v>
      </c>
      <c r="V16" s="773" t="b">
        <f t="shared" ca="1" si="15"/>
        <v>0</v>
      </c>
      <c r="W16" s="773">
        <f t="shared" ca="1" si="16"/>
        <v>0</v>
      </c>
      <c r="X16" s="773" t="e">
        <f ca="1">VLOOKUP(5,$AS$24:$AT$49,2,0)</f>
        <v>#N/A</v>
      </c>
      <c r="Y16" s="773" t="b">
        <f t="shared" ca="1" si="17"/>
        <v>0</v>
      </c>
      <c r="Z16" s="773">
        <f t="shared" ca="1" si="18"/>
        <v>0</v>
      </c>
      <c r="AA16" s="773" t="e">
        <f ca="1">VLOOKUP(5,$AX$24:$AY$49,2,0)</f>
        <v>#N/A</v>
      </c>
      <c r="AB16" s="773" t="b">
        <f t="shared" ca="1" si="19"/>
        <v>0</v>
      </c>
      <c r="AC16" s="773">
        <f t="shared" ca="1" si="20"/>
        <v>0</v>
      </c>
      <c r="AD16" s="773" t="e">
        <f ca="1">VLOOKUP(5,$BC$24:$BD$49,2,0)</f>
        <v>#N/A</v>
      </c>
      <c r="AE16" s="773" t="b">
        <f t="shared" ca="1" si="21"/>
        <v>0</v>
      </c>
      <c r="AF16" s="773">
        <f t="shared" ca="1" si="22"/>
        <v>0</v>
      </c>
    </row>
    <row r="17" spans="1:56">
      <c r="A17" s="783" t="str">
        <f t="shared" ca="1" si="9"/>
        <v xml:space="preserve"> </v>
      </c>
      <c r="B17" s="783"/>
      <c r="C17" s="798"/>
      <c r="D17" s="783" t="str">
        <f t="shared" ca="1" si="10"/>
        <v xml:space="preserve"> </v>
      </c>
      <c r="E17" s="783"/>
      <c r="F17" s="798" t="s">
        <v>6538</v>
      </c>
      <c r="G17" s="783" t="str">
        <f t="shared" ca="1" si="11"/>
        <v xml:space="preserve"> </v>
      </c>
      <c r="H17" s="783"/>
      <c r="I17" s="798"/>
      <c r="J17" s="783" t="str">
        <f t="shared" ca="1" si="12"/>
        <v xml:space="preserve"> </v>
      </c>
      <c r="K17" s="783"/>
      <c r="L17" s="802">
        <f ca="1">T24</f>
        <v>10</v>
      </c>
      <c r="M17" s="801" t="str">
        <f t="shared" ca="1" si="23"/>
        <v>Quốc ấn</v>
      </c>
      <c r="N17" s="801" t="str">
        <f t="shared" ca="1" si="24"/>
        <v>Đào Hoa</v>
      </c>
      <c r="O17" s="801" t="str">
        <f t="shared" ca="1" si="25"/>
        <v>Tướng Tinh</v>
      </c>
      <c r="R17" s="773" t="e">
        <f ca="1">VLOOKUP(6,$AI$24:$AJ$52,2,0)</f>
        <v>#N/A</v>
      </c>
      <c r="S17" s="773" t="b">
        <f t="shared" ca="1" si="13"/>
        <v>0</v>
      </c>
      <c r="T17" s="773">
        <f t="shared" ca="1" si="14"/>
        <v>0</v>
      </c>
      <c r="U17" s="773" t="e">
        <f ca="1">VLOOKUP(6,$AN$24:$AO$49,2,0)</f>
        <v>#N/A</v>
      </c>
      <c r="V17" s="773" t="b">
        <f t="shared" ca="1" si="15"/>
        <v>0</v>
      </c>
      <c r="W17" s="773">
        <f t="shared" ca="1" si="16"/>
        <v>0</v>
      </c>
      <c r="X17" s="773" t="e">
        <f ca="1">VLOOKUP(6,$AS$24:$AT$49,2,0)</f>
        <v>#N/A</v>
      </c>
      <c r="Y17" s="773" t="b">
        <f t="shared" ca="1" si="17"/>
        <v>0</v>
      </c>
      <c r="Z17" s="773">
        <f t="shared" ca="1" si="18"/>
        <v>0</v>
      </c>
      <c r="AA17" s="773" t="e">
        <f ca="1">VLOOKUP(6,$AX$24:$AY$49,2,0)</f>
        <v>#N/A</v>
      </c>
      <c r="AB17" s="773" t="b">
        <f t="shared" ca="1" si="19"/>
        <v>0</v>
      </c>
      <c r="AC17" s="773">
        <f t="shared" ca="1" si="20"/>
        <v>0</v>
      </c>
      <c r="AD17" s="773" t="e">
        <f ca="1">VLOOKUP(6,$BC$24:$BD$49,2,0)</f>
        <v>#N/A</v>
      </c>
      <c r="AE17" s="773" t="b">
        <f t="shared" ca="1" si="21"/>
        <v>0</v>
      </c>
      <c r="AF17" s="773">
        <f t="shared" ca="1" si="22"/>
        <v>0</v>
      </c>
    </row>
    <row r="18" spans="1:56">
      <c r="B18" s="803" t="s">
        <v>6539</v>
      </c>
      <c r="C18" s="803" t="s">
        <v>6540</v>
      </c>
      <c r="D18" s="803" t="s">
        <v>7847</v>
      </c>
      <c r="E18" s="803" t="s">
        <v>6541</v>
      </c>
      <c r="F18" s="803" t="s">
        <v>6542</v>
      </c>
      <c r="G18" s="803" t="s">
        <v>6543</v>
      </c>
      <c r="H18" s="803" t="s">
        <v>6544</v>
      </c>
      <c r="I18" s="803" t="s">
        <v>6545</v>
      </c>
      <c r="J18" s="803" t="s">
        <v>6546</v>
      </c>
      <c r="K18" s="803" t="s">
        <v>6547</v>
      </c>
      <c r="M18" s="801" t="str">
        <f t="shared" ca="1" si="23"/>
        <v>Thiên Y</v>
      </c>
      <c r="N18" s="801" t="str">
        <f t="shared" ca="1" si="24"/>
        <v>Giảo</v>
      </c>
      <c r="O18" s="801" t="str">
        <f t="shared" ca="1" si="25"/>
        <v xml:space="preserve"> </v>
      </c>
      <c r="R18" s="773" t="e">
        <f ca="1">VLOOKUP(7,$AI$24:$AJ$52,2,0)</f>
        <v>#N/A</v>
      </c>
      <c r="S18" s="773" t="b">
        <f t="shared" ca="1" si="13"/>
        <v>0</v>
      </c>
      <c r="T18" s="773">
        <f t="shared" ca="1" si="14"/>
        <v>0</v>
      </c>
      <c r="U18" s="773" t="e">
        <f ca="1">VLOOKUP(7,$AN$24:$AO$49,2,0)</f>
        <v>#N/A</v>
      </c>
      <c r="V18" s="773" t="b">
        <f t="shared" ca="1" si="15"/>
        <v>0</v>
      </c>
      <c r="W18" s="773">
        <f t="shared" ca="1" si="16"/>
        <v>0</v>
      </c>
      <c r="X18" s="773" t="e">
        <f ca="1">VLOOKUP(7,$AS$24:$AT$49,2,0)</f>
        <v>#N/A</v>
      </c>
      <c r="Y18" s="773" t="b">
        <f t="shared" ca="1" si="17"/>
        <v>0</v>
      </c>
      <c r="Z18" s="773">
        <f t="shared" ca="1" si="18"/>
        <v>0</v>
      </c>
      <c r="AA18" s="773" t="e">
        <f ca="1">VLOOKUP(7,$AX$24:$AY$49,2,0)</f>
        <v>#N/A</v>
      </c>
      <c r="AB18" s="773" t="b">
        <f t="shared" ca="1" si="19"/>
        <v>0</v>
      </c>
      <c r="AC18" s="773">
        <f t="shared" ca="1" si="20"/>
        <v>0</v>
      </c>
      <c r="AD18" s="773" t="e">
        <f ca="1">VLOOKUP(7,$BC$24:$BD$49,2,0)</f>
        <v>#N/A</v>
      </c>
      <c r="AE18" s="773" t="b">
        <f t="shared" ca="1" si="21"/>
        <v>0</v>
      </c>
      <c r="AF18" s="773">
        <f t="shared" ca="1" si="22"/>
        <v>0</v>
      </c>
    </row>
    <row r="19" spans="1:56">
      <c r="A19" s="773" t="s">
        <v>7844</v>
      </c>
      <c r="B19" s="773" t="s">
        <v>7871</v>
      </c>
      <c r="C19" s="773" t="s">
        <v>7875</v>
      </c>
      <c r="D19" s="773" t="s">
        <v>7882</v>
      </c>
      <c r="E19" s="773" t="s">
        <v>7874</v>
      </c>
      <c r="F19" s="773" t="s">
        <v>7873</v>
      </c>
      <c r="G19" s="773" t="s">
        <v>7872</v>
      </c>
      <c r="H19" s="773" t="s">
        <v>7874</v>
      </c>
      <c r="I19" s="773" t="s">
        <v>6548</v>
      </c>
      <c r="J19" s="773" t="s">
        <v>7880</v>
      </c>
      <c r="K19" s="773" t="s">
        <v>7888</v>
      </c>
      <c r="M19" s="801" t="str">
        <f t="shared" ca="1" si="23"/>
        <v xml:space="preserve"> </v>
      </c>
      <c r="N19" s="801" t="str">
        <f t="shared" ca="1" si="24"/>
        <v xml:space="preserve"> </v>
      </c>
      <c r="O19" s="801" t="str">
        <f t="shared" ca="1" si="25"/>
        <v xml:space="preserve"> </v>
      </c>
      <c r="R19" s="773" t="e">
        <f ca="1">VLOOKUP(8,$AI$24:$AJ$52,2,0)</f>
        <v>#N/A</v>
      </c>
      <c r="S19" s="773" t="b">
        <f t="shared" ca="1" si="13"/>
        <v>0</v>
      </c>
      <c r="T19" s="773">
        <f t="shared" ca="1" si="14"/>
        <v>0</v>
      </c>
      <c r="U19" s="773" t="e">
        <f ca="1">VLOOKUP(8,$AN$24:$AO$49,2,0)</f>
        <v>#N/A</v>
      </c>
      <c r="V19" s="773" t="b">
        <f t="shared" ca="1" si="15"/>
        <v>0</v>
      </c>
      <c r="W19" s="773">
        <f t="shared" ca="1" si="16"/>
        <v>0</v>
      </c>
      <c r="X19" s="773" t="e">
        <f ca="1">VLOOKUP(8,$AS$24:$AT$49,2,0)</f>
        <v>#N/A</v>
      </c>
      <c r="Y19" s="773" t="b">
        <f t="shared" ca="1" si="17"/>
        <v>0</v>
      </c>
      <c r="Z19" s="773">
        <f t="shared" ca="1" si="18"/>
        <v>0</v>
      </c>
      <c r="AA19" s="773" t="e">
        <f ca="1">VLOOKUP(8,$AX$24:$AY$49,2,0)</f>
        <v>#N/A</v>
      </c>
      <c r="AB19" s="773" t="b">
        <f t="shared" ca="1" si="19"/>
        <v>0</v>
      </c>
      <c r="AC19" s="773">
        <f t="shared" ca="1" si="20"/>
        <v>0</v>
      </c>
      <c r="AD19" s="773" t="e">
        <f ca="1">VLOOKUP(8,$BC$24:$BD$49,2,0)</f>
        <v>#N/A</v>
      </c>
      <c r="AE19" s="773" t="b">
        <f t="shared" ca="1" si="21"/>
        <v>0</v>
      </c>
      <c r="AF19" s="773">
        <f t="shared" ca="1" si="22"/>
        <v>0</v>
      </c>
    </row>
    <row r="20" spans="1:56">
      <c r="A20" s="773" t="s">
        <v>7847</v>
      </c>
      <c r="B20" s="773" t="s">
        <v>7883</v>
      </c>
      <c r="C20" s="773" t="s">
        <v>6548</v>
      </c>
      <c r="D20" s="773" t="s">
        <v>7887</v>
      </c>
      <c r="E20" s="773" t="s">
        <v>7873</v>
      </c>
      <c r="F20" s="773" t="s">
        <v>7874</v>
      </c>
      <c r="G20" s="773" t="s">
        <v>7871</v>
      </c>
      <c r="H20" s="773" t="s">
        <v>7873</v>
      </c>
      <c r="I20" s="773" t="s">
        <v>7875</v>
      </c>
      <c r="J20" s="773" t="s">
        <v>7877</v>
      </c>
      <c r="K20" s="773" t="s">
        <v>7913</v>
      </c>
      <c r="M20" s="801" t="str">
        <f t="shared" ca="1" si="23"/>
        <v xml:space="preserve"> </v>
      </c>
      <c r="N20" s="801" t="str">
        <f t="shared" ca="1" si="24"/>
        <v xml:space="preserve"> </v>
      </c>
      <c r="O20" s="801" t="str">
        <f t="shared" ca="1" si="25"/>
        <v xml:space="preserve"> </v>
      </c>
      <c r="R20" s="773" t="e">
        <f ca="1">VLOOKUP(9,$AI$24:$AJ$52,2,0)</f>
        <v>#N/A</v>
      </c>
      <c r="S20" s="773" t="b">
        <f t="shared" ca="1" si="13"/>
        <v>0</v>
      </c>
      <c r="T20" s="773">
        <f t="shared" ca="1" si="14"/>
        <v>0</v>
      </c>
      <c r="U20" s="773" t="e">
        <f ca="1">VLOOKUP(9,$AN$24:$AO$49,2,0)</f>
        <v>#N/A</v>
      </c>
      <c r="V20" s="773" t="b">
        <f t="shared" ca="1" si="15"/>
        <v>0</v>
      </c>
      <c r="W20" s="773">
        <f t="shared" ca="1" si="16"/>
        <v>0</v>
      </c>
      <c r="X20" s="773" t="e">
        <f ca="1">VLOOKUP(9,$AS$24:$AT$49,2,0)</f>
        <v>#N/A</v>
      </c>
      <c r="Y20" s="773" t="b">
        <f t="shared" ca="1" si="17"/>
        <v>0</v>
      </c>
      <c r="Z20" s="773">
        <f t="shared" ca="1" si="18"/>
        <v>0</v>
      </c>
      <c r="AA20" s="773" t="e">
        <f ca="1">VLOOKUP(9,$AX$24:$AY$49,2,0)</f>
        <v>#N/A</v>
      </c>
      <c r="AB20" s="773" t="b">
        <f t="shared" ca="1" si="19"/>
        <v>0</v>
      </c>
      <c r="AC20" s="773">
        <f t="shared" ca="1" si="20"/>
        <v>0</v>
      </c>
      <c r="AD20" s="773" t="e">
        <f ca="1">VLOOKUP(9,$BC$24:$BD$49,2,0)</f>
        <v>#N/A</v>
      </c>
      <c r="AE20" s="773" t="b">
        <f t="shared" ca="1" si="21"/>
        <v>0</v>
      </c>
      <c r="AF20" s="773">
        <f t="shared" ca="1" si="22"/>
        <v>0</v>
      </c>
    </row>
    <row r="21" spans="1:56">
      <c r="A21" s="773" t="s">
        <v>7849</v>
      </c>
      <c r="B21" s="773" t="s">
        <v>7887</v>
      </c>
      <c r="C21" s="773" t="s">
        <v>7877</v>
      </c>
      <c r="D21" s="773" t="s">
        <v>7886</v>
      </c>
      <c r="E21" s="773" t="s">
        <v>7871</v>
      </c>
      <c r="F21" s="773" t="s">
        <v>7883</v>
      </c>
      <c r="G21" s="773" t="s">
        <v>7882</v>
      </c>
      <c r="H21" s="773" t="s">
        <v>7874</v>
      </c>
      <c r="I21" s="773" t="s">
        <v>6548</v>
      </c>
      <c r="J21" s="773" t="s">
        <v>7875</v>
      </c>
      <c r="K21" s="773" t="s">
        <v>7850</v>
      </c>
      <c r="M21" s="801" t="str">
        <f t="shared" ca="1" si="23"/>
        <v xml:space="preserve"> </v>
      </c>
      <c r="N21" s="801" t="str">
        <f t="shared" ca="1" si="24"/>
        <v xml:space="preserve"> </v>
      </c>
      <c r="O21" s="801" t="str">
        <f t="shared" ca="1" si="25"/>
        <v xml:space="preserve"> </v>
      </c>
      <c r="R21" s="773" t="e">
        <f ca="1">VLOOKUP(10,$AI$24:$AJ$52,2,0)</f>
        <v>#N/A</v>
      </c>
      <c r="S21" s="773" t="b">
        <f t="shared" ca="1" si="13"/>
        <v>0</v>
      </c>
      <c r="T21" s="773">
        <f t="shared" ca="1" si="14"/>
        <v>0</v>
      </c>
      <c r="U21" s="773" t="e">
        <f ca="1">VLOOKUP(10,$AN$24:$AO$49,2,0)</f>
        <v>#N/A</v>
      </c>
      <c r="V21" s="773" t="b">
        <f t="shared" ca="1" si="15"/>
        <v>0</v>
      </c>
      <c r="W21" s="773">
        <f t="shared" ca="1" si="16"/>
        <v>0</v>
      </c>
      <c r="X21" s="773" t="e">
        <f ca="1">VLOOKUP(10,$AS$24:$AT$49,2,0)</f>
        <v>#N/A</v>
      </c>
      <c r="Y21" s="773" t="b">
        <f t="shared" ca="1" si="17"/>
        <v>0</v>
      </c>
      <c r="Z21" s="773">
        <f t="shared" ca="1" si="18"/>
        <v>0</v>
      </c>
      <c r="AA21" s="773" t="e">
        <f ca="1">VLOOKUP(10,$AX$24:$AY$49,2,0)</f>
        <v>#N/A</v>
      </c>
      <c r="AB21" s="773" t="b">
        <f t="shared" ca="1" si="19"/>
        <v>0</v>
      </c>
      <c r="AC21" s="773">
        <f t="shared" ca="1" si="20"/>
        <v>0</v>
      </c>
      <c r="AD21" s="773" t="e">
        <f ca="1">VLOOKUP(10,$BC$24:$BD$49,2,0)</f>
        <v>#N/A</v>
      </c>
      <c r="AE21" s="773" t="b">
        <f t="shared" ca="1" si="21"/>
        <v>0</v>
      </c>
      <c r="AF21" s="773">
        <f t="shared" ca="1" si="22"/>
        <v>0</v>
      </c>
    </row>
    <row r="22" spans="1:56">
      <c r="A22" s="773" t="s">
        <v>7851</v>
      </c>
      <c r="B22" s="773" t="s">
        <v>7886</v>
      </c>
      <c r="C22" s="773" t="s">
        <v>7877</v>
      </c>
      <c r="D22" s="773" t="s">
        <v>7886</v>
      </c>
      <c r="E22" s="773" t="s">
        <v>7883</v>
      </c>
      <c r="F22" s="773" t="s">
        <v>7871</v>
      </c>
      <c r="G22" s="773" t="s">
        <v>7887</v>
      </c>
      <c r="H22" s="773" t="s">
        <v>7877</v>
      </c>
      <c r="J22" s="773" t="s">
        <v>7874</v>
      </c>
      <c r="K22" s="773" t="s">
        <v>7895</v>
      </c>
      <c r="M22" s="801" t="str">
        <f t="shared" ca="1" si="23"/>
        <v xml:space="preserve"> </v>
      </c>
      <c r="N22" s="801" t="str">
        <f t="shared" ca="1" si="24"/>
        <v xml:space="preserve"> </v>
      </c>
      <c r="O22" s="801" t="str">
        <f t="shared" ca="1" si="25"/>
        <v xml:space="preserve"> </v>
      </c>
      <c r="R22" s="773" t="e">
        <f ca="1">VLOOKUP(11,$AI$24:$AJ$52,2,0)</f>
        <v>#N/A</v>
      </c>
      <c r="S22" s="773" t="b">
        <f t="shared" ca="1" si="13"/>
        <v>0</v>
      </c>
      <c r="T22" s="773">
        <f t="shared" ca="1" si="14"/>
        <v>0</v>
      </c>
      <c r="U22" s="773" t="e">
        <f ca="1">VLOOKUP(11,$AN$24:$AO$49,2,0)</f>
        <v>#N/A</v>
      </c>
      <c r="V22" s="773" t="b">
        <f t="shared" ca="1" si="15"/>
        <v>0</v>
      </c>
      <c r="W22" s="773">
        <f t="shared" ca="1" si="16"/>
        <v>0</v>
      </c>
      <c r="X22" s="773" t="e">
        <f ca="1">VLOOKUP(11,$AS$24:$AT$49,2,0)</f>
        <v>#N/A</v>
      </c>
      <c r="Y22" s="773" t="b">
        <f t="shared" ca="1" si="17"/>
        <v>0</v>
      </c>
      <c r="Z22" s="773">
        <f t="shared" ca="1" si="18"/>
        <v>0</v>
      </c>
      <c r="AA22" s="773" t="e">
        <f ca="1">VLOOKUP(11,$AX$24:$AY$49,2,0)</f>
        <v>#N/A</v>
      </c>
      <c r="AB22" s="773" t="b">
        <f t="shared" ca="1" si="19"/>
        <v>0</v>
      </c>
      <c r="AC22" s="773">
        <f t="shared" ca="1" si="20"/>
        <v>0</v>
      </c>
      <c r="AD22" s="773" t="e">
        <f ca="1">VLOOKUP(11,$BC$24:$BD$49,2,0)</f>
        <v>#N/A</v>
      </c>
      <c r="AE22" s="773" t="b">
        <f t="shared" ca="1" si="21"/>
        <v>0</v>
      </c>
      <c r="AF22" s="773">
        <f t="shared" ca="1" si="22"/>
        <v>0</v>
      </c>
    </row>
    <row r="23" spans="1:56">
      <c r="A23" s="773" t="s">
        <v>6549</v>
      </c>
      <c r="B23" s="773" t="s">
        <v>7887</v>
      </c>
      <c r="C23" s="773" t="s">
        <v>7875</v>
      </c>
      <c r="D23" s="773" t="s">
        <v>7882</v>
      </c>
      <c r="E23" s="773" t="s">
        <v>7871</v>
      </c>
      <c r="F23" s="773" t="s">
        <v>7883</v>
      </c>
      <c r="G23" s="773" t="s">
        <v>7882</v>
      </c>
      <c r="H23" s="773" t="s">
        <v>7887</v>
      </c>
      <c r="J23" s="773" t="s">
        <v>7875</v>
      </c>
      <c r="K23" s="803" t="s">
        <v>6550</v>
      </c>
      <c r="M23" s="801" t="str">
        <f t="shared" ca="1" si="23"/>
        <v xml:space="preserve"> </v>
      </c>
      <c r="N23" s="801" t="str">
        <f t="shared" ca="1" si="24"/>
        <v xml:space="preserve"> </v>
      </c>
      <c r="O23" s="801" t="str">
        <f t="shared" ca="1" si="25"/>
        <v xml:space="preserve"> </v>
      </c>
      <c r="W23" s="773" t="s">
        <v>6551</v>
      </c>
      <c r="AB23" s="773" t="s">
        <v>6552</v>
      </c>
      <c r="AG23" s="773" t="s">
        <v>6553</v>
      </c>
      <c r="AL23" s="792" t="s">
        <v>6554</v>
      </c>
      <c r="AQ23" s="792" t="s">
        <v>7821</v>
      </c>
      <c r="AV23" s="792" t="s">
        <v>6555</v>
      </c>
      <c r="BA23" s="792" t="s">
        <v>7813</v>
      </c>
    </row>
    <row r="24" spans="1:56" ht="14.25">
      <c r="A24" s="773" t="s">
        <v>7856</v>
      </c>
      <c r="B24" s="773" t="s">
        <v>7886</v>
      </c>
      <c r="C24" s="773" t="s">
        <v>6548</v>
      </c>
      <c r="D24" s="773" t="s">
        <v>7887</v>
      </c>
      <c r="E24" s="773" t="s">
        <v>7883</v>
      </c>
      <c r="F24" s="773" t="s">
        <v>7871</v>
      </c>
      <c r="G24" s="773" t="s">
        <v>7887</v>
      </c>
      <c r="H24" s="773" t="s">
        <v>7882</v>
      </c>
      <c r="J24" s="773" t="s">
        <v>7874</v>
      </c>
      <c r="K24" s="773" t="s">
        <v>7818</v>
      </c>
      <c r="M24" s="801" t="str">
        <f t="shared" ca="1" si="23"/>
        <v xml:space="preserve"> </v>
      </c>
      <c r="N24" s="801" t="str">
        <f t="shared" ca="1" si="24"/>
        <v xml:space="preserve"> </v>
      </c>
      <c r="O24" s="801" t="str">
        <f t="shared" ca="1" si="25"/>
        <v xml:space="preserve"> </v>
      </c>
      <c r="P24" s="773" t="s">
        <v>7813</v>
      </c>
      <c r="Q24" s="804">
        <f ca="1">IF(T24&gt;60,MOD(T24,60),T24)</f>
        <v>10</v>
      </c>
      <c r="R24" s="773" t="s">
        <v>6556</v>
      </c>
      <c r="S24" s="804">
        <f ca="1">qdich!Q15</f>
        <v>2002</v>
      </c>
      <c r="T24" s="773">
        <f ca="1">L11-S24+1</f>
        <v>10</v>
      </c>
      <c r="V24" s="773">
        <f ca="1">IF(OR($B$3=$O$57,$B$3=$O$58),1,0)</f>
        <v>0</v>
      </c>
      <c r="W24" s="805" t="s">
        <v>6557</v>
      </c>
      <c r="X24" s="773">
        <f ca="1">IF(V24=1,1,0)</f>
        <v>0</v>
      </c>
      <c r="Y24" s="773">
        <f t="shared" ref="Y24:Y44" ca="1" si="26">IF(V24=1,X24,0)</f>
        <v>0</v>
      </c>
      <c r="Z24" s="806" t="s">
        <v>6557</v>
      </c>
      <c r="AA24" s="773">
        <f ca="1">IF(OR($E$3=$O$57,$E$3=$O$58),1,0)</f>
        <v>0</v>
      </c>
      <c r="AB24" s="773" t="s">
        <v>6558</v>
      </c>
      <c r="AC24" s="773">
        <f ca="1">IF(AA24=1,1,0)</f>
        <v>0</v>
      </c>
      <c r="AD24" s="773">
        <f t="shared" ref="AD24:AD47" ca="1" si="27">IF(AA24=1,AC24,0)</f>
        <v>0</v>
      </c>
      <c r="AE24" s="773" t="s">
        <v>6557</v>
      </c>
      <c r="AF24" s="773">
        <f ca="1">IF(OR($H$3=$O$57,$H$3=$O$58),1,0)</f>
        <v>0</v>
      </c>
      <c r="AG24" s="773" t="s">
        <v>6558</v>
      </c>
      <c r="AH24" s="773">
        <f ca="1">IF(AF24=1,1,0)</f>
        <v>0</v>
      </c>
      <c r="AI24" s="773">
        <f t="shared" ref="AI24:AI52" ca="1" si="28">IF(AF24=1,AH24,0)</f>
        <v>0</v>
      </c>
      <c r="AJ24" s="773" t="s">
        <v>6557</v>
      </c>
      <c r="AK24" s="773">
        <f ca="1">IF(OR($K$3=$O$57,$K$3=$O$58),1,0)</f>
        <v>0</v>
      </c>
      <c r="AL24" s="773" t="s">
        <v>6558</v>
      </c>
      <c r="AM24" s="773">
        <f ca="1">IF(AK24=1,1,0)</f>
        <v>0</v>
      </c>
      <c r="AN24" s="773">
        <f t="shared" ref="AN24:AN49" ca="1" si="29">IF(AK24=1,AM24,0)</f>
        <v>0</v>
      </c>
      <c r="AO24" s="773" t="s">
        <v>6557</v>
      </c>
      <c r="AP24" s="773">
        <f ca="1">IF(OR($Y$3=$O$57,$Y$3=$O$58),1,0)</f>
        <v>1</v>
      </c>
      <c r="AQ24" s="773" t="s">
        <v>6558</v>
      </c>
      <c r="AR24" s="773">
        <f ca="1">IF(AP24=1,1,0)</f>
        <v>1</v>
      </c>
      <c r="AS24" s="773">
        <f t="shared" ref="AS24:AS49" ca="1" si="30">IF(AP24=1,AR24,0)</f>
        <v>1</v>
      </c>
      <c r="AT24" s="773" t="s">
        <v>6557</v>
      </c>
      <c r="AU24" s="773">
        <f ca="1">IF(OR($U$3=$O$57,$U$3=$O$58),1,0)</f>
        <v>0</v>
      </c>
      <c r="AV24" s="773" t="s">
        <v>6558</v>
      </c>
      <c r="AW24" s="773">
        <f ca="1">IF(AU24=1,1,0)</f>
        <v>0</v>
      </c>
      <c r="AX24" s="773">
        <f t="shared" ref="AX24:AX49" ca="1" si="31">IF(AU24=1,AW24,0)</f>
        <v>0</v>
      </c>
      <c r="AY24" s="773" t="s">
        <v>6557</v>
      </c>
      <c r="AZ24" s="773">
        <f ca="1">IF(OR($W$3=$O$57,$W$3=$O$58),1,0)</f>
        <v>0</v>
      </c>
      <c r="BA24" s="773" t="s">
        <v>6558</v>
      </c>
      <c r="BB24" s="773">
        <f ca="1">IF(AZ24=1,1,0)</f>
        <v>0</v>
      </c>
      <c r="BC24" s="773">
        <f t="shared" ref="BC24:BC49" ca="1" si="32">IF(AZ24=1,BB24,0)</f>
        <v>0</v>
      </c>
      <c r="BD24" s="773" t="s">
        <v>6557</v>
      </c>
    </row>
    <row r="25" spans="1:56" ht="14.25">
      <c r="A25" s="773" t="s">
        <v>7860</v>
      </c>
      <c r="B25" s="773" t="s">
        <v>7877</v>
      </c>
      <c r="C25" s="773" t="s">
        <v>7874</v>
      </c>
      <c r="D25" s="773" t="s">
        <v>7883</v>
      </c>
      <c r="E25" s="773" t="s">
        <v>7887</v>
      </c>
      <c r="F25" s="773" t="s">
        <v>7886</v>
      </c>
      <c r="G25" s="773" t="s">
        <v>7880</v>
      </c>
      <c r="H25" s="773" t="s">
        <v>7883</v>
      </c>
      <c r="J25" s="773" t="s">
        <v>7872</v>
      </c>
      <c r="K25" s="773" t="s">
        <v>7823</v>
      </c>
      <c r="M25" s="807" t="s">
        <v>6559</v>
      </c>
      <c r="N25" s="802" t="str">
        <f ca="1">CONCATENATE(G3," ",H3)</f>
        <v>Bính Thìn</v>
      </c>
      <c r="O25" s="807" t="s">
        <v>6560</v>
      </c>
      <c r="Q25" s="802">
        <f ca="1">VLOOKUP(N26,$M$64:$P$123,4,0)</f>
        <v>29</v>
      </c>
      <c r="R25" s="773">
        <f ca="1">qdich!Q13</f>
        <v>0</v>
      </c>
      <c r="V25" s="773">
        <f ca="1">IF(OR($A$3=$M$26,$B$3=$M$26),1,0)</f>
        <v>0</v>
      </c>
      <c r="W25" s="805" t="s">
        <v>6561</v>
      </c>
      <c r="X25" s="773">
        <f t="shared" ref="X25:X44" ca="1" si="33">IF(V25=1,X24+1,X24)</f>
        <v>0</v>
      </c>
      <c r="Y25" s="773">
        <f t="shared" ca="1" si="26"/>
        <v>0</v>
      </c>
      <c r="Z25" s="806" t="s">
        <v>6561</v>
      </c>
      <c r="AA25" s="773">
        <f ca="1">IF(OR($D$3=$M$26,$E$3=$M$26),1,0)</f>
        <v>0</v>
      </c>
      <c r="AB25" s="773" t="s">
        <v>6559</v>
      </c>
      <c r="AC25" s="773">
        <f t="shared" ref="AC25:AC47" ca="1" si="34">IF(AA25=1,AC24+1,AC24)</f>
        <v>0</v>
      </c>
      <c r="AD25" s="773">
        <f t="shared" ca="1" si="27"/>
        <v>0</v>
      </c>
      <c r="AE25" s="773" t="s">
        <v>6561</v>
      </c>
      <c r="AF25" s="773">
        <f ca="1">IF(OR($G$3=$M$26,$H$3=$M$26),1,0)</f>
        <v>0</v>
      </c>
      <c r="AG25" s="773" t="s">
        <v>6559</v>
      </c>
      <c r="AH25" s="773">
        <f t="shared" ref="AH25:AH52" ca="1" si="35">IF(AF25=1,AH24+1,AH24)</f>
        <v>0</v>
      </c>
      <c r="AI25" s="773">
        <f t="shared" ca="1" si="28"/>
        <v>0</v>
      </c>
      <c r="AJ25" s="773" t="s">
        <v>6561</v>
      </c>
      <c r="AK25" s="773">
        <f ca="1">IF(OR($J$3=$M$26,$K$3=$M$26),1,0)</f>
        <v>0</v>
      </c>
      <c r="AL25" s="773" t="s">
        <v>6559</v>
      </c>
      <c r="AM25" s="773">
        <f t="shared" ref="AM25:AM49" ca="1" si="36">IF(AK25=1,AM24+1,AM24)</f>
        <v>0</v>
      </c>
      <c r="AN25" s="773">
        <f t="shared" ca="1" si="29"/>
        <v>0</v>
      </c>
      <c r="AO25" s="773" t="s">
        <v>6561</v>
      </c>
      <c r="AP25" s="773">
        <f ca="1">IF(OR($X$3=$M$26,$Y$3=$M$26),1,0)</f>
        <v>0</v>
      </c>
      <c r="AQ25" s="773" t="s">
        <v>6559</v>
      </c>
      <c r="AR25" s="773">
        <f t="shared" ref="AR25:AR49" ca="1" si="37">IF(AP25=1,AR24+1,AR24)</f>
        <v>1</v>
      </c>
      <c r="AS25" s="773">
        <f t="shared" ca="1" si="30"/>
        <v>0</v>
      </c>
      <c r="AT25" s="773" t="s">
        <v>6561</v>
      </c>
      <c r="AU25" s="773">
        <f ca="1">IF(OR($T$3=$M$26,$U$3=$M$26),1,0)</f>
        <v>0</v>
      </c>
      <c r="AV25" s="773" t="s">
        <v>6559</v>
      </c>
      <c r="AW25" s="773">
        <f t="shared" ref="AW25:AW49" ca="1" si="38">IF(AU25=1,AW24+1,AW24)</f>
        <v>0</v>
      </c>
      <c r="AX25" s="773">
        <f t="shared" ca="1" si="31"/>
        <v>0</v>
      </c>
      <c r="AY25" s="773" t="s">
        <v>6561</v>
      </c>
      <c r="AZ25" s="773">
        <f ca="1">IF(OR($V$3=$M$26,$W$3=$M$26),1,0)</f>
        <v>0</v>
      </c>
      <c r="BA25" s="773" t="s">
        <v>6559</v>
      </c>
      <c r="BB25" s="773">
        <f t="shared" ref="BB25:BB49" ca="1" si="39">IF(AZ25=1,BB24+1,BB24)</f>
        <v>0</v>
      </c>
      <c r="BC25" s="773">
        <f t="shared" ca="1" si="32"/>
        <v>0</v>
      </c>
      <c r="BD25" s="773" t="s">
        <v>6561</v>
      </c>
    </row>
    <row r="26" spans="1:56" ht="14.25">
      <c r="A26" s="773" t="s">
        <v>6562</v>
      </c>
      <c r="B26" s="773" t="s">
        <v>6548</v>
      </c>
      <c r="C26" s="773" t="s">
        <v>7874</v>
      </c>
      <c r="D26" s="773" t="s">
        <v>7883</v>
      </c>
      <c r="E26" s="773" t="s">
        <v>7886</v>
      </c>
      <c r="F26" s="773" t="s">
        <v>7887</v>
      </c>
      <c r="G26" s="773" t="s">
        <v>7877</v>
      </c>
      <c r="H26" s="773" t="s">
        <v>7871</v>
      </c>
      <c r="J26" s="773" t="s">
        <v>7871</v>
      </c>
      <c r="K26" s="773" t="s">
        <v>7831</v>
      </c>
      <c r="M26" s="773" t="str">
        <f ca="1">VLOOKUP($E$3,$A$31:$L$42,7,0)</f>
        <v>đinh</v>
      </c>
      <c r="N26" s="802" t="str">
        <f ca="1">CONCATENATE(J3," ",K3)</f>
        <v>Nhâm Thìn</v>
      </c>
      <c r="O26" s="773" t="str">
        <f ca="1">VLOOKUP(E3,$A$31:$L$42,8,0)</f>
        <v>bính</v>
      </c>
      <c r="Q26" s="773">
        <f ca="1">IF(R25=1,IF(Q24+Q25&gt;60,MOD(Q24+Q25,60),Q24+Q25),IF(Q25&gt;Q24,Q25-Q24,Q25+60-Q24))</f>
        <v>19</v>
      </c>
      <c r="V26" s="773">
        <f ca="1">IF($A$3=$O$26,1,0)</f>
        <v>0</v>
      </c>
      <c r="W26" s="805" t="s">
        <v>6563</v>
      </c>
      <c r="X26" s="773">
        <f t="shared" ca="1" si="33"/>
        <v>0</v>
      </c>
      <c r="Y26" s="773">
        <f t="shared" ca="1" si="26"/>
        <v>0</v>
      </c>
      <c r="Z26" s="806" t="s">
        <v>6563</v>
      </c>
      <c r="AA26" s="773">
        <f ca="1">IF($D$3=$O$26,1,0)</f>
        <v>0</v>
      </c>
      <c r="AB26" s="773" t="s">
        <v>6560</v>
      </c>
      <c r="AC26" s="773">
        <f t="shared" ca="1" si="34"/>
        <v>0</v>
      </c>
      <c r="AD26" s="773">
        <f t="shared" ca="1" si="27"/>
        <v>0</v>
      </c>
      <c r="AE26" s="773" t="s">
        <v>6563</v>
      </c>
      <c r="AF26" s="773">
        <f ca="1">IF($G$3=$O$26,1,0)</f>
        <v>1</v>
      </c>
      <c r="AG26" s="773" t="s">
        <v>6560</v>
      </c>
      <c r="AH26" s="773">
        <f t="shared" ca="1" si="35"/>
        <v>1</v>
      </c>
      <c r="AI26" s="773">
        <f t="shared" ca="1" si="28"/>
        <v>1</v>
      </c>
      <c r="AJ26" s="773" t="s">
        <v>6563</v>
      </c>
      <c r="AK26" s="773">
        <f ca="1">IF($J$3=$O$26,1,0)</f>
        <v>0</v>
      </c>
      <c r="AL26" s="773" t="s">
        <v>6560</v>
      </c>
      <c r="AM26" s="773">
        <f t="shared" ca="1" si="36"/>
        <v>0</v>
      </c>
      <c r="AN26" s="773">
        <f t="shared" ca="1" si="29"/>
        <v>0</v>
      </c>
      <c r="AO26" s="773" t="s">
        <v>6563</v>
      </c>
      <c r="AP26" s="773">
        <f ca="1">IF($X$3=$O$26,1,0)</f>
        <v>0</v>
      </c>
      <c r="AQ26" s="773" t="s">
        <v>6560</v>
      </c>
      <c r="AR26" s="773">
        <f t="shared" ca="1" si="37"/>
        <v>1</v>
      </c>
      <c r="AS26" s="773">
        <f t="shared" ca="1" si="30"/>
        <v>0</v>
      </c>
      <c r="AT26" s="773" t="s">
        <v>6563</v>
      </c>
      <c r="AU26" s="773">
        <f ca="1">IF($T$3=$O$26,1,0)</f>
        <v>0</v>
      </c>
      <c r="AV26" s="773" t="s">
        <v>6560</v>
      </c>
      <c r="AW26" s="773">
        <f t="shared" ca="1" si="38"/>
        <v>0</v>
      </c>
      <c r="AX26" s="773">
        <f t="shared" ca="1" si="31"/>
        <v>0</v>
      </c>
      <c r="AY26" s="773" t="s">
        <v>6563</v>
      </c>
      <c r="AZ26" s="773">
        <f ca="1">IF($V$3=$O$26,1,0)</f>
        <v>0</v>
      </c>
      <c r="BA26" s="773" t="s">
        <v>6560</v>
      </c>
      <c r="BB26" s="773">
        <f t="shared" ca="1" si="39"/>
        <v>0</v>
      </c>
      <c r="BC26" s="773">
        <f t="shared" ca="1" si="32"/>
        <v>0</v>
      </c>
      <c r="BD26" s="773" t="s">
        <v>6563</v>
      </c>
    </row>
    <row r="27" spans="1:56" ht="14.25">
      <c r="A27" s="773" t="s">
        <v>7865</v>
      </c>
      <c r="B27" s="773" t="s">
        <v>7874</v>
      </c>
      <c r="C27" s="773" t="s">
        <v>7873</v>
      </c>
      <c r="D27" s="773" t="s">
        <v>7871</v>
      </c>
      <c r="E27" s="773" t="s">
        <v>7877</v>
      </c>
      <c r="F27" s="773" t="s">
        <v>6548</v>
      </c>
      <c r="G27" s="773" t="s">
        <v>7875</v>
      </c>
      <c r="H27" s="773" t="s">
        <v>7872</v>
      </c>
      <c r="J27" s="773" t="s">
        <v>7882</v>
      </c>
      <c r="M27" s="807" t="s">
        <v>6564</v>
      </c>
      <c r="N27" s="802" t="str">
        <f ca="1">CONCATENATE(D3," ",E3)</f>
        <v>Nhâm Dần</v>
      </c>
      <c r="O27" s="807" t="s">
        <v>6565</v>
      </c>
      <c r="P27" s="773" t="s">
        <v>1422</v>
      </c>
      <c r="Q27" s="802">
        <f ca="1">VLOOKUP(N27,$M$64:$P$123,4,0)</f>
        <v>39</v>
      </c>
      <c r="V27" s="773">
        <f ca="1">IF(OR($B$3=$M$28,$B$3=$M$29),1,0)</f>
        <v>0</v>
      </c>
      <c r="W27" s="805" t="s">
        <v>6566</v>
      </c>
      <c r="X27" s="773">
        <f t="shared" ca="1" si="33"/>
        <v>0</v>
      </c>
      <c r="Y27" s="773">
        <f t="shared" ca="1" si="26"/>
        <v>0</v>
      </c>
      <c r="Z27" s="806" t="s">
        <v>6566</v>
      </c>
      <c r="AA27" s="773">
        <f ca="1">IF(OR($E$3=$M$28,$E$3=$M$29),1,0)</f>
        <v>0</v>
      </c>
      <c r="AB27" s="773" t="s">
        <v>6564</v>
      </c>
      <c r="AC27" s="773">
        <f t="shared" ca="1" si="34"/>
        <v>0</v>
      </c>
      <c r="AD27" s="773">
        <f t="shared" ca="1" si="27"/>
        <v>0</v>
      </c>
      <c r="AE27" s="773" t="s">
        <v>6566</v>
      </c>
      <c r="AF27" s="773">
        <f ca="1">IF(OR($H$3=$M$28,$H$3=$M$29),1,0)</f>
        <v>0</v>
      </c>
      <c r="AG27" s="773" t="s">
        <v>6564</v>
      </c>
      <c r="AH27" s="773">
        <f t="shared" ca="1" si="35"/>
        <v>1</v>
      </c>
      <c r="AI27" s="773">
        <f t="shared" ca="1" si="28"/>
        <v>0</v>
      </c>
      <c r="AJ27" s="773" t="s">
        <v>6566</v>
      </c>
      <c r="AK27" s="773">
        <f ca="1">IF(OR($K$3=$M$28,$K$3=$M$29),1,0)</f>
        <v>0</v>
      </c>
      <c r="AL27" s="773" t="s">
        <v>6564</v>
      </c>
      <c r="AM27" s="773">
        <f t="shared" ca="1" si="36"/>
        <v>0</v>
      </c>
      <c r="AN27" s="773">
        <f t="shared" ca="1" si="29"/>
        <v>0</v>
      </c>
      <c r="AO27" s="773" t="s">
        <v>6566</v>
      </c>
      <c r="AP27" s="773">
        <f ca="1">IF(OR($Y$3=$M$28,$Y$3=$M$29),1,0)</f>
        <v>0</v>
      </c>
      <c r="AQ27" s="773" t="s">
        <v>6564</v>
      </c>
      <c r="AR27" s="773">
        <f t="shared" ca="1" si="37"/>
        <v>1</v>
      </c>
      <c r="AS27" s="773">
        <f t="shared" ca="1" si="30"/>
        <v>0</v>
      </c>
      <c r="AT27" s="773" t="s">
        <v>6566</v>
      </c>
      <c r="AU27" s="773">
        <f ca="1">IF(OR($U$3=$M$28,$U$3=$M$29),1,0)</f>
        <v>1</v>
      </c>
      <c r="AV27" s="773" t="s">
        <v>6564</v>
      </c>
      <c r="AW27" s="773">
        <f t="shared" ca="1" si="38"/>
        <v>1</v>
      </c>
      <c r="AX27" s="773">
        <f t="shared" ca="1" si="31"/>
        <v>1</v>
      </c>
      <c r="AY27" s="773" t="s">
        <v>6566</v>
      </c>
      <c r="AZ27" s="773">
        <f ca="1">IF(OR($W$3=$M$28,$W$3=$M$29),1,0)</f>
        <v>0</v>
      </c>
      <c r="BA27" s="773" t="s">
        <v>6564</v>
      </c>
      <c r="BB27" s="773">
        <f t="shared" ca="1" si="39"/>
        <v>0</v>
      </c>
      <c r="BC27" s="773">
        <f t="shared" ca="1" si="32"/>
        <v>0</v>
      </c>
      <c r="BD27" s="773" t="s">
        <v>6566</v>
      </c>
    </row>
    <row r="28" spans="1:56" ht="14.25">
      <c r="A28" s="773" t="s">
        <v>6567</v>
      </c>
      <c r="B28" s="773" t="s">
        <v>7873</v>
      </c>
      <c r="C28" s="773" t="s">
        <v>7873</v>
      </c>
      <c r="D28" s="773" t="s">
        <v>7871</v>
      </c>
      <c r="E28" s="773" t="s">
        <v>6548</v>
      </c>
      <c r="F28" s="773" t="s">
        <v>7877</v>
      </c>
      <c r="G28" s="773" t="s">
        <v>7874</v>
      </c>
      <c r="H28" s="773" t="s">
        <v>7873</v>
      </c>
      <c r="I28" s="773" t="s">
        <v>7875</v>
      </c>
      <c r="J28" s="773" t="s">
        <v>7887</v>
      </c>
      <c r="M28" s="773" t="str">
        <f ca="1">VLOOKUP(A3,$A$19:$J$28,3,0)</f>
        <v>mão</v>
      </c>
      <c r="O28" s="773" t="str">
        <f ca="1">VLOOKUP(G3,$A$19:$J$28,3,0)</f>
        <v>hợi</v>
      </c>
      <c r="V28" s="773">
        <f ca="1">IF(OR($B$3=$O$28,$B$3=$O$29),1,0)</f>
        <v>0</v>
      </c>
      <c r="W28" s="805" t="s">
        <v>6568</v>
      </c>
      <c r="X28" s="773">
        <f t="shared" ca="1" si="33"/>
        <v>0</v>
      </c>
      <c r="Y28" s="773">
        <f t="shared" ca="1" si="26"/>
        <v>0</v>
      </c>
      <c r="Z28" s="806" t="s">
        <v>6568</v>
      </c>
      <c r="AA28" s="773">
        <f ca="1">IF(OR($E$3=$O$28,$E$3=$O$29),1,0)</f>
        <v>0</v>
      </c>
      <c r="AB28" s="773" t="s">
        <v>6565</v>
      </c>
      <c r="AC28" s="773">
        <f t="shared" ca="1" si="34"/>
        <v>0</v>
      </c>
      <c r="AD28" s="773">
        <f t="shared" ca="1" si="27"/>
        <v>0</v>
      </c>
      <c r="AE28" s="773" t="s">
        <v>6568</v>
      </c>
      <c r="AF28" s="773">
        <f ca="1">IF(OR($H$3=$O$28,$H$3=$O$29),1,0)</f>
        <v>0</v>
      </c>
      <c r="AG28" s="773" t="s">
        <v>6565</v>
      </c>
      <c r="AH28" s="773">
        <f t="shared" ca="1" si="35"/>
        <v>1</v>
      </c>
      <c r="AI28" s="773">
        <f t="shared" ca="1" si="28"/>
        <v>0</v>
      </c>
      <c r="AJ28" s="773" t="s">
        <v>6568</v>
      </c>
      <c r="AK28" s="773">
        <f ca="1">IF(OR($K$3=$O$28,$K$3=$O$29),1,0)</f>
        <v>0</v>
      </c>
      <c r="AL28" s="773" t="s">
        <v>6565</v>
      </c>
      <c r="AM28" s="773">
        <f t="shared" ca="1" si="36"/>
        <v>0</v>
      </c>
      <c r="AN28" s="773">
        <f t="shared" ca="1" si="29"/>
        <v>0</v>
      </c>
      <c r="AO28" s="773" t="s">
        <v>6568</v>
      </c>
      <c r="AP28" s="773">
        <f ca="1">IF(OR($Y$3=$O$28,$Y$3=$O$29),1,0)</f>
        <v>0</v>
      </c>
      <c r="AQ28" s="773" t="s">
        <v>6565</v>
      </c>
      <c r="AR28" s="773">
        <f t="shared" ca="1" si="37"/>
        <v>1</v>
      </c>
      <c r="AS28" s="773">
        <f t="shared" ca="1" si="30"/>
        <v>0</v>
      </c>
      <c r="AT28" s="773" t="s">
        <v>6568</v>
      </c>
      <c r="AU28" s="773">
        <f ca="1">IF(OR($U$3=$O$28,$U$3=$O$29),1,0)</f>
        <v>0</v>
      </c>
      <c r="AV28" s="773" t="s">
        <v>6565</v>
      </c>
      <c r="AW28" s="773">
        <f t="shared" ca="1" si="38"/>
        <v>1</v>
      </c>
      <c r="AX28" s="773">
        <f t="shared" ca="1" si="31"/>
        <v>0</v>
      </c>
      <c r="AY28" s="773" t="s">
        <v>6568</v>
      </c>
      <c r="AZ28" s="773">
        <f ca="1">IF(OR($W$3=$O$28,$W$3=$O$29),1,0)</f>
        <v>0</v>
      </c>
      <c r="BA28" s="773" t="s">
        <v>6565</v>
      </c>
      <c r="BB28" s="773">
        <f t="shared" ca="1" si="39"/>
        <v>0</v>
      </c>
      <c r="BC28" s="773">
        <f t="shared" ca="1" si="32"/>
        <v>0</v>
      </c>
      <c r="BD28" s="773" t="s">
        <v>6568</v>
      </c>
    </row>
    <row r="29" spans="1:56" ht="14.25">
      <c r="M29" s="773" t="str">
        <f ca="1">VLOOKUP(A3,$A$19:$J$28,4,0)</f>
        <v>tỵ</v>
      </c>
      <c r="O29" s="773" t="str">
        <f ca="1">VLOOKUP(G3,$A$19:$J$28,4,0)</f>
        <v>dậu</v>
      </c>
      <c r="V29" s="773">
        <f ca="1">IF(OR($B$3=$M$31,$B$3=$M$32),1,0)</f>
        <v>0</v>
      </c>
      <c r="W29" s="805" t="s">
        <v>6569</v>
      </c>
      <c r="X29" s="773">
        <f t="shared" ca="1" si="33"/>
        <v>0</v>
      </c>
      <c r="Y29" s="773">
        <f t="shared" ca="1" si="26"/>
        <v>0</v>
      </c>
      <c r="Z29" s="806" t="s">
        <v>6569</v>
      </c>
      <c r="AA29" s="773">
        <f ca="1">IF(OR($E$3=$M$31,$E$3=$M$32),1,0)</f>
        <v>1</v>
      </c>
      <c r="AB29" s="773" t="s">
        <v>6570</v>
      </c>
      <c r="AC29" s="773">
        <f t="shared" ca="1" si="34"/>
        <v>1</v>
      </c>
      <c r="AD29" s="773">
        <f t="shared" ca="1" si="27"/>
        <v>1</v>
      </c>
      <c r="AE29" s="773" t="s">
        <v>6569</v>
      </c>
      <c r="AF29" s="773">
        <f ca="1">IF(OR($H$3=$M$31,$H$3=$M$32),1,0)</f>
        <v>0</v>
      </c>
      <c r="AG29" s="773" t="s">
        <v>6570</v>
      </c>
      <c r="AH29" s="773">
        <f t="shared" ca="1" si="35"/>
        <v>1</v>
      </c>
      <c r="AI29" s="773">
        <f t="shared" ca="1" si="28"/>
        <v>0</v>
      </c>
      <c r="AJ29" s="773" t="s">
        <v>6569</v>
      </c>
      <c r="AK29" s="773">
        <f ca="1">IF(OR($K$3=$M$31,$K$3=$M$32),1,0)</f>
        <v>0</v>
      </c>
      <c r="AL29" s="773" t="s">
        <v>6570</v>
      </c>
      <c r="AM29" s="773">
        <f t="shared" ca="1" si="36"/>
        <v>0</v>
      </c>
      <c r="AN29" s="773">
        <f t="shared" ca="1" si="29"/>
        <v>0</v>
      </c>
      <c r="AO29" s="773" t="s">
        <v>6569</v>
      </c>
      <c r="AP29" s="773">
        <f ca="1">IF(OR($Y$3=$M$31,$Y$3=$M$32),1,0)</f>
        <v>0</v>
      </c>
      <c r="AQ29" s="773" t="s">
        <v>6570</v>
      </c>
      <c r="AR29" s="773">
        <f t="shared" ca="1" si="37"/>
        <v>1</v>
      </c>
      <c r="AS29" s="773">
        <f t="shared" ca="1" si="30"/>
        <v>0</v>
      </c>
      <c r="AT29" s="773" t="s">
        <v>6569</v>
      </c>
      <c r="AU29" s="773">
        <f ca="1">IF(OR($U$3=$M$31,$U$3=$M$32),1,0)</f>
        <v>0</v>
      </c>
      <c r="AV29" s="773" t="s">
        <v>6570</v>
      </c>
      <c r="AW29" s="773">
        <f t="shared" ca="1" si="38"/>
        <v>1</v>
      </c>
      <c r="AX29" s="773">
        <f t="shared" ca="1" si="31"/>
        <v>0</v>
      </c>
      <c r="AY29" s="773" t="s">
        <v>6569</v>
      </c>
      <c r="AZ29" s="773">
        <f ca="1">IF(OR($W$3=$M$31,$W$3=$M$32),1,0)</f>
        <v>0</v>
      </c>
      <c r="BA29" s="773" t="s">
        <v>6570</v>
      </c>
      <c r="BB29" s="773">
        <f t="shared" ca="1" si="39"/>
        <v>0</v>
      </c>
      <c r="BC29" s="773">
        <f t="shared" ca="1" si="32"/>
        <v>0</v>
      </c>
      <c r="BD29" s="773" t="s">
        <v>6569</v>
      </c>
    </row>
    <row r="30" spans="1:56" ht="14.25">
      <c r="B30" s="772" t="s">
        <v>6571</v>
      </c>
      <c r="C30" s="772" t="s">
        <v>6572</v>
      </c>
      <c r="D30" s="772" t="s">
        <v>6573</v>
      </c>
      <c r="E30" s="803" t="s">
        <v>6574</v>
      </c>
      <c r="F30" s="772" t="s">
        <v>6575</v>
      </c>
      <c r="G30" s="772" t="s">
        <v>6540</v>
      </c>
      <c r="H30" s="803" t="s">
        <v>6576</v>
      </c>
      <c r="I30" s="772" t="s">
        <v>6577</v>
      </c>
      <c r="J30" s="772" t="s">
        <v>6578</v>
      </c>
      <c r="K30" s="772" t="s">
        <v>6579</v>
      </c>
      <c r="M30" s="807" t="s">
        <v>6570</v>
      </c>
      <c r="O30" s="807" t="s">
        <v>6541</v>
      </c>
      <c r="V30" s="773">
        <f ca="1">IF($B$3=$O$43,1,0)</f>
        <v>1</v>
      </c>
      <c r="W30" s="805" t="s">
        <v>6580</v>
      </c>
      <c r="X30" s="773">
        <f t="shared" ca="1" si="33"/>
        <v>1</v>
      </c>
      <c r="Y30" s="773">
        <f t="shared" ca="1" si="26"/>
        <v>1</v>
      </c>
      <c r="Z30" s="806" t="s">
        <v>6580</v>
      </c>
      <c r="AA30" s="773">
        <f ca="1">IF($E$3=$O$43,1,0)</f>
        <v>0</v>
      </c>
      <c r="AB30" s="773" t="s">
        <v>6581</v>
      </c>
      <c r="AC30" s="773">
        <f t="shared" ca="1" si="34"/>
        <v>1</v>
      </c>
      <c r="AD30" s="773">
        <f t="shared" ca="1" si="27"/>
        <v>0</v>
      </c>
      <c r="AE30" s="773" t="s">
        <v>6580</v>
      </c>
      <c r="AF30" s="773">
        <f ca="1">IF($H$3=$O$43,1,0)</f>
        <v>0</v>
      </c>
      <c r="AG30" s="773" t="s">
        <v>6581</v>
      </c>
      <c r="AH30" s="773">
        <f t="shared" ca="1" si="35"/>
        <v>1</v>
      </c>
      <c r="AI30" s="773">
        <f t="shared" ca="1" si="28"/>
        <v>0</v>
      </c>
      <c r="AJ30" s="773" t="s">
        <v>6580</v>
      </c>
      <c r="AK30" s="773">
        <f ca="1">IF($K$3=$O$43,1,0)</f>
        <v>0</v>
      </c>
      <c r="AL30" s="773" t="s">
        <v>6581</v>
      </c>
      <c r="AM30" s="773">
        <f t="shared" ca="1" si="36"/>
        <v>0</v>
      </c>
      <c r="AN30" s="773">
        <f t="shared" ca="1" si="29"/>
        <v>0</v>
      </c>
      <c r="AO30" s="773" t="s">
        <v>6580</v>
      </c>
      <c r="AP30" s="773">
        <f ca="1">IF($Y$3=$O$43,1,0)</f>
        <v>0</v>
      </c>
      <c r="AQ30" s="773" t="s">
        <v>6581</v>
      </c>
      <c r="AR30" s="773">
        <f t="shared" ca="1" si="37"/>
        <v>1</v>
      </c>
      <c r="AS30" s="773">
        <f t="shared" ca="1" si="30"/>
        <v>0</v>
      </c>
      <c r="AT30" s="773" t="s">
        <v>6580</v>
      </c>
      <c r="AU30" s="773">
        <f ca="1">IF($U$3=$O$43,1,0)</f>
        <v>0</v>
      </c>
      <c r="AV30" s="773" t="s">
        <v>6581</v>
      </c>
      <c r="AW30" s="773">
        <f t="shared" ca="1" si="38"/>
        <v>1</v>
      </c>
      <c r="AX30" s="773">
        <f t="shared" ca="1" si="31"/>
        <v>0</v>
      </c>
      <c r="AY30" s="773" t="s">
        <v>6580</v>
      </c>
      <c r="AZ30" s="773">
        <f ca="1">IF($W$3=$O$43,1,0)</f>
        <v>1</v>
      </c>
      <c r="BA30" s="773" t="s">
        <v>6581</v>
      </c>
      <c r="BB30" s="773">
        <f t="shared" ca="1" si="39"/>
        <v>1</v>
      </c>
      <c r="BC30" s="773">
        <f t="shared" ca="1" si="32"/>
        <v>1</v>
      </c>
      <c r="BD30" s="773" t="s">
        <v>6580</v>
      </c>
    </row>
    <row r="31" spans="1:56" ht="14.25">
      <c r="A31" s="773" t="s">
        <v>6548</v>
      </c>
      <c r="B31" s="773" t="s">
        <v>7874</v>
      </c>
      <c r="C31" s="773" t="s">
        <v>7872</v>
      </c>
      <c r="D31" s="773" t="s">
        <v>7886</v>
      </c>
      <c r="E31" s="773" t="s">
        <v>6548</v>
      </c>
      <c r="F31" s="773" t="s">
        <v>7871</v>
      </c>
      <c r="G31" s="773" t="s">
        <v>7871</v>
      </c>
      <c r="H31" s="773" t="s">
        <v>7865</v>
      </c>
      <c r="I31" s="773" t="s">
        <v>7877</v>
      </c>
      <c r="J31" s="773" t="s">
        <v>7883</v>
      </c>
      <c r="K31" s="773" t="s">
        <v>7882</v>
      </c>
      <c r="L31" s="773" t="s">
        <v>7871</v>
      </c>
      <c r="M31" s="773" t="str">
        <f ca="1">VLOOKUP(A3,$A$19:$J$28,2,0)</f>
        <v>dần</v>
      </c>
      <c r="O31" s="773" t="str">
        <f ca="1">VLOOKUP(G3,$A$19:$J$28,5,0)</f>
        <v>tỵ</v>
      </c>
      <c r="V31" s="773">
        <f ca="1">IF($B$3=$O$31,1,0)</f>
        <v>0</v>
      </c>
      <c r="W31" s="805" t="s">
        <v>6582</v>
      </c>
      <c r="X31" s="773">
        <f t="shared" ca="1" si="33"/>
        <v>1</v>
      </c>
      <c r="Y31" s="773">
        <f t="shared" ca="1" si="26"/>
        <v>0</v>
      </c>
      <c r="Z31" s="806" t="s">
        <v>6582</v>
      </c>
      <c r="AA31" s="773">
        <f ca="1">IF($E$3=$O$31,1,0)</f>
        <v>0</v>
      </c>
      <c r="AB31" s="773" t="s">
        <v>6541</v>
      </c>
      <c r="AC31" s="773">
        <f t="shared" ca="1" si="34"/>
        <v>1</v>
      </c>
      <c r="AD31" s="773">
        <f t="shared" ca="1" si="27"/>
        <v>0</v>
      </c>
      <c r="AE31" s="773" t="s">
        <v>6582</v>
      </c>
      <c r="AF31" s="773">
        <f ca="1">IF($H$3=$O$31,1,0)</f>
        <v>0</v>
      </c>
      <c r="AG31" s="773" t="s">
        <v>6541</v>
      </c>
      <c r="AH31" s="773">
        <f t="shared" ca="1" si="35"/>
        <v>1</v>
      </c>
      <c r="AI31" s="773">
        <f t="shared" ca="1" si="28"/>
        <v>0</v>
      </c>
      <c r="AJ31" s="773" t="s">
        <v>6582</v>
      </c>
      <c r="AK31" s="773">
        <f ca="1">IF($K$3=$O$31,1,0)</f>
        <v>0</v>
      </c>
      <c r="AL31" s="773" t="s">
        <v>6541</v>
      </c>
      <c r="AM31" s="773">
        <f t="shared" ca="1" si="36"/>
        <v>0</v>
      </c>
      <c r="AN31" s="773">
        <f t="shared" ca="1" si="29"/>
        <v>0</v>
      </c>
      <c r="AO31" s="773" t="s">
        <v>6582</v>
      </c>
      <c r="AP31" s="773">
        <f ca="1">IF($Y$3=$O$31,1,0)</f>
        <v>0</v>
      </c>
      <c r="AQ31" s="773" t="s">
        <v>6541</v>
      </c>
      <c r="AR31" s="773">
        <f t="shared" ca="1" si="37"/>
        <v>1</v>
      </c>
      <c r="AS31" s="773">
        <f t="shared" ca="1" si="30"/>
        <v>0</v>
      </c>
      <c r="AT31" s="773" t="s">
        <v>6582</v>
      </c>
      <c r="AU31" s="773">
        <f ca="1">IF($U$3=$O$31,1,0)</f>
        <v>0</v>
      </c>
      <c r="AV31" s="773" t="s">
        <v>6541</v>
      </c>
      <c r="AW31" s="773">
        <f t="shared" ca="1" si="38"/>
        <v>1</v>
      </c>
      <c r="AX31" s="773">
        <f t="shared" ca="1" si="31"/>
        <v>0</v>
      </c>
      <c r="AY31" s="773" t="s">
        <v>6582</v>
      </c>
      <c r="AZ31" s="773">
        <f ca="1">IF($W$3=$O$31,1,0)</f>
        <v>0</v>
      </c>
      <c r="BA31" s="773" t="s">
        <v>6541</v>
      </c>
      <c r="BB31" s="773">
        <f t="shared" ca="1" si="39"/>
        <v>1</v>
      </c>
      <c r="BC31" s="773">
        <f t="shared" ca="1" si="32"/>
        <v>0</v>
      </c>
      <c r="BD31" s="773" t="s">
        <v>6582</v>
      </c>
    </row>
    <row r="32" spans="1:56" ht="14.25">
      <c r="A32" s="773" t="s">
        <v>7875</v>
      </c>
      <c r="B32" s="773" t="s">
        <v>7877</v>
      </c>
      <c r="C32" s="773" t="s">
        <v>7875</v>
      </c>
      <c r="D32" s="773" t="s">
        <v>7883</v>
      </c>
      <c r="E32" s="773" t="s">
        <v>7886</v>
      </c>
      <c r="F32" s="773" t="s">
        <v>7874</v>
      </c>
      <c r="G32" s="773" t="s">
        <v>7860</v>
      </c>
      <c r="H32" s="773" t="s">
        <v>7860</v>
      </c>
      <c r="I32" s="773" t="s">
        <v>6548</v>
      </c>
      <c r="J32" s="773" t="s">
        <v>7873</v>
      </c>
      <c r="K32" s="773" t="s">
        <v>7887</v>
      </c>
      <c r="L32" s="773" t="s">
        <v>7883</v>
      </c>
      <c r="M32" s="773" t="str">
        <f ca="1">VLOOKUP(G3,$A$19:$J$28,2,0)</f>
        <v>thân</v>
      </c>
      <c r="V32" s="773">
        <f ca="1">IF(OR($B$3=$M$34,$B$3=$M$35,$B$3=$O$34,$B$3=$O$35),1,0)</f>
        <v>0</v>
      </c>
      <c r="W32" s="805" t="s">
        <v>6583</v>
      </c>
      <c r="X32" s="773">
        <f t="shared" ca="1" si="33"/>
        <v>1</v>
      </c>
      <c r="Y32" s="773">
        <f t="shared" ca="1" si="26"/>
        <v>0</v>
      </c>
      <c r="Z32" s="806" t="s">
        <v>6583</v>
      </c>
      <c r="AA32" s="773">
        <f ca="1">IF(OR($E$3=$M$34,$E$3=$M$35,$E$3=$O$34,$E$3=$O$35),1,0)</f>
        <v>1</v>
      </c>
      <c r="AB32" s="773" t="s">
        <v>6584</v>
      </c>
      <c r="AC32" s="773">
        <f t="shared" ca="1" si="34"/>
        <v>2</v>
      </c>
      <c r="AD32" s="773">
        <f t="shared" ca="1" si="27"/>
        <v>2</v>
      </c>
      <c r="AE32" s="773" t="s">
        <v>6583</v>
      </c>
      <c r="AF32" s="773">
        <f ca="1">IF(OR($H$3=$M$34,$H$3=$M$35,$H$3=$O$34,$H$3=$O$35),1,0)</f>
        <v>1</v>
      </c>
      <c r="AG32" s="773" t="s">
        <v>6584</v>
      </c>
      <c r="AH32" s="773">
        <f t="shared" ca="1" si="35"/>
        <v>2</v>
      </c>
      <c r="AI32" s="773">
        <f t="shared" ca="1" si="28"/>
        <v>2</v>
      </c>
      <c r="AJ32" s="773" t="s">
        <v>6583</v>
      </c>
      <c r="AK32" s="773">
        <f ca="1">IF(OR($K$3=$M$34,$K$3=$M$35,$K$3=$O$34,$K$3=$O$35),1,0)</f>
        <v>1</v>
      </c>
      <c r="AL32" s="773" t="s">
        <v>6584</v>
      </c>
      <c r="AM32" s="773">
        <f t="shared" ca="1" si="36"/>
        <v>1</v>
      </c>
      <c r="AN32" s="773">
        <f t="shared" ca="1" si="29"/>
        <v>1</v>
      </c>
      <c r="AO32" s="773" t="s">
        <v>6583</v>
      </c>
      <c r="AP32" s="773">
        <f ca="1">IF(OR($Y$3=$M$34,$Y$3=$M$35,$Y$3=$O$34,$Y$3=$O$35),1,0)</f>
        <v>0</v>
      </c>
      <c r="AQ32" s="773" t="s">
        <v>6584</v>
      </c>
      <c r="AR32" s="773">
        <f t="shared" ca="1" si="37"/>
        <v>1</v>
      </c>
      <c r="AS32" s="773">
        <f t="shared" ca="1" si="30"/>
        <v>0</v>
      </c>
      <c r="AT32" s="773" t="s">
        <v>6583</v>
      </c>
      <c r="AU32" s="773">
        <f ca="1">IF(OR($U$3=$M$34,$U$3=$M$35,$U$3=$O$34,$U$3=$O$35),1,0)</f>
        <v>0</v>
      </c>
      <c r="AV32" s="773" t="s">
        <v>6584</v>
      </c>
      <c r="AW32" s="773">
        <f t="shared" ca="1" si="38"/>
        <v>1</v>
      </c>
      <c r="AX32" s="773">
        <f t="shared" ca="1" si="31"/>
        <v>0</v>
      </c>
      <c r="AY32" s="773" t="s">
        <v>6583</v>
      </c>
      <c r="AZ32" s="773">
        <f ca="1">IF(OR($W$3=$M$34,$W$3=$M$35,$W$3=$O$34,$W$3=$O$35),1,0)</f>
        <v>0</v>
      </c>
      <c r="BA32" s="773" t="s">
        <v>6584</v>
      </c>
      <c r="BB32" s="773">
        <f t="shared" ca="1" si="39"/>
        <v>1</v>
      </c>
      <c r="BC32" s="773">
        <f t="shared" ca="1" si="32"/>
        <v>0</v>
      </c>
      <c r="BD32" s="773" t="s">
        <v>6583</v>
      </c>
    </row>
    <row r="33" spans="1:56" ht="14.25">
      <c r="A33" s="773" t="s">
        <v>7874</v>
      </c>
      <c r="B33" s="773" t="s">
        <v>7887</v>
      </c>
      <c r="C33" s="773" t="s">
        <v>7880</v>
      </c>
      <c r="D33" s="773" t="s">
        <v>7873</v>
      </c>
      <c r="E33" s="773" t="s">
        <v>7883</v>
      </c>
      <c r="F33" s="773" t="s">
        <v>7877</v>
      </c>
      <c r="G33" s="773" t="s">
        <v>7851</v>
      </c>
      <c r="H33" s="773" t="s">
        <v>7849</v>
      </c>
      <c r="I33" s="773" t="s">
        <v>7875</v>
      </c>
      <c r="J33" s="773" t="s">
        <v>6548</v>
      </c>
      <c r="K33" s="773" t="s">
        <v>7886</v>
      </c>
      <c r="L33" s="773" t="s">
        <v>7882</v>
      </c>
      <c r="M33" s="807" t="s">
        <v>6584</v>
      </c>
      <c r="O33" s="807" t="s">
        <v>6584</v>
      </c>
      <c r="V33" s="773">
        <f ca="1">IF($B$3=$M$37,1,0)</f>
        <v>0</v>
      </c>
      <c r="W33" s="805" t="s">
        <v>6585</v>
      </c>
      <c r="X33" s="773">
        <f t="shared" ca="1" si="33"/>
        <v>1</v>
      </c>
      <c r="Y33" s="773">
        <f t="shared" ca="1" si="26"/>
        <v>0</v>
      </c>
      <c r="Z33" s="806" t="s">
        <v>6585</v>
      </c>
      <c r="AA33" s="773">
        <f ca="1">IF($E$3=$M$37,1,0)</f>
        <v>0</v>
      </c>
      <c r="AB33" s="773" t="s">
        <v>6586</v>
      </c>
      <c r="AC33" s="773">
        <f t="shared" ca="1" si="34"/>
        <v>2</v>
      </c>
      <c r="AD33" s="773">
        <f t="shared" ca="1" si="27"/>
        <v>0</v>
      </c>
      <c r="AE33" s="773" t="s">
        <v>6585</v>
      </c>
      <c r="AF33" s="773">
        <f ca="1">IF($H$3=$M$37,1,0)</f>
        <v>0</v>
      </c>
      <c r="AG33" s="773" t="s">
        <v>6586</v>
      </c>
      <c r="AH33" s="773">
        <f t="shared" ca="1" si="35"/>
        <v>2</v>
      </c>
      <c r="AI33" s="773">
        <f t="shared" ca="1" si="28"/>
        <v>0</v>
      </c>
      <c r="AJ33" s="773" t="s">
        <v>6585</v>
      </c>
      <c r="AK33" s="773">
        <f ca="1">IF($K$3=$M$37,1,0)</f>
        <v>0</v>
      </c>
      <c r="AL33" s="773" t="s">
        <v>6586</v>
      </c>
      <c r="AM33" s="773">
        <f t="shared" ca="1" si="36"/>
        <v>1</v>
      </c>
      <c r="AN33" s="773">
        <f t="shared" ca="1" si="29"/>
        <v>0</v>
      </c>
      <c r="AO33" s="773" t="s">
        <v>6585</v>
      </c>
      <c r="AP33" s="773">
        <f ca="1">IF($Y$3=$M$37,1,0)</f>
        <v>0</v>
      </c>
      <c r="AQ33" s="773" t="s">
        <v>6586</v>
      </c>
      <c r="AR33" s="773">
        <f t="shared" ca="1" si="37"/>
        <v>1</v>
      </c>
      <c r="AS33" s="773">
        <f t="shared" ca="1" si="30"/>
        <v>0</v>
      </c>
      <c r="AT33" s="773" t="s">
        <v>6585</v>
      </c>
      <c r="AU33" s="773">
        <f ca="1">IF($U$3=$M$37,1,0)</f>
        <v>0</v>
      </c>
      <c r="AV33" s="773" t="s">
        <v>6586</v>
      </c>
      <c r="AW33" s="773">
        <f t="shared" ca="1" si="38"/>
        <v>1</v>
      </c>
      <c r="AX33" s="773">
        <f t="shared" ca="1" si="31"/>
        <v>0</v>
      </c>
      <c r="AY33" s="773" t="s">
        <v>6585</v>
      </c>
      <c r="AZ33" s="773">
        <f ca="1">IF($W$3=$M$37,1,0)</f>
        <v>0</v>
      </c>
      <c r="BA33" s="773" t="s">
        <v>6586</v>
      </c>
      <c r="BB33" s="773">
        <f t="shared" ca="1" si="39"/>
        <v>1</v>
      </c>
      <c r="BC33" s="773">
        <f t="shared" ca="1" si="32"/>
        <v>0</v>
      </c>
      <c r="BD33" s="773" t="s">
        <v>6585</v>
      </c>
    </row>
    <row r="34" spans="1:56" ht="14.25">
      <c r="A34" s="773" t="s">
        <v>7873</v>
      </c>
      <c r="B34" s="773" t="s">
        <v>7871</v>
      </c>
      <c r="C34" s="773" t="s">
        <v>7882</v>
      </c>
      <c r="D34" s="773" t="s">
        <v>6548</v>
      </c>
      <c r="E34" s="773" t="s">
        <v>7873</v>
      </c>
      <c r="F34" s="773" t="s">
        <v>7887</v>
      </c>
      <c r="G34" s="773" t="s">
        <v>7887</v>
      </c>
      <c r="H34" s="773" t="s">
        <v>7844</v>
      </c>
      <c r="I34" s="773" t="s">
        <v>7874</v>
      </c>
      <c r="J34" s="773" t="s">
        <v>7886</v>
      </c>
      <c r="K34" s="773" t="s">
        <v>7880</v>
      </c>
      <c r="L34" s="773" t="s">
        <v>7887</v>
      </c>
      <c r="M34" s="773" t="str">
        <f ca="1">VLOOKUP(A3,$A$19:$J$28,8,0)</f>
        <v>thìn</v>
      </c>
      <c r="O34" s="773" t="str">
        <f ca="1">VLOOKUP(G3,$A$19:$J$28,8,0)</f>
        <v>dần</v>
      </c>
      <c r="V34" s="773">
        <f ca="1">IF(OR($B$3=$O$37,$B$3=$O$38),1,0)</f>
        <v>0</v>
      </c>
      <c r="W34" s="805" t="s">
        <v>6587</v>
      </c>
      <c r="X34" s="773">
        <f t="shared" ca="1" si="33"/>
        <v>1</v>
      </c>
      <c r="Y34" s="773">
        <f t="shared" ca="1" si="26"/>
        <v>0</v>
      </c>
      <c r="Z34" s="806" t="s">
        <v>6587</v>
      </c>
      <c r="AA34" s="773">
        <f ca="1">IF(OR($E$3=$O$37,$E$3=$O$38),1,0)</f>
        <v>0</v>
      </c>
      <c r="AB34" s="773" t="s">
        <v>6546</v>
      </c>
      <c r="AC34" s="773">
        <f t="shared" ca="1" si="34"/>
        <v>2</v>
      </c>
      <c r="AD34" s="773">
        <f t="shared" ca="1" si="27"/>
        <v>0</v>
      </c>
      <c r="AE34" s="773" t="s">
        <v>6587</v>
      </c>
      <c r="AF34" s="773">
        <f ca="1">IF(OR($H$3=$O$37,$H$3=$O$38),1,0)</f>
        <v>0</v>
      </c>
      <c r="AG34" s="773" t="s">
        <v>6546</v>
      </c>
      <c r="AH34" s="773">
        <f t="shared" ca="1" si="35"/>
        <v>2</v>
      </c>
      <c r="AI34" s="773">
        <f t="shared" ca="1" si="28"/>
        <v>0</v>
      </c>
      <c r="AJ34" s="773" t="s">
        <v>6587</v>
      </c>
      <c r="AK34" s="773">
        <f ca="1">IF(OR($K$3=$O$37,$K$3=$O$38),1,0)</f>
        <v>0</v>
      </c>
      <c r="AL34" s="773" t="s">
        <v>6546</v>
      </c>
      <c r="AM34" s="773">
        <f t="shared" ca="1" si="36"/>
        <v>1</v>
      </c>
      <c r="AN34" s="773">
        <f t="shared" ca="1" si="29"/>
        <v>0</v>
      </c>
      <c r="AO34" s="773" t="s">
        <v>6587</v>
      </c>
      <c r="AP34" s="773">
        <f ca="1">IF(OR($Y$3=$O$37,$Y$3=$O$38),1,0)</f>
        <v>1</v>
      </c>
      <c r="AQ34" s="773" t="s">
        <v>6546</v>
      </c>
      <c r="AR34" s="773">
        <f t="shared" ca="1" si="37"/>
        <v>2</v>
      </c>
      <c r="AS34" s="773">
        <f t="shared" ca="1" si="30"/>
        <v>2</v>
      </c>
      <c r="AT34" s="773" t="s">
        <v>6587</v>
      </c>
      <c r="AU34" s="773">
        <f ca="1">IF(OR($U$3=$O$37,$U$3=$O$38),1,0)</f>
        <v>0</v>
      </c>
      <c r="AV34" s="773" t="s">
        <v>6546</v>
      </c>
      <c r="AW34" s="773">
        <f t="shared" ca="1" si="38"/>
        <v>1</v>
      </c>
      <c r="AX34" s="773">
        <f t="shared" ca="1" si="31"/>
        <v>0</v>
      </c>
      <c r="AY34" s="773" t="s">
        <v>6587</v>
      </c>
      <c r="AZ34" s="773">
        <f ca="1">IF(OR($W$3=$O$37,$W$3=$O$38),1,0)</f>
        <v>0</v>
      </c>
      <c r="BA34" s="773" t="s">
        <v>6546</v>
      </c>
      <c r="BB34" s="773">
        <f t="shared" ca="1" si="39"/>
        <v>1</v>
      </c>
      <c r="BC34" s="773">
        <f t="shared" ca="1" si="32"/>
        <v>0</v>
      </c>
      <c r="BD34" s="773" t="s">
        <v>6587</v>
      </c>
    </row>
    <row r="35" spans="1:56" ht="14.25">
      <c r="A35" s="773" t="s">
        <v>7872</v>
      </c>
      <c r="B35" s="773" t="s">
        <v>7874</v>
      </c>
      <c r="C35" s="773" t="s">
        <v>7872</v>
      </c>
      <c r="D35" s="773" t="s">
        <v>7886</v>
      </c>
      <c r="E35" s="773" t="s">
        <v>6548</v>
      </c>
      <c r="F35" s="773" t="s">
        <v>7871</v>
      </c>
      <c r="G35" s="773" t="s">
        <v>7865</v>
      </c>
      <c r="H35" s="773" t="s">
        <v>7865</v>
      </c>
      <c r="I35" s="773" t="s">
        <v>7873</v>
      </c>
      <c r="J35" s="773" t="s">
        <v>7883</v>
      </c>
      <c r="K35" s="773" t="s">
        <v>7877</v>
      </c>
      <c r="L35" s="773" t="s">
        <v>7886</v>
      </c>
      <c r="M35" s="773">
        <f ca="1">VLOOKUP(A3,$A$19:$J$28,9,0)</f>
        <v>0</v>
      </c>
      <c r="O35" s="773" t="str">
        <f ca="1">VLOOKUP(G3,$A$19:$J$28,9,0)</f>
        <v>tý</v>
      </c>
      <c r="V35" s="773">
        <f ca="1">IF(OR($B$3=$M$39,$B$3=$M$40),1,0)</f>
        <v>0</v>
      </c>
      <c r="W35" s="805" t="s">
        <v>6588</v>
      </c>
      <c r="X35" s="773">
        <f t="shared" ca="1" si="33"/>
        <v>1</v>
      </c>
      <c r="Y35" s="773">
        <f t="shared" ca="1" si="26"/>
        <v>0</v>
      </c>
      <c r="Z35" s="806" t="s">
        <v>6588</v>
      </c>
      <c r="AA35" s="773">
        <f ca="1">IF(OR($E$3=$M$39,$E$3=$M$40),1,0)</f>
        <v>1</v>
      </c>
      <c r="AB35" s="773" t="s">
        <v>6589</v>
      </c>
      <c r="AC35" s="773">
        <f t="shared" ca="1" si="34"/>
        <v>3</v>
      </c>
      <c r="AD35" s="773">
        <f t="shared" ca="1" si="27"/>
        <v>3</v>
      </c>
      <c r="AE35" s="773" t="s">
        <v>6588</v>
      </c>
      <c r="AF35" s="773">
        <f ca="1">IF(OR($H$3=$M$39,$H$3=$M$40),1,0)</f>
        <v>0</v>
      </c>
      <c r="AG35" s="773" t="s">
        <v>6589</v>
      </c>
      <c r="AH35" s="773">
        <f t="shared" ca="1" si="35"/>
        <v>2</v>
      </c>
      <c r="AI35" s="773">
        <f t="shared" ca="1" si="28"/>
        <v>0</v>
      </c>
      <c r="AJ35" s="773" t="s">
        <v>6588</v>
      </c>
      <c r="AK35" s="773">
        <f ca="1">IF(OR($K$3=$M$39,$K$3=$M$40),1,0)</f>
        <v>0</v>
      </c>
      <c r="AL35" s="773" t="s">
        <v>6589</v>
      </c>
      <c r="AM35" s="773">
        <f t="shared" ca="1" si="36"/>
        <v>1</v>
      </c>
      <c r="AN35" s="773">
        <f t="shared" ca="1" si="29"/>
        <v>0</v>
      </c>
      <c r="AO35" s="773" t="s">
        <v>6588</v>
      </c>
      <c r="AP35" s="773">
        <f ca="1">IF(OR($Y$3=$M$39,$Y$3=$M$40),1,0)</f>
        <v>0</v>
      </c>
      <c r="AQ35" s="773" t="s">
        <v>6589</v>
      </c>
      <c r="AR35" s="773">
        <f t="shared" ca="1" si="37"/>
        <v>2</v>
      </c>
      <c r="AS35" s="773">
        <f t="shared" ca="1" si="30"/>
        <v>0</v>
      </c>
      <c r="AT35" s="773" t="s">
        <v>6588</v>
      </c>
      <c r="AU35" s="773">
        <f ca="1">IF(OR($U$3=$M$39,$U$3=$M$40),1,0)</f>
        <v>0</v>
      </c>
      <c r="AV35" s="773" t="s">
        <v>6589</v>
      </c>
      <c r="AW35" s="773">
        <f t="shared" ca="1" si="38"/>
        <v>1</v>
      </c>
      <c r="AX35" s="773">
        <f t="shared" ca="1" si="31"/>
        <v>0</v>
      </c>
      <c r="AY35" s="773" t="s">
        <v>6588</v>
      </c>
      <c r="AZ35" s="773">
        <f ca="1">IF(OR($W$3=$M$39,$W$3=$M$40),1,0)</f>
        <v>0</v>
      </c>
      <c r="BA35" s="773" t="s">
        <v>6589</v>
      </c>
      <c r="BB35" s="773">
        <f t="shared" ca="1" si="39"/>
        <v>1</v>
      </c>
      <c r="BC35" s="773">
        <f t="shared" ca="1" si="32"/>
        <v>0</v>
      </c>
      <c r="BD35" s="773" t="s">
        <v>6588</v>
      </c>
    </row>
    <row r="36" spans="1:56" ht="14.25">
      <c r="A36" s="773" t="s">
        <v>7871</v>
      </c>
      <c r="B36" s="773" t="s">
        <v>7877</v>
      </c>
      <c r="C36" s="773" t="s">
        <v>7875</v>
      </c>
      <c r="D36" s="773" t="s">
        <v>7883</v>
      </c>
      <c r="E36" s="773" t="s">
        <v>7886</v>
      </c>
      <c r="F36" s="773" t="s">
        <v>7874</v>
      </c>
      <c r="G36" s="773" t="s">
        <v>6562</v>
      </c>
      <c r="H36" s="773" t="s">
        <v>7860</v>
      </c>
      <c r="I36" s="773" t="s">
        <v>7872</v>
      </c>
      <c r="J36" s="773" t="s">
        <v>7873</v>
      </c>
      <c r="K36" s="773" t="s">
        <v>6548</v>
      </c>
      <c r="L36" s="773" t="s">
        <v>7880</v>
      </c>
      <c r="M36" s="807" t="s">
        <v>6586</v>
      </c>
      <c r="O36" s="807" t="s">
        <v>6546</v>
      </c>
      <c r="V36" s="773">
        <f ca="1">IF($B$3=$O$41,1,0)</f>
        <v>0</v>
      </c>
      <c r="W36" s="805" t="s">
        <v>6590</v>
      </c>
      <c r="X36" s="773">
        <f t="shared" ca="1" si="33"/>
        <v>1</v>
      </c>
      <c r="Y36" s="773">
        <f t="shared" ca="1" si="26"/>
        <v>0</v>
      </c>
      <c r="Z36" s="806" t="s">
        <v>6590</v>
      </c>
      <c r="AA36" s="773">
        <f ca="1">IF(OR($E$3=$O$40,$E$3=$O$41),1,0)</f>
        <v>0</v>
      </c>
      <c r="AB36" s="773" t="s">
        <v>6591</v>
      </c>
      <c r="AC36" s="773">
        <f t="shared" ca="1" si="34"/>
        <v>3</v>
      </c>
      <c r="AD36" s="773">
        <f t="shared" ca="1" si="27"/>
        <v>0</v>
      </c>
      <c r="AE36" s="773" t="s">
        <v>6590</v>
      </c>
      <c r="AF36" s="773">
        <f ca="1">IF($H$3=$O$40,1,0)</f>
        <v>0</v>
      </c>
      <c r="AG36" s="773" t="s">
        <v>6591</v>
      </c>
      <c r="AH36" s="773">
        <f t="shared" ca="1" si="35"/>
        <v>2</v>
      </c>
      <c r="AI36" s="773">
        <f t="shared" ca="1" si="28"/>
        <v>0</v>
      </c>
      <c r="AJ36" s="773" t="s">
        <v>6590</v>
      </c>
      <c r="AK36" s="773">
        <f ca="1">IF(OR($K$3=$O$40,$K$3=$O$41),1,0)</f>
        <v>0</v>
      </c>
      <c r="AL36" s="773" t="s">
        <v>6591</v>
      </c>
      <c r="AM36" s="773">
        <f t="shared" ca="1" si="36"/>
        <v>1</v>
      </c>
      <c r="AN36" s="773">
        <f t="shared" ca="1" si="29"/>
        <v>0</v>
      </c>
      <c r="AO36" s="773" t="s">
        <v>6590</v>
      </c>
      <c r="AP36" s="773">
        <f ca="1">IF(OR($Y$3=$O$40,$Y$3=$O$41),1,0)</f>
        <v>0</v>
      </c>
      <c r="AQ36" s="773" t="s">
        <v>6591</v>
      </c>
      <c r="AR36" s="773">
        <f t="shared" ca="1" si="37"/>
        <v>2</v>
      </c>
      <c r="AS36" s="773">
        <f t="shared" ca="1" si="30"/>
        <v>0</v>
      </c>
      <c r="AT36" s="773" t="s">
        <v>6590</v>
      </c>
      <c r="AU36" s="773">
        <f ca="1">IF(OR($U$3=$O$40,$U$3=$O$41),1,0)</f>
        <v>0</v>
      </c>
      <c r="AV36" s="773" t="s">
        <v>6591</v>
      </c>
      <c r="AW36" s="773">
        <f t="shared" ca="1" si="38"/>
        <v>1</v>
      </c>
      <c r="AX36" s="773">
        <f t="shared" ca="1" si="31"/>
        <v>0</v>
      </c>
      <c r="AY36" s="773" t="s">
        <v>6590</v>
      </c>
      <c r="AZ36" s="773">
        <f ca="1">IF(OR($W$3=$O$40,$W$3=$O$41),1,0)</f>
        <v>1</v>
      </c>
      <c r="BA36" s="773" t="s">
        <v>6591</v>
      </c>
      <c r="BB36" s="773">
        <f t="shared" ca="1" si="39"/>
        <v>2</v>
      </c>
      <c r="BC36" s="773">
        <f t="shared" ca="1" si="32"/>
        <v>2</v>
      </c>
      <c r="BD36" s="773" t="s">
        <v>6590</v>
      </c>
    </row>
    <row r="37" spans="1:56" ht="14.25">
      <c r="A37" s="773" t="s">
        <v>7883</v>
      </c>
      <c r="B37" s="773" t="s">
        <v>7887</v>
      </c>
      <c r="C37" s="773" t="s">
        <v>7880</v>
      </c>
      <c r="D37" s="773" t="s">
        <v>7873</v>
      </c>
      <c r="E37" s="773" t="s">
        <v>7883</v>
      </c>
      <c r="F37" s="773" t="s">
        <v>7877</v>
      </c>
      <c r="G37" s="773" t="s">
        <v>7877</v>
      </c>
      <c r="H37" s="773" t="s">
        <v>7849</v>
      </c>
      <c r="I37" s="773" t="s">
        <v>7871</v>
      </c>
      <c r="J37" s="773" t="s">
        <v>6548</v>
      </c>
      <c r="K37" s="773" t="s">
        <v>7875</v>
      </c>
      <c r="L37" s="773" t="s">
        <v>7877</v>
      </c>
      <c r="M37" s="773" t="str">
        <f ca="1">VLOOKUP(G3,$A$19:$J$28,7,0)</f>
        <v>mùi</v>
      </c>
      <c r="O37" s="773" t="str">
        <f ca="1">VLOOKUP(A3,$A$19:$J$28,10,0)</f>
        <v>mùi</v>
      </c>
      <c r="V37" s="773">
        <f ca="1">IF($B$3=$M$58,1,0)</f>
        <v>0</v>
      </c>
      <c r="W37" s="805" t="s">
        <v>6592</v>
      </c>
      <c r="X37" s="773">
        <f t="shared" ca="1" si="33"/>
        <v>1</v>
      </c>
      <c r="Y37" s="773">
        <f t="shared" ca="1" si="26"/>
        <v>0</v>
      </c>
      <c r="Z37" s="806" t="s">
        <v>6592</v>
      </c>
      <c r="AA37" s="773">
        <f ca="1">IF(OR($E$3=$M$57,$E$3=$M$58),1,0)</f>
        <v>0</v>
      </c>
      <c r="AB37" s="773" t="s">
        <v>6593</v>
      </c>
      <c r="AC37" s="773">
        <f t="shared" ca="1" si="34"/>
        <v>3</v>
      </c>
      <c r="AD37" s="773">
        <f t="shared" ca="1" si="27"/>
        <v>0</v>
      </c>
      <c r="AE37" s="773" t="s">
        <v>6592</v>
      </c>
      <c r="AF37" s="773">
        <f ca="1">IF(OR($H$3=$M$57,$H$3=$M$58),1,N61)</f>
        <v>0</v>
      </c>
      <c r="AG37" s="773" t="s">
        <v>6593</v>
      </c>
      <c r="AH37" s="773">
        <f t="shared" ca="1" si="35"/>
        <v>2</v>
      </c>
      <c r="AI37" s="773">
        <f t="shared" ca="1" si="28"/>
        <v>0</v>
      </c>
      <c r="AJ37" s="773" t="s">
        <v>6592</v>
      </c>
      <c r="AK37" s="773">
        <f ca="1">IF(OR($K$3=$M$57,$K$3=$M$58),1,0)</f>
        <v>0</v>
      </c>
      <c r="AL37" s="773" t="s">
        <v>6593</v>
      </c>
      <c r="AM37" s="773">
        <f t="shared" ca="1" si="36"/>
        <v>1</v>
      </c>
      <c r="AN37" s="773">
        <f t="shared" ca="1" si="29"/>
        <v>0</v>
      </c>
      <c r="AO37" s="773" t="s">
        <v>6592</v>
      </c>
      <c r="AP37" s="773">
        <f ca="1">IF(OR($Y$3=$M$57,$Y$3=$M$58),1,0)</f>
        <v>0</v>
      </c>
      <c r="AQ37" s="773" t="s">
        <v>6593</v>
      </c>
      <c r="AR37" s="773">
        <f t="shared" ca="1" si="37"/>
        <v>2</v>
      </c>
      <c r="AS37" s="773">
        <f t="shared" ca="1" si="30"/>
        <v>0</v>
      </c>
      <c r="AT37" s="773" t="s">
        <v>6592</v>
      </c>
      <c r="AU37" s="773">
        <f ca="1">IF(OR($U$3=$M$57,$U$3=$M$58),1,0)</f>
        <v>0</v>
      </c>
      <c r="AV37" s="773" t="s">
        <v>6593</v>
      </c>
      <c r="AW37" s="773">
        <f t="shared" ca="1" si="38"/>
        <v>1</v>
      </c>
      <c r="AX37" s="773">
        <f t="shared" ca="1" si="31"/>
        <v>0</v>
      </c>
      <c r="AY37" s="773" t="s">
        <v>6592</v>
      </c>
      <c r="AZ37" s="773">
        <f ca="1">IF(OR($W$3=$M$57,$W$3=$M$58),1,0)</f>
        <v>0</v>
      </c>
      <c r="BA37" s="773" t="s">
        <v>6593</v>
      </c>
      <c r="BB37" s="773">
        <f t="shared" ca="1" si="39"/>
        <v>2</v>
      </c>
      <c r="BC37" s="773">
        <f t="shared" ca="1" si="32"/>
        <v>0</v>
      </c>
      <c r="BD37" s="773" t="s">
        <v>6592</v>
      </c>
    </row>
    <row r="38" spans="1:56" ht="14.25">
      <c r="A38" s="773" t="s">
        <v>7882</v>
      </c>
      <c r="B38" s="773" t="s">
        <v>7871</v>
      </c>
      <c r="C38" s="773" t="s">
        <v>7882</v>
      </c>
      <c r="D38" s="773" t="s">
        <v>6548</v>
      </c>
      <c r="E38" s="773" t="s">
        <v>7873</v>
      </c>
      <c r="F38" s="773" t="s">
        <v>7887</v>
      </c>
      <c r="G38" s="773" t="s">
        <v>7844</v>
      </c>
      <c r="H38" s="773" t="s">
        <v>7844</v>
      </c>
      <c r="I38" s="773" t="s">
        <v>7883</v>
      </c>
      <c r="J38" s="773" t="s">
        <v>7886</v>
      </c>
      <c r="K38" s="773" t="s">
        <v>7874</v>
      </c>
      <c r="L38" s="773" t="s">
        <v>6548</v>
      </c>
      <c r="M38" s="803" t="s">
        <v>6589</v>
      </c>
      <c r="O38" s="773" t="str">
        <f ca="1">VLOOKUP(G3,$A$19:$J$28,10,0)</f>
        <v>sửu</v>
      </c>
      <c r="V38" s="773">
        <f ca="1">IF($B$3=$M$42,1,0)</f>
        <v>0</v>
      </c>
      <c r="W38" s="805" t="s">
        <v>6594</v>
      </c>
      <c r="X38" s="773">
        <f t="shared" ca="1" si="33"/>
        <v>1</v>
      </c>
      <c r="Y38" s="773">
        <f t="shared" ca="1" si="26"/>
        <v>0</v>
      </c>
      <c r="Z38" s="806" t="s">
        <v>6594</v>
      </c>
      <c r="AA38" s="773">
        <f ca="1">IF(OR($E$3=$O$45,$E$3=$O$46),1,0)</f>
        <v>0</v>
      </c>
      <c r="AB38" s="773" t="s">
        <v>6595</v>
      </c>
      <c r="AC38" s="773">
        <f t="shared" ca="1" si="34"/>
        <v>3</v>
      </c>
      <c r="AD38" s="773">
        <f t="shared" ca="1" si="27"/>
        <v>0</v>
      </c>
      <c r="AE38" s="773" t="s">
        <v>6596</v>
      </c>
      <c r="AF38" s="773">
        <f ca="1">IF($H$3=$O$45,1,0)</f>
        <v>0</v>
      </c>
      <c r="AG38" s="773" t="s">
        <v>6595</v>
      </c>
      <c r="AH38" s="773">
        <f t="shared" ca="1" si="35"/>
        <v>2</v>
      </c>
      <c r="AI38" s="773">
        <f t="shared" ca="1" si="28"/>
        <v>0</v>
      </c>
      <c r="AJ38" s="773" t="s">
        <v>6596</v>
      </c>
      <c r="AK38" s="773">
        <f ca="1">IF(OR($K$3=$O$45,$K$3=$O$46),1,0)</f>
        <v>1</v>
      </c>
      <c r="AL38" s="773" t="s">
        <v>6595</v>
      </c>
      <c r="AM38" s="773">
        <f t="shared" ca="1" si="36"/>
        <v>2</v>
      </c>
      <c r="AN38" s="773">
        <f t="shared" ca="1" si="29"/>
        <v>2</v>
      </c>
      <c r="AO38" s="773" t="s">
        <v>6596</v>
      </c>
      <c r="AP38" s="773">
        <f ca="1">IF(OR($Y$3=$O$45,$Y$3=$O$46),1,0)</f>
        <v>0</v>
      </c>
      <c r="AQ38" s="773" t="s">
        <v>6595</v>
      </c>
      <c r="AR38" s="773">
        <f t="shared" ca="1" si="37"/>
        <v>2</v>
      </c>
      <c r="AS38" s="773">
        <f t="shared" ca="1" si="30"/>
        <v>0</v>
      </c>
      <c r="AT38" s="773" t="s">
        <v>6596</v>
      </c>
      <c r="AU38" s="773">
        <f ca="1">IF(OR($U$3=$O$45,$U$3=$O$46),1,0)</f>
        <v>0</v>
      </c>
      <c r="AV38" s="773" t="s">
        <v>6595</v>
      </c>
      <c r="AW38" s="773">
        <f t="shared" ca="1" si="38"/>
        <v>1</v>
      </c>
      <c r="AX38" s="773">
        <f t="shared" ca="1" si="31"/>
        <v>0</v>
      </c>
      <c r="AY38" s="773" t="s">
        <v>6596</v>
      </c>
      <c r="AZ38" s="773">
        <f ca="1">IF(OR($W$3=$O$45,$W$3=$O$46),1,0)</f>
        <v>0</v>
      </c>
      <c r="BA38" s="773" t="s">
        <v>6595</v>
      </c>
      <c r="BB38" s="773">
        <f t="shared" ca="1" si="39"/>
        <v>2</v>
      </c>
      <c r="BC38" s="773">
        <f t="shared" ca="1" si="32"/>
        <v>0</v>
      </c>
      <c r="BD38" s="773" t="s">
        <v>6596</v>
      </c>
    </row>
    <row r="39" spans="1:56" ht="14.25">
      <c r="A39" s="773" t="s">
        <v>7887</v>
      </c>
      <c r="B39" s="773" t="s">
        <v>7874</v>
      </c>
      <c r="C39" s="773" t="s">
        <v>7872</v>
      </c>
      <c r="D39" s="773" t="s">
        <v>7886</v>
      </c>
      <c r="E39" s="773" t="s">
        <v>6548</v>
      </c>
      <c r="F39" s="773" t="s">
        <v>7871</v>
      </c>
      <c r="G39" s="773" t="s">
        <v>6567</v>
      </c>
      <c r="H39" s="773" t="s">
        <v>7865</v>
      </c>
      <c r="I39" s="773" t="s">
        <v>7882</v>
      </c>
      <c r="J39" s="773" t="s">
        <v>7883</v>
      </c>
      <c r="K39" s="773" t="s">
        <v>7873</v>
      </c>
      <c r="L39" s="773" t="s">
        <v>7875</v>
      </c>
      <c r="M39" s="773" t="str">
        <f ca="1">VLOOKUP(B3,$A$31:$L$42,2,0)</f>
        <v>thân</v>
      </c>
      <c r="O39" s="803" t="s">
        <v>6591</v>
      </c>
      <c r="V39" s="773">
        <f ca="1">IF($B$3=$O$46,1,0)</f>
        <v>0</v>
      </c>
      <c r="W39" s="805" t="s">
        <v>6596</v>
      </c>
      <c r="X39" s="773">
        <f t="shared" ca="1" si="33"/>
        <v>1</v>
      </c>
      <c r="Y39" s="773">
        <f t="shared" ca="1" si="26"/>
        <v>0</v>
      </c>
      <c r="Z39" s="806" t="s">
        <v>6596</v>
      </c>
      <c r="AA39" s="773">
        <f ca="1">IF(OR($E$3=$O$48,$E$3=$O$49),1,0)</f>
        <v>0</v>
      </c>
      <c r="AB39" s="773" t="s">
        <v>6597</v>
      </c>
      <c r="AC39" s="773">
        <f t="shared" ca="1" si="34"/>
        <v>3</v>
      </c>
      <c r="AD39" s="773">
        <f t="shared" ca="1" si="27"/>
        <v>0</v>
      </c>
      <c r="AE39" s="773" t="s">
        <v>6598</v>
      </c>
      <c r="AF39" s="773">
        <f ca="1">IF($H$3=$O$48,1,0)</f>
        <v>0</v>
      </c>
      <c r="AG39" s="773" t="s">
        <v>6597</v>
      </c>
      <c r="AH39" s="773">
        <f t="shared" ca="1" si="35"/>
        <v>2</v>
      </c>
      <c r="AI39" s="773">
        <f t="shared" ca="1" si="28"/>
        <v>0</v>
      </c>
      <c r="AJ39" s="773" t="s">
        <v>6598</v>
      </c>
      <c r="AK39" s="773">
        <f ca="1">IF(OR($K$3=$O$48,$K$3=$O$49),1,0)</f>
        <v>0</v>
      </c>
      <c r="AL39" s="773" t="s">
        <v>6597</v>
      </c>
      <c r="AM39" s="773">
        <f t="shared" ca="1" si="36"/>
        <v>2</v>
      </c>
      <c r="AN39" s="773">
        <f t="shared" ca="1" si="29"/>
        <v>0</v>
      </c>
      <c r="AO39" s="773" t="s">
        <v>6598</v>
      </c>
      <c r="AP39" s="773">
        <f ca="1">IF(OR($Y$3=$O$48,$Y$3=$O$49),1,0)</f>
        <v>0</v>
      </c>
      <c r="AQ39" s="773" t="s">
        <v>6597</v>
      </c>
      <c r="AR39" s="773">
        <f t="shared" ca="1" si="37"/>
        <v>2</v>
      </c>
      <c r="AS39" s="773">
        <f t="shared" ca="1" si="30"/>
        <v>0</v>
      </c>
      <c r="AT39" s="773" t="s">
        <v>6598</v>
      </c>
      <c r="AU39" s="773">
        <f ca="1">IF(OR($U$3=$O$48,$U$3=$O$49),1,0)</f>
        <v>1</v>
      </c>
      <c r="AV39" s="773" t="s">
        <v>6597</v>
      </c>
      <c r="AW39" s="773">
        <f t="shared" ca="1" si="38"/>
        <v>2</v>
      </c>
      <c r="AX39" s="773">
        <f t="shared" ca="1" si="31"/>
        <v>2</v>
      </c>
      <c r="AY39" s="773" t="s">
        <v>6598</v>
      </c>
      <c r="AZ39" s="773">
        <f ca="1">IF(OR($W$3=$O$48,$W$3=$O$49),1,0)</f>
        <v>0</v>
      </c>
      <c r="BA39" s="773" t="s">
        <v>6597</v>
      </c>
      <c r="BB39" s="773">
        <f t="shared" ca="1" si="39"/>
        <v>2</v>
      </c>
      <c r="BC39" s="773">
        <f t="shared" ca="1" si="32"/>
        <v>0</v>
      </c>
      <c r="BD39" s="773" t="s">
        <v>6598</v>
      </c>
    </row>
    <row r="40" spans="1:56" ht="14.25">
      <c r="A40" s="773" t="s">
        <v>7886</v>
      </c>
      <c r="B40" s="773" t="s">
        <v>7877</v>
      </c>
      <c r="C40" s="773" t="s">
        <v>7875</v>
      </c>
      <c r="D40" s="773" t="s">
        <v>7883</v>
      </c>
      <c r="E40" s="773" t="s">
        <v>7886</v>
      </c>
      <c r="F40" s="773" t="s">
        <v>7874</v>
      </c>
      <c r="G40" s="773" t="s">
        <v>7874</v>
      </c>
      <c r="H40" s="773" t="s">
        <v>7860</v>
      </c>
      <c r="I40" s="773" t="s">
        <v>7887</v>
      </c>
      <c r="J40" s="773" t="s">
        <v>7873</v>
      </c>
      <c r="K40" s="773" t="s">
        <v>7872</v>
      </c>
      <c r="L40" s="773" t="s">
        <v>7874</v>
      </c>
      <c r="M40" s="773" t="str">
        <f ca="1">VLOOKUP(H3,$A$31:$L$42,2,0)</f>
        <v>dần</v>
      </c>
      <c r="O40" s="773" t="str">
        <f ca="1">VLOOKUP(B3,$A$31:$L$42,5,0)</f>
        <v>ngọ</v>
      </c>
      <c r="V40" s="773">
        <f ca="1">IF($B$3=$O$49,1,0)</f>
        <v>0</v>
      </c>
      <c r="W40" s="805" t="s">
        <v>6598</v>
      </c>
      <c r="X40" s="773">
        <f t="shared" ca="1" si="33"/>
        <v>1</v>
      </c>
      <c r="Y40" s="773">
        <f t="shared" ca="1" si="26"/>
        <v>0</v>
      </c>
      <c r="Z40" s="806" t="s">
        <v>6598</v>
      </c>
      <c r="AA40" s="773">
        <f ca="1">IF(OR($E$3=$O$51,$E$3=$O$52),1,0)</f>
        <v>0</v>
      </c>
      <c r="AB40" s="773" t="s">
        <v>6599</v>
      </c>
      <c r="AC40" s="773">
        <f t="shared" ca="1" si="34"/>
        <v>3</v>
      </c>
      <c r="AD40" s="773">
        <f t="shared" ca="1" si="27"/>
        <v>0</v>
      </c>
      <c r="AE40" s="773" t="s">
        <v>6600</v>
      </c>
      <c r="AF40" s="773">
        <f ca="1">IF($H$3=$O$51,1,0)</f>
        <v>0</v>
      </c>
      <c r="AG40" s="773" t="s">
        <v>6599</v>
      </c>
      <c r="AH40" s="773">
        <f t="shared" ca="1" si="35"/>
        <v>2</v>
      </c>
      <c r="AI40" s="773">
        <f t="shared" ca="1" si="28"/>
        <v>0</v>
      </c>
      <c r="AJ40" s="773" t="s">
        <v>6600</v>
      </c>
      <c r="AK40" s="773">
        <f ca="1">IF(OR($K$3=$O$51,$K$3=$O$52),1,0)</f>
        <v>0</v>
      </c>
      <c r="AL40" s="773" t="s">
        <v>6599</v>
      </c>
      <c r="AM40" s="773">
        <f t="shared" ca="1" si="36"/>
        <v>2</v>
      </c>
      <c r="AN40" s="773">
        <f t="shared" ca="1" si="29"/>
        <v>0</v>
      </c>
      <c r="AO40" s="773" t="s">
        <v>6600</v>
      </c>
      <c r="AP40" s="773">
        <f ca="1">IF(OR($Y$3=$O$51,$Y$3=$O$52),1,0)</f>
        <v>0</v>
      </c>
      <c r="AQ40" s="773" t="s">
        <v>6599</v>
      </c>
      <c r="AR40" s="773">
        <f t="shared" ca="1" si="37"/>
        <v>2</v>
      </c>
      <c r="AS40" s="773">
        <f t="shared" ca="1" si="30"/>
        <v>0</v>
      </c>
      <c r="AT40" s="773" t="s">
        <v>6600</v>
      </c>
      <c r="AU40" s="773">
        <f ca="1">IF(OR($U$3=$O$51,$U$3=$O$52),1,0)</f>
        <v>0</v>
      </c>
      <c r="AV40" s="773" t="s">
        <v>6599</v>
      </c>
      <c r="AW40" s="773">
        <f t="shared" ca="1" si="38"/>
        <v>2</v>
      </c>
      <c r="AX40" s="773">
        <f t="shared" ca="1" si="31"/>
        <v>0</v>
      </c>
      <c r="AY40" s="773" t="s">
        <v>6600</v>
      </c>
      <c r="AZ40" s="773">
        <f ca="1">IF(OR($W$3=$O$51,$W$3=$O$52),1,0)</f>
        <v>0</v>
      </c>
      <c r="BA40" s="773" t="s">
        <v>6599</v>
      </c>
      <c r="BB40" s="773">
        <f t="shared" ca="1" si="39"/>
        <v>2</v>
      </c>
      <c r="BC40" s="773">
        <f t="shared" ca="1" si="32"/>
        <v>0</v>
      </c>
      <c r="BD40" s="773" t="s">
        <v>6600</v>
      </c>
    </row>
    <row r="41" spans="1:56" ht="14.25">
      <c r="A41" s="773" t="s">
        <v>7880</v>
      </c>
      <c r="B41" s="773" t="s">
        <v>7887</v>
      </c>
      <c r="C41" s="773" t="s">
        <v>7880</v>
      </c>
      <c r="D41" s="773" t="s">
        <v>7873</v>
      </c>
      <c r="E41" s="773" t="s">
        <v>7883</v>
      </c>
      <c r="F41" s="773" t="s">
        <v>7877</v>
      </c>
      <c r="G41" s="773" t="s">
        <v>7849</v>
      </c>
      <c r="H41" s="773" t="s">
        <v>7849</v>
      </c>
      <c r="I41" s="773" t="s">
        <v>7886</v>
      </c>
      <c r="J41" s="773" t="s">
        <v>6548</v>
      </c>
      <c r="K41" s="773" t="s">
        <v>7871</v>
      </c>
      <c r="L41" s="773" t="s">
        <v>7873</v>
      </c>
      <c r="M41" s="803" t="s">
        <v>6601</v>
      </c>
      <c r="O41" s="773" t="str">
        <f ca="1">VLOOKUP(H3,$A$31:$L$42,5,0)</f>
        <v>tý</v>
      </c>
      <c r="V41" s="773">
        <f ca="1">IF($B$3=$O$52,1,0)</f>
        <v>0</v>
      </c>
      <c r="W41" s="805" t="s">
        <v>6600</v>
      </c>
      <c r="X41" s="773">
        <f t="shared" ca="1" si="33"/>
        <v>1</v>
      </c>
      <c r="Y41" s="773">
        <f t="shared" ca="1" si="26"/>
        <v>0</v>
      </c>
      <c r="Z41" s="806" t="s">
        <v>6600</v>
      </c>
      <c r="AA41" s="773">
        <f ca="1">IF(OR($E$3=$M$60,$E$3=$M$61),1,0)</f>
        <v>0</v>
      </c>
      <c r="AB41" s="773" t="s">
        <v>6602</v>
      </c>
      <c r="AC41" s="773">
        <f t="shared" ca="1" si="34"/>
        <v>3</v>
      </c>
      <c r="AD41" s="773">
        <f t="shared" ca="1" si="27"/>
        <v>0</v>
      </c>
      <c r="AE41" s="773" t="s">
        <v>6603</v>
      </c>
      <c r="AF41" s="773">
        <f ca="1">IF($H$3=$M$60,1,0)</f>
        <v>0</v>
      </c>
      <c r="AG41" s="773" t="s">
        <v>6602</v>
      </c>
      <c r="AH41" s="773">
        <f t="shared" ca="1" si="35"/>
        <v>2</v>
      </c>
      <c r="AI41" s="773">
        <f t="shared" ca="1" si="28"/>
        <v>0</v>
      </c>
      <c r="AJ41" s="773" t="s">
        <v>6603</v>
      </c>
      <c r="AK41" s="773">
        <f ca="1">IF(OR($K$3=$M$60,$K$3=$M$61),1,0)</f>
        <v>0</v>
      </c>
      <c r="AL41" s="773" t="s">
        <v>6602</v>
      </c>
      <c r="AM41" s="773">
        <f t="shared" ca="1" si="36"/>
        <v>2</v>
      </c>
      <c r="AN41" s="773">
        <f t="shared" ca="1" si="29"/>
        <v>0</v>
      </c>
      <c r="AO41" s="773" t="s">
        <v>6603</v>
      </c>
      <c r="AP41" s="773">
        <f ca="1">IF(OR($Y$3=$M$60,$Y$3=$M$61),1,0)</f>
        <v>0</v>
      </c>
      <c r="AQ41" s="773" t="s">
        <v>6602</v>
      </c>
      <c r="AR41" s="773">
        <f t="shared" ca="1" si="37"/>
        <v>2</v>
      </c>
      <c r="AS41" s="773">
        <f t="shared" ca="1" si="30"/>
        <v>0</v>
      </c>
      <c r="AT41" s="773" t="s">
        <v>6603</v>
      </c>
      <c r="AU41" s="773">
        <f ca="1">IF(OR($U$3=$M$60,$U$3=$M$61),1,0)</f>
        <v>0</v>
      </c>
      <c r="AV41" s="773" t="s">
        <v>6602</v>
      </c>
      <c r="AW41" s="773">
        <f t="shared" ca="1" si="38"/>
        <v>2</v>
      </c>
      <c r="AX41" s="773">
        <f t="shared" ca="1" si="31"/>
        <v>0</v>
      </c>
      <c r="AY41" s="773" t="s">
        <v>6603</v>
      </c>
      <c r="AZ41" s="773">
        <f ca="1">IF(OR($W$3=$M$60,$W$3=$M$61),1,0)</f>
        <v>0</v>
      </c>
      <c r="BA41" s="773" t="s">
        <v>6602</v>
      </c>
      <c r="BB41" s="773">
        <f t="shared" ca="1" si="39"/>
        <v>2</v>
      </c>
      <c r="BC41" s="773">
        <f t="shared" ca="1" si="32"/>
        <v>0</v>
      </c>
      <c r="BD41" s="773" t="s">
        <v>6603</v>
      </c>
    </row>
    <row r="42" spans="1:56" ht="14.25">
      <c r="A42" s="773" t="s">
        <v>7877</v>
      </c>
      <c r="B42" s="773" t="s">
        <v>7871</v>
      </c>
      <c r="C42" s="773" t="s">
        <v>7882</v>
      </c>
      <c r="D42" s="773" t="s">
        <v>6548</v>
      </c>
      <c r="E42" s="773" t="s">
        <v>7873</v>
      </c>
      <c r="F42" s="773" t="s">
        <v>7887</v>
      </c>
      <c r="G42" s="773" t="s">
        <v>7847</v>
      </c>
      <c r="H42" s="773" t="s">
        <v>7844</v>
      </c>
      <c r="I42" s="773" t="s">
        <v>7880</v>
      </c>
      <c r="J42" s="773" t="s">
        <v>7886</v>
      </c>
      <c r="K42" s="773" t="s">
        <v>7883</v>
      </c>
      <c r="L42" s="773" t="s">
        <v>7872</v>
      </c>
      <c r="M42" s="773" t="str">
        <f ca="1">VLOOKUP($E$3,$A$31:$L$42,9,0)</f>
        <v>sửu</v>
      </c>
      <c r="O42" s="803" t="s">
        <v>6581</v>
      </c>
      <c r="V42" s="773">
        <f ca="1">IF($B$3=$M$61,1,0)</f>
        <v>0</v>
      </c>
      <c r="W42" s="805" t="s">
        <v>6603</v>
      </c>
      <c r="X42" s="773">
        <f t="shared" ca="1" si="33"/>
        <v>1</v>
      </c>
      <c r="Y42" s="773">
        <f t="shared" ca="1" si="26"/>
        <v>0</v>
      </c>
      <c r="Z42" s="806" t="s">
        <v>6603</v>
      </c>
      <c r="AA42" s="773">
        <f ca="1">IF($E$3=$M$44,1,0)</f>
        <v>0</v>
      </c>
      <c r="AB42" s="773" t="s">
        <v>6579</v>
      </c>
      <c r="AC42" s="773">
        <f t="shared" ca="1" si="34"/>
        <v>3</v>
      </c>
      <c r="AD42" s="773">
        <f t="shared" ca="1" si="27"/>
        <v>0</v>
      </c>
      <c r="AE42" s="773" t="s">
        <v>6604</v>
      </c>
      <c r="AF42" s="773">
        <f ca="1">IF($H$3=$M$44,1,0)</f>
        <v>0</v>
      </c>
      <c r="AG42" s="773" t="s">
        <v>6579</v>
      </c>
      <c r="AH42" s="773">
        <f t="shared" ca="1" si="35"/>
        <v>2</v>
      </c>
      <c r="AI42" s="773">
        <f t="shared" ca="1" si="28"/>
        <v>0</v>
      </c>
      <c r="AJ42" s="773" t="s">
        <v>6604</v>
      </c>
      <c r="AK42" s="773">
        <f ca="1">IF($K$3=$M$44,1,0)</f>
        <v>0</v>
      </c>
      <c r="AL42" s="773" t="s">
        <v>6579</v>
      </c>
      <c r="AM42" s="773">
        <f t="shared" ca="1" si="36"/>
        <v>2</v>
      </c>
      <c r="AN42" s="773">
        <f t="shared" ca="1" si="29"/>
        <v>0</v>
      </c>
      <c r="AO42" s="773" t="s">
        <v>6604</v>
      </c>
      <c r="AP42" s="773">
        <f ca="1">IF($Y$3=$M$44,1,0)</f>
        <v>0</v>
      </c>
      <c r="AQ42" s="773" t="s">
        <v>6579</v>
      </c>
      <c r="AR42" s="773">
        <f t="shared" ca="1" si="37"/>
        <v>2</v>
      </c>
      <c r="AS42" s="773">
        <f t="shared" ca="1" si="30"/>
        <v>0</v>
      </c>
      <c r="AT42" s="773" t="s">
        <v>6604</v>
      </c>
      <c r="AU42" s="773">
        <f ca="1">IF($U$3=$M$44,1,0)</f>
        <v>0</v>
      </c>
      <c r="AV42" s="773" t="s">
        <v>6579</v>
      </c>
      <c r="AW42" s="773">
        <f t="shared" ca="1" si="38"/>
        <v>2</v>
      </c>
      <c r="AX42" s="773">
        <f t="shared" ca="1" si="31"/>
        <v>0</v>
      </c>
      <c r="AY42" s="773" t="s">
        <v>6604</v>
      </c>
      <c r="AZ42" s="773">
        <f ca="1">IF($W$3=$M$44,1,0)</f>
        <v>0</v>
      </c>
      <c r="BA42" s="773" t="s">
        <v>6579</v>
      </c>
      <c r="BB42" s="773">
        <f t="shared" ca="1" si="39"/>
        <v>2</v>
      </c>
      <c r="BC42" s="773">
        <f t="shared" ca="1" si="32"/>
        <v>0</v>
      </c>
      <c r="BD42" s="773" t="s">
        <v>6604</v>
      </c>
    </row>
    <row r="43" spans="1:56">
      <c r="M43" s="803" t="s">
        <v>6579</v>
      </c>
      <c r="O43" s="773" t="str">
        <f ca="1">VLOOKUP(G3,$A$19:$J$28,6,0)</f>
        <v>ngọ</v>
      </c>
      <c r="X43" s="773">
        <f t="shared" ca="1" si="33"/>
        <v>1</v>
      </c>
      <c r="Y43" s="773">
        <f t="shared" si="26"/>
        <v>0</v>
      </c>
      <c r="AA43" s="773">
        <f ca="1">IF($E$3=$O$54,1,0)</f>
        <v>0</v>
      </c>
      <c r="AB43" s="773" t="s">
        <v>6605</v>
      </c>
      <c r="AC43" s="773">
        <f t="shared" ca="1" si="34"/>
        <v>3</v>
      </c>
      <c r="AD43" s="773">
        <f t="shared" ca="1" si="27"/>
        <v>0</v>
      </c>
      <c r="AE43" s="773" t="s">
        <v>6606</v>
      </c>
      <c r="AF43" s="773">
        <f ca="1">IF($H$3=$O$54,1,0)</f>
        <v>0</v>
      </c>
      <c r="AG43" s="773" t="s">
        <v>6605</v>
      </c>
      <c r="AH43" s="773">
        <f t="shared" ca="1" si="35"/>
        <v>2</v>
      </c>
      <c r="AI43" s="773">
        <f t="shared" ca="1" si="28"/>
        <v>0</v>
      </c>
      <c r="AJ43" s="773" t="s">
        <v>6606</v>
      </c>
      <c r="AK43" s="773">
        <f ca="1">IF($K$3=$O$54,1,0)</f>
        <v>0</v>
      </c>
      <c r="AL43" s="773" t="s">
        <v>6605</v>
      </c>
      <c r="AM43" s="773">
        <f t="shared" ca="1" si="36"/>
        <v>2</v>
      </c>
      <c r="AN43" s="773">
        <f t="shared" ca="1" si="29"/>
        <v>0</v>
      </c>
      <c r="AO43" s="773" t="s">
        <v>6606</v>
      </c>
      <c r="AP43" s="773">
        <f ca="1">IF($Y$3=$O$54,1,0)</f>
        <v>0</v>
      </c>
      <c r="AQ43" s="773" t="s">
        <v>6605</v>
      </c>
      <c r="AR43" s="773">
        <f t="shared" ca="1" si="37"/>
        <v>2</v>
      </c>
      <c r="AS43" s="773">
        <f t="shared" ca="1" si="30"/>
        <v>0</v>
      </c>
      <c r="AT43" s="773" t="s">
        <v>6606</v>
      </c>
      <c r="AU43" s="773">
        <f ca="1">IF($U$3=$O$54,1,0)</f>
        <v>0</v>
      </c>
      <c r="AV43" s="773" t="s">
        <v>6605</v>
      </c>
      <c r="AW43" s="773">
        <f t="shared" ca="1" si="38"/>
        <v>2</v>
      </c>
      <c r="AX43" s="773">
        <f t="shared" ca="1" si="31"/>
        <v>0</v>
      </c>
      <c r="AY43" s="773" t="s">
        <v>6606</v>
      </c>
      <c r="AZ43" s="773">
        <f ca="1">IF($W$3=$O$54,1,0)</f>
        <v>0</v>
      </c>
      <c r="BA43" s="773" t="s">
        <v>6605</v>
      </c>
      <c r="BB43" s="773">
        <f t="shared" ca="1" si="39"/>
        <v>2</v>
      </c>
      <c r="BC43" s="773">
        <f t="shared" ca="1" si="32"/>
        <v>0</v>
      </c>
      <c r="BD43" s="773" t="s">
        <v>6606</v>
      </c>
    </row>
    <row r="44" spans="1:56">
      <c r="B44" s="803" t="s">
        <v>6607</v>
      </c>
      <c r="C44" s="803" t="s">
        <v>6608</v>
      </c>
      <c r="D44" s="803" t="s">
        <v>6609</v>
      </c>
      <c r="E44" s="803" t="s">
        <v>6610</v>
      </c>
      <c r="F44" s="803" t="s">
        <v>6611</v>
      </c>
      <c r="G44" s="803" t="s">
        <v>6612</v>
      </c>
      <c r="H44" s="803" t="s">
        <v>6593</v>
      </c>
      <c r="I44" s="803" t="s">
        <v>6613</v>
      </c>
      <c r="M44" s="773" t="str">
        <f ca="1">IF(R25=1,VLOOKUP($B$3,$A$31:$L$42,11,0),VLOOKUP($B$3,$A$31:$L$42,12,0))</f>
        <v>hợi</v>
      </c>
      <c r="O44" s="803" t="s">
        <v>6595</v>
      </c>
      <c r="P44" s="773">
        <v>1</v>
      </c>
      <c r="Q44" s="773">
        <v>2</v>
      </c>
      <c r="R44" s="773">
        <v>3</v>
      </c>
      <c r="S44" s="773">
        <v>4</v>
      </c>
      <c r="T44" s="773">
        <v>5</v>
      </c>
      <c r="U44" s="773">
        <v>6</v>
      </c>
      <c r="V44" s="773">
        <v>7</v>
      </c>
      <c r="W44" s="773">
        <v>8</v>
      </c>
      <c r="X44" s="773">
        <f t="shared" ca="1" si="33"/>
        <v>1</v>
      </c>
      <c r="Y44" s="773">
        <f t="shared" si="26"/>
        <v>0</v>
      </c>
      <c r="AA44" s="773">
        <f ca="1">IF($E$3=$M$46,1,0)</f>
        <v>0</v>
      </c>
      <c r="AB44" s="773" t="s">
        <v>6614</v>
      </c>
      <c r="AC44" s="773">
        <f t="shared" ca="1" si="34"/>
        <v>3</v>
      </c>
      <c r="AD44" s="773">
        <f t="shared" ca="1" si="27"/>
        <v>0</v>
      </c>
      <c r="AE44" s="773" t="s">
        <v>6615</v>
      </c>
      <c r="AF44" s="773">
        <f ca="1">IF($H$3=$M$46,1,0)</f>
        <v>0</v>
      </c>
      <c r="AG44" s="773" t="s">
        <v>6614</v>
      </c>
      <c r="AH44" s="773">
        <f t="shared" ca="1" si="35"/>
        <v>2</v>
      </c>
      <c r="AI44" s="773">
        <f t="shared" ca="1" si="28"/>
        <v>0</v>
      </c>
      <c r="AJ44" s="773" t="s">
        <v>6615</v>
      </c>
      <c r="AK44" s="773">
        <f ca="1">IF($K$3=$M$46,1,0)</f>
        <v>0</v>
      </c>
      <c r="AL44" s="773" t="s">
        <v>6614</v>
      </c>
      <c r="AM44" s="773">
        <f t="shared" ca="1" si="36"/>
        <v>2</v>
      </c>
      <c r="AN44" s="773">
        <f t="shared" ca="1" si="29"/>
        <v>0</v>
      </c>
      <c r="AO44" s="773" t="s">
        <v>6615</v>
      </c>
      <c r="AP44" s="773">
        <f ca="1">IF($Y$3=$M$46,1,0)</f>
        <v>0</v>
      </c>
      <c r="AQ44" s="773" t="s">
        <v>6614</v>
      </c>
      <c r="AR44" s="773">
        <f t="shared" ca="1" si="37"/>
        <v>2</v>
      </c>
      <c r="AS44" s="773">
        <f t="shared" ca="1" si="30"/>
        <v>0</v>
      </c>
      <c r="AT44" s="773" t="s">
        <v>6615</v>
      </c>
      <c r="AU44" s="773">
        <f ca="1">IF($U$3=$M$46,1,0)</f>
        <v>0</v>
      </c>
      <c r="AV44" s="773" t="s">
        <v>6614</v>
      </c>
      <c r="AW44" s="773">
        <f t="shared" ca="1" si="38"/>
        <v>2</v>
      </c>
      <c r="AX44" s="773">
        <f t="shared" ca="1" si="31"/>
        <v>0</v>
      </c>
      <c r="AY44" s="773" t="s">
        <v>6615</v>
      </c>
      <c r="AZ44" s="773">
        <f ca="1">IF($W$3=$M$46,1,0)</f>
        <v>0</v>
      </c>
      <c r="BA44" s="773" t="s">
        <v>6614</v>
      </c>
      <c r="BB44" s="773">
        <f t="shared" ca="1" si="39"/>
        <v>2</v>
      </c>
      <c r="BC44" s="773">
        <f t="shared" ca="1" si="32"/>
        <v>0</v>
      </c>
      <c r="BD44" s="773" t="s">
        <v>6615</v>
      </c>
    </row>
    <row r="45" spans="1:56">
      <c r="A45" s="773" t="s">
        <v>6548</v>
      </c>
      <c r="B45" s="773" t="s">
        <v>7874</v>
      </c>
      <c r="C45" s="773" t="s">
        <v>7880</v>
      </c>
      <c r="D45" s="773" t="s">
        <v>7873</v>
      </c>
      <c r="E45" s="773" t="s">
        <v>6616</v>
      </c>
      <c r="F45" s="773" t="s">
        <v>7886</v>
      </c>
      <c r="G45" s="773" t="s">
        <v>6617</v>
      </c>
      <c r="I45" s="773" t="s">
        <v>7877</v>
      </c>
      <c r="K45" s="772" t="s">
        <v>6593</v>
      </c>
      <c r="M45" s="803" t="s">
        <v>6614</v>
      </c>
      <c r="O45" s="773" t="str">
        <f ca="1">VLOOKUP($B$3,$A$31:$L$42,3,0)</f>
        <v>tuất</v>
      </c>
      <c r="P45" s="773">
        <f ca="1">IF($R$25=1,IF($Q$27+P44&gt;60,$Q$27+P44-60,$Q$27+P44),IF($Q$27&gt;1,$Q$27-P44,$Q$27+60-P44))</f>
        <v>38</v>
      </c>
      <c r="Q45" s="773">
        <f ca="1">IF($R$25=1,IF($Q$27+Q44&gt;60,$Q$27+Q44-60,$Q$27+Q44),IF($Q$27&gt;2,$Q$27-Q44,$Q$27+60-Q44))</f>
        <v>37</v>
      </c>
      <c r="R45" s="773">
        <f ca="1">IF($R$25=1,IF($Q$27+R44&gt;60,$Q$27+R44-60,$Q$27+R44),IF($Q$27&gt;3,$Q$27-R44,$Q$27+60-R44))</f>
        <v>36</v>
      </c>
      <c r="S45" s="773">
        <f ca="1">IF($R$25=1,IF($Q$27+S44&gt;60,$Q$27+S44-60,$Q$27+S44),IF($Q$27&gt;4,$Q$27-S44,$Q$27+60-S44))</f>
        <v>35</v>
      </c>
      <c r="T45" s="773">
        <f ca="1">IF($R$25=1,IF($Q$27+T44&gt;60,$Q$27+T44-60,$Q$27+T44),IF($Q$27&gt;5,$Q$27-T44,$Q$27+60-T44))</f>
        <v>34</v>
      </c>
      <c r="U45" s="773">
        <f ca="1">IF($R$25=1,IF($Q$27+U44&gt;60,$Q$27+U44-60,$Q$27+U44),IF($Q$27&gt;6,$Q$27-U44,$Q$27+60-U44))</f>
        <v>33</v>
      </c>
      <c r="V45" s="773">
        <f ca="1">IF($R$25=1,IF($Q$27+V44&gt;60,$Q$27+V44-60,$Q$27+V44),IF($Q$27&gt;7,$Q$27-V44,$Q$27+60-V44))</f>
        <v>32</v>
      </c>
      <c r="W45" s="773">
        <f ca="1">IF($R$25=1,IF($Q$27+W44&gt;60,$Q$27+W44-60,$Q$27+W44),IF($Q$27&gt;8,$Q$27-W44,$Q$27+60-W44))</f>
        <v>31</v>
      </c>
      <c r="AA45" s="773">
        <f ca="1">IF($E$3=$M$48,1,0)</f>
        <v>0</v>
      </c>
      <c r="AB45" s="773" t="s">
        <v>6618</v>
      </c>
      <c r="AC45" s="773">
        <f t="shared" ca="1" si="34"/>
        <v>3</v>
      </c>
      <c r="AD45" s="773">
        <f t="shared" ca="1" si="27"/>
        <v>0</v>
      </c>
      <c r="AE45" s="773" t="s">
        <v>6619</v>
      </c>
      <c r="AF45" s="773">
        <f ca="1">IF($H$3=$M$48,1,0)</f>
        <v>1</v>
      </c>
      <c r="AG45" s="773" t="s">
        <v>6618</v>
      </c>
      <c r="AH45" s="773">
        <f t="shared" ca="1" si="35"/>
        <v>3</v>
      </c>
      <c r="AI45" s="773">
        <f t="shared" ca="1" si="28"/>
        <v>3</v>
      </c>
      <c r="AJ45" s="773" t="s">
        <v>6619</v>
      </c>
      <c r="AK45" s="773">
        <f ca="1">IF($K$3=$M$48,1,0)</f>
        <v>1</v>
      </c>
      <c r="AL45" s="773" t="s">
        <v>6618</v>
      </c>
      <c r="AM45" s="773">
        <f t="shared" ca="1" si="36"/>
        <v>3</v>
      </c>
      <c r="AN45" s="773">
        <f t="shared" ca="1" si="29"/>
        <v>3</v>
      </c>
      <c r="AO45" s="773" t="s">
        <v>6619</v>
      </c>
      <c r="AP45" s="773">
        <f ca="1">IF($Y$3=$M$48,1,0)</f>
        <v>0</v>
      </c>
      <c r="AQ45" s="773" t="s">
        <v>6618</v>
      </c>
      <c r="AR45" s="773">
        <f t="shared" ca="1" si="37"/>
        <v>2</v>
      </c>
      <c r="AS45" s="773">
        <f t="shared" ca="1" si="30"/>
        <v>0</v>
      </c>
      <c r="AT45" s="773" t="s">
        <v>6619</v>
      </c>
      <c r="AU45" s="773">
        <f ca="1">IF($U$3=$M$48,1,0)</f>
        <v>0</v>
      </c>
      <c r="AV45" s="773" t="s">
        <v>6618</v>
      </c>
      <c r="AW45" s="773">
        <f t="shared" ca="1" si="38"/>
        <v>2</v>
      </c>
      <c r="AX45" s="773">
        <f t="shared" ca="1" si="31"/>
        <v>0</v>
      </c>
      <c r="AY45" s="773" t="s">
        <v>6619</v>
      </c>
      <c r="AZ45" s="773">
        <f ca="1">IF($W$3=$M$48,1,0)</f>
        <v>0</v>
      </c>
      <c r="BA45" s="773" t="s">
        <v>6618</v>
      </c>
      <c r="BB45" s="773">
        <f t="shared" ca="1" si="39"/>
        <v>2</v>
      </c>
      <c r="BC45" s="773">
        <f t="shared" ca="1" si="32"/>
        <v>0</v>
      </c>
      <c r="BD45" s="773" t="s">
        <v>6619</v>
      </c>
    </row>
    <row r="46" spans="1:56">
      <c r="A46" s="773" t="s">
        <v>7875</v>
      </c>
      <c r="B46" s="773" t="s">
        <v>7874</v>
      </c>
      <c r="C46" s="773" t="s">
        <v>7880</v>
      </c>
      <c r="D46" s="773" t="s">
        <v>7872</v>
      </c>
      <c r="E46" s="773" t="s">
        <v>6620</v>
      </c>
      <c r="F46" s="773" t="s">
        <v>7880</v>
      </c>
      <c r="G46" s="773" t="s">
        <v>6621</v>
      </c>
      <c r="I46" s="773" t="s">
        <v>7887</v>
      </c>
      <c r="J46" s="773" t="s">
        <v>6622</v>
      </c>
      <c r="K46" s="773" t="s">
        <v>7880</v>
      </c>
      <c r="L46" s="773" t="s">
        <v>7877</v>
      </c>
      <c r="M46" s="773" t="str">
        <f ca="1">VLOOKUP($B$3,$A$45:$D$56,2,0)</f>
        <v>thân</v>
      </c>
      <c r="O46" s="773" t="str">
        <f ca="1">VLOOKUP(H3,$A$31:$L$42,3,0)</f>
        <v>thìn</v>
      </c>
      <c r="P46" s="773" t="str">
        <f ca="1">VLOOKUP($P$45,$L$64:$M$123,2,0)</f>
        <v>tân sửu</v>
      </c>
      <c r="Q46" s="773" t="str">
        <f ca="1">VLOOKUP($Q$45,$L$64:$M$123,2,0)</f>
        <v>canh tý</v>
      </c>
      <c r="R46" s="773" t="str">
        <f ca="1">VLOOKUP($R$45,$L$64:$M$123,2,0)</f>
        <v>kỷ hợi</v>
      </c>
      <c r="S46" s="773" t="str">
        <f ca="1">VLOOKUP($S$45,$L$64:$M$123,2,0)</f>
        <v>mậu tuất</v>
      </c>
      <c r="T46" s="773" t="str">
        <f ca="1">VLOOKUP($T$45,$L$64:$M$123,2,0)</f>
        <v>đinh dậu</v>
      </c>
      <c r="U46" s="773" t="str">
        <f ca="1">VLOOKUP($U$45,$L$64:$M$123,2,0)</f>
        <v>bính thân</v>
      </c>
      <c r="V46" s="773" t="str">
        <f ca="1">VLOOKUP($V$45,$L$64:$M$123,2,0)</f>
        <v>ất mùi</v>
      </c>
      <c r="W46" s="773" t="str">
        <f ca="1">VLOOKUP($W$45,$L$64:$M$123,2,0)</f>
        <v>giáp ngọ</v>
      </c>
      <c r="AA46" s="773">
        <f ca="1">IF($E$3=$M$54,1,0)</f>
        <v>0</v>
      </c>
      <c r="AB46" s="773" t="s">
        <v>6609</v>
      </c>
      <c r="AC46" s="773">
        <f t="shared" ca="1" si="34"/>
        <v>3</v>
      </c>
      <c r="AD46" s="773">
        <f t="shared" ca="1" si="27"/>
        <v>0</v>
      </c>
      <c r="AE46" s="773" t="s">
        <v>3193</v>
      </c>
      <c r="AF46" s="773">
        <f ca="1">IF($H$3=$M$54,1,0)</f>
        <v>0</v>
      </c>
      <c r="AG46" s="773" t="s">
        <v>6609</v>
      </c>
      <c r="AH46" s="773">
        <f t="shared" ca="1" si="35"/>
        <v>3</v>
      </c>
      <c r="AI46" s="773">
        <f t="shared" ca="1" si="28"/>
        <v>0</v>
      </c>
      <c r="AJ46" s="773" t="s">
        <v>3193</v>
      </c>
      <c r="AK46" s="773">
        <f ca="1">IF($K$3=$M$54,1,0)</f>
        <v>0</v>
      </c>
      <c r="AL46" s="773" t="s">
        <v>6609</v>
      </c>
      <c r="AM46" s="773">
        <f t="shared" ca="1" si="36"/>
        <v>3</v>
      </c>
      <c r="AN46" s="773">
        <f t="shared" ca="1" si="29"/>
        <v>0</v>
      </c>
      <c r="AO46" s="773" t="s">
        <v>3193</v>
      </c>
      <c r="AP46" s="773">
        <f ca="1">IF($Y$3=$M$54,1,0)</f>
        <v>0</v>
      </c>
      <c r="AQ46" s="773" t="s">
        <v>6609</v>
      </c>
      <c r="AR46" s="773">
        <f t="shared" ca="1" si="37"/>
        <v>2</v>
      </c>
      <c r="AS46" s="773">
        <f t="shared" ca="1" si="30"/>
        <v>0</v>
      </c>
      <c r="AT46" s="773" t="s">
        <v>3193</v>
      </c>
      <c r="AU46" s="773">
        <f ca="1">IF($U$3=$M$54,1,0)</f>
        <v>0</v>
      </c>
      <c r="AV46" s="773" t="s">
        <v>6609</v>
      </c>
      <c r="AW46" s="773">
        <f t="shared" ca="1" si="38"/>
        <v>2</v>
      </c>
      <c r="AX46" s="773">
        <f t="shared" ca="1" si="31"/>
        <v>0</v>
      </c>
      <c r="AY46" s="773" t="s">
        <v>3193</v>
      </c>
      <c r="AZ46" s="773">
        <f ca="1">IF($W$3=$M$54,1,0)</f>
        <v>0</v>
      </c>
      <c r="BA46" s="773" t="s">
        <v>6609</v>
      </c>
      <c r="BB46" s="773">
        <f t="shared" ca="1" si="39"/>
        <v>2</v>
      </c>
      <c r="BC46" s="773">
        <f t="shared" ca="1" si="32"/>
        <v>0</v>
      </c>
      <c r="BD46" s="773" t="s">
        <v>3193</v>
      </c>
    </row>
    <row r="47" spans="1:56">
      <c r="A47" s="773" t="s">
        <v>7874</v>
      </c>
      <c r="B47" s="773" t="s">
        <v>7871</v>
      </c>
      <c r="C47" s="773" t="s">
        <v>7875</v>
      </c>
      <c r="D47" s="773" t="s">
        <v>7871</v>
      </c>
      <c r="E47" s="773" t="s">
        <v>6623</v>
      </c>
      <c r="F47" s="773" t="s">
        <v>7877</v>
      </c>
      <c r="G47" s="773" t="s">
        <v>6624</v>
      </c>
      <c r="I47" s="773" t="s">
        <v>7871</v>
      </c>
      <c r="J47" s="773" t="s">
        <v>6625</v>
      </c>
      <c r="K47" s="773" t="s">
        <v>7872</v>
      </c>
      <c r="L47" s="773" t="s">
        <v>7871</v>
      </c>
      <c r="M47" s="803" t="s">
        <v>6618</v>
      </c>
      <c r="O47" s="803" t="s">
        <v>6597</v>
      </c>
      <c r="AA47" s="773">
        <f ca="1">IF($E$3=$M$55,1,0)</f>
        <v>0</v>
      </c>
      <c r="AB47" s="773" t="s">
        <v>6611</v>
      </c>
      <c r="AC47" s="773">
        <f t="shared" ca="1" si="34"/>
        <v>3</v>
      </c>
      <c r="AD47" s="773">
        <f t="shared" ca="1" si="27"/>
        <v>0</v>
      </c>
      <c r="AE47" s="773" t="s">
        <v>6626</v>
      </c>
      <c r="AF47" s="773">
        <f ca="1">IF($H$3=$M$55,1,0)</f>
        <v>0</v>
      </c>
      <c r="AG47" s="773" t="s">
        <v>6611</v>
      </c>
      <c r="AH47" s="773">
        <f t="shared" ca="1" si="35"/>
        <v>3</v>
      </c>
      <c r="AI47" s="773">
        <f t="shared" ca="1" si="28"/>
        <v>0</v>
      </c>
      <c r="AJ47" s="773" t="s">
        <v>6626</v>
      </c>
      <c r="AK47" s="773">
        <f ca="1">IF($K$3=$M$55,1,0)</f>
        <v>0</v>
      </c>
      <c r="AL47" s="773" t="s">
        <v>6611</v>
      </c>
      <c r="AM47" s="773">
        <f t="shared" ca="1" si="36"/>
        <v>3</v>
      </c>
      <c r="AN47" s="773">
        <f t="shared" ca="1" si="29"/>
        <v>0</v>
      </c>
      <c r="AO47" s="773" t="s">
        <v>6626</v>
      </c>
      <c r="AP47" s="773">
        <f ca="1">IF($Y$3=$M$55,1,0)</f>
        <v>0</v>
      </c>
      <c r="AQ47" s="773" t="s">
        <v>6611</v>
      </c>
      <c r="AR47" s="773">
        <f t="shared" ca="1" si="37"/>
        <v>2</v>
      </c>
      <c r="AS47" s="773">
        <f t="shared" ca="1" si="30"/>
        <v>0</v>
      </c>
      <c r="AT47" s="773" t="s">
        <v>6626</v>
      </c>
      <c r="AU47" s="773">
        <f ca="1">IF($U$3=$M$55,1,0)</f>
        <v>1</v>
      </c>
      <c r="AV47" s="773" t="s">
        <v>6611</v>
      </c>
      <c r="AW47" s="773">
        <f t="shared" ca="1" si="38"/>
        <v>3</v>
      </c>
      <c r="AX47" s="773">
        <f t="shared" ca="1" si="31"/>
        <v>3</v>
      </c>
      <c r="AY47" s="773" t="s">
        <v>6626</v>
      </c>
      <c r="AZ47" s="773">
        <f ca="1">IF($W$3=$M$55,1,0)</f>
        <v>0</v>
      </c>
      <c r="BA47" s="773" t="s">
        <v>6611</v>
      </c>
      <c r="BB47" s="773">
        <f t="shared" ca="1" si="39"/>
        <v>2</v>
      </c>
      <c r="BC47" s="773">
        <f t="shared" ca="1" si="32"/>
        <v>0</v>
      </c>
      <c r="BD47" s="773" t="s">
        <v>6626</v>
      </c>
    </row>
    <row r="48" spans="1:56">
      <c r="A48" s="773" t="s">
        <v>7873</v>
      </c>
      <c r="B48" s="773" t="s">
        <v>7871</v>
      </c>
      <c r="C48" s="773" t="s">
        <v>7875</v>
      </c>
      <c r="D48" s="773" t="s">
        <v>7883</v>
      </c>
      <c r="E48" s="773" t="s">
        <v>6627</v>
      </c>
      <c r="F48" s="773" t="s">
        <v>6548</v>
      </c>
      <c r="G48" s="773" t="s">
        <v>6628</v>
      </c>
      <c r="I48" s="773" t="s">
        <v>7874</v>
      </c>
      <c r="J48" s="773" t="s">
        <v>6629</v>
      </c>
      <c r="K48" s="773" t="s">
        <v>7871</v>
      </c>
      <c r="L48" s="773" t="s">
        <v>7872</v>
      </c>
      <c r="M48" s="773" t="str">
        <f ca="1">VLOOKUP($B$3,$A$45:$D$56,3,0)</f>
        <v>thìn</v>
      </c>
      <c r="O48" s="773" t="str">
        <f ca="1">VLOOKUP($B$3,$A$31:$L$42,4,0)</f>
        <v>mão</v>
      </c>
      <c r="AF48" s="773">
        <f ca="1">COUNTIF($E$45:$E$54,$N$25)</f>
        <v>0</v>
      </c>
      <c r="AG48" s="803" t="s">
        <v>6610</v>
      </c>
      <c r="AH48" s="773">
        <f t="shared" ca="1" si="35"/>
        <v>3</v>
      </c>
      <c r="AI48" s="773">
        <f t="shared" ca="1" si="28"/>
        <v>0</v>
      </c>
      <c r="AJ48" s="803" t="s">
        <v>6630</v>
      </c>
      <c r="AK48" s="773">
        <f ca="1">COUNTIF($K$24:$K$26,$N$26)</f>
        <v>0</v>
      </c>
      <c r="AL48" s="803" t="s">
        <v>6631</v>
      </c>
      <c r="AM48" s="773">
        <f t="shared" ca="1" si="36"/>
        <v>3</v>
      </c>
      <c r="AN48" s="773">
        <f t="shared" ca="1" si="29"/>
        <v>0</v>
      </c>
      <c r="AO48" s="803" t="s">
        <v>6632</v>
      </c>
      <c r="AP48" s="773">
        <f ca="1">COUNTIF($K$19:$K$22,$M$12)</f>
        <v>0</v>
      </c>
      <c r="AQ48" s="803" t="s">
        <v>6633</v>
      </c>
      <c r="AR48" s="773">
        <f t="shared" ca="1" si="37"/>
        <v>2</v>
      </c>
      <c r="AS48" s="773">
        <f t="shared" ca="1" si="30"/>
        <v>0</v>
      </c>
      <c r="AT48" s="803" t="s">
        <v>6634</v>
      </c>
      <c r="AU48" s="773">
        <f>COUNTIF($K$19:$K$22,$N$12)</f>
        <v>0</v>
      </c>
      <c r="AV48" s="803" t="s">
        <v>6633</v>
      </c>
      <c r="AW48" s="773">
        <f t="shared" ca="1" si="38"/>
        <v>3</v>
      </c>
      <c r="AX48" s="773">
        <f t="shared" si="31"/>
        <v>0</v>
      </c>
      <c r="AY48" s="803" t="s">
        <v>6634</v>
      </c>
      <c r="AZ48" s="773">
        <f>COUNTIF($K$19:$K$22,#REF!)</f>
        <v>0</v>
      </c>
      <c r="BA48" s="803" t="s">
        <v>6633</v>
      </c>
      <c r="BB48" s="773">
        <f t="shared" ca="1" si="39"/>
        <v>2</v>
      </c>
      <c r="BC48" s="773">
        <f t="shared" si="32"/>
        <v>0</v>
      </c>
      <c r="BD48" s="803" t="s">
        <v>6634</v>
      </c>
    </row>
    <row r="49" spans="1:56">
      <c r="A49" s="773" t="s">
        <v>7872</v>
      </c>
      <c r="B49" s="773" t="s">
        <v>7871</v>
      </c>
      <c r="C49" s="773" t="s">
        <v>7875</v>
      </c>
      <c r="D49" s="773" t="s">
        <v>7882</v>
      </c>
      <c r="E49" s="773" t="s">
        <v>6635</v>
      </c>
      <c r="F49" s="773" t="s">
        <v>7875</v>
      </c>
      <c r="G49" s="773" t="s">
        <v>6636</v>
      </c>
      <c r="H49" s="773" t="s">
        <v>7871</v>
      </c>
      <c r="I49" s="773" t="s">
        <v>7877</v>
      </c>
      <c r="M49" s="803" t="s">
        <v>6610</v>
      </c>
      <c r="O49" s="773" t="str">
        <f ca="1">VLOOKUP($H$3,$A$31:$L$42,4,0)</f>
        <v>dậu</v>
      </c>
      <c r="R49" s="773">
        <f ca="1">INT(N2)+0</f>
        <v>4</v>
      </c>
      <c r="S49" s="773">
        <f ca="1">INT(N3)</f>
        <v>14</v>
      </c>
      <c r="T49" s="773">
        <f ca="1">INT(N4)</f>
        <v>24</v>
      </c>
      <c r="U49" s="773">
        <f ca="1">INT(N5)</f>
        <v>34</v>
      </c>
      <c r="V49" s="773">
        <f ca="1">INT(N6)</f>
        <v>44</v>
      </c>
      <c r="W49" s="773">
        <f ca="1">INT(N7)</f>
        <v>54</v>
      </c>
      <c r="X49" s="773">
        <f ca="1">INT(N8)</f>
        <v>64</v>
      </c>
      <c r="Y49" s="773">
        <f ca="1">INT(N9)</f>
        <v>74</v>
      </c>
      <c r="AF49" s="773">
        <f ca="1">COUNTIF($G$45:$G$56,$N$25)</f>
        <v>0</v>
      </c>
      <c r="AG49" s="803" t="s">
        <v>6637</v>
      </c>
      <c r="AH49" s="773">
        <f t="shared" ca="1" si="35"/>
        <v>3</v>
      </c>
      <c r="AI49" s="773">
        <f t="shared" ca="1" si="28"/>
        <v>0</v>
      </c>
      <c r="AJ49" s="803" t="s">
        <v>6638</v>
      </c>
      <c r="AK49" s="773">
        <f ca="1">IF($K$3=$M$42,1,0)</f>
        <v>0</v>
      </c>
      <c r="AL49" s="773" t="s">
        <v>6601</v>
      </c>
      <c r="AM49" s="773">
        <f t="shared" ca="1" si="36"/>
        <v>3</v>
      </c>
      <c r="AN49" s="773">
        <f t="shared" ca="1" si="29"/>
        <v>0</v>
      </c>
      <c r="AO49" s="773" t="s">
        <v>6594</v>
      </c>
      <c r="AP49" s="773">
        <f ca="1">IF($Y$3=$M$42,1,0)</f>
        <v>1</v>
      </c>
      <c r="AQ49" s="773" t="s">
        <v>6601</v>
      </c>
      <c r="AR49" s="773">
        <f t="shared" ca="1" si="37"/>
        <v>3</v>
      </c>
      <c r="AS49" s="773">
        <f t="shared" ca="1" si="30"/>
        <v>3</v>
      </c>
      <c r="AT49" s="773" t="s">
        <v>6594</v>
      </c>
      <c r="AU49" s="773">
        <f ca="1">IF($U$3=$M$42,1,0)</f>
        <v>0</v>
      </c>
      <c r="AV49" s="773" t="s">
        <v>6601</v>
      </c>
      <c r="AW49" s="773">
        <f t="shared" ca="1" si="38"/>
        <v>3</v>
      </c>
      <c r="AX49" s="773">
        <f t="shared" ca="1" si="31"/>
        <v>0</v>
      </c>
      <c r="AY49" s="773" t="s">
        <v>6594</v>
      </c>
      <c r="AZ49" s="773">
        <f ca="1">IF($W$3=$M$42,1,0)</f>
        <v>0</v>
      </c>
      <c r="BA49" s="773" t="s">
        <v>6601</v>
      </c>
      <c r="BB49" s="773">
        <f t="shared" ca="1" si="39"/>
        <v>2</v>
      </c>
      <c r="BC49" s="773">
        <f t="shared" ca="1" si="32"/>
        <v>0</v>
      </c>
      <c r="BD49" s="773" t="s">
        <v>6594</v>
      </c>
    </row>
    <row r="50" spans="1:56">
      <c r="A50" s="773" t="s">
        <v>7871</v>
      </c>
      <c r="B50" s="773" t="s">
        <v>7887</v>
      </c>
      <c r="C50" s="773" t="s">
        <v>7872</v>
      </c>
      <c r="D50" s="773" t="s">
        <v>7887</v>
      </c>
      <c r="E50" s="773" t="s">
        <v>6639</v>
      </c>
      <c r="F50" s="773" t="s">
        <v>7874</v>
      </c>
      <c r="G50" s="773" t="s">
        <v>6640</v>
      </c>
      <c r="H50" s="773" t="s">
        <v>7872</v>
      </c>
      <c r="I50" s="773" t="s">
        <v>7887</v>
      </c>
      <c r="O50" s="803" t="s">
        <v>6599</v>
      </c>
      <c r="Q50" s="773">
        <v>1</v>
      </c>
      <c r="R50" s="773" t="str">
        <f ca="1">VLOOKUP($P$45,$L$64:$M$123,2,0)</f>
        <v>tân sửu</v>
      </c>
      <c r="S50" s="773" t="str">
        <f ca="1">VLOOKUP($Q$45,$L$64:$M$123,2,0)</f>
        <v>canh tý</v>
      </c>
      <c r="T50" s="773" t="str">
        <f ca="1">VLOOKUP($R$45,$L$64:$M$123,2,0)</f>
        <v>kỷ hợi</v>
      </c>
      <c r="U50" s="773" t="str">
        <f ca="1">VLOOKUP($S$45,$L$64:$M$123,2,0)</f>
        <v>mậu tuất</v>
      </c>
      <c r="V50" s="773" t="str">
        <f ca="1">VLOOKUP($T$45,$L$64:$M$123,2,0)</f>
        <v>đinh dậu</v>
      </c>
      <c r="W50" s="773" t="str">
        <f ca="1">VLOOKUP($U$45,$L$64:$M$123,2,0)</f>
        <v>bính thân</v>
      </c>
      <c r="X50" s="773" t="str">
        <f ca="1">VLOOKUP($V$45,$L$64:$M$123,2,0)</f>
        <v>ất mùi</v>
      </c>
      <c r="Y50" s="773" t="str">
        <f ca="1">VLOOKUP($W$45,$L$64:$M$123,2,0)</f>
        <v>giáp ngọ</v>
      </c>
      <c r="AF50" s="773">
        <f ca="1">COUNTIF($K$19:$K$22,$N$25)</f>
        <v>0</v>
      </c>
      <c r="AG50" s="803" t="s">
        <v>6547</v>
      </c>
      <c r="AH50" s="773">
        <f t="shared" ca="1" si="35"/>
        <v>3</v>
      </c>
      <c r="AI50" s="773">
        <f t="shared" ca="1" si="28"/>
        <v>0</v>
      </c>
      <c r="AJ50" s="803" t="s">
        <v>6641</v>
      </c>
    </row>
    <row r="51" spans="1:56">
      <c r="A51" s="773" t="s">
        <v>7883</v>
      </c>
      <c r="B51" s="773" t="s">
        <v>7887</v>
      </c>
      <c r="C51" s="773" t="s">
        <v>7872</v>
      </c>
      <c r="D51" s="773" t="s">
        <v>7886</v>
      </c>
      <c r="E51" s="773" t="s">
        <v>6642</v>
      </c>
      <c r="F51" s="773" t="s">
        <v>7873</v>
      </c>
      <c r="G51" s="773" t="s">
        <v>6643</v>
      </c>
      <c r="I51" s="773" t="s">
        <v>7871</v>
      </c>
      <c r="M51" s="803" t="s">
        <v>6637</v>
      </c>
      <c r="O51" s="773" t="str">
        <f ca="1">VLOOKUP($B$3,$A$31:$L$42,6,0)</f>
        <v>hợi</v>
      </c>
      <c r="AF51" s="773">
        <f ca="1">COUNTIF($K$24:$K$26,$N$25)</f>
        <v>0</v>
      </c>
      <c r="AG51" s="803" t="s">
        <v>6631</v>
      </c>
      <c r="AH51" s="773">
        <f t="shared" ca="1" si="35"/>
        <v>3</v>
      </c>
      <c r="AI51" s="773">
        <f t="shared" ca="1" si="28"/>
        <v>0</v>
      </c>
      <c r="AJ51" s="803" t="s">
        <v>6632</v>
      </c>
    </row>
    <row r="52" spans="1:56">
      <c r="A52" s="773" t="s">
        <v>7882</v>
      </c>
      <c r="B52" s="773" t="s">
        <v>7887</v>
      </c>
      <c r="C52" s="773" t="s">
        <v>7872</v>
      </c>
      <c r="D52" s="773" t="s">
        <v>7880</v>
      </c>
      <c r="E52" s="773" t="s">
        <v>6644</v>
      </c>
      <c r="F52" s="773" t="s">
        <v>7872</v>
      </c>
      <c r="G52" s="773" t="s">
        <v>6645</v>
      </c>
      <c r="I52" s="773" t="s">
        <v>7874</v>
      </c>
      <c r="O52" s="773" t="str">
        <f ca="1">VLOOKUP($H$3,$A$31:$L$42,6,0)</f>
        <v>tỵ</v>
      </c>
      <c r="AF52" s="773">
        <f ca="1">IF($H$3=$M$42,1,0)</f>
        <v>0</v>
      </c>
      <c r="AG52" s="773" t="s">
        <v>6601</v>
      </c>
      <c r="AH52" s="773">
        <f t="shared" ca="1" si="35"/>
        <v>3</v>
      </c>
      <c r="AI52" s="773">
        <f t="shared" ca="1" si="28"/>
        <v>0</v>
      </c>
      <c r="AJ52" s="773" t="s">
        <v>6594</v>
      </c>
    </row>
    <row r="53" spans="1:56">
      <c r="A53" s="773" t="s">
        <v>7887</v>
      </c>
      <c r="B53" s="773" t="s">
        <v>7877</v>
      </c>
      <c r="C53" s="773" t="s">
        <v>7882</v>
      </c>
      <c r="D53" s="773" t="s">
        <v>7877</v>
      </c>
      <c r="E53" s="773" t="s">
        <v>6646</v>
      </c>
      <c r="F53" s="773" t="s">
        <v>7871</v>
      </c>
      <c r="G53" s="773" t="s">
        <v>6647</v>
      </c>
      <c r="I53" s="773" t="s">
        <v>7877</v>
      </c>
      <c r="M53" s="803" t="s">
        <v>6648</v>
      </c>
      <c r="O53" s="803" t="s">
        <v>6605</v>
      </c>
    </row>
    <row r="54" spans="1:56">
      <c r="A54" s="773" t="s">
        <v>7886</v>
      </c>
      <c r="B54" s="773" t="s">
        <v>7877</v>
      </c>
      <c r="C54" s="773" t="s">
        <v>7882</v>
      </c>
      <c r="D54" s="773" t="s">
        <v>6548</v>
      </c>
      <c r="E54" s="773" t="s">
        <v>6649</v>
      </c>
      <c r="F54" s="773" t="s">
        <v>7883</v>
      </c>
      <c r="G54" s="773" t="s">
        <v>6650</v>
      </c>
      <c r="I54" s="773" t="s">
        <v>7887</v>
      </c>
      <c r="M54" s="773" t="str">
        <f ca="1">VLOOKUP($B$3,$A$45:$D$56,4,0)</f>
        <v>dậu</v>
      </c>
      <c r="O54" s="773" t="str">
        <f ca="1">VLOOKUP($B$3,$A$31:$L$42,10,0)</f>
        <v>tý</v>
      </c>
      <c r="R54" s="773">
        <f ca="1">RIGHT(T24,1)+0</f>
        <v>0</v>
      </c>
      <c r="S54" s="773" t="str">
        <f ca="1">IF(R54&lt;R49,VLOOKUP(1,Q49:Y50,R55+1,0),VLOOKUP(1,Q49:Y50,R55+2,0))</f>
        <v>tân sửu</v>
      </c>
    </row>
    <row r="55" spans="1:56">
      <c r="A55" s="773" t="s">
        <v>7880</v>
      </c>
      <c r="B55" s="773" t="s">
        <v>7877</v>
      </c>
      <c r="C55" s="773" t="s">
        <v>7882</v>
      </c>
      <c r="D55" s="773" t="s">
        <v>7875</v>
      </c>
      <c r="F55" s="773" t="s">
        <v>7882</v>
      </c>
      <c r="G55" s="773" t="s">
        <v>6651</v>
      </c>
      <c r="H55" s="773" t="s">
        <v>7877</v>
      </c>
      <c r="I55" s="773" t="s">
        <v>7871</v>
      </c>
      <c r="M55" s="773" t="str">
        <f ca="1">VLOOKUP($B$3,$A$45:$F$56,6,0)</f>
        <v>mão</v>
      </c>
      <c r="N55" s="773" t="b">
        <f ca="1">ISTEXT(N57)</f>
        <v>0</v>
      </c>
      <c r="R55" s="773">
        <f ca="1">LEFT(T24,1)+0</f>
        <v>1</v>
      </c>
    </row>
    <row r="56" spans="1:56">
      <c r="A56" s="773" t="s">
        <v>7877</v>
      </c>
      <c r="B56" s="773" t="s">
        <v>7874</v>
      </c>
      <c r="C56" s="773" t="s">
        <v>7880</v>
      </c>
      <c r="D56" s="773" t="s">
        <v>7874</v>
      </c>
      <c r="F56" s="773" t="s">
        <v>7887</v>
      </c>
      <c r="G56" s="773" t="s">
        <v>6644</v>
      </c>
      <c r="H56" s="773" t="s">
        <v>7880</v>
      </c>
      <c r="I56" s="773" t="s">
        <v>7874</v>
      </c>
      <c r="M56" s="772" t="s">
        <v>6652</v>
      </c>
      <c r="N56" s="773" t="b">
        <f ca="1">ISTEXT(N58)</f>
        <v>0</v>
      </c>
      <c r="O56" s="807" t="s">
        <v>6558</v>
      </c>
      <c r="T56" s="808"/>
      <c r="U56" s="808"/>
    </row>
    <row r="57" spans="1:56">
      <c r="M57" s="773">
        <f ca="1">VLOOKUP($B$3,$A$45:$H$56,8,0)</f>
        <v>0</v>
      </c>
      <c r="N57" s="773" t="e">
        <f ca="1">VLOOKUP($N$60,$J$46:$L$48,2,0)</f>
        <v>#N/A</v>
      </c>
      <c r="O57" s="773" t="str">
        <f ca="1">VLOOKUP(N25,M64:O123,2,0)</f>
        <v>tí</v>
      </c>
      <c r="S57" s="809"/>
    </row>
    <row r="58" spans="1:56">
      <c r="B58" s="773" t="s">
        <v>7844</v>
      </c>
      <c r="C58" s="773" t="s">
        <v>7847</v>
      </c>
      <c r="D58" s="773" t="s">
        <v>7849</v>
      </c>
      <c r="E58" s="773" t="s">
        <v>7851</v>
      </c>
      <c r="F58" s="773" t="s">
        <v>6549</v>
      </c>
      <c r="G58" s="773" t="s">
        <v>7856</v>
      </c>
      <c r="H58" s="773" t="s">
        <v>7860</v>
      </c>
      <c r="I58" s="773" t="s">
        <v>6562</v>
      </c>
      <c r="J58" s="773" t="s">
        <v>7865</v>
      </c>
      <c r="K58" s="773" t="s">
        <v>6567</v>
      </c>
      <c r="M58" s="773" t="str">
        <f ca="1">VLOOKUP($H$3,$A$45:$H$56,8,0)</f>
        <v>tỵ</v>
      </c>
      <c r="N58" s="773" t="e">
        <f ca="1">VLOOKUP($N$60,$J$46:$L$48,3,0)</f>
        <v>#N/A</v>
      </c>
      <c r="O58" s="773" t="str">
        <f ca="1">VLOOKUP(N25,M64:O123,3,0)</f>
        <v>sửu</v>
      </c>
      <c r="R58" s="773">
        <v>1899</v>
      </c>
      <c r="S58" s="773" t="s">
        <v>7897</v>
      </c>
    </row>
    <row r="59" spans="1:56">
      <c r="A59" s="773" t="s">
        <v>6548</v>
      </c>
      <c r="B59" s="810" t="s">
        <v>6653</v>
      </c>
      <c r="C59" s="810" t="s">
        <v>6654</v>
      </c>
      <c r="D59" s="810" t="s">
        <v>6655</v>
      </c>
      <c r="E59" s="810" t="s">
        <v>6656</v>
      </c>
      <c r="F59" s="810" t="s">
        <v>6655</v>
      </c>
      <c r="G59" s="810" t="s">
        <v>6656</v>
      </c>
      <c r="H59" s="810" t="s">
        <v>6657</v>
      </c>
      <c r="I59" s="810" t="s">
        <v>6658</v>
      </c>
      <c r="J59" s="810" t="s">
        <v>6659</v>
      </c>
      <c r="K59" s="810" t="s">
        <v>6660</v>
      </c>
      <c r="M59" s="772" t="s">
        <v>6613</v>
      </c>
      <c r="R59" s="773">
        <v>1900</v>
      </c>
      <c r="S59" s="773" t="s">
        <v>7899</v>
      </c>
    </row>
    <row r="60" spans="1:56">
      <c r="A60" s="773" t="s">
        <v>7875</v>
      </c>
      <c r="B60" s="810" t="s">
        <v>6661</v>
      </c>
      <c r="C60" s="810" t="s">
        <v>6662</v>
      </c>
      <c r="D60" s="810" t="s">
        <v>6663</v>
      </c>
      <c r="E60" s="810" t="s">
        <v>6664</v>
      </c>
      <c r="F60" s="810" t="s">
        <v>6663</v>
      </c>
      <c r="G60" s="810" t="s">
        <v>6664</v>
      </c>
      <c r="H60" s="810" t="s">
        <v>6664</v>
      </c>
      <c r="I60" s="810" t="s">
        <v>6663</v>
      </c>
      <c r="J60" s="810" t="s">
        <v>6662</v>
      </c>
      <c r="K60" s="810" t="s">
        <v>6661</v>
      </c>
      <c r="M60" s="773" t="str">
        <f ca="1">VLOOKUP($B$3,$A$45:$I$56,9,0)</f>
        <v>tỵ</v>
      </c>
      <c r="N60" s="773" t="str">
        <f ca="1">VLOOKUP(E128,M64:Q123,5,0)</f>
        <v>Mộc</v>
      </c>
      <c r="O60" s="773">
        <f ca="1">IF(LEFT(N55,1)="T",1,0)</f>
        <v>0</v>
      </c>
      <c r="R60" s="773">
        <v>1901</v>
      </c>
      <c r="S60" s="773" t="s">
        <v>7901</v>
      </c>
    </row>
    <row r="61" spans="1:56">
      <c r="A61" s="773" t="s">
        <v>7874</v>
      </c>
      <c r="B61" s="810" t="s">
        <v>6660</v>
      </c>
      <c r="C61" s="810" t="s">
        <v>6659</v>
      </c>
      <c r="D61" s="810" t="s">
        <v>6658</v>
      </c>
      <c r="E61" s="810" t="s">
        <v>6657</v>
      </c>
      <c r="F61" s="810" t="s">
        <v>6658</v>
      </c>
      <c r="G61" s="810" t="s">
        <v>6657</v>
      </c>
      <c r="H61" s="810" t="s">
        <v>6656</v>
      </c>
      <c r="I61" s="810" t="s">
        <v>6655</v>
      </c>
      <c r="J61" s="810" t="s">
        <v>6654</v>
      </c>
      <c r="K61" s="810" t="s">
        <v>6653</v>
      </c>
      <c r="M61" s="773" t="str">
        <f ca="1">VLOOKUP($H$3,$A$45:$I$56,9,0)</f>
        <v>hợi</v>
      </c>
      <c r="N61" s="773">
        <f ca="1">IF(O60=1,IF(OR($H$3=$N$57,$H$3=$N$58),1,0),0)</f>
        <v>0</v>
      </c>
      <c r="R61" s="773">
        <v>1902</v>
      </c>
      <c r="S61" s="773" t="s">
        <v>7903</v>
      </c>
    </row>
    <row r="62" spans="1:56">
      <c r="A62" s="773" t="s">
        <v>7873</v>
      </c>
      <c r="B62" s="810" t="s">
        <v>6659</v>
      </c>
      <c r="C62" s="810" t="s">
        <v>6660</v>
      </c>
      <c r="D62" s="810" t="s">
        <v>6653</v>
      </c>
      <c r="E62" s="810" t="s">
        <v>6654</v>
      </c>
      <c r="F62" s="810" t="s">
        <v>6653</v>
      </c>
      <c r="G62" s="810" t="s">
        <v>6654</v>
      </c>
      <c r="H62" s="810" t="s">
        <v>6655</v>
      </c>
      <c r="I62" s="810" t="s">
        <v>6656</v>
      </c>
      <c r="J62" s="810" t="s">
        <v>6657</v>
      </c>
      <c r="K62" s="810" t="s">
        <v>6658</v>
      </c>
      <c r="R62" s="773">
        <v>1903</v>
      </c>
      <c r="S62" s="773" t="s">
        <v>7904</v>
      </c>
    </row>
    <row r="63" spans="1:56">
      <c r="A63" s="773" t="s">
        <v>7872</v>
      </c>
      <c r="B63" s="810" t="s">
        <v>6662</v>
      </c>
      <c r="C63" s="810" t="s">
        <v>6661</v>
      </c>
      <c r="D63" s="810" t="s">
        <v>6661</v>
      </c>
      <c r="E63" s="810" t="s">
        <v>6662</v>
      </c>
      <c r="F63" s="810" t="s">
        <v>6661</v>
      </c>
      <c r="G63" s="810" t="s">
        <v>6662</v>
      </c>
      <c r="H63" s="810" t="s">
        <v>6663</v>
      </c>
      <c r="I63" s="810" t="s">
        <v>6664</v>
      </c>
      <c r="J63" s="810" t="s">
        <v>6664</v>
      </c>
      <c r="K63" s="810" t="s">
        <v>6663</v>
      </c>
      <c r="M63" s="803" t="s">
        <v>6665</v>
      </c>
      <c r="R63" s="773">
        <v>1904</v>
      </c>
      <c r="S63" s="773" t="s">
        <v>7905</v>
      </c>
    </row>
    <row r="64" spans="1:56" ht="14.25">
      <c r="A64" s="773" t="s">
        <v>7871</v>
      </c>
      <c r="B64" s="810" t="s">
        <v>6654</v>
      </c>
      <c r="C64" s="810" t="s">
        <v>6653</v>
      </c>
      <c r="D64" s="810" t="s">
        <v>6660</v>
      </c>
      <c r="E64" s="810" t="s">
        <v>6659</v>
      </c>
      <c r="F64" s="810" t="s">
        <v>6660</v>
      </c>
      <c r="G64" s="810" t="s">
        <v>6659</v>
      </c>
      <c r="H64" s="810" t="s">
        <v>6658</v>
      </c>
      <c r="I64" s="810" t="s">
        <v>6657</v>
      </c>
      <c r="J64" s="810" t="s">
        <v>6656</v>
      </c>
      <c r="K64" s="810" t="s">
        <v>6655</v>
      </c>
      <c r="L64" s="773">
        <v>1</v>
      </c>
      <c r="M64" s="773" t="s">
        <v>7814</v>
      </c>
      <c r="N64" s="773" t="s">
        <v>7880</v>
      </c>
      <c r="O64" s="773" t="s">
        <v>7877</v>
      </c>
      <c r="P64" s="773">
        <v>1</v>
      </c>
      <c r="Q64" s="805" t="s">
        <v>6666</v>
      </c>
      <c r="R64" s="773">
        <v>1905</v>
      </c>
      <c r="S64" s="773" t="s">
        <v>7906</v>
      </c>
    </row>
    <row r="65" spans="1:19" ht="14.25">
      <c r="A65" s="773" t="s">
        <v>7883</v>
      </c>
      <c r="B65" s="810" t="s">
        <v>6657</v>
      </c>
      <c r="C65" s="810" t="s">
        <v>6658</v>
      </c>
      <c r="D65" s="810" t="s">
        <v>6659</v>
      </c>
      <c r="E65" s="810" t="s">
        <v>6660</v>
      </c>
      <c r="F65" s="810" t="s">
        <v>6659</v>
      </c>
      <c r="G65" s="810" t="s">
        <v>6660</v>
      </c>
      <c r="H65" s="810" t="s">
        <v>6653</v>
      </c>
      <c r="I65" s="810" t="s">
        <v>6654</v>
      </c>
      <c r="J65" s="810" t="s">
        <v>6655</v>
      </c>
      <c r="K65" s="810" t="s">
        <v>6656</v>
      </c>
      <c r="L65" s="773">
        <v>2</v>
      </c>
      <c r="M65" s="773" t="s">
        <v>7818</v>
      </c>
      <c r="N65" s="773" t="s">
        <v>7880</v>
      </c>
      <c r="O65" s="773" t="s">
        <v>7877</v>
      </c>
      <c r="P65" s="773">
        <v>2</v>
      </c>
      <c r="Q65" s="805" t="s">
        <v>6666</v>
      </c>
      <c r="R65" s="773">
        <v>1906</v>
      </c>
      <c r="S65" s="773" t="s">
        <v>7907</v>
      </c>
    </row>
    <row r="66" spans="1:19" ht="14.25">
      <c r="A66" s="773" t="s">
        <v>7882</v>
      </c>
      <c r="B66" s="810" t="s">
        <v>6664</v>
      </c>
      <c r="C66" s="810" t="s">
        <v>6663</v>
      </c>
      <c r="D66" s="810" t="s">
        <v>6662</v>
      </c>
      <c r="E66" s="810" t="s">
        <v>6661</v>
      </c>
      <c r="F66" s="810" t="s">
        <v>6662</v>
      </c>
      <c r="G66" s="810" t="s">
        <v>6661</v>
      </c>
      <c r="H66" s="810" t="s">
        <v>6661</v>
      </c>
      <c r="I66" s="810" t="s">
        <v>6662</v>
      </c>
      <c r="J66" s="810" t="s">
        <v>6663</v>
      </c>
      <c r="K66" s="810" t="s">
        <v>6664</v>
      </c>
      <c r="L66" s="773">
        <v>3</v>
      </c>
      <c r="M66" s="773" t="s">
        <v>7819</v>
      </c>
      <c r="N66" s="773" t="s">
        <v>7880</v>
      </c>
      <c r="O66" s="773" t="s">
        <v>7877</v>
      </c>
      <c r="P66" s="773">
        <v>3</v>
      </c>
      <c r="Q66" s="805" t="s">
        <v>6622</v>
      </c>
      <c r="R66" s="773">
        <v>1907</v>
      </c>
      <c r="S66" s="773" t="s">
        <v>7908</v>
      </c>
    </row>
    <row r="67" spans="1:19" ht="14.25">
      <c r="A67" s="773" t="s">
        <v>7887</v>
      </c>
      <c r="B67" s="810" t="s">
        <v>6656</v>
      </c>
      <c r="C67" s="810" t="s">
        <v>6655</v>
      </c>
      <c r="D67" s="810" t="s">
        <v>6654</v>
      </c>
      <c r="E67" s="810" t="s">
        <v>6653</v>
      </c>
      <c r="F67" s="810" t="s">
        <v>6654</v>
      </c>
      <c r="G67" s="810" t="s">
        <v>6653</v>
      </c>
      <c r="H67" s="810" t="s">
        <v>6660</v>
      </c>
      <c r="I67" s="810" t="s">
        <v>6659</v>
      </c>
      <c r="J67" s="810" t="s">
        <v>6658</v>
      </c>
      <c r="K67" s="810" t="s">
        <v>6657</v>
      </c>
      <c r="L67" s="773">
        <v>4</v>
      </c>
      <c r="M67" s="773" t="s">
        <v>7820</v>
      </c>
      <c r="N67" s="773" t="s">
        <v>7880</v>
      </c>
      <c r="O67" s="773" t="s">
        <v>7877</v>
      </c>
      <c r="P67" s="773">
        <v>4</v>
      </c>
      <c r="Q67" s="805" t="s">
        <v>6622</v>
      </c>
      <c r="R67" s="773">
        <v>1908</v>
      </c>
      <c r="S67" s="773" t="s">
        <v>7909</v>
      </c>
    </row>
    <row r="68" spans="1:19" ht="14.25">
      <c r="A68" s="773" t="s">
        <v>7886</v>
      </c>
      <c r="B68" s="810" t="s">
        <v>6655</v>
      </c>
      <c r="C68" s="810" t="s">
        <v>6656</v>
      </c>
      <c r="D68" s="810" t="s">
        <v>6657</v>
      </c>
      <c r="E68" s="810" t="s">
        <v>6658</v>
      </c>
      <c r="F68" s="810" t="s">
        <v>6657</v>
      </c>
      <c r="G68" s="810" t="s">
        <v>6658</v>
      </c>
      <c r="H68" s="810" t="s">
        <v>6659</v>
      </c>
      <c r="I68" s="810" t="s">
        <v>6660</v>
      </c>
      <c r="J68" s="810" t="s">
        <v>6653</v>
      </c>
      <c r="K68" s="810" t="s">
        <v>6654</v>
      </c>
      <c r="L68" s="773">
        <v>5</v>
      </c>
      <c r="M68" s="773" t="s">
        <v>7822</v>
      </c>
      <c r="N68" s="773" t="s">
        <v>7880</v>
      </c>
      <c r="O68" s="773" t="s">
        <v>7877</v>
      </c>
      <c r="P68" s="773">
        <v>5</v>
      </c>
      <c r="Q68" s="805" t="s">
        <v>6667</v>
      </c>
      <c r="R68" s="773">
        <v>1909</v>
      </c>
      <c r="S68" s="773" t="s">
        <v>7910</v>
      </c>
    </row>
    <row r="69" spans="1:19" ht="14.25">
      <c r="A69" s="773" t="s">
        <v>7880</v>
      </c>
      <c r="B69" s="810" t="s">
        <v>6663</v>
      </c>
      <c r="C69" s="810" t="s">
        <v>6664</v>
      </c>
      <c r="D69" s="810" t="s">
        <v>6664</v>
      </c>
      <c r="E69" s="810" t="s">
        <v>6663</v>
      </c>
      <c r="F69" s="810" t="s">
        <v>6664</v>
      </c>
      <c r="G69" s="810" t="s">
        <v>6663</v>
      </c>
      <c r="H69" s="810" t="s">
        <v>6662</v>
      </c>
      <c r="I69" s="810" t="s">
        <v>6661</v>
      </c>
      <c r="J69" s="810" t="s">
        <v>6661</v>
      </c>
      <c r="K69" s="810" t="s">
        <v>6662</v>
      </c>
      <c r="L69" s="773">
        <v>6</v>
      </c>
      <c r="M69" s="773" t="s">
        <v>7823</v>
      </c>
      <c r="N69" s="773" t="s">
        <v>7880</v>
      </c>
      <c r="O69" s="773" t="s">
        <v>7877</v>
      </c>
      <c r="P69" s="773">
        <v>6</v>
      </c>
      <c r="Q69" s="805" t="s">
        <v>6667</v>
      </c>
      <c r="R69" s="773">
        <v>1910</v>
      </c>
      <c r="S69" s="773" t="s">
        <v>7913</v>
      </c>
    </row>
    <row r="70" spans="1:19" ht="14.25">
      <c r="A70" s="773" t="s">
        <v>7877</v>
      </c>
      <c r="B70" s="810" t="s">
        <v>6658</v>
      </c>
      <c r="C70" s="810" t="s">
        <v>6657</v>
      </c>
      <c r="D70" s="810" t="s">
        <v>6656</v>
      </c>
      <c r="E70" s="810" t="s">
        <v>6655</v>
      </c>
      <c r="F70" s="810" t="s">
        <v>6656</v>
      </c>
      <c r="G70" s="810" t="s">
        <v>6655</v>
      </c>
      <c r="H70" s="810" t="s">
        <v>6654</v>
      </c>
      <c r="I70" s="810" t="s">
        <v>6653</v>
      </c>
      <c r="J70" s="810" t="s">
        <v>6660</v>
      </c>
      <c r="K70" s="810" t="s">
        <v>6659</v>
      </c>
      <c r="L70" s="773">
        <v>7</v>
      </c>
      <c r="M70" s="773" t="s">
        <v>7825</v>
      </c>
      <c r="N70" s="773" t="s">
        <v>7880</v>
      </c>
      <c r="O70" s="773" t="s">
        <v>7877</v>
      </c>
      <c r="P70" s="773">
        <v>7</v>
      </c>
      <c r="Q70" s="805" t="s">
        <v>6625</v>
      </c>
      <c r="R70" s="773">
        <v>1911</v>
      </c>
      <c r="S70" s="773" t="s">
        <v>7914</v>
      </c>
    </row>
    <row r="71" spans="1:19" ht="14.25">
      <c r="L71" s="773">
        <v>8</v>
      </c>
      <c r="M71" s="773" t="s">
        <v>7827</v>
      </c>
      <c r="N71" s="773" t="s">
        <v>7880</v>
      </c>
      <c r="O71" s="773" t="s">
        <v>7877</v>
      </c>
      <c r="P71" s="773">
        <v>8</v>
      </c>
      <c r="Q71" s="805" t="s">
        <v>6625</v>
      </c>
      <c r="R71" s="773">
        <v>1912</v>
      </c>
      <c r="S71" s="773" t="s">
        <v>7915</v>
      </c>
    </row>
    <row r="72" spans="1:19" ht="14.25">
      <c r="L72" s="773">
        <v>9</v>
      </c>
      <c r="M72" s="773" t="s">
        <v>7829</v>
      </c>
      <c r="N72" s="773" t="s">
        <v>7880</v>
      </c>
      <c r="O72" s="773" t="s">
        <v>7877</v>
      </c>
      <c r="P72" s="773">
        <v>9</v>
      </c>
      <c r="Q72" s="805" t="s">
        <v>6666</v>
      </c>
      <c r="R72" s="773">
        <v>1913</v>
      </c>
      <c r="S72" s="773" t="s">
        <v>7916</v>
      </c>
    </row>
    <row r="73" spans="1:19" ht="14.25">
      <c r="B73" s="773" t="s">
        <v>7844</v>
      </c>
      <c r="C73" s="773" t="s">
        <v>7847</v>
      </c>
      <c r="D73" s="773" t="s">
        <v>7849</v>
      </c>
      <c r="E73" s="773" t="s">
        <v>7851</v>
      </c>
      <c r="F73" s="773" t="s">
        <v>6549</v>
      </c>
      <c r="G73" s="773" t="s">
        <v>7856</v>
      </c>
      <c r="H73" s="773" t="s">
        <v>7860</v>
      </c>
      <c r="I73" s="773" t="s">
        <v>6562</v>
      </c>
      <c r="J73" s="773" t="s">
        <v>7865</v>
      </c>
      <c r="K73" s="773" t="s">
        <v>6567</v>
      </c>
      <c r="L73" s="773">
        <v>10</v>
      </c>
      <c r="M73" s="773" t="s">
        <v>7831</v>
      </c>
      <c r="N73" s="773" t="s">
        <v>7880</v>
      </c>
      <c r="O73" s="773" t="s">
        <v>7877</v>
      </c>
      <c r="P73" s="773">
        <v>10</v>
      </c>
      <c r="Q73" s="805" t="s">
        <v>6666</v>
      </c>
      <c r="R73" s="773">
        <v>1914</v>
      </c>
      <c r="S73" s="773" t="s">
        <v>7917</v>
      </c>
    </row>
    <row r="74" spans="1:19" ht="14.25">
      <c r="A74" s="773" t="s">
        <v>7844</v>
      </c>
      <c r="B74" s="810" t="s">
        <v>5930</v>
      </c>
      <c r="C74" s="810" t="s">
        <v>6668</v>
      </c>
      <c r="D74" s="810" t="s">
        <v>6669</v>
      </c>
      <c r="E74" s="810" t="s">
        <v>6670</v>
      </c>
      <c r="F74" s="810" t="s">
        <v>6671</v>
      </c>
      <c r="G74" s="810" t="s">
        <v>6671</v>
      </c>
      <c r="H74" s="810" t="s">
        <v>6672</v>
      </c>
      <c r="I74" s="810" t="s">
        <v>9333</v>
      </c>
      <c r="J74" s="810" t="s">
        <v>6673</v>
      </c>
      <c r="K74" s="810" t="s">
        <v>6674</v>
      </c>
      <c r="L74" s="773">
        <v>11</v>
      </c>
      <c r="M74" s="773" t="s">
        <v>7835</v>
      </c>
      <c r="N74" s="773" t="s">
        <v>7887</v>
      </c>
      <c r="O74" s="773" t="s">
        <v>7886</v>
      </c>
      <c r="P74" s="773">
        <v>11</v>
      </c>
      <c r="Q74" s="805" t="s">
        <v>6622</v>
      </c>
      <c r="R74" s="773">
        <v>1915</v>
      </c>
      <c r="S74" s="773" t="s">
        <v>7918</v>
      </c>
    </row>
    <row r="75" spans="1:19" ht="14.25">
      <c r="A75" s="773" t="s">
        <v>7847</v>
      </c>
      <c r="B75" s="810" t="s">
        <v>6668</v>
      </c>
      <c r="C75" s="810" t="s">
        <v>5930</v>
      </c>
      <c r="D75" s="810" t="s">
        <v>6670</v>
      </c>
      <c r="E75" s="810" t="s">
        <v>6669</v>
      </c>
      <c r="F75" s="810" t="s">
        <v>6671</v>
      </c>
      <c r="G75" s="810" t="s">
        <v>6671</v>
      </c>
      <c r="H75" s="810" t="s">
        <v>9333</v>
      </c>
      <c r="I75" s="810" t="s">
        <v>6672</v>
      </c>
      <c r="J75" s="810" t="s">
        <v>6674</v>
      </c>
      <c r="K75" s="810" t="s">
        <v>6673</v>
      </c>
      <c r="L75" s="773">
        <v>12</v>
      </c>
      <c r="M75" s="773" t="s">
        <v>7838</v>
      </c>
      <c r="N75" s="773" t="s">
        <v>7887</v>
      </c>
      <c r="O75" s="773" t="s">
        <v>7886</v>
      </c>
      <c r="P75" s="773">
        <v>12</v>
      </c>
      <c r="Q75" s="805" t="s">
        <v>6622</v>
      </c>
      <c r="R75" s="773">
        <v>1916</v>
      </c>
      <c r="S75" s="773" t="s">
        <v>7919</v>
      </c>
    </row>
    <row r="76" spans="1:19" ht="14.25">
      <c r="A76" s="773" t="s">
        <v>7849</v>
      </c>
      <c r="B76" s="810" t="s">
        <v>6673</v>
      </c>
      <c r="C76" s="810" t="s">
        <v>6674</v>
      </c>
      <c r="D76" s="810" t="s">
        <v>5930</v>
      </c>
      <c r="E76" s="810" t="s">
        <v>6668</v>
      </c>
      <c r="F76" s="810" t="s">
        <v>6669</v>
      </c>
      <c r="G76" s="810" t="s">
        <v>6670</v>
      </c>
      <c r="H76" s="810" t="s">
        <v>6671</v>
      </c>
      <c r="I76" s="810" t="s">
        <v>6671</v>
      </c>
      <c r="J76" s="810" t="s">
        <v>6672</v>
      </c>
      <c r="K76" s="810" t="s">
        <v>9333</v>
      </c>
      <c r="L76" s="773">
        <v>13</v>
      </c>
      <c r="M76" s="773" t="s">
        <v>7840</v>
      </c>
      <c r="N76" s="773" t="s">
        <v>7887</v>
      </c>
      <c r="O76" s="773" t="s">
        <v>7886</v>
      </c>
      <c r="P76" s="773">
        <v>13</v>
      </c>
      <c r="Q76" s="805" t="s">
        <v>6675</v>
      </c>
      <c r="R76" s="773">
        <v>1917</v>
      </c>
      <c r="S76" s="773" t="s">
        <v>7920</v>
      </c>
    </row>
    <row r="77" spans="1:19" ht="14.25">
      <c r="A77" s="773" t="s">
        <v>7851</v>
      </c>
      <c r="B77" s="810" t="s">
        <v>6674</v>
      </c>
      <c r="C77" s="810" t="s">
        <v>6673</v>
      </c>
      <c r="D77" s="810" t="s">
        <v>6668</v>
      </c>
      <c r="E77" s="810" t="s">
        <v>5930</v>
      </c>
      <c r="F77" s="810" t="s">
        <v>6670</v>
      </c>
      <c r="G77" s="810" t="s">
        <v>6669</v>
      </c>
      <c r="H77" s="810" t="s">
        <v>6671</v>
      </c>
      <c r="I77" s="810" t="s">
        <v>6671</v>
      </c>
      <c r="J77" s="810" t="s">
        <v>9333</v>
      </c>
      <c r="K77" s="810" t="s">
        <v>6672</v>
      </c>
      <c r="L77" s="773">
        <v>14</v>
      </c>
      <c r="M77" s="773" t="s">
        <v>7842</v>
      </c>
      <c r="N77" s="773" t="s">
        <v>7887</v>
      </c>
      <c r="O77" s="773" t="s">
        <v>7886</v>
      </c>
      <c r="P77" s="773">
        <v>14</v>
      </c>
      <c r="Q77" s="805" t="s">
        <v>6675</v>
      </c>
      <c r="R77" s="773">
        <v>1918</v>
      </c>
      <c r="S77" s="773" t="s">
        <v>7922</v>
      </c>
    </row>
    <row r="78" spans="1:19" ht="14.25">
      <c r="A78" s="773" t="s">
        <v>6549</v>
      </c>
      <c r="B78" s="810" t="s">
        <v>6672</v>
      </c>
      <c r="C78" s="810" t="s">
        <v>9333</v>
      </c>
      <c r="D78" s="810" t="s">
        <v>6673</v>
      </c>
      <c r="E78" s="810" t="s">
        <v>6674</v>
      </c>
      <c r="F78" s="810" t="s">
        <v>5930</v>
      </c>
      <c r="G78" s="810" t="s">
        <v>6668</v>
      </c>
      <c r="H78" s="810" t="s">
        <v>6669</v>
      </c>
      <c r="I78" s="810" t="s">
        <v>6670</v>
      </c>
      <c r="J78" s="810" t="s">
        <v>6671</v>
      </c>
      <c r="K78" s="810" t="s">
        <v>6671</v>
      </c>
      <c r="L78" s="773">
        <v>15</v>
      </c>
      <c r="M78" s="773" t="s">
        <v>7846</v>
      </c>
      <c r="N78" s="773" t="s">
        <v>7887</v>
      </c>
      <c r="O78" s="773" t="s">
        <v>7886</v>
      </c>
      <c r="P78" s="773">
        <v>15</v>
      </c>
      <c r="Q78" s="805" t="s">
        <v>6625</v>
      </c>
      <c r="R78" s="773">
        <v>1919</v>
      </c>
      <c r="S78" s="773" t="s">
        <v>7923</v>
      </c>
    </row>
    <row r="79" spans="1:19" ht="14.25">
      <c r="A79" s="773" t="s">
        <v>7856</v>
      </c>
      <c r="B79" s="810" t="s">
        <v>9333</v>
      </c>
      <c r="C79" s="810" t="s">
        <v>6672</v>
      </c>
      <c r="D79" s="810" t="s">
        <v>6674</v>
      </c>
      <c r="E79" s="810" t="s">
        <v>6673</v>
      </c>
      <c r="F79" s="810" t="s">
        <v>6668</v>
      </c>
      <c r="G79" s="810" t="s">
        <v>5930</v>
      </c>
      <c r="H79" s="810" t="s">
        <v>6670</v>
      </c>
      <c r="I79" s="810" t="s">
        <v>6669</v>
      </c>
      <c r="J79" s="810" t="s">
        <v>6671</v>
      </c>
      <c r="K79" s="810" t="s">
        <v>6671</v>
      </c>
      <c r="L79" s="773">
        <v>16</v>
      </c>
      <c r="M79" s="773" t="s">
        <v>7848</v>
      </c>
      <c r="N79" s="773" t="s">
        <v>7887</v>
      </c>
      <c r="O79" s="773" t="s">
        <v>7886</v>
      </c>
      <c r="P79" s="773">
        <v>16</v>
      </c>
      <c r="Q79" s="805" t="s">
        <v>6625</v>
      </c>
      <c r="R79" s="773">
        <v>1920</v>
      </c>
      <c r="S79" s="773" t="s">
        <v>7924</v>
      </c>
    </row>
    <row r="80" spans="1:19" ht="14.25">
      <c r="A80" s="773" t="s">
        <v>7860</v>
      </c>
      <c r="B80" s="810" t="s">
        <v>6671</v>
      </c>
      <c r="C80" s="810" t="s">
        <v>6671</v>
      </c>
      <c r="D80" s="810" t="s">
        <v>6672</v>
      </c>
      <c r="E80" s="810" t="s">
        <v>9333</v>
      </c>
      <c r="F80" s="810" t="s">
        <v>6673</v>
      </c>
      <c r="G80" s="810" t="s">
        <v>6674</v>
      </c>
      <c r="H80" s="810" t="s">
        <v>5930</v>
      </c>
      <c r="I80" s="810" t="s">
        <v>6668</v>
      </c>
      <c r="J80" s="810" t="s">
        <v>6669</v>
      </c>
      <c r="K80" s="810" t="s">
        <v>6670</v>
      </c>
      <c r="L80" s="773">
        <v>17</v>
      </c>
      <c r="M80" s="773" t="s">
        <v>7850</v>
      </c>
      <c r="N80" s="773" t="s">
        <v>7887</v>
      </c>
      <c r="O80" s="773" t="s">
        <v>7886</v>
      </c>
      <c r="P80" s="773">
        <v>17</v>
      </c>
      <c r="Q80" s="805" t="s">
        <v>6666</v>
      </c>
      <c r="R80" s="773">
        <v>1921</v>
      </c>
      <c r="S80" s="773" t="s">
        <v>7925</v>
      </c>
    </row>
    <row r="81" spans="1:19" ht="14.25">
      <c r="A81" s="773" t="s">
        <v>6562</v>
      </c>
      <c r="B81" s="810" t="s">
        <v>6671</v>
      </c>
      <c r="C81" s="810" t="s">
        <v>6671</v>
      </c>
      <c r="D81" s="810" t="s">
        <v>9333</v>
      </c>
      <c r="E81" s="810" t="s">
        <v>6672</v>
      </c>
      <c r="F81" s="810" t="s">
        <v>6674</v>
      </c>
      <c r="G81" s="810" t="s">
        <v>6673</v>
      </c>
      <c r="H81" s="810" t="s">
        <v>6668</v>
      </c>
      <c r="I81" s="810" t="s">
        <v>5930</v>
      </c>
      <c r="J81" s="810" t="s">
        <v>6670</v>
      </c>
      <c r="K81" s="810" t="s">
        <v>6669</v>
      </c>
      <c r="L81" s="773">
        <v>18</v>
      </c>
      <c r="M81" s="773" t="s">
        <v>7852</v>
      </c>
      <c r="N81" s="773" t="s">
        <v>7887</v>
      </c>
      <c r="O81" s="773" t="s">
        <v>7886</v>
      </c>
      <c r="P81" s="773">
        <v>18</v>
      </c>
      <c r="Q81" s="805" t="s">
        <v>6666</v>
      </c>
      <c r="R81" s="773">
        <v>1922</v>
      </c>
      <c r="S81" s="773" t="s">
        <v>7927</v>
      </c>
    </row>
    <row r="82" spans="1:19" ht="14.25">
      <c r="A82" s="773" t="s">
        <v>7865</v>
      </c>
      <c r="B82" s="810" t="s">
        <v>6669</v>
      </c>
      <c r="C82" s="810" t="s">
        <v>6670</v>
      </c>
      <c r="D82" s="810" t="s">
        <v>6671</v>
      </c>
      <c r="E82" s="810" t="s">
        <v>6671</v>
      </c>
      <c r="F82" s="810" t="s">
        <v>6672</v>
      </c>
      <c r="G82" s="810" t="s">
        <v>9333</v>
      </c>
      <c r="H82" s="810" t="s">
        <v>6673</v>
      </c>
      <c r="I82" s="810" t="s">
        <v>6674</v>
      </c>
      <c r="J82" s="810" t="s">
        <v>5930</v>
      </c>
      <c r="K82" s="810" t="s">
        <v>6668</v>
      </c>
      <c r="L82" s="773">
        <v>19</v>
      </c>
      <c r="M82" s="773" t="s">
        <v>7855</v>
      </c>
      <c r="N82" s="773" t="s">
        <v>7887</v>
      </c>
      <c r="O82" s="773" t="s">
        <v>7886</v>
      </c>
      <c r="P82" s="773">
        <v>19</v>
      </c>
      <c r="Q82" s="805" t="s">
        <v>6667</v>
      </c>
      <c r="R82" s="773">
        <v>1923</v>
      </c>
      <c r="S82" s="773" t="s">
        <v>7928</v>
      </c>
    </row>
    <row r="83" spans="1:19" ht="14.25">
      <c r="A83" s="773" t="s">
        <v>6567</v>
      </c>
      <c r="B83" s="810" t="s">
        <v>6670</v>
      </c>
      <c r="C83" s="810" t="s">
        <v>6669</v>
      </c>
      <c r="D83" s="810" t="s">
        <v>6671</v>
      </c>
      <c r="E83" s="810" t="s">
        <v>6671</v>
      </c>
      <c r="F83" s="810" t="s">
        <v>9333</v>
      </c>
      <c r="G83" s="810" t="s">
        <v>6672</v>
      </c>
      <c r="H83" s="810" t="s">
        <v>6674</v>
      </c>
      <c r="I83" s="810" t="s">
        <v>6673</v>
      </c>
      <c r="J83" s="810" t="s">
        <v>6668</v>
      </c>
      <c r="K83" s="810" t="s">
        <v>5930</v>
      </c>
      <c r="L83" s="773">
        <v>20</v>
      </c>
      <c r="M83" s="773" t="s">
        <v>7858</v>
      </c>
      <c r="N83" s="773" t="s">
        <v>7887</v>
      </c>
      <c r="O83" s="773" t="s">
        <v>7886</v>
      </c>
      <c r="P83" s="773">
        <v>20</v>
      </c>
      <c r="Q83" s="805" t="s">
        <v>6667</v>
      </c>
      <c r="R83" s="773">
        <v>1924</v>
      </c>
      <c r="S83" s="773" t="s">
        <v>7814</v>
      </c>
    </row>
    <row r="84" spans="1:19" ht="14.25">
      <c r="L84" s="773">
        <v>21</v>
      </c>
      <c r="M84" s="773" t="s">
        <v>7862</v>
      </c>
      <c r="N84" s="773" t="s">
        <v>7883</v>
      </c>
      <c r="O84" s="773" t="s">
        <v>7882</v>
      </c>
      <c r="P84" s="773">
        <v>21</v>
      </c>
      <c r="Q84" s="805" t="s">
        <v>6675</v>
      </c>
      <c r="R84" s="773">
        <v>1925</v>
      </c>
      <c r="S84" s="773" t="s">
        <v>7818</v>
      </c>
    </row>
    <row r="85" spans="1:19" ht="14.25">
      <c r="L85" s="773">
        <v>22</v>
      </c>
      <c r="M85" s="773" t="s">
        <v>7864</v>
      </c>
      <c r="N85" s="773" t="s">
        <v>7883</v>
      </c>
      <c r="O85" s="773" t="s">
        <v>7882</v>
      </c>
      <c r="P85" s="773">
        <v>22</v>
      </c>
      <c r="Q85" s="805" t="s">
        <v>6675</v>
      </c>
      <c r="R85" s="773">
        <v>1926</v>
      </c>
      <c r="S85" s="773" t="s">
        <v>7819</v>
      </c>
    </row>
    <row r="86" spans="1:19" ht="14.25">
      <c r="A86" s="773" t="s">
        <v>7844</v>
      </c>
      <c r="B86" s="773">
        <v>1</v>
      </c>
      <c r="C86" s="773" t="s">
        <v>6548</v>
      </c>
      <c r="D86" s="773">
        <v>1</v>
      </c>
      <c r="E86" s="773">
        <f ca="1">VLOOKUP(A3,$A$86:$B$95,2,0)</f>
        <v>9</v>
      </c>
      <c r="F86" s="773">
        <f ca="1">VLOOKUP(B3,$C$86:$D$97,2,0)</f>
        <v>7</v>
      </c>
      <c r="G86" s="773">
        <f t="shared" ref="G86:G93" ca="1" si="40">VLOOKUP(O2,$A$86:$B$95,2,0)</f>
        <v>8</v>
      </c>
      <c r="H86" s="773">
        <f ca="1">VLOOKUP(Y3,$C$86:$D$97,2,0)</f>
        <v>2</v>
      </c>
      <c r="L86" s="773">
        <v>23</v>
      </c>
      <c r="M86" s="773" t="s">
        <v>7866</v>
      </c>
      <c r="N86" s="773" t="s">
        <v>7883</v>
      </c>
      <c r="O86" s="773" t="s">
        <v>7882</v>
      </c>
      <c r="P86" s="773">
        <v>23</v>
      </c>
      <c r="Q86" s="805" t="s">
        <v>6625</v>
      </c>
      <c r="R86" s="773">
        <v>1927</v>
      </c>
      <c r="S86" s="773" t="s">
        <v>7820</v>
      </c>
    </row>
    <row r="87" spans="1:19" ht="14.25">
      <c r="A87" s="773" t="s">
        <v>7847</v>
      </c>
      <c r="B87" s="773">
        <v>2</v>
      </c>
      <c r="C87" s="773" t="s">
        <v>7875</v>
      </c>
      <c r="D87" s="773">
        <v>2</v>
      </c>
      <c r="E87" s="773">
        <f ca="1">VLOOKUP(D3,$A$86:$B$95,2,0)</f>
        <v>9</v>
      </c>
      <c r="F87" s="773">
        <f ca="1">VLOOKUP(E3,$C$86:$D$97,2,0)</f>
        <v>3</v>
      </c>
      <c r="G87" s="773">
        <f t="shared" ca="1" si="40"/>
        <v>7</v>
      </c>
      <c r="H87" s="773">
        <f>VLOOKUP(U3,$C$86:$D$97,2,0)</f>
        <v>4</v>
      </c>
      <c r="L87" s="773">
        <v>24</v>
      </c>
      <c r="M87" s="773" t="s">
        <v>7867</v>
      </c>
      <c r="N87" s="773" t="s">
        <v>7883</v>
      </c>
      <c r="O87" s="773" t="s">
        <v>7882</v>
      </c>
      <c r="P87" s="773">
        <v>24</v>
      </c>
      <c r="Q87" s="805" t="s">
        <v>6625</v>
      </c>
      <c r="R87" s="773">
        <v>1928</v>
      </c>
      <c r="S87" s="773" t="s">
        <v>7822</v>
      </c>
    </row>
    <row r="88" spans="1:19" ht="14.25">
      <c r="A88" s="773" t="s">
        <v>7849</v>
      </c>
      <c r="B88" s="773">
        <v>3</v>
      </c>
      <c r="C88" s="773" t="s">
        <v>7874</v>
      </c>
      <c r="D88" s="773">
        <v>3</v>
      </c>
      <c r="E88" s="773">
        <f ca="1">VLOOKUP(J3,$A$86:$B$95,2,0)</f>
        <v>9</v>
      </c>
      <c r="F88" s="773">
        <f ca="1">VLOOKUP(H3,$C$86:$D$97,2,0)</f>
        <v>5</v>
      </c>
      <c r="G88" s="773">
        <f t="shared" ca="1" si="40"/>
        <v>6</v>
      </c>
      <c r="H88" s="773">
        <f ca="1">VLOOKUP(W3,$C$86:$D$97,2,0)</f>
        <v>7</v>
      </c>
      <c r="L88" s="773">
        <v>25</v>
      </c>
      <c r="M88" s="773" t="s">
        <v>7869</v>
      </c>
      <c r="N88" s="773" t="s">
        <v>7883</v>
      </c>
      <c r="O88" s="773" t="s">
        <v>7882</v>
      </c>
      <c r="P88" s="773">
        <v>25</v>
      </c>
      <c r="Q88" s="805" t="s">
        <v>6622</v>
      </c>
      <c r="R88" s="773">
        <v>1929</v>
      </c>
      <c r="S88" s="773" t="s">
        <v>7823</v>
      </c>
    </row>
    <row r="89" spans="1:19" ht="14.25">
      <c r="A89" s="773" t="s">
        <v>7851</v>
      </c>
      <c r="B89" s="773">
        <v>4</v>
      </c>
      <c r="C89" s="773" t="s">
        <v>7873</v>
      </c>
      <c r="D89" s="773">
        <v>4</v>
      </c>
      <c r="F89" s="773">
        <f ca="1">VLOOKUP(K3,$C$86:$D$97,2,0)</f>
        <v>5</v>
      </c>
      <c r="G89" s="773">
        <f t="shared" ca="1" si="40"/>
        <v>5</v>
      </c>
      <c r="L89" s="773">
        <v>26</v>
      </c>
      <c r="M89" s="773" t="s">
        <v>7878</v>
      </c>
      <c r="N89" s="773" t="s">
        <v>7883</v>
      </c>
      <c r="O89" s="773" t="s">
        <v>7882</v>
      </c>
      <c r="P89" s="773">
        <v>26</v>
      </c>
      <c r="Q89" s="805" t="s">
        <v>6622</v>
      </c>
      <c r="R89" s="773">
        <v>1930</v>
      </c>
      <c r="S89" s="773" t="s">
        <v>7825</v>
      </c>
    </row>
    <row r="90" spans="1:19" ht="14.25">
      <c r="A90" s="773" t="s">
        <v>6549</v>
      </c>
      <c r="B90" s="773">
        <v>5</v>
      </c>
      <c r="C90" s="773" t="s">
        <v>7872</v>
      </c>
      <c r="D90" s="773">
        <v>5</v>
      </c>
      <c r="E90" s="773">
        <f ca="1">VLOOKUP(X3,$A$86:$B$95,2,0)</f>
        <v>8</v>
      </c>
      <c r="G90" s="773">
        <f t="shared" ca="1" si="40"/>
        <v>4</v>
      </c>
      <c r="L90" s="773">
        <v>27</v>
      </c>
      <c r="M90" s="773" t="s">
        <v>7881</v>
      </c>
      <c r="N90" s="773" t="s">
        <v>7883</v>
      </c>
      <c r="O90" s="773" t="s">
        <v>7882</v>
      </c>
      <c r="P90" s="773">
        <v>27</v>
      </c>
      <c r="Q90" s="805" t="s">
        <v>6667</v>
      </c>
      <c r="R90" s="773">
        <v>1931</v>
      </c>
      <c r="S90" s="773" t="s">
        <v>7827</v>
      </c>
    </row>
    <row r="91" spans="1:19" ht="14.25">
      <c r="A91" s="773" t="s">
        <v>7856</v>
      </c>
      <c r="B91" s="773">
        <v>6</v>
      </c>
      <c r="C91" s="773" t="s">
        <v>7871</v>
      </c>
      <c r="D91" s="773">
        <v>6</v>
      </c>
      <c r="E91" s="773">
        <f>VLOOKUP(T3,$A$86:$B$95,2,0)</f>
        <v>8</v>
      </c>
      <c r="G91" s="773">
        <f t="shared" ca="1" si="40"/>
        <v>3</v>
      </c>
      <c r="L91" s="773">
        <v>28</v>
      </c>
      <c r="M91" s="773" t="s">
        <v>7884</v>
      </c>
      <c r="N91" s="773" t="s">
        <v>7883</v>
      </c>
      <c r="O91" s="773" t="s">
        <v>7882</v>
      </c>
      <c r="P91" s="773">
        <v>28</v>
      </c>
      <c r="Q91" s="805" t="s">
        <v>6667</v>
      </c>
      <c r="R91" s="773">
        <v>1932</v>
      </c>
      <c r="S91" s="773" t="s">
        <v>7829</v>
      </c>
    </row>
    <row r="92" spans="1:19" ht="14.25">
      <c r="A92" s="773" t="s">
        <v>7860</v>
      </c>
      <c r="B92" s="773">
        <v>7</v>
      </c>
      <c r="C92" s="773" t="s">
        <v>7883</v>
      </c>
      <c r="D92" s="773">
        <v>7</v>
      </c>
      <c r="E92" s="773">
        <f ca="1">VLOOKUP(V3,$A$86:$B$95,2,0)</f>
        <v>9</v>
      </c>
      <c r="G92" s="773">
        <f t="shared" ca="1" si="40"/>
        <v>2</v>
      </c>
      <c r="L92" s="773">
        <v>29</v>
      </c>
      <c r="M92" s="773" t="s">
        <v>7888</v>
      </c>
      <c r="N92" s="773" t="s">
        <v>7883</v>
      </c>
      <c r="O92" s="773" t="s">
        <v>7882</v>
      </c>
      <c r="P92" s="773">
        <v>29</v>
      </c>
      <c r="Q92" s="805" t="s">
        <v>6675</v>
      </c>
      <c r="R92" s="773">
        <v>1933</v>
      </c>
      <c r="S92" s="773" t="s">
        <v>7831</v>
      </c>
    </row>
    <row r="93" spans="1:19" ht="14.25">
      <c r="A93" s="773" t="s">
        <v>6562</v>
      </c>
      <c r="B93" s="773">
        <v>8</v>
      </c>
      <c r="C93" s="773" t="s">
        <v>7882</v>
      </c>
      <c r="D93" s="773">
        <v>8</v>
      </c>
      <c r="G93" s="773">
        <f t="shared" ca="1" si="40"/>
        <v>1</v>
      </c>
      <c r="L93" s="773">
        <v>30</v>
      </c>
      <c r="M93" s="773" t="s">
        <v>7889</v>
      </c>
      <c r="N93" s="773" t="s">
        <v>7883</v>
      </c>
      <c r="O93" s="773" t="s">
        <v>7882</v>
      </c>
      <c r="P93" s="773">
        <v>30</v>
      </c>
      <c r="Q93" s="805" t="s">
        <v>6675</v>
      </c>
      <c r="R93" s="773">
        <v>1934</v>
      </c>
      <c r="S93" s="773" t="s">
        <v>7835</v>
      </c>
    </row>
    <row r="94" spans="1:19" ht="14.25">
      <c r="A94" s="773" t="s">
        <v>7865</v>
      </c>
      <c r="B94" s="773">
        <v>9</v>
      </c>
      <c r="C94" s="773" t="s">
        <v>7887</v>
      </c>
      <c r="D94" s="773">
        <v>9</v>
      </c>
      <c r="L94" s="773">
        <v>31</v>
      </c>
      <c r="M94" s="773" t="s">
        <v>7890</v>
      </c>
      <c r="N94" s="773" t="s">
        <v>7872</v>
      </c>
      <c r="O94" s="773" t="s">
        <v>7871</v>
      </c>
      <c r="P94" s="773">
        <v>31</v>
      </c>
      <c r="Q94" s="805" t="s">
        <v>6666</v>
      </c>
      <c r="R94" s="773">
        <v>1935</v>
      </c>
      <c r="S94" s="773" t="s">
        <v>7838</v>
      </c>
    </row>
    <row r="95" spans="1:19" ht="14.25">
      <c r="A95" s="773" t="s">
        <v>6567</v>
      </c>
      <c r="B95" s="773">
        <v>10</v>
      </c>
      <c r="C95" s="773" t="s">
        <v>7886</v>
      </c>
      <c r="D95" s="773">
        <v>10</v>
      </c>
      <c r="L95" s="773">
        <v>32</v>
      </c>
      <c r="M95" s="773" t="s">
        <v>7891</v>
      </c>
      <c r="N95" s="773" t="s">
        <v>7872</v>
      </c>
      <c r="O95" s="773" t="s">
        <v>7871</v>
      </c>
      <c r="P95" s="773">
        <v>32</v>
      </c>
      <c r="Q95" s="805" t="s">
        <v>6666</v>
      </c>
      <c r="R95" s="773">
        <v>1936</v>
      </c>
      <c r="S95" s="773" t="s">
        <v>7840</v>
      </c>
    </row>
    <row r="96" spans="1:19" ht="14.25">
      <c r="C96" s="773" t="s">
        <v>7880</v>
      </c>
      <c r="D96" s="773">
        <v>11</v>
      </c>
      <c r="L96" s="773">
        <v>33</v>
      </c>
      <c r="M96" s="773" t="s">
        <v>7892</v>
      </c>
      <c r="N96" s="773" t="s">
        <v>7872</v>
      </c>
      <c r="O96" s="773" t="s">
        <v>7871</v>
      </c>
      <c r="P96" s="773">
        <v>33</v>
      </c>
      <c r="Q96" s="805" t="s">
        <v>6622</v>
      </c>
      <c r="R96" s="773">
        <v>1937</v>
      </c>
      <c r="S96" s="773" t="s">
        <v>7842</v>
      </c>
    </row>
    <row r="97" spans="1:19" ht="14.25">
      <c r="C97" s="773" t="s">
        <v>7877</v>
      </c>
      <c r="D97" s="773">
        <v>12</v>
      </c>
      <c r="L97" s="773">
        <v>34</v>
      </c>
      <c r="M97" s="773" t="s">
        <v>7893</v>
      </c>
      <c r="N97" s="773" t="s">
        <v>7872</v>
      </c>
      <c r="O97" s="773" t="s">
        <v>7871</v>
      </c>
      <c r="P97" s="773">
        <v>34</v>
      </c>
      <c r="Q97" s="805" t="s">
        <v>6622</v>
      </c>
      <c r="R97" s="773">
        <v>1938</v>
      </c>
      <c r="S97" s="773" t="s">
        <v>7846</v>
      </c>
    </row>
    <row r="98" spans="1:19" ht="14.25">
      <c r="L98" s="773">
        <v>35</v>
      </c>
      <c r="M98" s="773" t="s">
        <v>7895</v>
      </c>
      <c r="N98" s="773" t="s">
        <v>7872</v>
      </c>
      <c r="O98" s="773" t="s">
        <v>7871</v>
      </c>
      <c r="P98" s="773">
        <v>35</v>
      </c>
      <c r="Q98" s="805" t="s">
        <v>6667</v>
      </c>
      <c r="R98" s="773">
        <v>1939</v>
      </c>
      <c r="S98" s="773" t="s">
        <v>7848</v>
      </c>
    </row>
    <row r="99" spans="1:19" ht="14.25">
      <c r="A99" s="773" t="s">
        <v>6548</v>
      </c>
      <c r="B99" s="773" t="s">
        <v>1876</v>
      </c>
      <c r="E99" s="773" t="str">
        <f>B99</f>
        <v>Quý</v>
      </c>
      <c r="H99" s="773" t="str">
        <f ca="1">VLOOKUP(B3,$A$99:$E$110,2,0)</f>
        <v>kỷ</v>
      </c>
      <c r="I99" s="773" t="str">
        <f ca="1">VLOOKUP(B3,$A$99:$E$110,3,0)</f>
        <v>Đinh</v>
      </c>
      <c r="J99" s="773">
        <f ca="1">VLOOKUP(B3,$A$99:$E$110,4,0)</f>
        <v>0</v>
      </c>
      <c r="L99" s="773">
        <v>36</v>
      </c>
      <c r="M99" s="773" t="s">
        <v>7897</v>
      </c>
      <c r="N99" s="773" t="s">
        <v>7872</v>
      </c>
      <c r="O99" s="773" t="s">
        <v>7871</v>
      </c>
      <c r="P99" s="773">
        <v>36</v>
      </c>
      <c r="Q99" s="805" t="s">
        <v>6667</v>
      </c>
      <c r="R99" s="773">
        <v>1940</v>
      </c>
      <c r="S99" s="773" t="s">
        <v>7850</v>
      </c>
    </row>
    <row r="100" spans="1:19" ht="14.25">
      <c r="A100" s="773" t="s">
        <v>7875</v>
      </c>
      <c r="B100" s="773" t="s">
        <v>6567</v>
      </c>
      <c r="C100" s="773" t="s">
        <v>6562</v>
      </c>
      <c r="D100" s="773" t="s">
        <v>9010</v>
      </c>
      <c r="E100" s="773" t="str">
        <f t="shared" ref="E100:E106" si="41">CONCATENATE(B100," ",C100," ",D100)</f>
        <v>quý tân Kỷ</v>
      </c>
      <c r="H100" s="773" t="str">
        <f ca="1">VLOOKUP(E3,$A$99:$E$110,2,0)</f>
        <v>mậu</v>
      </c>
      <c r="I100" s="773" t="str">
        <f ca="1">VLOOKUP(E3,$A$99:$E$110,3,0)</f>
        <v>bính</v>
      </c>
      <c r="J100" s="773" t="str">
        <f ca="1">VLOOKUP(E3,$A$99:$E$110,4,0)</f>
        <v>Giáp</v>
      </c>
      <c r="L100" s="773">
        <v>37</v>
      </c>
      <c r="M100" s="773" t="s">
        <v>7899</v>
      </c>
      <c r="N100" s="773" t="s">
        <v>7872</v>
      </c>
      <c r="O100" s="773" t="s">
        <v>7871</v>
      </c>
      <c r="P100" s="773">
        <v>37</v>
      </c>
      <c r="Q100" s="805" t="s">
        <v>6625</v>
      </c>
      <c r="R100" s="773">
        <v>1941</v>
      </c>
      <c r="S100" s="773" t="s">
        <v>7852</v>
      </c>
    </row>
    <row r="101" spans="1:19" ht="14.25">
      <c r="A101" s="773" t="s">
        <v>7874</v>
      </c>
      <c r="B101" s="773" t="s">
        <v>6549</v>
      </c>
      <c r="C101" s="773" t="s">
        <v>7849</v>
      </c>
      <c r="D101" s="773" t="s">
        <v>9005</v>
      </c>
      <c r="E101" s="773" t="str">
        <f t="shared" si="41"/>
        <v>mậu bính Giáp</v>
      </c>
      <c r="H101" s="773" t="str">
        <f ca="1">VLOOKUP($H$3,$A$99:$E$110,2,0)</f>
        <v>ất</v>
      </c>
      <c r="I101" s="773" t="str">
        <f ca="1">VLOOKUP($H$3,$A$99:$E$110,3,0)</f>
        <v>quý</v>
      </c>
      <c r="J101" s="773" t="str">
        <f ca="1">VLOOKUP($H$3,$A$99:$E$110,4,0)</f>
        <v>Mậu</v>
      </c>
      <c r="L101" s="773">
        <v>38</v>
      </c>
      <c r="M101" s="773" t="s">
        <v>7901</v>
      </c>
      <c r="N101" s="773" t="s">
        <v>7872</v>
      </c>
      <c r="O101" s="773" t="s">
        <v>7871</v>
      </c>
      <c r="P101" s="773">
        <v>38</v>
      </c>
      <c r="Q101" s="805" t="s">
        <v>6625</v>
      </c>
      <c r="R101" s="773">
        <v>1942</v>
      </c>
      <c r="S101" s="773" t="s">
        <v>7855</v>
      </c>
    </row>
    <row r="102" spans="1:19" ht="14.25">
      <c r="A102" s="773" t="s">
        <v>7873</v>
      </c>
      <c r="B102" s="773" t="s">
        <v>9006</v>
      </c>
      <c r="E102" s="773" t="str">
        <f t="shared" si="41"/>
        <v xml:space="preserve">Ất  </v>
      </c>
      <c r="H102" s="773" t="str">
        <f ca="1">VLOOKUP($K$3,$A$99:$E$110,2,0)</f>
        <v>ất</v>
      </c>
      <c r="I102" s="773" t="str">
        <f ca="1">VLOOKUP($K$3,$A$99:$E$110,3,0)</f>
        <v>quý</v>
      </c>
      <c r="J102" s="773" t="str">
        <f ca="1">VLOOKUP($K$3,$A$99:$E$110,4,0)</f>
        <v>Mậu</v>
      </c>
      <c r="L102" s="773">
        <v>39</v>
      </c>
      <c r="M102" s="773" t="s">
        <v>7903</v>
      </c>
      <c r="N102" s="773" t="s">
        <v>7872</v>
      </c>
      <c r="O102" s="773" t="s">
        <v>7871</v>
      </c>
      <c r="P102" s="773">
        <v>39</v>
      </c>
      <c r="Q102" s="805" t="s">
        <v>6666</v>
      </c>
      <c r="R102" s="773">
        <v>1943</v>
      </c>
      <c r="S102" s="773" t="s">
        <v>7858</v>
      </c>
    </row>
    <row r="103" spans="1:19" ht="14.25">
      <c r="A103" s="773" t="s">
        <v>7872</v>
      </c>
      <c r="B103" s="773" t="s">
        <v>7847</v>
      </c>
      <c r="C103" s="773" t="s">
        <v>6567</v>
      </c>
      <c r="D103" s="773" t="s">
        <v>9009</v>
      </c>
      <c r="E103" s="773" t="str">
        <f t="shared" si="41"/>
        <v>ất quý Mậu</v>
      </c>
      <c r="L103" s="773">
        <v>40</v>
      </c>
      <c r="M103" s="773" t="s">
        <v>7904</v>
      </c>
      <c r="N103" s="773" t="s">
        <v>7872</v>
      </c>
      <c r="O103" s="773" t="s">
        <v>7871</v>
      </c>
      <c r="P103" s="773">
        <v>40</v>
      </c>
      <c r="Q103" s="805" t="s">
        <v>6666</v>
      </c>
      <c r="R103" s="773">
        <v>1944</v>
      </c>
      <c r="S103" s="773" t="s">
        <v>7862</v>
      </c>
    </row>
    <row r="104" spans="1:19" ht="14.25">
      <c r="A104" s="773" t="s">
        <v>7871</v>
      </c>
      <c r="B104" s="773" t="s">
        <v>7860</v>
      </c>
      <c r="C104" s="773" t="s">
        <v>6549</v>
      </c>
      <c r="D104" s="773" t="s">
        <v>9007</v>
      </c>
      <c r="E104" s="773" t="str">
        <f t="shared" si="41"/>
        <v>canh mậu Bính</v>
      </c>
      <c r="H104" s="773">
        <f t="shared" ref="H104:J107" ca="1" si="42">VLOOKUP(H99,$A$86:$B$95,2,0)</f>
        <v>6</v>
      </c>
      <c r="I104" s="773">
        <f t="shared" ca="1" si="42"/>
        <v>4</v>
      </c>
      <c r="J104" s="773" t="e">
        <f t="shared" ca="1" si="42"/>
        <v>#N/A</v>
      </c>
      <c r="L104" s="773">
        <v>41</v>
      </c>
      <c r="M104" s="773" t="s">
        <v>7905</v>
      </c>
      <c r="N104" s="773" t="s">
        <v>7874</v>
      </c>
      <c r="O104" s="773" t="s">
        <v>7873</v>
      </c>
      <c r="P104" s="773">
        <v>41</v>
      </c>
      <c r="Q104" s="805" t="s">
        <v>6622</v>
      </c>
      <c r="R104" s="773">
        <v>1945</v>
      </c>
      <c r="S104" s="773" t="s">
        <v>7864</v>
      </c>
    </row>
    <row r="105" spans="1:19" ht="14.25">
      <c r="A105" s="773" t="s">
        <v>7883</v>
      </c>
      <c r="B105" s="773" t="s">
        <v>7856</v>
      </c>
      <c r="C105" s="773" t="s">
        <v>9008</v>
      </c>
      <c r="E105" s="773" t="str">
        <f t="shared" si="41"/>
        <v xml:space="preserve">kỷ Đinh </v>
      </c>
      <c r="H105" s="773">
        <f t="shared" ca="1" si="42"/>
        <v>5</v>
      </c>
      <c r="I105" s="773">
        <f t="shared" ca="1" si="42"/>
        <v>3</v>
      </c>
      <c r="J105" s="773">
        <f t="shared" ca="1" si="42"/>
        <v>1</v>
      </c>
      <c r="L105" s="773">
        <v>42</v>
      </c>
      <c r="M105" s="773" t="s">
        <v>7906</v>
      </c>
      <c r="N105" s="773" t="s">
        <v>7874</v>
      </c>
      <c r="O105" s="773" t="s">
        <v>7873</v>
      </c>
      <c r="P105" s="773">
        <v>42</v>
      </c>
      <c r="Q105" s="805" t="s">
        <v>6622</v>
      </c>
      <c r="R105" s="773">
        <v>1946</v>
      </c>
      <c r="S105" s="773" t="s">
        <v>7866</v>
      </c>
    </row>
    <row r="106" spans="1:19" ht="14.25">
      <c r="A106" s="773" t="s">
        <v>7882</v>
      </c>
      <c r="B106" s="773" t="s">
        <v>7847</v>
      </c>
      <c r="C106" s="773" t="s">
        <v>7851</v>
      </c>
      <c r="D106" s="773" t="s">
        <v>9010</v>
      </c>
      <c r="E106" s="773" t="str">
        <f t="shared" si="41"/>
        <v>ất đinh Kỷ</v>
      </c>
      <c r="H106" s="773">
        <f t="shared" ca="1" si="42"/>
        <v>2</v>
      </c>
      <c r="I106" s="773">
        <f t="shared" ca="1" si="42"/>
        <v>10</v>
      </c>
      <c r="J106" s="773">
        <f t="shared" ca="1" si="42"/>
        <v>5</v>
      </c>
      <c r="L106" s="773">
        <v>43</v>
      </c>
      <c r="M106" s="773" t="s">
        <v>7907</v>
      </c>
      <c r="N106" s="773" t="s">
        <v>7874</v>
      </c>
      <c r="O106" s="773" t="s">
        <v>7873</v>
      </c>
      <c r="P106" s="773">
        <v>43</v>
      </c>
      <c r="Q106" s="805" t="s">
        <v>6675</v>
      </c>
      <c r="R106" s="773">
        <v>1947</v>
      </c>
      <c r="S106" s="773" t="s">
        <v>7867</v>
      </c>
    </row>
    <row r="107" spans="1:19" ht="14.25">
      <c r="A107" s="773" t="s">
        <v>7887</v>
      </c>
      <c r="B107" s="773" t="s">
        <v>6549</v>
      </c>
      <c r="C107" s="773" t="s">
        <v>7865</v>
      </c>
      <c r="D107" s="773" t="s">
        <v>3733</v>
      </c>
      <c r="E107" s="773" t="str">
        <f>CONCATENATE(B107,C107," ",D107)</f>
        <v>mậunhâm Canh</v>
      </c>
      <c r="H107" s="773">
        <f t="shared" ca="1" si="42"/>
        <v>2</v>
      </c>
      <c r="I107" s="773">
        <f t="shared" ca="1" si="42"/>
        <v>10</v>
      </c>
      <c r="J107" s="773">
        <f t="shared" ca="1" si="42"/>
        <v>5</v>
      </c>
      <c r="L107" s="773">
        <v>44</v>
      </c>
      <c r="M107" s="773" t="s">
        <v>7908</v>
      </c>
      <c r="N107" s="773" t="s">
        <v>7874</v>
      </c>
      <c r="O107" s="773" t="s">
        <v>7873</v>
      </c>
      <c r="P107" s="773">
        <v>44</v>
      </c>
      <c r="Q107" s="805" t="s">
        <v>6675</v>
      </c>
      <c r="R107" s="773">
        <v>1948</v>
      </c>
      <c r="S107" s="773" t="s">
        <v>7869</v>
      </c>
    </row>
    <row r="108" spans="1:19" ht="14.25">
      <c r="A108" s="773" t="s">
        <v>7886</v>
      </c>
      <c r="B108" s="773" t="s">
        <v>3734</v>
      </c>
      <c r="E108" s="773" t="str">
        <f>CONCATENATE(B108," ",C108," ",D108)</f>
        <v xml:space="preserve">Tân  </v>
      </c>
      <c r="L108" s="773">
        <v>45</v>
      </c>
      <c r="M108" s="773" t="s">
        <v>7909</v>
      </c>
      <c r="N108" s="773" t="s">
        <v>7874</v>
      </c>
      <c r="O108" s="773" t="s">
        <v>7873</v>
      </c>
      <c r="P108" s="773">
        <v>45</v>
      </c>
      <c r="Q108" s="805" t="s">
        <v>6625</v>
      </c>
      <c r="R108" s="773">
        <v>1949</v>
      </c>
      <c r="S108" s="773" t="s">
        <v>7878</v>
      </c>
    </row>
    <row r="109" spans="1:19" ht="14.25">
      <c r="A109" s="773" t="s">
        <v>7880</v>
      </c>
      <c r="B109" s="773" t="s">
        <v>6562</v>
      </c>
      <c r="C109" s="773" t="s">
        <v>7851</v>
      </c>
      <c r="D109" s="773" t="s">
        <v>9009</v>
      </c>
      <c r="E109" s="773" t="str">
        <f>CONCATENATE(B109," ",C109," ",D109)</f>
        <v>tân đinh Mậu</v>
      </c>
      <c r="L109" s="773">
        <v>46</v>
      </c>
      <c r="M109" s="773" t="s">
        <v>7910</v>
      </c>
      <c r="N109" s="773" t="s">
        <v>7874</v>
      </c>
      <c r="O109" s="773" t="s">
        <v>7873</v>
      </c>
      <c r="P109" s="773">
        <v>46</v>
      </c>
      <c r="Q109" s="805" t="s">
        <v>6625</v>
      </c>
      <c r="R109" s="773">
        <v>1950</v>
      </c>
      <c r="S109" s="773" t="s">
        <v>7881</v>
      </c>
    </row>
    <row r="110" spans="1:19" ht="14.25">
      <c r="A110" s="773" t="s">
        <v>7877</v>
      </c>
      <c r="B110" s="773" t="s">
        <v>7844</v>
      </c>
      <c r="C110" s="773" t="s">
        <v>3735</v>
      </c>
      <c r="E110" s="773" t="str">
        <f>CONCATENATE(B110," ",C110," ",D110)</f>
        <v xml:space="preserve">giáp Nhâm </v>
      </c>
      <c r="L110" s="773">
        <v>47</v>
      </c>
      <c r="M110" s="773" t="s">
        <v>7913</v>
      </c>
      <c r="N110" s="773" t="s">
        <v>7874</v>
      </c>
      <c r="O110" s="773" t="s">
        <v>7873</v>
      </c>
      <c r="P110" s="773">
        <v>47</v>
      </c>
      <c r="Q110" s="805" t="s">
        <v>6666</v>
      </c>
      <c r="R110" s="773">
        <v>1951</v>
      </c>
      <c r="S110" s="773" t="s">
        <v>7884</v>
      </c>
    </row>
    <row r="111" spans="1:19" ht="14.25">
      <c r="H111" s="780" t="str">
        <f ca="1">HLOOKUP($G$3,$A$58:$K$70,H104+1,0)</f>
        <v>Lâm quan</v>
      </c>
      <c r="L111" s="773">
        <v>48</v>
      </c>
      <c r="M111" s="773" t="s">
        <v>7914</v>
      </c>
      <c r="N111" s="773" t="s">
        <v>7874</v>
      </c>
      <c r="O111" s="773" t="s">
        <v>7873</v>
      </c>
      <c r="P111" s="773">
        <v>48</v>
      </c>
      <c r="Q111" s="805" t="s">
        <v>6666</v>
      </c>
      <c r="R111" s="773">
        <v>1952</v>
      </c>
      <c r="S111" s="773" t="s">
        <v>7888</v>
      </c>
    </row>
    <row r="112" spans="1:19" ht="14.25">
      <c r="B112" s="772" t="str">
        <f ca="1">VLOOKUP($G$3,$A$74:$K$83,H106+1,0)</f>
        <v>Ấn</v>
      </c>
      <c r="C112" s="772" t="str">
        <f ca="1">VLOOKUP($G$3,$A$74:$K$83,I106+1,0)</f>
        <v>Quan</v>
      </c>
      <c r="D112" s="772" t="str">
        <f ca="1">VLOOKUP($G$3,$A$74:$K$83,J106+1,0)</f>
        <v>Thực</v>
      </c>
      <c r="E112" s="772" t="str">
        <f ca="1">VLOOKUP($G$3,$A$74:$K$83,H105+1,0)</f>
        <v>Thực</v>
      </c>
      <c r="F112" s="772" t="str">
        <f ca="1">VLOOKUP($G$3,$A$74:$K$83,I105+1,0)</f>
        <v>Tỷ</v>
      </c>
      <c r="G112" s="772" t="str">
        <f ca="1">VLOOKUP($G$3,$A$74:$K$83,J105+1,0)</f>
        <v>Kiêu</v>
      </c>
      <c r="H112" s="772" t="str">
        <f ca="1">VLOOKUP($G$3,$A$74:$K$83,H104+1,0)</f>
        <v>Thương</v>
      </c>
      <c r="I112" s="772" t="str">
        <f ca="1">VLOOKUP($G$3,$A$74:$K$83,I104+1,0)</f>
        <v>Kiếp</v>
      </c>
      <c r="J112" s="772" t="e">
        <f ca="1">VLOOKUP($G$3,$A$74:$K$83,J104+1,0)</f>
        <v>#N/A</v>
      </c>
      <c r="L112" s="773">
        <v>49</v>
      </c>
      <c r="M112" s="773" t="s">
        <v>7915</v>
      </c>
      <c r="N112" s="773" t="s">
        <v>7874</v>
      </c>
      <c r="O112" s="773" t="s">
        <v>7873</v>
      </c>
      <c r="P112" s="773">
        <v>49</v>
      </c>
      <c r="Q112" s="805" t="s">
        <v>6667</v>
      </c>
      <c r="R112" s="773">
        <v>1953</v>
      </c>
      <c r="S112" s="773" t="s">
        <v>7889</v>
      </c>
    </row>
    <row r="113" spans="1:19" ht="14.25">
      <c r="B113" s="810" t="b">
        <f t="shared" ref="B113:J113" ca="1" si="43">ISTEXT(B112)</f>
        <v>1</v>
      </c>
      <c r="C113" s="810" t="b">
        <f t="shared" ca="1" si="43"/>
        <v>1</v>
      </c>
      <c r="D113" s="810" t="b">
        <f t="shared" ca="1" si="43"/>
        <v>1</v>
      </c>
      <c r="E113" s="810" t="b">
        <f t="shared" ca="1" si="43"/>
        <v>1</v>
      </c>
      <c r="F113" s="810" t="b">
        <f t="shared" ca="1" si="43"/>
        <v>1</v>
      </c>
      <c r="G113" s="810" t="b">
        <f t="shared" ca="1" si="43"/>
        <v>1</v>
      </c>
      <c r="H113" s="810" t="b">
        <f t="shared" ca="1" si="43"/>
        <v>1</v>
      </c>
      <c r="I113" s="810" t="b">
        <f t="shared" ca="1" si="43"/>
        <v>1</v>
      </c>
      <c r="J113" s="810" t="b">
        <f t="shared" ca="1" si="43"/>
        <v>0</v>
      </c>
      <c r="L113" s="773">
        <v>50</v>
      </c>
      <c r="M113" s="773" t="s">
        <v>7916</v>
      </c>
      <c r="N113" s="773" t="s">
        <v>7874</v>
      </c>
      <c r="O113" s="773" t="s">
        <v>7873</v>
      </c>
      <c r="P113" s="773">
        <v>50</v>
      </c>
      <c r="Q113" s="805" t="s">
        <v>6667</v>
      </c>
      <c r="R113" s="773">
        <v>1954</v>
      </c>
      <c r="S113" s="773" t="s">
        <v>7890</v>
      </c>
    </row>
    <row r="114" spans="1:19" ht="14.25">
      <c r="B114" s="773">
        <f t="shared" ref="B114:J114" ca="1" si="44">IF(LEFT(B113,1)="T",1,0)</f>
        <v>1</v>
      </c>
      <c r="C114" s="773">
        <f t="shared" ca="1" si="44"/>
        <v>1</v>
      </c>
      <c r="D114" s="773">
        <f t="shared" ca="1" si="44"/>
        <v>1</v>
      </c>
      <c r="E114" s="773">
        <f t="shared" ca="1" si="44"/>
        <v>1</v>
      </c>
      <c r="F114" s="773">
        <f t="shared" ca="1" si="44"/>
        <v>1</v>
      </c>
      <c r="G114" s="773">
        <f t="shared" ca="1" si="44"/>
        <v>1</v>
      </c>
      <c r="H114" s="773">
        <f t="shared" ca="1" si="44"/>
        <v>1</v>
      </c>
      <c r="I114" s="773">
        <f t="shared" ca="1" si="44"/>
        <v>1</v>
      </c>
      <c r="J114" s="773">
        <f t="shared" ca="1" si="44"/>
        <v>0</v>
      </c>
      <c r="L114" s="773">
        <v>51</v>
      </c>
      <c r="M114" s="773" t="s">
        <v>7917</v>
      </c>
      <c r="N114" s="773" t="s">
        <v>7876</v>
      </c>
      <c r="O114" s="773" t="s">
        <v>7875</v>
      </c>
      <c r="P114" s="773">
        <v>51</v>
      </c>
      <c r="Q114" s="805" t="s">
        <v>6675</v>
      </c>
      <c r="R114" s="773">
        <v>1955</v>
      </c>
      <c r="S114" s="773" t="s">
        <v>7891</v>
      </c>
    </row>
    <row r="115" spans="1:19" ht="14.25">
      <c r="B115" s="773" t="str">
        <f t="shared" ref="B115:J115" ca="1" si="45">IF(B114=1,B112," ")</f>
        <v>Ấn</v>
      </c>
      <c r="C115" s="773" t="str">
        <f t="shared" ca="1" si="45"/>
        <v>Quan</v>
      </c>
      <c r="D115" s="773" t="str">
        <f t="shared" ca="1" si="45"/>
        <v>Thực</v>
      </c>
      <c r="E115" s="773" t="str">
        <f t="shared" ca="1" si="45"/>
        <v>Thực</v>
      </c>
      <c r="F115" s="773" t="str">
        <f t="shared" ca="1" si="45"/>
        <v>Tỷ</v>
      </c>
      <c r="G115" s="773" t="str">
        <f t="shared" ca="1" si="45"/>
        <v>Kiêu</v>
      </c>
      <c r="H115" s="773" t="str">
        <f t="shared" ca="1" si="45"/>
        <v>Thương</v>
      </c>
      <c r="I115" s="773" t="str">
        <f t="shared" ca="1" si="45"/>
        <v>Kiếp</v>
      </c>
      <c r="J115" s="773" t="str">
        <f t="shared" ca="1" si="45"/>
        <v xml:space="preserve"> </v>
      </c>
      <c r="L115" s="773">
        <v>52</v>
      </c>
      <c r="M115" s="773" t="s">
        <v>7918</v>
      </c>
      <c r="N115" s="773" t="s">
        <v>7876</v>
      </c>
      <c r="O115" s="773" t="s">
        <v>7875</v>
      </c>
      <c r="P115" s="773">
        <v>52</v>
      </c>
      <c r="Q115" s="805" t="s">
        <v>6675</v>
      </c>
      <c r="R115" s="773">
        <v>1956</v>
      </c>
      <c r="S115" s="773" t="s">
        <v>7892</v>
      </c>
    </row>
    <row r="116" spans="1:19" ht="14.25">
      <c r="B116" s="773" t="str">
        <f ca="1">CONCATENATE(B115,C115,D115)</f>
        <v>ẤnQuanThực</v>
      </c>
      <c r="E116" s="773" t="str">
        <f ca="1">CONCATENATE(E115,F115,G115)</f>
        <v>ThựcTỷKiêu</v>
      </c>
      <c r="H116" s="773" t="str">
        <f ca="1">CONCATENATE(H115,I115,J115)</f>
        <v xml:space="preserve">ThươngKiếp </v>
      </c>
      <c r="L116" s="773">
        <v>53</v>
      </c>
      <c r="M116" s="773" t="s">
        <v>7919</v>
      </c>
      <c r="N116" s="773" t="s">
        <v>7876</v>
      </c>
      <c r="O116" s="773" t="s">
        <v>7875</v>
      </c>
      <c r="P116" s="773">
        <v>53</v>
      </c>
      <c r="Q116" s="805" t="s">
        <v>6625</v>
      </c>
      <c r="R116" s="773">
        <v>1957</v>
      </c>
      <c r="S116" s="773" t="s">
        <v>7893</v>
      </c>
    </row>
    <row r="117" spans="1:19" ht="14.25">
      <c r="B117" s="772" t="str">
        <f ca="1">VLOOKUP($G$3,$A$74:$K$83,H107+1,0)</f>
        <v>Ấn</v>
      </c>
      <c r="C117" s="772" t="str">
        <f ca="1">VLOOKUP($G$3,$A$74:$K$83,I107+1,0)</f>
        <v>Quan</v>
      </c>
      <c r="D117" s="772" t="str">
        <f ca="1">VLOOKUP($G$3,$A$74:$K$83,J107+1,0)</f>
        <v>Thực</v>
      </c>
      <c r="E117" s="772" t="str">
        <f ca="1">VLOOKUP($G$3,$A$74:$K$83,H122+1,0)</f>
        <v>Quan</v>
      </c>
      <c r="F117" s="772" t="str">
        <f ca="1">VLOOKUP($G$3,$A$74:$K$83,I122+1,0)</f>
        <v>Tài</v>
      </c>
      <c r="G117" s="772" t="str">
        <f ca="1">VLOOKUP($G$3,$A$74:$K$83,J122+1,0)</f>
        <v>Thương</v>
      </c>
      <c r="L117" s="773">
        <v>54</v>
      </c>
      <c r="M117" s="773" t="s">
        <v>7920</v>
      </c>
      <c r="N117" s="773" t="s">
        <v>7876</v>
      </c>
      <c r="O117" s="773" t="s">
        <v>7875</v>
      </c>
      <c r="P117" s="773">
        <v>54</v>
      </c>
      <c r="Q117" s="805" t="s">
        <v>6625</v>
      </c>
      <c r="R117" s="773">
        <v>1958</v>
      </c>
      <c r="S117" s="773" t="s">
        <v>7895</v>
      </c>
    </row>
    <row r="118" spans="1:19" ht="14.25">
      <c r="B118" s="810" t="b">
        <f t="shared" ref="B118:G118" ca="1" si="46">ISTEXT(B117)</f>
        <v>1</v>
      </c>
      <c r="C118" s="810" t="b">
        <f t="shared" ca="1" si="46"/>
        <v>1</v>
      </c>
      <c r="D118" s="810" t="b">
        <f t="shared" ca="1" si="46"/>
        <v>1</v>
      </c>
      <c r="E118" s="810" t="b">
        <f t="shared" ca="1" si="46"/>
        <v>1</v>
      </c>
      <c r="F118" s="810" t="b">
        <f t="shared" ca="1" si="46"/>
        <v>1</v>
      </c>
      <c r="G118" s="810" t="b">
        <f t="shared" ca="1" si="46"/>
        <v>1</v>
      </c>
      <c r="H118" s="773" t="str">
        <f ca="1">VLOOKUP(Y3,$A$99:$E$110,2,0)</f>
        <v>quý</v>
      </c>
      <c r="I118" s="773" t="str">
        <f ca="1">VLOOKUP(Y3,$A$99:$E$110,3,0)</f>
        <v>tân</v>
      </c>
      <c r="J118" s="773" t="str">
        <f ca="1">VLOOKUP(Y3,$A$99:$E$110,4,0)</f>
        <v>Kỷ</v>
      </c>
      <c r="L118" s="773">
        <v>55</v>
      </c>
      <c r="M118" s="773" t="s">
        <v>7922</v>
      </c>
      <c r="N118" s="773" t="s">
        <v>7876</v>
      </c>
      <c r="O118" s="773" t="s">
        <v>7875</v>
      </c>
      <c r="P118" s="773">
        <v>55</v>
      </c>
      <c r="Q118" s="805" t="s">
        <v>6622</v>
      </c>
      <c r="R118" s="773">
        <v>1959</v>
      </c>
      <c r="S118" s="773" t="s">
        <v>7897</v>
      </c>
    </row>
    <row r="119" spans="1:19" ht="14.25">
      <c r="B119" s="773">
        <f t="shared" ref="B119:G119" ca="1" si="47">IF(LEFT(B118,1)="T",1,0)</f>
        <v>1</v>
      </c>
      <c r="C119" s="773">
        <f t="shared" ca="1" si="47"/>
        <v>1</v>
      </c>
      <c r="D119" s="773">
        <f t="shared" ca="1" si="47"/>
        <v>1</v>
      </c>
      <c r="E119" s="773">
        <f t="shared" ca="1" si="47"/>
        <v>1</v>
      </c>
      <c r="F119" s="773">
        <f t="shared" ca="1" si="47"/>
        <v>1</v>
      </c>
      <c r="G119" s="773">
        <f t="shared" ca="1" si="47"/>
        <v>1</v>
      </c>
      <c r="H119" s="773" t="str">
        <f>VLOOKUP($U$3,$A$99:$E$110,2,0)</f>
        <v>Ất</v>
      </c>
      <c r="I119" s="773">
        <f>VLOOKUP($U$3,$A$99:$E$110,3,0)</f>
        <v>0</v>
      </c>
      <c r="J119" s="773">
        <f>VLOOKUP($U$3,$A$99:$E$110,4,0)</f>
        <v>0</v>
      </c>
      <c r="L119" s="773">
        <v>56</v>
      </c>
      <c r="M119" s="773" t="s">
        <v>7923</v>
      </c>
      <c r="N119" s="773" t="s">
        <v>7876</v>
      </c>
      <c r="O119" s="773" t="s">
        <v>7875</v>
      </c>
      <c r="P119" s="773">
        <v>56</v>
      </c>
      <c r="Q119" s="805" t="s">
        <v>6622</v>
      </c>
      <c r="R119" s="773">
        <v>1960</v>
      </c>
      <c r="S119" s="773" t="s">
        <v>7899</v>
      </c>
    </row>
    <row r="120" spans="1:19" ht="14.25">
      <c r="B120" s="773" t="str">
        <f t="shared" ref="B120:G120" ca="1" si="48">IF(B119=1,B117," ")</f>
        <v>Ấn</v>
      </c>
      <c r="C120" s="773" t="str">
        <f t="shared" ca="1" si="48"/>
        <v>Quan</v>
      </c>
      <c r="D120" s="773" t="str">
        <f t="shared" ca="1" si="48"/>
        <v>Thực</v>
      </c>
      <c r="E120" s="773" t="str">
        <f t="shared" ca="1" si="48"/>
        <v>Quan</v>
      </c>
      <c r="F120" s="773" t="str">
        <f t="shared" ca="1" si="48"/>
        <v>Tài</v>
      </c>
      <c r="G120" s="773" t="str">
        <f t="shared" ca="1" si="48"/>
        <v>Thương</v>
      </c>
      <c r="H120" s="773" t="str">
        <f ca="1">VLOOKUP($W$3,$A$99:$E$110,2,0)</f>
        <v>kỷ</v>
      </c>
      <c r="I120" s="773" t="str">
        <f ca="1">VLOOKUP($W$3,$A$99:$E$110,3,0)</f>
        <v>Đinh</v>
      </c>
      <c r="J120" s="773">
        <f ca="1">VLOOKUP($W$3,$A$99:$E$110,4,0)</f>
        <v>0</v>
      </c>
      <c r="L120" s="773">
        <v>57</v>
      </c>
      <c r="M120" s="773" t="s">
        <v>7924</v>
      </c>
      <c r="N120" s="773" t="s">
        <v>7876</v>
      </c>
      <c r="O120" s="773" t="s">
        <v>7875</v>
      </c>
      <c r="P120" s="773">
        <v>57</v>
      </c>
      <c r="Q120" s="805" t="s">
        <v>6667</v>
      </c>
      <c r="R120" s="773">
        <v>1961</v>
      </c>
      <c r="S120" s="773" t="s">
        <v>7901</v>
      </c>
    </row>
    <row r="121" spans="1:19" ht="14.25">
      <c r="B121" s="773" t="str">
        <f ca="1">CONCATENATE(B120,C120,D120)</f>
        <v>ẤnQuanThực</v>
      </c>
      <c r="E121" s="773" t="str">
        <f ca="1">CONCATENATE(E120,F120,G120)</f>
        <v>QuanTàiThương</v>
      </c>
      <c r="L121" s="773">
        <v>58</v>
      </c>
      <c r="M121" s="773" t="s">
        <v>7925</v>
      </c>
      <c r="N121" s="773" t="s">
        <v>7876</v>
      </c>
      <c r="O121" s="773" t="s">
        <v>7875</v>
      </c>
      <c r="P121" s="773">
        <v>58</v>
      </c>
      <c r="Q121" s="805" t="s">
        <v>6667</v>
      </c>
      <c r="R121" s="773">
        <v>1962</v>
      </c>
      <c r="S121" s="773" t="s">
        <v>7903</v>
      </c>
    </row>
    <row r="122" spans="1:19" ht="14.25">
      <c r="B122" s="772" t="str">
        <f ca="1">VLOOKUP($G$3,$A$74:$K$83,H123+1,0)</f>
        <v>Ấn</v>
      </c>
      <c r="C122" s="772" t="e">
        <f ca="1">VLOOKUP($G$3,$A$74:$K$83,I123+1,0)</f>
        <v>#N/A</v>
      </c>
      <c r="D122" s="772" t="e">
        <f ca="1">VLOOKUP($G$3,$A$74:$K$83,J123+1,0)</f>
        <v>#N/A</v>
      </c>
      <c r="E122" s="772" t="str">
        <f ca="1">VLOOKUP($G$3,$A$74:$K$83,H124+1,0)</f>
        <v>Thương</v>
      </c>
      <c r="F122" s="772" t="str">
        <f ca="1">VLOOKUP($G$3,$A$74:$K$83,I124+1,0)</f>
        <v>Kiếp</v>
      </c>
      <c r="G122" s="772" t="e">
        <f ca="1">VLOOKUP($G$3,$A$74:$K$83,J124+1,0)</f>
        <v>#N/A</v>
      </c>
      <c r="H122" s="773">
        <f t="shared" ref="H122:J124" ca="1" si="49">VLOOKUP(H118,$A$86:$B$95,2,0)</f>
        <v>10</v>
      </c>
      <c r="I122" s="773">
        <f t="shared" ca="1" si="49"/>
        <v>8</v>
      </c>
      <c r="J122" s="773">
        <f t="shared" ca="1" si="49"/>
        <v>6</v>
      </c>
      <c r="L122" s="773">
        <v>59</v>
      </c>
      <c r="M122" s="773" t="s">
        <v>7927</v>
      </c>
      <c r="N122" s="773" t="s">
        <v>7876</v>
      </c>
      <c r="O122" s="773" t="s">
        <v>7875</v>
      </c>
      <c r="P122" s="773">
        <v>59</v>
      </c>
      <c r="Q122" s="805" t="s">
        <v>6675</v>
      </c>
      <c r="R122" s="773">
        <v>1963</v>
      </c>
      <c r="S122" s="773" t="s">
        <v>7904</v>
      </c>
    </row>
    <row r="123" spans="1:19" ht="14.25">
      <c r="B123" s="810" t="b">
        <f t="shared" ref="B123:G123" ca="1" si="50">ISTEXT(B122)</f>
        <v>1</v>
      </c>
      <c r="C123" s="810" t="b">
        <f t="shared" ca="1" si="50"/>
        <v>0</v>
      </c>
      <c r="D123" s="810" t="b">
        <f t="shared" ca="1" si="50"/>
        <v>0</v>
      </c>
      <c r="E123" s="810" t="b">
        <f t="shared" ca="1" si="50"/>
        <v>1</v>
      </c>
      <c r="F123" s="810" t="b">
        <f t="shared" ca="1" si="50"/>
        <v>1</v>
      </c>
      <c r="G123" s="810" t="b">
        <f t="shared" ca="1" si="50"/>
        <v>0</v>
      </c>
      <c r="H123" s="773">
        <f t="shared" si="49"/>
        <v>2</v>
      </c>
      <c r="I123" s="773" t="e">
        <f t="shared" si="49"/>
        <v>#N/A</v>
      </c>
      <c r="J123" s="773" t="e">
        <f t="shared" si="49"/>
        <v>#N/A</v>
      </c>
      <c r="L123" s="773">
        <v>60</v>
      </c>
      <c r="M123" s="773" t="s">
        <v>7928</v>
      </c>
      <c r="N123" s="773" t="s">
        <v>7876</v>
      </c>
      <c r="O123" s="773" t="s">
        <v>7875</v>
      </c>
      <c r="P123" s="773">
        <v>60</v>
      </c>
      <c r="Q123" s="805" t="s">
        <v>6675</v>
      </c>
      <c r="R123" s="773">
        <v>1964</v>
      </c>
      <c r="S123" s="773" t="s">
        <v>7905</v>
      </c>
    </row>
    <row r="124" spans="1:19">
      <c r="B124" s="773">
        <f t="shared" ref="B124:G124" ca="1" si="51">IF(LEFT(B123,1)="T",1,0)</f>
        <v>1</v>
      </c>
      <c r="C124" s="773">
        <f t="shared" ca="1" si="51"/>
        <v>0</v>
      </c>
      <c r="D124" s="773">
        <f t="shared" ca="1" si="51"/>
        <v>0</v>
      </c>
      <c r="E124" s="773">
        <f t="shared" ca="1" si="51"/>
        <v>1</v>
      </c>
      <c r="F124" s="773">
        <f t="shared" ca="1" si="51"/>
        <v>1</v>
      </c>
      <c r="G124" s="773">
        <f t="shared" ca="1" si="51"/>
        <v>0</v>
      </c>
      <c r="H124" s="773">
        <f t="shared" ca="1" si="49"/>
        <v>6</v>
      </c>
      <c r="I124" s="773">
        <f t="shared" ca="1" si="49"/>
        <v>4</v>
      </c>
      <c r="J124" s="773" t="e">
        <f t="shared" ca="1" si="49"/>
        <v>#N/A</v>
      </c>
      <c r="R124" s="773">
        <v>1965</v>
      </c>
      <c r="S124" s="773" t="s">
        <v>7906</v>
      </c>
    </row>
    <row r="125" spans="1:19">
      <c r="B125" s="773" t="str">
        <f t="shared" ref="B125:G125" ca="1" si="52">IF(B124=1,B122," ")</f>
        <v>Ấn</v>
      </c>
      <c r="C125" s="773" t="str">
        <f t="shared" ca="1" si="52"/>
        <v xml:space="preserve"> </v>
      </c>
      <c r="D125" s="773" t="str">
        <f t="shared" ca="1" si="52"/>
        <v xml:space="preserve"> </v>
      </c>
      <c r="E125" s="773" t="str">
        <f t="shared" ca="1" si="52"/>
        <v>Thương</v>
      </c>
      <c r="F125" s="773" t="str">
        <f t="shared" ca="1" si="52"/>
        <v>Kiếp</v>
      </c>
      <c r="G125" s="773" t="str">
        <f t="shared" ca="1" si="52"/>
        <v xml:space="preserve"> </v>
      </c>
      <c r="R125" s="773">
        <v>1966</v>
      </c>
      <c r="S125" s="773" t="s">
        <v>7907</v>
      </c>
    </row>
    <row r="126" spans="1:19">
      <c r="B126" s="773" t="str">
        <f ca="1">CONCATENATE(B125,C125,D125)</f>
        <v xml:space="preserve">Ấn  </v>
      </c>
      <c r="E126" s="773" t="str">
        <f ca="1">CONCATENATE(E125,F125,G125)</f>
        <v xml:space="preserve">ThươngKiếp </v>
      </c>
      <c r="R126" s="773">
        <v>1967</v>
      </c>
      <c r="S126" s="773" t="s">
        <v>7908</v>
      </c>
    </row>
    <row r="127" spans="1:19">
      <c r="R127" s="773">
        <v>1968</v>
      </c>
      <c r="S127" s="773" t="s">
        <v>7909</v>
      </c>
    </row>
    <row r="128" spans="1:19">
      <c r="A128" s="773" t="s">
        <v>6548</v>
      </c>
      <c r="B128" s="773" t="s">
        <v>1876</v>
      </c>
      <c r="C128" s="773" t="str">
        <f ca="1">VLOOKUP(B3,$A$128:$B$139,2,0)</f>
        <v>Đinh</v>
      </c>
      <c r="E128" s="773" t="str">
        <f ca="1">'Thể cách'!F7</f>
        <v>Nhâm Ngọ</v>
      </c>
      <c r="F128" s="773">
        <f ca="1">FIND(" ",E128)</f>
        <v>5</v>
      </c>
      <c r="G128" s="773" t="str">
        <f ca="1">LEFT(E128,F128-1)</f>
        <v>Nhâm</v>
      </c>
      <c r="H128" s="773" t="str">
        <f ca="1">RIGHT(E128,LEN(E128)-F128)</f>
        <v>Ngọ</v>
      </c>
      <c r="I128" s="773" t="s">
        <v>6548</v>
      </c>
      <c r="J128" s="773">
        <v>0</v>
      </c>
      <c r="K128" s="773">
        <f ca="1">VLOOKUP(H131,I128:J139,2,0)</f>
        <v>8</v>
      </c>
      <c r="R128" s="773">
        <v>1969</v>
      </c>
      <c r="S128" s="773" t="s">
        <v>7910</v>
      </c>
    </row>
    <row r="129" spans="1:19">
      <c r="A129" s="773" t="s">
        <v>7875</v>
      </c>
      <c r="B129" s="773" t="s">
        <v>9010</v>
      </c>
      <c r="C129" s="773" t="str">
        <f ca="1">VLOOKUP(E3,$A$128:$B$139,2,0)</f>
        <v>Giáp</v>
      </c>
      <c r="E129" s="773" t="str">
        <f ca="1">'Thể cách'!F8</f>
        <v>Nhâm Dần</v>
      </c>
      <c r="F129" s="773">
        <f ca="1">FIND(" ",E129)</f>
        <v>5</v>
      </c>
      <c r="G129" s="773" t="str">
        <f ca="1">LEFT(E129,F129-1)</f>
        <v>Nhâm</v>
      </c>
      <c r="H129" s="773" t="str">
        <f ca="1">RIGHT(E129,LEN(E129)-F129)</f>
        <v>Dần</v>
      </c>
      <c r="I129" s="773" t="s">
        <v>7875</v>
      </c>
      <c r="J129" s="773">
        <v>2</v>
      </c>
      <c r="R129" s="773">
        <v>1970</v>
      </c>
      <c r="S129" s="773" t="s">
        <v>7913</v>
      </c>
    </row>
    <row r="130" spans="1:19">
      <c r="A130" s="773" t="s">
        <v>7874</v>
      </c>
      <c r="B130" s="773" t="s">
        <v>9005</v>
      </c>
      <c r="C130" s="773" t="str">
        <f ca="1">VLOOKUP(H3,$A$128:$B$139,2,0)</f>
        <v>Mậu</v>
      </c>
      <c r="E130" s="773" t="str">
        <f ca="1">'Thể cách'!F9</f>
        <v>Bính Thìn</v>
      </c>
      <c r="F130" s="773">
        <f ca="1">FIND(" ",E130)</f>
        <v>5</v>
      </c>
      <c r="G130" s="773" t="str">
        <f ca="1">LEFT(E130,F130-1)</f>
        <v>Bính</v>
      </c>
      <c r="H130" s="773" t="str">
        <f ca="1">RIGHT(E130,LEN(E130)-F130)</f>
        <v>Thìn</v>
      </c>
      <c r="I130" s="773" t="s">
        <v>7874</v>
      </c>
      <c r="J130" s="773">
        <v>4</v>
      </c>
      <c r="R130" s="773">
        <v>1971</v>
      </c>
      <c r="S130" s="773" t="s">
        <v>7914</v>
      </c>
    </row>
    <row r="131" spans="1:19">
      <c r="A131" s="773" t="s">
        <v>7873</v>
      </c>
      <c r="B131" s="773" t="s">
        <v>9006</v>
      </c>
      <c r="C131" s="773" t="str">
        <f ca="1">VLOOKUP(K3,$A$128:$B$139,2,0)</f>
        <v>Mậu</v>
      </c>
      <c r="E131" s="773" t="str">
        <f ca="1">'Thể cách'!F10</f>
        <v>Nhâm Thìn</v>
      </c>
      <c r="F131" s="773">
        <f ca="1">FIND(" ",E131)</f>
        <v>5</v>
      </c>
      <c r="G131" s="773" t="str">
        <f ca="1">LEFT(E131,F131-1)</f>
        <v>Nhâm</v>
      </c>
      <c r="H131" s="773" t="str">
        <f ca="1">RIGHT(E131,LEN(E131)-F131)</f>
        <v>Thìn</v>
      </c>
      <c r="I131" s="773" t="s">
        <v>7873</v>
      </c>
      <c r="J131" s="773">
        <v>6</v>
      </c>
      <c r="R131" s="773">
        <v>1972</v>
      </c>
      <c r="S131" s="773" t="s">
        <v>7915</v>
      </c>
    </row>
    <row r="132" spans="1:19">
      <c r="A132" s="773" t="s">
        <v>7872</v>
      </c>
      <c r="B132" s="773" t="s">
        <v>9009</v>
      </c>
      <c r="I132" s="773" t="s">
        <v>7872</v>
      </c>
      <c r="J132" s="773">
        <v>8</v>
      </c>
      <c r="R132" s="773">
        <v>1973</v>
      </c>
      <c r="S132" s="773" t="s">
        <v>7916</v>
      </c>
    </row>
    <row r="133" spans="1:19">
      <c r="A133" s="773" t="s">
        <v>7871</v>
      </c>
      <c r="B133" s="773" t="s">
        <v>9007</v>
      </c>
      <c r="G133" s="773">
        <f ca="1">IF(OR(G128="Canh",G128="Giáp",G128="Bính",G128="Mậu",G128="Nhâm"),1,0)</f>
        <v>1</v>
      </c>
      <c r="I133" s="773" t="s">
        <v>7871</v>
      </c>
      <c r="J133" s="773">
        <v>10</v>
      </c>
      <c r="R133" s="773">
        <v>1974</v>
      </c>
      <c r="S133" s="773" t="s">
        <v>7917</v>
      </c>
    </row>
    <row r="134" spans="1:19">
      <c r="A134" s="773" t="s">
        <v>7883</v>
      </c>
      <c r="B134" s="773" t="s">
        <v>9008</v>
      </c>
      <c r="E134" s="773" t="str">
        <f ca="1">'Thể cách'!F6</f>
        <v>&gt;&gt; Tiết lệnh tháng 1 &gt;&gt;</v>
      </c>
      <c r="I134" s="773" t="s">
        <v>7883</v>
      </c>
      <c r="J134" s="773">
        <v>12</v>
      </c>
      <c r="R134" s="773">
        <v>1975</v>
      </c>
      <c r="S134" s="773" t="s">
        <v>7918</v>
      </c>
    </row>
    <row r="135" spans="1:19">
      <c r="A135" s="773" t="s">
        <v>7882</v>
      </c>
      <c r="B135" s="773" t="s">
        <v>9010</v>
      </c>
      <c r="I135" s="773" t="s">
        <v>7882</v>
      </c>
      <c r="J135" s="773">
        <v>14</v>
      </c>
      <c r="R135" s="773">
        <v>1976</v>
      </c>
      <c r="S135" s="773" t="s">
        <v>7919</v>
      </c>
    </row>
    <row r="136" spans="1:19">
      <c r="A136" s="773" t="s">
        <v>7887</v>
      </c>
      <c r="B136" s="773" t="s">
        <v>3733</v>
      </c>
      <c r="E136" s="773">
        <f ca="1">FIND("&gt;",E134,3)</f>
        <v>22</v>
      </c>
      <c r="I136" s="773" t="s">
        <v>7887</v>
      </c>
      <c r="J136" s="773">
        <v>16</v>
      </c>
      <c r="R136" s="773">
        <v>1977</v>
      </c>
      <c r="S136" s="773" t="s">
        <v>7920</v>
      </c>
    </row>
    <row r="137" spans="1:19">
      <c r="A137" s="773" t="s">
        <v>7886</v>
      </c>
      <c r="B137" s="773" t="s">
        <v>3734</v>
      </c>
      <c r="E137" s="773" t="str">
        <f ca="1">MID(E134,E136-3,2)</f>
        <v xml:space="preserve"> 1</v>
      </c>
      <c r="F137" s="773">
        <f ca="1">E137+0</f>
        <v>1</v>
      </c>
      <c r="I137" s="773" t="s">
        <v>7886</v>
      </c>
      <c r="J137" s="773">
        <v>18</v>
      </c>
      <c r="R137" s="773">
        <v>1978</v>
      </c>
      <c r="S137" s="773" t="s">
        <v>7922</v>
      </c>
    </row>
    <row r="138" spans="1:19">
      <c r="A138" s="773" t="s">
        <v>7880</v>
      </c>
      <c r="B138" s="773" t="s">
        <v>9009</v>
      </c>
      <c r="I138" s="773" t="s">
        <v>7880</v>
      </c>
      <c r="J138" s="773">
        <v>20</v>
      </c>
      <c r="R138" s="773">
        <v>1979</v>
      </c>
      <c r="S138" s="773" t="s">
        <v>7923</v>
      </c>
    </row>
    <row r="139" spans="1:19">
      <c r="A139" s="773" t="s">
        <v>7877</v>
      </c>
      <c r="B139" s="773" t="s">
        <v>3735</v>
      </c>
      <c r="I139" s="773" t="s">
        <v>7877</v>
      </c>
      <c r="J139" s="773">
        <v>22</v>
      </c>
      <c r="R139" s="773">
        <v>1980</v>
      </c>
      <c r="S139" s="773" t="s">
        <v>7924</v>
      </c>
    </row>
    <row r="140" spans="1:19">
      <c r="R140" s="773">
        <v>1981</v>
      </c>
      <c r="S140" s="773" t="s">
        <v>7925</v>
      </c>
    </row>
    <row r="141" spans="1:19">
      <c r="B141" s="773" t="s">
        <v>7844</v>
      </c>
      <c r="C141" s="773" t="s">
        <v>7847</v>
      </c>
      <c r="D141" s="773" t="s">
        <v>7849</v>
      </c>
      <c r="E141" s="773" t="s">
        <v>7851</v>
      </c>
      <c r="F141" s="773" t="s">
        <v>6549</v>
      </c>
      <c r="G141" s="773" t="s">
        <v>7856</v>
      </c>
      <c r="H141" s="773" t="s">
        <v>7860</v>
      </c>
      <c r="I141" s="773" t="s">
        <v>6562</v>
      </c>
      <c r="J141" s="773" t="s">
        <v>7865</v>
      </c>
      <c r="K141" s="773" t="s">
        <v>6567</v>
      </c>
      <c r="R141" s="773">
        <v>1982</v>
      </c>
      <c r="S141" s="773" t="s">
        <v>7927</v>
      </c>
    </row>
    <row r="142" spans="1:19">
      <c r="A142" s="773" t="s">
        <v>6548</v>
      </c>
      <c r="B142" s="810" t="s">
        <v>6676</v>
      </c>
      <c r="C142" s="810" t="s">
        <v>6654</v>
      </c>
      <c r="D142" s="810" t="s">
        <v>6655</v>
      </c>
      <c r="E142" s="810" t="s">
        <v>6656</v>
      </c>
      <c r="F142" s="810" t="s">
        <v>6655</v>
      </c>
      <c r="G142" s="810" t="s">
        <v>6656</v>
      </c>
      <c r="H142" s="810" t="s">
        <v>6657</v>
      </c>
      <c r="I142" s="810" t="s">
        <v>6677</v>
      </c>
      <c r="J142" s="810" t="s">
        <v>6678</v>
      </c>
      <c r="K142" s="810" t="s">
        <v>6679</v>
      </c>
      <c r="R142" s="773">
        <v>1983</v>
      </c>
      <c r="S142" s="773" t="s">
        <v>7928</v>
      </c>
    </row>
    <row r="143" spans="1:19">
      <c r="A143" s="773" t="s">
        <v>7875</v>
      </c>
      <c r="B143" s="810" t="s">
        <v>6680</v>
      </c>
      <c r="C143" s="810" t="s">
        <v>6662</v>
      </c>
      <c r="D143" s="810" t="s">
        <v>6663</v>
      </c>
      <c r="E143" s="810" t="s">
        <v>6664</v>
      </c>
      <c r="F143" s="810" t="s">
        <v>6663</v>
      </c>
      <c r="G143" s="810" t="s">
        <v>6664</v>
      </c>
      <c r="H143" s="810" t="s">
        <v>6664</v>
      </c>
      <c r="I143" s="810" t="s">
        <v>6663</v>
      </c>
      <c r="J143" s="810" t="s">
        <v>6662</v>
      </c>
      <c r="K143" s="810" t="s">
        <v>6680</v>
      </c>
      <c r="R143" s="773">
        <v>1984</v>
      </c>
      <c r="S143" s="773" t="s">
        <v>7814</v>
      </c>
    </row>
    <row r="144" spans="1:19">
      <c r="A144" s="773" t="s">
        <v>7874</v>
      </c>
      <c r="B144" s="810" t="s">
        <v>6679</v>
      </c>
      <c r="C144" s="810" t="s">
        <v>6678</v>
      </c>
      <c r="D144" s="810" t="s">
        <v>6677</v>
      </c>
      <c r="E144" s="810" t="s">
        <v>6657</v>
      </c>
      <c r="F144" s="810" t="s">
        <v>6677</v>
      </c>
      <c r="G144" s="810" t="s">
        <v>6657</v>
      </c>
      <c r="H144" s="810" t="s">
        <v>6656</v>
      </c>
      <c r="I144" s="810" t="s">
        <v>6655</v>
      </c>
      <c r="J144" s="810" t="s">
        <v>6654</v>
      </c>
      <c r="K144" s="810" t="s">
        <v>6676</v>
      </c>
      <c r="R144" s="773">
        <v>1985</v>
      </c>
      <c r="S144" s="773" t="s">
        <v>7818</v>
      </c>
    </row>
    <row r="145" spans="1:19">
      <c r="A145" s="773" t="s">
        <v>7873</v>
      </c>
      <c r="B145" s="810" t="s">
        <v>6678</v>
      </c>
      <c r="C145" s="810" t="s">
        <v>6679</v>
      </c>
      <c r="D145" s="810" t="s">
        <v>6676</v>
      </c>
      <c r="E145" s="810" t="s">
        <v>6654</v>
      </c>
      <c r="F145" s="810" t="s">
        <v>6676</v>
      </c>
      <c r="G145" s="810" t="s">
        <v>6654</v>
      </c>
      <c r="H145" s="810" t="s">
        <v>6655</v>
      </c>
      <c r="I145" s="810" t="s">
        <v>6656</v>
      </c>
      <c r="J145" s="810" t="s">
        <v>6657</v>
      </c>
      <c r="K145" s="810" t="s">
        <v>6677</v>
      </c>
      <c r="R145" s="773">
        <v>1986</v>
      </c>
      <c r="S145" s="773" t="s">
        <v>7819</v>
      </c>
    </row>
    <row r="146" spans="1:19">
      <c r="A146" s="773" t="s">
        <v>7872</v>
      </c>
      <c r="B146" s="810" t="s">
        <v>6662</v>
      </c>
      <c r="C146" s="810" t="s">
        <v>6680</v>
      </c>
      <c r="D146" s="810" t="s">
        <v>6680</v>
      </c>
      <c r="E146" s="810" t="s">
        <v>6662</v>
      </c>
      <c r="F146" s="810" t="s">
        <v>6680</v>
      </c>
      <c r="G146" s="810" t="s">
        <v>6662</v>
      </c>
      <c r="H146" s="810" t="s">
        <v>6663</v>
      </c>
      <c r="I146" s="810" t="s">
        <v>6664</v>
      </c>
      <c r="J146" s="810" t="s">
        <v>6664</v>
      </c>
      <c r="K146" s="810" t="s">
        <v>6663</v>
      </c>
      <c r="R146" s="773">
        <v>1987</v>
      </c>
      <c r="S146" s="773" t="s">
        <v>7820</v>
      </c>
    </row>
    <row r="147" spans="1:19">
      <c r="A147" s="773" t="s">
        <v>7871</v>
      </c>
      <c r="B147" s="810" t="s">
        <v>6654</v>
      </c>
      <c r="C147" s="810" t="s">
        <v>6676</v>
      </c>
      <c r="D147" s="810" t="s">
        <v>6679</v>
      </c>
      <c r="E147" s="810" t="s">
        <v>6678</v>
      </c>
      <c r="F147" s="810" t="s">
        <v>6679</v>
      </c>
      <c r="G147" s="810" t="s">
        <v>6678</v>
      </c>
      <c r="H147" s="810" t="s">
        <v>6677</v>
      </c>
      <c r="I147" s="810" t="s">
        <v>6657</v>
      </c>
      <c r="J147" s="810" t="s">
        <v>6656</v>
      </c>
      <c r="K147" s="810" t="s">
        <v>6655</v>
      </c>
      <c r="R147" s="773">
        <v>1988</v>
      </c>
      <c r="S147" s="773" t="s">
        <v>7822</v>
      </c>
    </row>
    <row r="148" spans="1:19">
      <c r="A148" s="773" t="s">
        <v>7883</v>
      </c>
      <c r="B148" s="810" t="s">
        <v>6657</v>
      </c>
      <c r="C148" s="810" t="s">
        <v>6677</v>
      </c>
      <c r="D148" s="810" t="s">
        <v>6678</v>
      </c>
      <c r="E148" s="810" t="s">
        <v>6679</v>
      </c>
      <c r="F148" s="810" t="s">
        <v>6678</v>
      </c>
      <c r="G148" s="810" t="s">
        <v>6679</v>
      </c>
      <c r="H148" s="810" t="s">
        <v>6676</v>
      </c>
      <c r="I148" s="810" t="s">
        <v>6654</v>
      </c>
      <c r="J148" s="810" t="s">
        <v>6655</v>
      </c>
      <c r="K148" s="810" t="s">
        <v>6656</v>
      </c>
      <c r="R148" s="773">
        <v>1989</v>
      </c>
      <c r="S148" s="773" t="s">
        <v>7823</v>
      </c>
    </row>
    <row r="149" spans="1:19">
      <c r="A149" s="773" t="s">
        <v>7882</v>
      </c>
      <c r="B149" s="810" t="s">
        <v>6664</v>
      </c>
      <c r="C149" s="810" t="s">
        <v>6663</v>
      </c>
      <c r="D149" s="810" t="s">
        <v>6662</v>
      </c>
      <c r="E149" s="810" t="s">
        <v>6680</v>
      </c>
      <c r="F149" s="810" t="s">
        <v>6662</v>
      </c>
      <c r="G149" s="810" t="s">
        <v>6680</v>
      </c>
      <c r="H149" s="810" t="s">
        <v>6680</v>
      </c>
      <c r="I149" s="810" t="s">
        <v>6662</v>
      </c>
      <c r="J149" s="810" t="s">
        <v>6663</v>
      </c>
      <c r="K149" s="810" t="s">
        <v>6664</v>
      </c>
      <c r="R149" s="773">
        <v>1990</v>
      </c>
      <c r="S149" s="773" t="s">
        <v>7825</v>
      </c>
    </row>
    <row r="150" spans="1:19">
      <c r="A150" s="773" t="s">
        <v>7887</v>
      </c>
      <c r="B150" s="810" t="s">
        <v>6656</v>
      </c>
      <c r="C150" s="810" t="s">
        <v>6655</v>
      </c>
      <c r="D150" s="810" t="s">
        <v>6654</v>
      </c>
      <c r="E150" s="810" t="s">
        <v>6676</v>
      </c>
      <c r="F150" s="810" t="s">
        <v>6654</v>
      </c>
      <c r="G150" s="810" t="s">
        <v>6676</v>
      </c>
      <c r="H150" s="810" t="s">
        <v>6679</v>
      </c>
      <c r="I150" s="810" t="s">
        <v>6678</v>
      </c>
      <c r="J150" s="810" t="s">
        <v>6677</v>
      </c>
      <c r="K150" s="810" t="s">
        <v>6657</v>
      </c>
      <c r="R150" s="773">
        <v>1991</v>
      </c>
      <c r="S150" s="773" t="s">
        <v>7827</v>
      </c>
    </row>
    <row r="151" spans="1:19">
      <c r="A151" s="773" t="s">
        <v>7886</v>
      </c>
      <c r="B151" s="810" t="s">
        <v>6655</v>
      </c>
      <c r="C151" s="810" t="s">
        <v>6656</v>
      </c>
      <c r="D151" s="810" t="s">
        <v>6657</v>
      </c>
      <c r="E151" s="810" t="s">
        <v>6677</v>
      </c>
      <c r="F151" s="810" t="s">
        <v>6657</v>
      </c>
      <c r="G151" s="810" t="s">
        <v>6677</v>
      </c>
      <c r="H151" s="810" t="s">
        <v>6678</v>
      </c>
      <c r="I151" s="810" t="s">
        <v>6679</v>
      </c>
      <c r="J151" s="810" t="s">
        <v>6676</v>
      </c>
      <c r="K151" s="810" t="s">
        <v>6654</v>
      </c>
      <c r="R151" s="773">
        <v>1992</v>
      </c>
      <c r="S151" s="773" t="s">
        <v>7829</v>
      </c>
    </row>
    <row r="152" spans="1:19">
      <c r="A152" s="773" t="s">
        <v>7880</v>
      </c>
      <c r="B152" s="810" t="s">
        <v>6663</v>
      </c>
      <c r="C152" s="810" t="s">
        <v>6664</v>
      </c>
      <c r="D152" s="810" t="s">
        <v>6664</v>
      </c>
      <c r="E152" s="810" t="s">
        <v>6663</v>
      </c>
      <c r="F152" s="810" t="s">
        <v>6664</v>
      </c>
      <c r="G152" s="810" t="s">
        <v>6663</v>
      </c>
      <c r="H152" s="810" t="s">
        <v>6662</v>
      </c>
      <c r="I152" s="810" t="s">
        <v>6680</v>
      </c>
      <c r="J152" s="810" t="s">
        <v>6680</v>
      </c>
      <c r="K152" s="810" t="s">
        <v>6662</v>
      </c>
      <c r="R152" s="773">
        <v>1993</v>
      </c>
      <c r="S152" s="773" t="s">
        <v>7831</v>
      </c>
    </row>
    <row r="153" spans="1:19">
      <c r="A153" s="773" t="s">
        <v>7877</v>
      </c>
      <c r="B153" s="810" t="s">
        <v>6677</v>
      </c>
      <c r="C153" s="810" t="s">
        <v>6657</v>
      </c>
      <c r="D153" s="810" t="s">
        <v>6656</v>
      </c>
      <c r="E153" s="810" t="s">
        <v>6655</v>
      </c>
      <c r="F153" s="810" t="s">
        <v>6656</v>
      </c>
      <c r="G153" s="810" t="s">
        <v>6655</v>
      </c>
      <c r="H153" s="810" t="s">
        <v>6654</v>
      </c>
      <c r="I153" s="810" t="s">
        <v>6676</v>
      </c>
      <c r="J153" s="810" t="s">
        <v>6679</v>
      </c>
      <c r="K153" s="810" t="s">
        <v>6678</v>
      </c>
      <c r="R153" s="773">
        <v>1994</v>
      </c>
      <c r="S153" s="773" t="s">
        <v>7835</v>
      </c>
    </row>
    <row r="154" spans="1:19">
      <c r="I154" s="810"/>
      <c r="R154" s="773">
        <v>1995</v>
      </c>
      <c r="S154" s="773" t="s">
        <v>7838</v>
      </c>
    </row>
    <row r="155" spans="1:19">
      <c r="R155" s="773">
        <v>1996</v>
      </c>
      <c r="S155" s="773" t="s">
        <v>7840</v>
      </c>
    </row>
    <row r="156" spans="1:19">
      <c r="R156" s="773">
        <v>1997</v>
      </c>
      <c r="S156" s="773" t="s">
        <v>7842</v>
      </c>
    </row>
    <row r="157" spans="1:19">
      <c r="R157" s="773">
        <v>1998</v>
      </c>
      <c r="S157" s="773" t="s">
        <v>7846</v>
      </c>
    </row>
    <row r="158" spans="1:19">
      <c r="R158" s="773">
        <v>1999</v>
      </c>
      <c r="S158" s="773" t="s">
        <v>7848</v>
      </c>
    </row>
    <row r="159" spans="1:19">
      <c r="R159" s="773">
        <v>2000</v>
      </c>
      <c r="S159" s="773" t="s">
        <v>7850</v>
      </c>
    </row>
    <row r="160" spans="1:19">
      <c r="R160" s="773">
        <v>2001</v>
      </c>
      <c r="S160" s="773" t="s">
        <v>7852</v>
      </c>
    </row>
    <row r="161" spans="18:19">
      <c r="R161" s="773">
        <v>2002</v>
      </c>
      <c r="S161" s="773" t="s">
        <v>7855</v>
      </c>
    </row>
    <row r="162" spans="18:19">
      <c r="R162" s="773">
        <v>2003</v>
      </c>
      <c r="S162" s="773" t="s">
        <v>7858</v>
      </c>
    </row>
    <row r="163" spans="18:19">
      <c r="R163" s="773">
        <v>2004</v>
      </c>
      <c r="S163" s="773" t="s">
        <v>7862</v>
      </c>
    </row>
    <row r="164" spans="18:19">
      <c r="R164" s="773">
        <v>2005</v>
      </c>
      <c r="S164" s="773" t="s">
        <v>7864</v>
      </c>
    </row>
    <row r="165" spans="18:19">
      <c r="R165" s="773">
        <v>2006</v>
      </c>
      <c r="S165" s="773" t="s">
        <v>7866</v>
      </c>
    </row>
    <row r="166" spans="18:19">
      <c r="R166" s="773">
        <v>2007</v>
      </c>
      <c r="S166" s="773" t="s">
        <v>7867</v>
      </c>
    </row>
    <row r="167" spans="18:19">
      <c r="R167" s="773">
        <v>2008</v>
      </c>
      <c r="S167" s="773" t="s">
        <v>7869</v>
      </c>
    </row>
    <row r="168" spans="18:19">
      <c r="R168" s="773">
        <v>2009</v>
      </c>
      <c r="S168" s="773" t="s">
        <v>7878</v>
      </c>
    </row>
    <row r="169" spans="18:19">
      <c r="R169" s="773">
        <v>2010</v>
      </c>
      <c r="S169" s="773" t="s">
        <v>7881</v>
      </c>
    </row>
    <row r="170" spans="18:19">
      <c r="R170" s="773">
        <v>2011</v>
      </c>
      <c r="S170" s="773" t="s">
        <v>7884</v>
      </c>
    </row>
    <row r="171" spans="18:19">
      <c r="R171" s="773">
        <v>2012</v>
      </c>
      <c r="S171" s="773" t="s">
        <v>7888</v>
      </c>
    </row>
    <row r="172" spans="18:19">
      <c r="R172" s="773">
        <v>2013</v>
      </c>
      <c r="S172" s="773" t="s">
        <v>7889</v>
      </c>
    </row>
    <row r="173" spans="18:19">
      <c r="R173" s="773">
        <v>2014</v>
      </c>
      <c r="S173" s="773" t="s">
        <v>7890</v>
      </c>
    </row>
    <row r="174" spans="18:19">
      <c r="R174" s="773">
        <v>2015</v>
      </c>
      <c r="S174" s="773" t="s">
        <v>7891</v>
      </c>
    </row>
    <row r="175" spans="18:19">
      <c r="R175" s="773">
        <v>2016</v>
      </c>
      <c r="S175" s="773" t="s">
        <v>7892</v>
      </c>
    </row>
    <row r="176" spans="18:19">
      <c r="R176" s="773">
        <v>2017</v>
      </c>
      <c r="S176" s="773" t="s">
        <v>7893</v>
      </c>
    </row>
    <row r="177" spans="18:19">
      <c r="R177" s="773">
        <v>2018</v>
      </c>
      <c r="S177" s="773" t="s">
        <v>7895</v>
      </c>
    </row>
    <row r="178" spans="18:19">
      <c r="R178" s="773">
        <v>2019</v>
      </c>
      <c r="S178" s="773" t="s">
        <v>7897</v>
      </c>
    </row>
    <row r="179" spans="18:19">
      <c r="R179" s="773">
        <v>2020</v>
      </c>
      <c r="S179" s="773" t="s">
        <v>7899</v>
      </c>
    </row>
    <row r="180" spans="18:19">
      <c r="R180" s="773">
        <v>2021</v>
      </c>
      <c r="S180" s="773" t="s">
        <v>7901</v>
      </c>
    </row>
    <row r="181" spans="18:19">
      <c r="R181" s="773">
        <v>2022</v>
      </c>
      <c r="S181" s="773" t="s">
        <v>7903</v>
      </c>
    </row>
    <row r="182" spans="18:19">
      <c r="R182" s="773">
        <v>2023</v>
      </c>
      <c r="S182" s="773" t="s">
        <v>7904</v>
      </c>
    </row>
    <row r="183" spans="18:19">
      <c r="R183" s="773">
        <v>2024</v>
      </c>
      <c r="S183" s="773" t="s">
        <v>7905</v>
      </c>
    </row>
    <row r="184" spans="18:19">
      <c r="R184" s="773">
        <v>2025</v>
      </c>
      <c r="S184" s="773" t="s">
        <v>7906</v>
      </c>
    </row>
    <row r="185" spans="18:19">
      <c r="R185" s="773">
        <v>2026</v>
      </c>
      <c r="S185" s="773" t="s">
        <v>7907</v>
      </c>
    </row>
    <row r="186" spans="18:19">
      <c r="R186" s="773">
        <v>2027</v>
      </c>
      <c r="S186" s="773" t="s">
        <v>7908</v>
      </c>
    </row>
    <row r="187" spans="18:19">
      <c r="R187" s="773">
        <v>2028</v>
      </c>
      <c r="S187" s="773" t="s">
        <v>7909</v>
      </c>
    </row>
    <row r="188" spans="18:19">
      <c r="R188" s="773">
        <v>2029</v>
      </c>
      <c r="S188" s="773" t="s">
        <v>7910</v>
      </c>
    </row>
    <row r="189" spans="18:19">
      <c r="R189" s="773">
        <v>2030</v>
      </c>
      <c r="S189" s="773" t="s">
        <v>7913</v>
      </c>
    </row>
    <row r="190" spans="18:19">
      <c r="R190" s="773">
        <v>2031</v>
      </c>
      <c r="S190" s="773" t="s">
        <v>7914</v>
      </c>
    </row>
    <row r="191" spans="18:19">
      <c r="R191" s="773">
        <v>2032</v>
      </c>
      <c r="S191" s="773" t="s">
        <v>7915</v>
      </c>
    </row>
    <row r="192" spans="18:19">
      <c r="R192" s="773">
        <v>2033</v>
      </c>
      <c r="S192" s="773" t="s">
        <v>7916</v>
      </c>
    </row>
    <row r="193" spans="18:19">
      <c r="R193" s="773">
        <v>2034</v>
      </c>
      <c r="S193" s="773" t="s">
        <v>7917</v>
      </c>
    </row>
    <row r="194" spans="18:19">
      <c r="R194" s="773">
        <v>2035</v>
      </c>
      <c r="S194" s="773" t="s">
        <v>7918</v>
      </c>
    </row>
    <row r="195" spans="18:19">
      <c r="R195" s="773">
        <v>2036</v>
      </c>
      <c r="S195" s="773" t="s">
        <v>7919</v>
      </c>
    </row>
    <row r="196" spans="18:19">
      <c r="R196" s="773">
        <v>2037</v>
      </c>
      <c r="S196" s="773" t="s">
        <v>7920</v>
      </c>
    </row>
    <row r="197" spans="18:19">
      <c r="R197" s="773">
        <v>2038</v>
      </c>
      <c r="S197" s="773" t="s">
        <v>7922</v>
      </c>
    </row>
    <row r="198" spans="18:19">
      <c r="R198" s="773">
        <v>2039</v>
      </c>
      <c r="S198" s="773" t="s">
        <v>7923</v>
      </c>
    </row>
    <row r="199" spans="18:19">
      <c r="R199" s="773">
        <v>2040</v>
      </c>
      <c r="S199" s="773" t="s">
        <v>7924</v>
      </c>
    </row>
    <row r="200" spans="18:19">
      <c r="R200" s="773">
        <v>2041</v>
      </c>
      <c r="S200" s="773" t="s">
        <v>7925</v>
      </c>
    </row>
    <row r="201" spans="18:19">
      <c r="R201" s="773">
        <v>2042</v>
      </c>
      <c r="S201" s="773" t="s">
        <v>7927</v>
      </c>
    </row>
    <row r="202" spans="18:19">
      <c r="R202" s="773">
        <v>2043</v>
      </c>
      <c r="S202" s="773" t="s">
        <v>7928</v>
      </c>
    </row>
  </sheetData>
  <mergeCells count="7">
    <mergeCell ref="A5:B5"/>
    <mergeCell ref="D5:E5"/>
    <mergeCell ref="J5:K5"/>
    <mergeCell ref="A4:B4"/>
    <mergeCell ref="D4:E4"/>
    <mergeCell ref="G4:H4"/>
    <mergeCell ref="J4:K4"/>
  </mergeCells>
  <phoneticPr fontId="3" type="noConversion"/>
  <dataValidations count="1">
    <dataValidation type="list" allowBlank="1" showInputMessage="1" showErrorMessage="1" sqref="L11" xr:uid="{FE68CA7F-C37B-454F-9EA2-3996E9C36518}">
      <formula1>$R$119:$R$184</formula1>
    </dataValidation>
  </dataValidation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BC50-8EB7-4555-BC0E-BB2D029F2911}">
  <sheetPr codeName="Sheet10"/>
  <dimension ref="A1:BP187"/>
  <sheetViews>
    <sheetView workbookViewId="0">
      <selection activeCell="F6" sqref="F6"/>
    </sheetView>
  </sheetViews>
  <sheetFormatPr defaultRowHeight="12.75"/>
  <cols>
    <col min="1" max="1" width="9.140625" style="773"/>
    <col min="2" max="2" width="10.140625" style="773" customWidth="1"/>
    <col min="3" max="3" width="13" style="773" customWidth="1"/>
    <col min="4" max="4" width="8.7109375" style="773" customWidth="1"/>
    <col min="5" max="5" width="10.7109375" style="773" customWidth="1"/>
    <col min="6" max="6" width="9.140625" style="773"/>
    <col min="7" max="8" width="11.140625" style="773" customWidth="1"/>
    <col min="9" max="9" width="12.140625" style="773" customWidth="1"/>
    <col min="10" max="10" width="13.7109375" style="773" customWidth="1"/>
    <col min="11" max="11" width="11" style="773" customWidth="1"/>
    <col min="12" max="12" width="11.28515625" style="773" customWidth="1"/>
    <col min="13" max="13" width="10.42578125" style="773" customWidth="1"/>
    <col min="14" max="16" width="9.140625" style="773"/>
    <col min="17" max="17" width="11.5703125" style="773" customWidth="1"/>
    <col min="18" max="18" width="17.140625" style="773" customWidth="1"/>
    <col min="19" max="16384" width="9.140625" style="773"/>
  </cols>
  <sheetData>
    <row r="1" spans="1:68">
      <c r="A1" s="772" t="s">
        <v>6681</v>
      </c>
      <c r="B1" s="1025" t="str">
        <f>'Thể cách'!D3</f>
        <v>Lá số</v>
      </c>
      <c r="C1" s="1025"/>
      <c r="G1" s="772"/>
      <c r="H1" s="811" t="s">
        <v>6682</v>
      </c>
      <c r="K1" s="773">
        <v>1</v>
      </c>
      <c r="L1" s="773" t="s">
        <v>7844</v>
      </c>
      <c r="M1" s="773">
        <v>11</v>
      </c>
      <c r="N1" s="773">
        <v>1</v>
      </c>
      <c r="O1" s="773">
        <f ca="1">RIGHT(R6,1)-1</f>
        <v>2</v>
      </c>
      <c r="P1" s="773" t="str">
        <f ca="1">M14</f>
        <v>Bính</v>
      </c>
      <c r="Q1" s="773" t="s">
        <v>7815</v>
      </c>
      <c r="R1" s="773">
        <f ca="1">VLOOKUP(A4,$S$1:$W$60,5,0)</f>
        <v>27</v>
      </c>
      <c r="S1" s="773" t="s">
        <v>7814</v>
      </c>
      <c r="T1" s="773">
        <v>13</v>
      </c>
      <c r="U1" s="773">
        <v>11</v>
      </c>
      <c r="V1" s="773">
        <v>7</v>
      </c>
      <c r="W1" s="773">
        <f t="shared" ref="W1:W60" si="0">T1+U1+V1</f>
        <v>31</v>
      </c>
      <c r="X1" s="773">
        <v>1</v>
      </c>
      <c r="Y1" s="773" t="s">
        <v>5934</v>
      </c>
      <c r="Z1" s="773">
        <v>111111</v>
      </c>
      <c r="AA1" s="773" t="s">
        <v>5934</v>
      </c>
      <c r="AB1" s="773">
        <v>1</v>
      </c>
      <c r="AC1" s="806">
        <v>1</v>
      </c>
      <c r="AD1" s="773">
        <v>1</v>
      </c>
      <c r="AE1" s="773">
        <v>1980</v>
      </c>
      <c r="BO1" s="773">
        <v>1899</v>
      </c>
      <c r="BP1" s="773" t="s">
        <v>7897</v>
      </c>
    </row>
    <row r="2" spans="1:68" s="772" customFormat="1">
      <c r="A2" s="772" t="s">
        <v>7815</v>
      </c>
      <c r="C2" s="772" t="s">
        <v>1422</v>
      </c>
      <c r="E2" s="772" t="s">
        <v>7816</v>
      </c>
      <c r="G2" s="772" t="s">
        <v>7817</v>
      </c>
      <c r="H2" s="792" t="s">
        <v>6683</v>
      </c>
      <c r="K2" s="773">
        <v>2</v>
      </c>
      <c r="L2" s="773" t="s">
        <v>7847</v>
      </c>
      <c r="M2" s="773">
        <v>12</v>
      </c>
      <c r="N2" s="773">
        <v>2</v>
      </c>
      <c r="O2" s="773">
        <f ca="1">VLOOKUP(P1,$L$1:$N$10,3,0)</f>
        <v>3</v>
      </c>
      <c r="P2" s="773"/>
      <c r="Q2" s="783" t="s">
        <v>1422</v>
      </c>
      <c r="R2" s="783">
        <f ca="1">VLOOKUP(C4,$S$1:$W$60,5,0)</f>
        <v>31</v>
      </c>
      <c r="S2" s="773" t="s">
        <v>7818</v>
      </c>
      <c r="T2" s="773">
        <v>13</v>
      </c>
      <c r="U2" s="773">
        <v>11</v>
      </c>
      <c r="V2" s="773">
        <v>15</v>
      </c>
      <c r="W2" s="773">
        <f t="shared" si="0"/>
        <v>39</v>
      </c>
      <c r="X2" s="773">
        <v>2</v>
      </c>
      <c r="Y2" s="773" t="s">
        <v>9015</v>
      </c>
      <c r="Z2" s="773">
        <v>222222</v>
      </c>
      <c r="AA2" s="773" t="s">
        <v>9015</v>
      </c>
      <c r="AB2" s="773">
        <v>2</v>
      </c>
      <c r="AC2" s="806">
        <v>44</v>
      </c>
      <c r="AD2" s="772">
        <v>1</v>
      </c>
      <c r="AE2" s="773">
        <v>1981</v>
      </c>
      <c r="BO2" s="773">
        <v>1900</v>
      </c>
      <c r="BP2" s="773" t="s">
        <v>7899</v>
      </c>
    </row>
    <row r="3" spans="1:68">
      <c r="H3" s="792" t="s">
        <v>6684</v>
      </c>
      <c r="K3" s="773">
        <v>3</v>
      </c>
      <c r="L3" s="773" t="s">
        <v>7849</v>
      </c>
      <c r="M3" s="773">
        <v>13</v>
      </c>
      <c r="N3" s="773">
        <v>3</v>
      </c>
      <c r="O3" s="773">
        <f ca="1">VLOOKUP(P1,$L$1:$N$10,2,0)</f>
        <v>13</v>
      </c>
      <c r="Q3" s="773" t="s">
        <v>7816</v>
      </c>
      <c r="R3" s="773">
        <f ca="1">VLOOKUP(E4,$S$1:$W$60,5,0)</f>
        <v>39</v>
      </c>
      <c r="S3" s="773" t="s">
        <v>7819</v>
      </c>
      <c r="T3" s="773">
        <v>9</v>
      </c>
      <c r="U3" s="773">
        <v>9</v>
      </c>
      <c r="V3" s="773">
        <v>11</v>
      </c>
      <c r="W3" s="773">
        <f t="shared" si="0"/>
        <v>29</v>
      </c>
      <c r="X3" s="773">
        <v>3</v>
      </c>
      <c r="Y3" s="773" t="s">
        <v>3032</v>
      </c>
      <c r="Z3" s="773">
        <v>212221</v>
      </c>
      <c r="AA3" s="773" t="s">
        <v>3032</v>
      </c>
      <c r="AB3" s="773">
        <v>3</v>
      </c>
      <c r="AC3" s="806">
        <v>33</v>
      </c>
      <c r="AD3" s="773">
        <v>1</v>
      </c>
      <c r="AE3" s="773">
        <v>1982</v>
      </c>
      <c r="BO3" s="773">
        <v>1901</v>
      </c>
      <c r="BP3" s="773" t="s">
        <v>7901</v>
      </c>
    </row>
    <row r="4" spans="1:68">
      <c r="A4" s="777" t="str">
        <f ca="1">J100</f>
        <v>Nhâm Ngọ</v>
      </c>
      <c r="C4" s="777" t="str">
        <f ca="1">K100</f>
        <v>nhâm dần</v>
      </c>
      <c r="E4" s="777" t="str">
        <f ca="1">O14</f>
        <v>Bính Thìn</v>
      </c>
      <c r="G4" s="777" t="str">
        <f ca="1">O15</f>
        <v>Nhâm Thìn</v>
      </c>
      <c r="H4" s="811" t="s">
        <v>6685</v>
      </c>
      <c r="K4" s="773">
        <v>4</v>
      </c>
      <c r="L4" s="773" t="s">
        <v>7851</v>
      </c>
      <c r="M4" s="773">
        <v>14</v>
      </c>
      <c r="N4" s="773">
        <v>4</v>
      </c>
      <c r="O4" s="773">
        <f ca="1">IF(O1&lt;O2,O2-O1,O3-O1)</f>
        <v>1</v>
      </c>
      <c r="Q4" s="773" t="s">
        <v>7817</v>
      </c>
      <c r="R4" s="773">
        <f ca="1">VLOOKUP(G4,$S$1:$W$60,5,0)</f>
        <v>29</v>
      </c>
      <c r="S4" s="773" t="s">
        <v>7820</v>
      </c>
      <c r="T4" s="773">
        <v>9</v>
      </c>
      <c r="U4" s="773">
        <v>9</v>
      </c>
      <c r="V4" s="773">
        <v>11</v>
      </c>
      <c r="W4" s="773">
        <f t="shared" si="0"/>
        <v>29</v>
      </c>
      <c r="X4" s="773">
        <v>4</v>
      </c>
      <c r="Y4" s="773" t="s">
        <v>845</v>
      </c>
      <c r="Z4" s="773">
        <v>122212</v>
      </c>
      <c r="AA4" s="773" t="s">
        <v>845</v>
      </c>
      <c r="AB4" s="773">
        <v>4</v>
      </c>
      <c r="AC4" s="806">
        <v>12</v>
      </c>
      <c r="AD4" s="772">
        <v>1</v>
      </c>
      <c r="AE4" s="773">
        <v>1983</v>
      </c>
      <c r="BO4" s="773">
        <v>1902</v>
      </c>
      <c r="BP4" s="773" t="s">
        <v>7903</v>
      </c>
    </row>
    <row r="5" spans="1:68">
      <c r="E5" s="772" t="s">
        <v>7826</v>
      </c>
      <c r="F5" s="795">
        <f ca="1">MOD(R7+55,64)</f>
        <v>53</v>
      </c>
      <c r="G5" s="776" t="str">
        <f ca="1">VLOOKUP(F5,X1:Y64,2,0)</f>
        <v>Tiệm</v>
      </c>
      <c r="H5" s="811" t="s">
        <v>7832</v>
      </c>
      <c r="K5" s="773">
        <v>5</v>
      </c>
      <c r="L5" s="773" t="s">
        <v>6549</v>
      </c>
      <c r="M5" s="773">
        <v>15</v>
      </c>
      <c r="N5" s="773">
        <v>5</v>
      </c>
      <c r="O5" s="772" t="s">
        <v>7853</v>
      </c>
      <c r="P5" s="802" t="str">
        <f ca="1">VLOOKUP(O4,K1:L10,2,0)</f>
        <v>giáp</v>
      </c>
      <c r="Q5" s="773" t="s">
        <v>7833</v>
      </c>
      <c r="R5" s="773">
        <f ca="1">R3+R4</f>
        <v>68</v>
      </c>
      <c r="S5" s="773" t="s">
        <v>7822</v>
      </c>
      <c r="T5" s="773">
        <v>11</v>
      </c>
      <c r="U5" s="773">
        <v>15</v>
      </c>
      <c r="V5" s="773">
        <v>15</v>
      </c>
      <c r="W5" s="773">
        <f t="shared" si="0"/>
        <v>41</v>
      </c>
      <c r="X5" s="773">
        <v>5</v>
      </c>
      <c r="Y5" s="773" t="s">
        <v>5940</v>
      </c>
      <c r="Z5" s="773">
        <v>212111</v>
      </c>
      <c r="AA5" s="773" t="s">
        <v>5940</v>
      </c>
      <c r="AB5" s="773">
        <v>5</v>
      </c>
      <c r="AC5" s="806">
        <v>20</v>
      </c>
      <c r="AD5" s="773">
        <v>1</v>
      </c>
      <c r="AE5" s="773">
        <v>1984</v>
      </c>
      <c r="BO5" s="773">
        <v>1903</v>
      </c>
      <c r="BP5" s="773" t="s">
        <v>7904</v>
      </c>
    </row>
    <row r="6" spans="1:68">
      <c r="A6" s="812" t="s">
        <v>6686</v>
      </c>
      <c r="B6" s="813"/>
      <c r="C6" s="814">
        <f ca="1">H8</f>
        <v>63</v>
      </c>
      <c r="E6" s="772" t="s">
        <v>6687</v>
      </c>
      <c r="F6" s="796">
        <v>2011</v>
      </c>
      <c r="G6" s="815" t="str">
        <f>VLOOKUP(F6,BO1:BP145,2,0)</f>
        <v>tân mão</v>
      </c>
      <c r="H6" s="811" t="s">
        <v>7836</v>
      </c>
      <c r="K6" s="773">
        <v>6</v>
      </c>
      <c r="L6" s="773" t="s">
        <v>7856</v>
      </c>
      <c r="M6" s="773">
        <v>16</v>
      </c>
      <c r="N6" s="773">
        <v>6</v>
      </c>
      <c r="O6" s="773">
        <f ca="1">VLOOKUP(P5,A105:H114,2,0)</f>
        <v>5</v>
      </c>
      <c r="Q6" s="773" t="s">
        <v>7837</v>
      </c>
      <c r="R6" s="773">
        <f ca="1">R5-5</f>
        <v>63</v>
      </c>
      <c r="S6" s="773" t="s">
        <v>7823</v>
      </c>
      <c r="T6" s="773">
        <v>11</v>
      </c>
      <c r="U6" s="773">
        <v>15</v>
      </c>
      <c r="V6" s="773">
        <v>9</v>
      </c>
      <c r="W6" s="773">
        <f t="shared" si="0"/>
        <v>35</v>
      </c>
      <c r="X6" s="773">
        <v>6</v>
      </c>
      <c r="Y6" s="773" t="s">
        <v>1484</v>
      </c>
      <c r="Z6" s="773">
        <v>111212</v>
      </c>
      <c r="AA6" s="773" t="s">
        <v>1484</v>
      </c>
      <c r="AB6" s="773">
        <v>6</v>
      </c>
      <c r="AC6" s="806">
        <v>23</v>
      </c>
      <c r="AD6" s="772">
        <v>1</v>
      </c>
      <c r="AE6" s="773">
        <v>1985</v>
      </c>
      <c r="BO6" s="773">
        <v>1904</v>
      </c>
      <c r="BP6" s="773" t="s">
        <v>7905</v>
      </c>
    </row>
    <row r="7" spans="1:68">
      <c r="A7" s="812" t="s">
        <v>459</v>
      </c>
      <c r="B7" s="816" t="str">
        <f ca="1">VLOOKUP(8,$A$124:$BM$131,$H$8+1,0)</f>
        <v>Ký Tế: Hanh tiểu, lợi trinh. Sơ cát, chung loạn</v>
      </c>
      <c r="J7" s="817" t="s">
        <v>6688</v>
      </c>
      <c r="K7" s="773">
        <v>7</v>
      </c>
      <c r="L7" s="773" t="s">
        <v>7860</v>
      </c>
      <c r="M7" s="773">
        <v>17</v>
      </c>
      <c r="N7" s="773">
        <v>7</v>
      </c>
      <c r="O7" s="772" t="s">
        <v>7861</v>
      </c>
      <c r="P7" s="802" t="str">
        <f ca="1">IF(P14=1,IF(O10&gt;O6,VLOOKUP(P5,A134:J143,O9+3,0),VLOOKUP(P5,A134:J143,O9+2,0)),IF(O10&gt;O6,VLOOKUP(P5,A105:J114,O9+3,0),VLOOKUP(P5,A105:J114,O9+2,0)))</f>
        <v>tỵ</v>
      </c>
      <c r="Q7" s="773" t="s">
        <v>7824</v>
      </c>
      <c r="R7" s="773">
        <f ca="1">SUM(R1:R4)</f>
        <v>126</v>
      </c>
      <c r="S7" s="773" t="s">
        <v>7825</v>
      </c>
      <c r="T7" s="773">
        <v>15</v>
      </c>
      <c r="U7" s="773">
        <v>13</v>
      </c>
      <c r="V7" s="773">
        <v>9</v>
      </c>
      <c r="W7" s="773">
        <f t="shared" si="0"/>
        <v>37</v>
      </c>
      <c r="X7" s="773">
        <v>7</v>
      </c>
      <c r="Y7" s="773" t="s">
        <v>843</v>
      </c>
      <c r="Z7" s="773">
        <v>222212</v>
      </c>
      <c r="AA7" s="773" t="s">
        <v>843</v>
      </c>
      <c r="AB7" s="773">
        <v>7</v>
      </c>
      <c r="AC7" s="806">
        <v>35</v>
      </c>
      <c r="AD7" s="773">
        <v>1</v>
      </c>
      <c r="AE7" s="773">
        <v>1986</v>
      </c>
      <c r="BO7" s="773">
        <v>1905</v>
      </c>
      <c r="BP7" s="773" t="s">
        <v>7906</v>
      </c>
    </row>
    <row r="8" spans="1:68">
      <c r="A8" s="787" t="s">
        <v>6689</v>
      </c>
      <c r="B8" s="816" t="str">
        <f ca="1">VLOOKUP(H9,$A$124:$BM$131,$H$8+1,0)</f>
        <v>Lục nhị: Phụ táng kỳ phất, vật trục, thất nhật đắc.</v>
      </c>
      <c r="C8" s="772"/>
      <c r="D8" s="772"/>
      <c r="E8" s="772"/>
      <c r="F8" s="772"/>
      <c r="H8" s="791">
        <f ca="1">IF(F5+I10&gt;64,MOD(F5+I10,64),F5+I10)</f>
        <v>63</v>
      </c>
      <c r="I8" s="791" t="str">
        <f ca="1">VLOOKUP(H8,X1:Y64,2,0)</f>
        <v>Kí tế</v>
      </c>
      <c r="J8" s="791" t="str">
        <f ca="1">IF(H9=7,"không có",F95)</f>
        <v>5Nhu</v>
      </c>
      <c r="K8" s="773">
        <v>8</v>
      </c>
      <c r="L8" s="773" t="s">
        <v>6562</v>
      </c>
      <c r="M8" s="773">
        <v>18</v>
      </c>
      <c r="N8" s="773">
        <v>8</v>
      </c>
      <c r="S8" s="773" t="s">
        <v>7827</v>
      </c>
      <c r="T8" s="773">
        <v>15</v>
      </c>
      <c r="U8" s="773">
        <v>13</v>
      </c>
      <c r="V8" s="773">
        <v>15</v>
      </c>
      <c r="W8" s="773">
        <f t="shared" si="0"/>
        <v>43</v>
      </c>
      <c r="X8" s="773">
        <v>8</v>
      </c>
      <c r="Y8" s="773" t="s">
        <v>7828</v>
      </c>
      <c r="Z8" s="773">
        <v>212222</v>
      </c>
      <c r="AA8" s="773" t="s">
        <v>7828</v>
      </c>
      <c r="AB8" s="773">
        <v>8</v>
      </c>
      <c r="AC8" s="806">
        <v>14</v>
      </c>
      <c r="AD8" s="772">
        <v>1</v>
      </c>
      <c r="AE8" s="773">
        <v>1987</v>
      </c>
      <c r="BO8" s="773">
        <v>1906</v>
      </c>
      <c r="BP8" s="773" t="s">
        <v>7907</v>
      </c>
    </row>
    <row r="9" spans="1:68">
      <c r="B9" s="818" t="str">
        <f ca="1">IF(H9&gt;3,VLOOKUP(H9-3,$A$124:$BM$131,$H$8+1,0),VLOOKUP(H9+3,$A$124:$BM$131,$H$8+1,0))</f>
        <v>Cửu ngũ: Đông lân sát ngưu, bất như tây lân chi thược tế, thực thụ kỳ phúc.</v>
      </c>
      <c r="H9" s="802">
        <f ca="1">IF(AND(A147=1,A154=0),7,IF(AND(A147=2,A154=1),7,IF(A154=1,VLOOKUP(E154,D147:G152,4,0),VLOOKUP(E154,F147:G152,2,0))))</f>
        <v>2</v>
      </c>
      <c r="I9" s="802" t="str">
        <f ca="1">IF(A147=1,"dương",IF(A147=2,"âm",IF(A154=0,"âm","dương")))</f>
        <v>âm</v>
      </c>
      <c r="J9" s="773" t="s">
        <v>7839</v>
      </c>
      <c r="K9" s="773">
        <v>9</v>
      </c>
      <c r="L9" s="773" t="s">
        <v>7865</v>
      </c>
      <c r="M9" s="773">
        <v>19</v>
      </c>
      <c r="N9" s="773">
        <v>9</v>
      </c>
      <c r="O9" s="773">
        <f ca="1">LEFT(I10)+1-1</f>
        <v>1</v>
      </c>
      <c r="S9" s="773" t="s">
        <v>7829</v>
      </c>
      <c r="T9" s="773">
        <v>13</v>
      </c>
      <c r="U9" s="773">
        <v>7</v>
      </c>
      <c r="V9" s="773">
        <v>13</v>
      </c>
      <c r="W9" s="773">
        <f t="shared" si="0"/>
        <v>33</v>
      </c>
      <c r="X9" s="773">
        <v>9</v>
      </c>
      <c r="Y9" s="773" t="s">
        <v>7830</v>
      </c>
      <c r="Z9" s="773">
        <v>112111</v>
      </c>
      <c r="AA9" s="773" t="s">
        <v>7830</v>
      </c>
      <c r="AB9" s="773">
        <v>9</v>
      </c>
      <c r="AC9" s="806">
        <v>58</v>
      </c>
      <c r="AD9" s="773">
        <v>2</v>
      </c>
      <c r="AE9" s="773">
        <v>1988</v>
      </c>
      <c r="BO9" s="773">
        <v>1907</v>
      </c>
      <c r="BP9" s="773" t="s">
        <v>7908</v>
      </c>
    </row>
    <row r="10" spans="1:68">
      <c r="B10" s="772" t="s">
        <v>6690</v>
      </c>
      <c r="C10" s="772"/>
      <c r="E10" s="772" t="s">
        <v>6691</v>
      </c>
      <c r="I10" s="819">
        <f ca="1">F6-Q16+1</f>
        <v>10</v>
      </c>
      <c r="J10" s="820" t="s">
        <v>7834</v>
      </c>
      <c r="K10" s="773">
        <v>10</v>
      </c>
      <c r="L10" s="773" t="s">
        <v>6567</v>
      </c>
      <c r="M10" s="773">
        <v>20</v>
      </c>
      <c r="N10" s="773">
        <v>10</v>
      </c>
      <c r="O10" s="773">
        <f ca="1">RIGHT(I10,1)+1-1</f>
        <v>0</v>
      </c>
      <c r="S10" s="773" t="s">
        <v>7831</v>
      </c>
      <c r="T10" s="773">
        <v>13</v>
      </c>
      <c r="U10" s="773">
        <v>7</v>
      </c>
      <c r="V10" s="773">
        <v>13</v>
      </c>
      <c r="W10" s="773">
        <f t="shared" si="0"/>
        <v>33</v>
      </c>
      <c r="X10" s="773">
        <v>10</v>
      </c>
      <c r="Y10" s="773" t="s">
        <v>833</v>
      </c>
      <c r="Z10" s="773">
        <v>111211</v>
      </c>
      <c r="AA10" s="773" t="s">
        <v>833</v>
      </c>
      <c r="AB10" s="773">
        <v>10</v>
      </c>
      <c r="AC10" s="806">
        <v>47</v>
      </c>
      <c r="AD10" s="773">
        <v>2</v>
      </c>
      <c r="AE10" s="773">
        <v>1989</v>
      </c>
      <c r="BO10" s="773">
        <v>1908</v>
      </c>
      <c r="BP10" s="773" t="s">
        <v>7909</v>
      </c>
    </row>
    <row r="11" spans="1:68">
      <c r="B11" s="821" t="str">
        <f ca="1">VLOOKUP(7,$A$117:$BM$123,$H$8+1,0)</f>
        <v>THỦY HOẢ KÝ TẾ </v>
      </c>
      <c r="C11" s="802"/>
      <c r="E11" s="802" t="str">
        <f ca="1">L57</f>
        <v>THỦY THIÊN NHU </v>
      </c>
      <c r="F11" s="802"/>
      <c r="G11" s="822" t="str">
        <f ca="1">VLOOKUP(8,$A$124:$BM$131,$F$93+1,0)</f>
        <v>Nhu: hữu phu, quang hanh, trinh, cát, lợi thiệp đại xuyên</v>
      </c>
      <c r="S11" s="773" t="s">
        <v>7835</v>
      </c>
      <c r="T11" s="773">
        <v>9</v>
      </c>
      <c r="U11" s="773">
        <v>11</v>
      </c>
      <c r="V11" s="773">
        <v>15</v>
      </c>
      <c r="W11" s="773">
        <f t="shared" si="0"/>
        <v>35</v>
      </c>
      <c r="X11" s="773">
        <v>11</v>
      </c>
      <c r="Y11" s="773" t="s">
        <v>5944</v>
      </c>
      <c r="Z11" s="773">
        <v>222111</v>
      </c>
      <c r="AA11" s="773" t="s">
        <v>5944</v>
      </c>
      <c r="AB11" s="773">
        <v>11</v>
      </c>
      <c r="AC11" s="806">
        <v>45</v>
      </c>
      <c r="AD11" s="773">
        <v>2</v>
      </c>
      <c r="AE11" s="773">
        <v>1990</v>
      </c>
      <c r="BO11" s="773">
        <v>1909</v>
      </c>
      <c r="BP11" s="773" t="s">
        <v>7910</v>
      </c>
    </row>
    <row r="12" spans="1:68">
      <c r="B12" s="823" t="str">
        <f ca="1">VLOOKUP(1,$A$117:$BM$123,$H$8+1,0)</f>
        <v>Huynh Đệ Tý Thủy (Ứng) </v>
      </c>
      <c r="C12" s="824"/>
      <c r="D12" s="825" t="str">
        <f t="shared" ref="D12:D17" ca="1" si="1">IF($H$9=R40,"X"," ")</f>
        <v xml:space="preserve"> </v>
      </c>
      <c r="E12" s="824" t="str">
        <f t="shared" ref="E12:E17" ca="1" si="2">P64</f>
        <v>Huynh Đệ Tý Thủy</v>
      </c>
      <c r="F12" s="824"/>
      <c r="G12" s="816" t="str">
        <f t="shared" ref="G12:G17" ca="1" si="3">IF($H$9=R40,VLOOKUP($H$9,$A$124:$BM$131,$F$93+1,0)," ")</f>
        <v xml:space="preserve"> </v>
      </c>
      <c r="M12" s="773" t="str">
        <f ca="1">tubinh!G128</f>
        <v>Nhâm</v>
      </c>
      <c r="N12" s="773" t="str">
        <f ca="1">tubinh!H128</f>
        <v>Ngọ</v>
      </c>
      <c r="O12" s="773" t="str">
        <f ca="1">CONCATENATE(M12," ",N12)</f>
        <v>Nhâm Ngọ</v>
      </c>
      <c r="P12" s="773" t="str">
        <f ca="1">'Thể cách'!I3</f>
        <v>(+) Nữ</v>
      </c>
      <c r="Q12" s="773">
        <f ca="1">tubinh!G133</f>
        <v>1</v>
      </c>
      <c r="S12" s="773" t="s">
        <v>7838</v>
      </c>
      <c r="T12" s="773">
        <v>9</v>
      </c>
      <c r="U12" s="773">
        <v>11</v>
      </c>
      <c r="V12" s="773">
        <v>7</v>
      </c>
      <c r="W12" s="773">
        <f t="shared" si="0"/>
        <v>27</v>
      </c>
      <c r="X12" s="773">
        <v>12</v>
      </c>
      <c r="Y12" s="773" t="s">
        <v>9315</v>
      </c>
      <c r="Z12" s="773">
        <v>111222</v>
      </c>
      <c r="AA12" s="773" t="s">
        <v>9315</v>
      </c>
      <c r="AB12" s="773">
        <v>12</v>
      </c>
      <c r="AC12" s="806">
        <v>31</v>
      </c>
      <c r="AD12" s="773">
        <v>2</v>
      </c>
      <c r="AE12" s="773">
        <v>1991</v>
      </c>
      <c r="BO12" s="773">
        <v>1910</v>
      </c>
      <c r="BP12" s="773" t="s">
        <v>7913</v>
      </c>
    </row>
    <row r="13" spans="1:68">
      <c r="B13" s="823" t="str">
        <f ca="1">VLOOKUP(2,$A$117:$BM$123,$H$8+1,0)</f>
        <v>Quan Quỷ Tuất Thổ </v>
      </c>
      <c r="C13" s="824"/>
      <c r="D13" s="825" t="str">
        <f t="shared" ca="1" si="1"/>
        <v xml:space="preserve"> </v>
      </c>
      <c r="E13" s="824" t="str">
        <f t="shared" ca="1" si="2"/>
        <v>Quan Quỷ Tuất Thổ</v>
      </c>
      <c r="F13" s="824"/>
      <c r="G13" s="816" t="str">
        <f t="shared" ca="1" si="3"/>
        <v xml:space="preserve"> </v>
      </c>
      <c r="M13" s="773" t="str">
        <f ca="1">tubinh!G129</f>
        <v>Nhâm</v>
      </c>
      <c r="N13" s="773" t="str">
        <f ca="1">tubinh!H129</f>
        <v>Dần</v>
      </c>
      <c r="O13" s="773" t="str">
        <f ca="1">CONCATENATE(M13," ",N13)</f>
        <v>Nhâm Dần</v>
      </c>
      <c r="P13" s="804" t="str">
        <f ca="1">RIGHT(P12,3)</f>
        <v xml:space="preserve"> Nữ</v>
      </c>
      <c r="Q13" s="804">
        <f ca="1">IF(AND(P14=1,Q12=1),1,IF(AND(P14=0,Q12=0),1,0))</f>
        <v>0</v>
      </c>
      <c r="S13" s="773" t="s">
        <v>7840</v>
      </c>
      <c r="T13" s="773">
        <v>7</v>
      </c>
      <c r="U13" s="773">
        <v>9</v>
      </c>
      <c r="V13" s="773">
        <v>7</v>
      </c>
      <c r="W13" s="773">
        <f t="shared" si="0"/>
        <v>23</v>
      </c>
      <c r="X13" s="773">
        <v>13</v>
      </c>
      <c r="Y13" s="773" t="s">
        <v>7841</v>
      </c>
      <c r="Z13" s="773">
        <v>111121</v>
      </c>
      <c r="AA13" s="773" t="s">
        <v>7841</v>
      </c>
      <c r="AB13" s="773">
        <v>13</v>
      </c>
      <c r="AC13" s="806">
        <v>39</v>
      </c>
      <c r="AD13" s="773">
        <v>2</v>
      </c>
      <c r="AE13" s="773">
        <v>1992</v>
      </c>
      <c r="BO13" s="773">
        <v>1911</v>
      </c>
      <c r="BP13" s="773" t="s">
        <v>7914</v>
      </c>
    </row>
    <row r="14" spans="1:68">
      <c r="B14" s="823" t="str">
        <f ca="1">VLOOKUP(3,$A$117:$BM$123,$H$8+1,0)</f>
        <v>Phụ Mẫu Thân Kim </v>
      </c>
      <c r="C14" s="824"/>
      <c r="D14" s="825" t="str">
        <f t="shared" ca="1" si="1"/>
        <v xml:space="preserve"> </v>
      </c>
      <c r="E14" s="824" t="str">
        <f t="shared" ca="1" si="2"/>
        <v>Phụ Mẫu Thân Kim</v>
      </c>
      <c r="F14" s="824"/>
      <c r="G14" s="816" t="str">
        <f t="shared" ca="1" si="3"/>
        <v xml:space="preserve"> </v>
      </c>
      <c r="M14" s="773" t="str">
        <f ca="1">tubinh!G130</f>
        <v>Bính</v>
      </c>
      <c r="N14" s="773" t="str">
        <f ca="1">tubinh!H130</f>
        <v>Thìn</v>
      </c>
      <c r="O14" s="773" t="str">
        <f ca="1">CONCATENATE(M14," ",N14)</f>
        <v>Bính Thìn</v>
      </c>
      <c r="P14" s="773">
        <f ca="1">IF(P13="Nam",1,0)</f>
        <v>0</v>
      </c>
      <c r="S14" s="773" t="s">
        <v>7842</v>
      </c>
      <c r="T14" s="773">
        <v>7</v>
      </c>
      <c r="U14" s="773">
        <v>9</v>
      </c>
      <c r="V14" s="773">
        <v>15</v>
      </c>
      <c r="W14" s="773">
        <f t="shared" si="0"/>
        <v>31</v>
      </c>
      <c r="X14" s="773">
        <v>14</v>
      </c>
      <c r="Y14" s="773" t="s">
        <v>7843</v>
      </c>
      <c r="Z14" s="773">
        <v>121111</v>
      </c>
      <c r="AA14" s="773" t="s">
        <v>7843</v>
      </c>
      <c r="AB14" s="773">
        <v>14</v>
      </c>
      <c r="AC14" s="806">
        <v>15</v>
      </c>
      <c r="AD14" s="773">
        <v>2</v>
      </c>
      <c r="AE14" s="773">
        <v>1993</v>
      </c>
      <c r="BO14" s="773">
        <v>1912</v>
      </c>
      <c r="BP14" s="773" t="s">
        <v>7915</v>
      </c>
    </row>
    <row r="15" spans="1:68">
      <c r="B15" s="823" t="str">
        <f ca="1">VLOOKUP(4,$A$117:$BM$123,$H$8+1,0)</f>
        <v>Huynh Đệ Hợi Thuỷ (Thế) </v>
      </c>
      <c r="C15" s="824"/>
      <c r="D15" s="825" t="str">
        <f t="shared" ca="1" si="1"/>
        <v xml:space="preserve"> </v>
      </c>
      <c r="E15" s="824" t="str">
        <f t="shared" ca="1" si="2"/>
        <v>Quan Quỷ Thìn Thổ</v>
      </c>
      <c r="F15" s="824"/>
      <c r="G15" s="816" t="str">
        <f t="shared" ca="1" si="3"/>
        <v xml:space="preserve"> </v>
      </c>
      <c r="M15" s="773" t="str">
        <f ca="1">tubinh!G131</f>
        <v>Nhâm</v>
      </c>
      <c r="N15" s="773" t="str">
        <f ca="1">tubinh!H131</f>
        <v>Thìn</v>
      </c>
      <c r="O15" s="773" t="str">
        <f ca="1">CONCATENATE(M15," ",N15)</f>
        <v>Nhâm Thìn</v>
      </c>
      <c r="P15" s="773" t="str">
        <f ca="1">IF(P14=1,"Nam","Nữ")</f>
        <v>Nữ</v>
      </c>
      <c r="Q15" s="773">
        <f ca="1">IF(AND(OR(O18=1,O18=2),Q17&gt;9),M16-1,M16)</f>
        <v>2002</v>
      </c>
      <c r="S15" s="773" t="s">
        <v>7846</v>
      </c>
      <c r="T15" s="773">
        <v>15</v>
      </c>
      <c r="U15" s="773">
        <v>15</v>
      </c>
      <c r="V15" s="773">
        <v>11</v>
      </c>
      <c r="W15" s="773">
        <f t="shared" si="0"/>
        <v>41</v>
      </c>
      <c r="X15" s="773">
        <v>15</v>
      </c>
      <c r="Y15" s="773" t="s">
        <v>830</v>
      </c>
      <c r="Z15" s="773">
        <v>222122</v>
      </c>
      <c r="AA15" s="773" t="s">
        <v>830</v>
      </c>
      <c r="AB15" s="773">
        <v>15</v>
      </c>
      <c r="AC15" s="806">
        <v>62</v>
      </c>
      <c r="AD15" s="773">
        <v>2</v>
      </c>
      <c r="AE15" s="773">
        <v>1994</v>
      </c>
      <c r="BO15" s="773">
        <v>1913</v>
      </c>
      <c r="BP15" s="773" t="s">
        <v>7916</v>
      </c>
    </row>
    <row r="16" spans="1:68">
      <c r="B16" s="823" t="str">
        <f ca="1">VLOOKUP(5,$A$117:$BM$123,$H$8+1,0)</f>
        <v>Quan Quỷ Sửu Thổ </v>
      </c>
      <c r="C16" s="824"/>
      <c r="D16" s="825" t="str">
        <f t="shared" ca="1" si="1"/>
        <v>X</v>
      </c>
      <c r="E16" s="824" t="str">
        <f t="shared" ca="1" si="2"/>
        <v>Tử Tôn Dần Mộc</v>
      </c>
      <c r="F16" s="824"/>
      <c r="G16" s="816" t="str">
        <f t="shared" ca="1" si="3"/>
        <v>Cửu nhị: Nhu vu sa, tiểu hữu ngôn, chung cát.</v>
      </c>
      <c r="M16" s="773">
        <f ca="1">YEAR(O16)</f>
        <v>2002</v>
      </c>
      <c r="N16" s="826">
        <f ca="1">'Thể cách'!B5</f>
        <v>37291.308194444442</v>
      </c>
      <c r="O16" s="826">
        <f ca="1">'Thể cách'!E5</f>
        <v>37304.291666666664</v>
      </c>
      <c r="P16" s="826">
        <f ca="1">'Thể cách'!H5</f>
        <v>37321.060601851852</v>
      </c>
      <c r="Q16" s="773">
        <f ca="1">IF(AND(OR(O18=1,O18=2),I103&gt;9),M16-1,M16)</f>
        <v>2002</v>
      </c>
      <c r="S16" s="773" t="s">
        <v>7848</v>
      </c>
      <c r="T16" s="773">
        <v>15</v>
      </c>
      <c r="U16" s="773">
        <v>15</v>
      </c>
      <c r="V16" s="773">
        <v>11</v>
      </c>
      <c r="W16" s="773">
        <f t="shared" si="0"/>
        <v>41</v>
      </c>
      <c r="X16" s="773">
        <v>16</v>
      </c>
      <c r="Y16" s="773" t="s">
        <v>5984</v>
      </c>
      <c r="Z16" s="773">
        <v>221222</v>
      </c>
      <c r="AA16" s="773" t="s">
        <v>5984</v>
      </c>
      <c r="AB16" s="773">
        <v>16</v>
      </c>
      <c r="AC16" s="806">
        <v>54</v>
      </c>
      <c r="AD16" s="773">
        <v>2</v>
      </c>
      <c r="AE16" s="773">
        <v>1995</v>
      </c>
      <c r="BO16" s="773">
        <v>1914</v>
      </c>
      <c r="BP16" s="773" t="s">
        <v>7917</v>
      </c>
    </row>
    <row r="17" spans="1:68">
      <c r="B17" s="823" t="str">
        <f ca="1">VLOOKUP(6,$A$117:$BM$123,$H$8+1,0)</f>
        <v>Tử Tôn Mão Mộc </v>
      </c>
      <c r="C17" s="824"/>
      <c r="D17" s="825" t="str">
        <f t="shared" ca="1" si="1"/>
        <v xml:space="preserve"> </v>
      </c>
      <c r="E17" s="824" t="str">
        <f t="shared" ca="1" si="2"/>
        <v>Huynh Đệ Tý Thủy</v>
      </c>
      <c r="F17" s="824"/>
      <c r="G17" s="816" t="str">
        <f t="shared" ca="1" si="3"/>
        <v xml:space="preserve"> </v>
      </c>
      <c r="M17" s="773">
        <f ca="1">tubinh!K128</f>
        <v>8</v>
      </c>
      <c r="N17" s="773">
        <f ca="1">DAY(N16)</f>
        <v>4</v>
      </c>
      <c r="O17" s="773">
        <f ca="1">DAY(O16)</f>
        <v>17</v>
      </c>
      <c r="P17" s="773">
        <f ca="1">DAY(P16)</f>
        <v>6</v>
      </c>
      <c r="Q17" s="773">
        <f ca="1">tubinh!F137</f>
        <v>1</v>
      </c>
      <c r="S17" s="773" t="s">
        <v>7850</v>
      </c>
      <c r="T17" s="773">
        <v>13</v>
      </c>
      <c r="U17" s="773">
        <v>13</v>
      </c>
      <c r="V17" s="773">
        <v>15</v>
      </c>
      <c r="W17" s="773">
        <f t="shared" si="0"/>
        <v>41</v>
      </c>
      <c r="X17" s="773">
        <v>17</v>
      </c>
      <c r="Y17" s="773" t="s">
        <v>4292</v>
      </c>
      <c r="Z17" s="773">
        <v>211221</v>
      </c>
      <c r="AA17" s="773" t="s">
        <v>4292</v>
      </c>
      <c r="AB17" s="773">
        <v>17</v>
      </c>
      <c r="AC17" s="806">
        <v>30</v>
      </c>
      <c r="AD17" s="773">
        <v>3</v>
      </c>
      <c r="AE17" s="773">
        <v>1996</v>
      </c>
      <c r="BO17" s="773">
        <v>1915</v>
      </c>
      <c r="BP17" s="773" t="s">
        <v>7918</v>
      </c>
    </row>
    <row r="18" spans="1:68" s="783" customFormat="1">
      <c r="F18" s="783" t="s">
        <v>6692</v>
      </c>
      <c r="G18" s="827" t="str">
        <f ca="1">IF(H9&gt;3,VLOOKUP(H9-3,$A$124:$BM$131,$F$93+1,0),VLOOKUP(H9+3,$A$124:$BM$131,$F$93+1,0))</f>
        <v>Cửu ngũ: Nhu vu tửu thực, trinh cát.</v>
      </c>
      <c r="N18" s="783">
        <f ca="1">MONTH(N16)</f>
        <v>2</v>
      </c>
      <c r="O18" s="783">
        <f ca="1">MONTH(O16)</f>
        <v>2</v>
      </c>
      <c r="P18" s="783">
        <f ca="1">MONTH(P16)</f>
        <v>3</v>
      </c>
      <c r="S18" s="783" t="s">
        <v>7852</v>
      </c>
      <c r="T18" s="783">
        <v>13</v>
      </c>
      <c r="U18" s="783">
        <v>13</v>
      </c>
      <c r="V18" s="783">
        <v>9</v>
      </c>
      <c r="W18" s="783">
        <f t="shared" si="0"/>
        <v>35</v>
      </c>
      <c r="X18" s="783">
        <v>18</v>
      </c>
      <c r="Y18" s="783" t="s">
        <v>839</v>
      </c>
      <c r="Z18" s="783">
        <v>122112</v>
      </c>
      <c r="AA18" s="783" t="s">
        <v>839</v>
      </c>
      <c r="AB18" s="783">
        <v>18</v>
      </c>
      <c r="AC18" s="828">
        <v>56</v>
      </c>
      <c r="AD18" s="783">
        <v>3</v>
      </c>
      <c r="AE18" s="783">
        <v>1997</v>
      </c>
      <c r="BO18" s="783">
        <v>1916</v>
      </c>
      <c r="BP18" s="783" t="s">
        <v>7919</v>
      </c>
    </row>
    <row r="19" spans="1:68">
      <c r="A19" s="829" t="s">
        <v>352</v>
      </c>
      <c r="B19" s="816" t="str">
        <f ca="1">VLOOKUP(8,$A$124:$BM$131,$I$21+1,0)</f>
        <v>Truân, Nguyên Hanh, Lỵ Trinh, vật dụng hữu du vãng, lỵ kiến hầu .</v>
      </c>
      <c r="N19" s="773">
        <f ca="1">VLOOKUP(N18,E176:F187,2,0)</f>
        <v>28</v>
      </c>
      <c r="O19" s="773">
        <f ca="1">VLOOKUP(O18,E176:F187,2,0)</f>
        <v>28</v>
      </c>
      <c r="P19" s="773">
        <f ca="1">P17-O17</f>
        <v>-11</v>
      </c>
      <c r="Q19" s="773">
        <f ca="1">P19/3</f>
        <v>-3.6666666666666665</v>
      </c>
      <c r="S19" s="773" t="s">
        <v>7855</v>
      </c>
      <c r="T19" s="773">
        <v>11</v>
      </c>
      <c r="U19" s="773">
        <v>7</v>
      </c>
      <c r="V19" s="773">
        <v>9</v>
      </c>
      <c r="W19" s="773">
        <f t="shared" si="0"/>
        <v>27</v>
      </c>
      <c r="X19" s="773">
        <v>19</v>
      </c>
      <c r="Y19" s="773" t="s">
        <v>5946</v>
      </c>
      <c r="Z19" s="773">
        <v>222211</v>
      </c>
      <c r="AA19" s="773" t="s">
        <v>5946</v>
      </c>
      <c r="AB19" s="773">
        <v>19</v>
      </c>
      <c r="AC19" s="806">
        <v>50</v>
      </c>
      <c r="AD19" s="773">
        <v>3</v>
      </c>
      <c r="AE19" s="773">
        <v>1998</v>
      </c>
      <c r="BO19" s="773">
        <v>1917</v>
      </c>
      <c r="BP19" s="773" t="s">
        <v>7920</v>
      </c>
    </row>
    <row r="20" spans="1:68">
      <c r="A20" s="787" t="s">
        <v>6689</v>
      </c>
      <c r="B20" s="816" t="str">
        <f ca="1">VLOOKUP(I22,$A$124:$BM$131,$I$21+1,0)</f>
        <v>Lục nhị, Truân như chiên như, thừa mã ban như phỉ kiến hôn cấu, nữ tử, trinh, bất tử, thập niên nải tự .</v>
      </c>
      <c r="I20" s="796">
        <v>2</v>
      </c>
      <c r="J20" s="773" t="s">
        <v>7845</v>
      </c>
      <c r="K20" s="817" t="s">
        <v>6688</v>
      </c>
      <c r="M20" s="773">
        <f ca="1">N20/3</f>
        <v>4.333333333333333</v>
      </c>
      <c r="N20" s="773">
        <f ca="1">O17-N17</f>
        <v>13</v>
      </c>
      <c r="O20" s="773">
        <f ca="1">O19-O17</f>
        <v>11</v>
      </c>
      <c r="P20" s="773">
        <f ca="1">O20+P17</f>
        <v>17</v>
      </c>
      <c r="Q20" s="773">
        <f ca="1">P20/3</f>
        <v>5.666666666666667</v>
      </c>
      <c r="S20" s="773" t="s">
        <v>7858</v>
      </c>
      <c r="T20" s="773">
        <v>11</v>
      </c>
      <c r="U20" s="773">
        <v>7</v>
      </c>
      <c r="V20" s="773">
        <v>15</v>
      </c>
      <c r="W20" s="773">
        <f t="shared" si="0"/>
        <v>33</v>
      </c>
      <c r="X20" s="773">
        <v>20</v>
      </c>
      <c r="Y20" s="773" t="s">
        <v>7859</v>
      </c>
      <c r="Z20" s="773">
        <v>112222</v>
      </c>
      <c r="AA20" s="773" t="s">
        <v>7859</v>
      </c>
      <c r="AB20" s="773">
        <v>20</v>
      </c>
      <c r="AC20" s="806">
        <v>64</v>
      </c>
      <c r="AD20" s="773">
        <v>3</v>
      </c>
      <c r="AE20" s="773">
        <v>1999</v>
      </c>
      <c r="BO20" s="773">
        <v>1918</v>
      </c>
      <c r="BP20" s="773" t="s">
        <v>7922</v>
      </c>
    </row>
    <row r="21" spans="1:68">
      <c r="B21" s="818" t="str">
        <f ca="1">IF(I22&gt;3,VLOOKUP(I22-3,$A$124:$BM$131,$I$21+1,0),VLOOKUP(I22+3,$A$124:$BM$131,$I$21+1,0))</f>
        <v>Cửu ngũ, truân kỳ cao, tiểu trinh, cát ; đại trinh, hung .</v>
      </c>
      <c r="I21" s="791">
        <f ca="1">IF(H8+2+I20&gt;64,H8+I20-62,H8+2+I20)</f>
        <v>3</v>
      </c>
      <c r="J21" s="791" t="str">
        <f ca="1">VLOOKUP(I21,X1:Y64,2,0)</f>
        <v>Truân</v>
      </c>
      <c r="K21" s="791" t="str">
        <f ca="1">IF(I22=7,"không có",F99)</f>
        <v>60Tiết</v>
      </c>
      <c r="N21" s="773">
        <f ca="1">N19-N17</f>
        <v>24</v>
      </c>
      <c r="Q21" s="773">
        <f ca="1">IF(O18=P18,Q19,Q20)</f>
        <v>5.666666666666667</v>
      </c>
      <c r="S21" s="773" t="s">
        <v>7862</v>
      </c>
      <c r="T21" s="773">
        <v>7</v>
      </c>
      <c r="U21" s="773">
        <v>11</v>
      </c>
      <c r="V21" s="773">
        <v>13</v>
      </c>
      <c r="W21" s="773">
        <f t="shared" si="0"/>
        <v>31</v>
      </c>
      <c r="X21" s="773">
        <v>21</v>
      </c>
      <c r="Y21" s="773" t="s">
        <v>7863</v>
      </c>
      <c r="Z21" s="773">
        <v>121221</v>
      </c>
      <c r="AA21" s="773" t="s">
        <v>7863</v>
      </c>
      <c r="AB21" s="773">
        <v>21</v>
      </c>
      <c r="AC21" s="806">
        <v>4</v>
      </c>
      <c r="AD21" s="773">
        <v>3</v>
      </c>
      <c r="AE21" s="773">
        <v>2000</v>
      </c>
      <c r="BO21" s="773">
        <v>1919</v>
      </c>
      <c r="BP21" s="773" t="s">
        <v>7923</v>
      </c>
    </row>
    <row r="22" spans="1:68">
      <c r="B22" s="772" t="s">
        <v>6693</v>
      </c>
      <c r="C22" s="772" t="str">
        <f>A162</f>
        <v>mão</v>
      </c>
      <c r="E22" s="772" t="s">
        <v>6691</v>
      </c>
      <c r="I22" s="802">
        <f ca="1">IF(AND(A157=1,A164=0),7,IF(AND(A157=2,A164=1),7,IF(A164=1,VLOOKUP(E164,D157:G162,4,0),VLOOKUP(E164,F157:G162,2,0))))</f>
        <v>2</v>
      </c>
      <c r="J22" s="802" t="str">
        <f ca="1">IF(A157=1,"dương",IF(A157=2,"âm",IF(A164=0,"âm","dương")))</f>
        <v>âm</v>
      </c>
      <c r="K22" s="773" t="s">
        <v>7839</v>
      </c>
      <c r="M22" s="773">
        <f ca="1">N22/3</f>
        <v>13.666666666666666</v>
      </c>
      <c r="N22" s="773">
        <f ca="1">N21+O17</f>
        <v>41</v>
      </c>
      <c r="O22" s="773">
        <f ca="1">IF(N18=O18,M20,M22)</f>
        <v>4.333333333333333</v>
      </c>
      <c r="P22" s="813">
        <f ca="1">IF(Q13=1,Q21,O22)</f>
        <v>4.333333333333333</v>
      </c>
      <c r="S22" s="773" t="s">
        <v>7864</v>
      </c>
      <c r="T22" s="773">
        <v>7</v>
      </c>
      <c r="U22" s="773">
        <v>11</v>
      </c>
      <c r="V22" s="773">
        <v>13</v>
      </c>
      <c r="W22" s="773">
        <f t="shared" si="0"/>
        <v>31</v>
      </c>
      <c r="X22" s="773">
        <v>22</v>
      </c>
      <c r="Y22" s="773" t="s">
        <v>831</v>
      </c>
      <c r="Z22" s="773">
        <v>122121</v>
      </c>
      <c r="AA22" s="773" t="s">
        <v>831</v>
      </c>
      <c r="AB22" s="773">
        <v>22</v>
      </c>
      <c r="AC22" s="806">
        <v>59</v>
      </c>
      <c r="AD22" s="773">
        <v>3</v>
      </c>
      <c r="AE22" s="773">
        <v>2001</v>
      </c>
      <c r="BO22" s="773">
        <v>1920</v>
      </c>
      <c r="BP22" s="773" t="s">
        <v>7924</v>
      </c>
    </row>
    <row r="23" spans="1:68">
      <c r="B23" s="821" t="str">
        <f ca="1">VLOOKUP(7,$A$117:$BM$123,$I$21+1,0)</f>
        <v>THỦY LÔI TRUÂN </v>
      </c>
      <c r="C23" s="802"/>
      <c r="E23" s="802" t="str">
        <f ca="1">M77</f>
        <v>THỦY TRẠCH TIẾT </v>
      </c>
      <c r="F23" s="802"/>
      <c r="G23" s="822" t="str">
        <f ca="1">VLOOKUP(8,$A$124:$BM$131,$F$97+1,0)</f>
        <v>Tiết : Hanh. Khổ tiết bất khả trinh. </v>
      </c>
      <c r="S23" s="773" t="s">
        <v>7866</v>
      </c>
      <c r="T23" s="773">
        <v>15</v>
      </c>
      <c r="U23" s="773">
        <v>9</v>
      </c>
      <c r="V23" s="773">
        <v>15</v>
      </c>
      <c r="W23" s="773">
        <f t="shared" si="0"/>
        <v>39</v>
      </c>
      <c r="X23" s="773">
        <v>23</v>
      </c>
      <c r="Y23" s="773" t="s">
        <v>9302</v>
      </c>
      <c r="Z23" s="773">
        <v>122222</v>
      </c>
      <c r="AA23" s="773" t="s">
        <v>9302</v>
      </c>
      <c r="AB23" s="773">
        <v>23</v>
      </c>
      <c r="AC23" s="806">
        <v>6</v>
      </c>
      <c r="AD23" s="773">
        <v>3</v>
      </c>
      <c r="AE23" s="773">
        <v>2002</v>
      </c>
      <c r="BO23" s="773">
        <v>1921</v>
      </c>
      <c r="BP23" s="773" t="s">
        <v>7925</v>
      </c>
    </row>
    <row r="24" spans="1:68">
      <c r="B24" s="823" t="str">
        <f ca="1">VLOOKUP(1,$A$117:$BM$123,$I$21+1,0)</f>
        <v>Huynh Đệ Tý Thủy </v>
      </c>
      <c r="C24" s="824"/>
      <c r="D24" s="825" t="str">
        <f t="shared" ref="D24:D29" ca="1" si="4">IF($I$22=R40,"động"," ")</f>
        <v xml:space="preserve"> </v>
      </c>
      <c r="E24" s="773" t="str">
        <f t="shared" ref="E24:E29" ca="1" si="5">T78</f>
        <v>Huynh Đệ Tý Thủy</v>
      </c>
      <c r="G24" s="816" t="str">
        <f t="shared" ref="G24:G29" ca="1" si="6">IF($I$22=R40,VLOOKUP($I$22,$A$124:$BM$131,$F$97+1,0)," ")</f>
        <v xml:space="preserve"> </v>
      </c>
      <c r="S24" s="773" t="s">
        <v>7867</v>
      </c>
      <c r="T24" s="773">
        <v>15</v>
      </c>
      <c r="U24" s="773">
        <v>9</v>
      </c>
      <c r="V24" s="773">
        <v>7</v>
      </c>
      <c r="W24" s="773">
        <f t="shared" si="0"/>
        <v>31</v>
      </c>
      <c r="X24" s="773">
        <v>24</v>
      </c>
      <c r="Y24" s="773" t="s">
        <v>3028</v>
      </c>
      <c r="Z24" s="773">
        <v>222221</v>
      </c>
      <c r="AA24" s="773" t="s">
        <v>3028</v>
      </c>
      <c r="AB24" s="773">
        <v>24</v>
      </c>
      <c r="AC24" s="806">
        <v>13</v>
      </c>
      <c r="AD24" s="773">
        <v>3</v>
      </c>
      <c r="AE24" s="773">
        <v>2003</v>
      </c>
      <c r="BO24" s="773">
        <v>1922</v>
      </c>
      <c r="BP24" s="773" t="s">
        <v>7927</v>
      </c>
    </row>
    <row r="25" spans="1:68">
      <c r="B25" s="823" t="str">
        <f ca="1">VLOOKUP(2,$A$117:$BM$123,$I$21+1,0)</f>
        <v>Quan Quỷ Tuất Thổ (Ứng) </v>
      </c>
      <c r="C25" s="824"/>
      <c r="D25" s="825" t="str">
        <f t="shared" ca="1" si="4"/>
        <v xml:space="preserve"> </v>
      </c>
      <c r="E25" s="773" t="str">
        <f t="shared" ca="1" si="5"/>
        <v>Quan Quỷ Tuất Thổ</v>
      </c>
      <c r="G25" s="816" t="str">
        <f t="shared" ca="1" si="6"/>
        <v xml:space="preserve"> </v>
      </c>
      <c r="S25" s="773" t="s">
        <v>7869</v>
      </c>
      <c r="T25" s="773">
        <v>9</v>
      </c>
      <c r="U25" s="773">
        <v>15</v>
      </c>
      <c r="V25" s="773">
        <v>7</v>
      </c>
      <c r="W25" s="773">
        <f t="shared" si="0"/>
        <v>31</v>
      </c>
      <c r="X25" s="773">
        <v>25</v>
      </c>
      <c r="Y25" s="773" t="s">
        <v>7870</v>
      </c>
      <c r="Z25" s="773">
        <v>111221</v>
      </c>
      <c r="AA25" s="773" t="s">
        <v>7870</v>
      </c>
      <c r="AB25" s="773">
        <v>25</v>
      </c>
      <c r="AC25" s="806">
        <v>51</v>
      </c>
      <c r="AD25" s="773">
        <v>4</v>
      </c>
      <c r="AE25" s="773">
        <v>2004</v>
      </c>
      <c r="BO25" s="773">
        <v>1923</v>
      </c>
      <c r="BP25" s="773" t="s">
        <v>7928</v>
      </c>
    </row>
    <row r="26" spans="1:68">
      <c r="B26" s="823" t="str">
        <f ca="1">VLOOKUP(3,$A$117:$BM$123,$I$21+1,0)</f>
        <v>Phụ Mẫu Thân Kim </v>
      </c>
      <c r="C26" s="824"/>
      <c r="D26" s="825" t="str">
        <f t="shared" ca="1" si="4"/>
        <v xml:space="preserve"> </v>
      </c>
      <c r="E26" s="773" t="str">
        <f t="shared" ca="1" si="5"/>
        <v>Phụ Mẫu Thân Kim</v>
      </c>
      <c r="G26" s="816" t="str">
        <f t="shared" ca="1" si="6"/>
        <v xml:space="preserve"> </v>
      </c>
      <c r="S26" s="773" t="s">
        <v>7878</v>
      </c>
      <c r="T26" s="773">
        <v>9</v>
      </c>
      <c r="U26" s="773">
        <v>15</v>
      </c>
      <c r="V26" s="773">
        <v>15</v>
      </c>
      <c r="W26" s="773">
        <f t="shared" si="0"/>
        <v>39</v>
      </c>
      <c r="X26" s="773">
        <v>26</v>
      </c>
      <c r="Y26" s="773" t="s">
        <v>7879</v>
      </c>
      <c r="Z26" s="773">
        <v>122111</v>
      </c>
      <c r="AA26" s="773" t="s">
        <v>7879</v>
      </c>
      <c r="AB26" s="773">
        <v>26</v>
      </c>
      <c r="AC26" s="806">
        <v>16</v>
      </c>
      <c r="AD26" s="773">
        <v>4</v>
      </c>
      <c r="AE26" s="773">
        <v>2005</v>
      </c>
      <c r="BO26" s="773">
        <v>1924</v>
      </c>
      <c r="BP26" s="773" t="s">
        <v>7814</v>
      </c>
    </row>
    <row r="27" spans="1:68">
      <c r="B27" s="823" t="str">
        <f ca="1">VLOOKUP(4,$A$117:$BM$123,$I$21+1,0)</f>
        <v>Quan Quỷ Thìn Thổ </v>
      </c>
      <c r="C27" s="824"/>
      <c r="D27" s="825" t="str">
        <f t="shared" ca="1" si="4"/>
        <v xml:space="preserve"> </v>
      </c>
      <c r="E27" s="773" t="str">
        <f t="shared" ca="1" si="5"/>
        <v>Quan Quỷ Sửu Thổ</v>
      </c>
      <c r="G27" s="816" t="str">
        <f t="shared" ca="1" si="6"/>
        <v xml:space="preserve"> </v>
      </c>
      <c r="L27" s="772"/>
      <c r="S27" s="773" t="s">
        <v>7881</v>
      </c>
      <c r="T27" s="773">
        <v>11</v>
      </c>
      <c r="U27" s="773">
        <v>13</v>
      </c>
      <c r="V27" s="773">
        <v>11</v>
      </c>
      <c r="W27" s="773">
        <f t="shared" si="0"/>
        <v>35</v>
      </c>
      <c r="X27" s="773">
        <v>27</v>
      </c>
      <c r="Y27" s="773" t="s">
        <v>3030</v>
      </c>
      <c r="Z27" s="773">
        <v>122221</v>
      </c>
      <c r="AA27" s="773" t="s">
        <v>3030</v>
      </c>
      <c r="AB27" s="773">
        <v>27</v>
      </c>
      <c r="AC27" s="806">
        <v>40</v>
      </c>
      <c r="AD27" s="773">
        <v>4</v>
      </c>
      <c r="AE27" s="773">
        <v>2006</v>
      </c>
      <c r="BO27" s="773">
        <v>1925</v>
      </c>
      <c r="BP27" s="773" t="s">
        <v>7818</v>
      </c>
    </row>
    <row r="28" spans="1:68">
      <c r="B28" s="823" t="str">
        <f ca="1">VLOOKUP(5,$A$117:$BM$123,$I$21+1,0)</f>
        <v>Tử Tôn Dần Mộc (Thế) </v>
      </c>
      <c r="C28" s="824"/>
      <c r="D28" s="825" t="str">
        <f t="shared" ca="1" si="4"/>
        <v>động</v>
      </c>
      <c r="E28" s="773" t="str">
        <f t="shared" ca="1" si="5"/>
        <v>Tử Tôn Mão Mộc</v>
      </c>
      <c r="G28" s="816" t="str">
        <f t="shared" ca="1" si="6"/>
        <v>Cửu nhị: Bất xuất môn đình, hung.</v>
      </c>
      <c r="S28" s="773" t="s">
        <v>7884</v>
      </c>
      <c r="T28" s="773">
        <v>11</v>
      </c>
      <c r="U28" s="773">
        <v>13</v>
      </c>
      <c r="V28" s="773">
        <v>11</v>
      </c>
      <c r="W28" s="773">
        <f t="shared" si="0"/>
        <v>35</v>
      </c>
      <c r="X28" s="773">
        <v>28</v>
      </c>
      <c r="Y28" s="773" t="s">
        <v>7885</v>
      </c>
      <c r="Z28" s="773">
        <v>211112</v>
      </c>
      <c r="AA28" s="773" t="s">
        <v>7885</v>
      </c>
      <c r="AB28" s="773">
        <v>28</v>
      </c>
      <c r="AC28" s="806">
        <v>32</v>
      </c>
      <c r="AD28" s="773">
        <v>4</v>
      </c>
      <c r="AE28" s="773">
        <v>2007</v>
      </c>
      <c r="BO28" s="773">
        <v>1926</v>
      </c>
      <c r="BP28" s="773" t="s">
        <v>7819</v>
      </c>
    </row>
    <row r="29" spans="1:68">
      <c r="B29" s="823" t="str">
        <f ca="1">VLOOKUP(6,$A$117:$BM$123,$I$21+1,0)</f>
        <v>Huynh Đệ Tý Thủy </v>
      </c>
      <c r="C29" s="824"/>
      <c r="D29" s="825" t="str">
        <f t="shared" ca="1" si="4"/>
        <v xml:space="preserve"> </v>
      </c>
      <c r="E29" s="773" t="str">
        <f t="shared" ca="1" si="5"/>
        <v>Thê Tài Tỵ Hỏa</v>
      </c>
      <c r="G29" s="816" t="str">
        <f t="shared" ca="1" si="6"/>
        <v xml:space="preserve"> </v>
      </c>
      <c r="S29" s="773" t="s">
        <v>7888</v>
      </c>
      <c r="T29" s="773">
        <v>7</v>
      </c>
      <c r="U29" s="773">
        <v>7</v>
      </c>
      <c r="V29" s="773">
        <v>15</v>
      </c>
      <c r="W29" s="773">
        <f t="shared" si="0"/>
        <v>29</v>
      </c>
      <c r="X29" s="773">
        <v>29</v>
      </c>
      <c r="Y29" s="773" t="s">
        <v>7208</v>
      </c>
      <c r="Z29" s="773">
        <v>212212</v>
      </c>
      <c r="AA29" s="773" t="s">
        <v>7208</v>
      </c>
      <c r="AB29" s="773">
        <v>29</v>
      </c>
      <c r="AC29" s="806">
        <v>46</v>
      </c>
      <c r="AD29" s="773">
        <v>4</v>
      </c>
      <c r="AE29" s="773">
        <v>2008</v>
      </c>
      <c r="BO29" s="773">
        <v>1927</v>
      </c>
      <c r="BP29" s="773" t="s">
        <v>7820</v>
      </c>
    </row>
    <row r="30" spans="1:68">
      <c r="A30" s="829" t="s">
        <v>9303</v>
      </c>
      <c r="B30" s="783"/>
      <c r="C30" s="783"/>
      <c r="D30" s="783"/>
      <c r="E30" s="783"/>
      <c r="F30" s="783"/>
      <c r="G30" s="827" t="str">
        <f ca="1">IF(I22&gt;3,VLOOKUP(I22-3,$A$124:$BM$131,$F$97+1,0),VLOOKUP(I22+3,$A$124:$BM$131,$F$97+1,0))</f>
        <v>Cửu ngũ: Cam tiết, cát. Vãng hữu thượng. </v>
      </c>
      <c r="H30" s="783"/>
      <c r="I30" s="783"/>
      <c r="J30" s="783"/>
      <c r="K30" s="783"/>
      <c r="L30" s="783"/>
      <c r="S30" s="773" t="s">
        <v>7889</v>
      </c>
      <c r="T30" s="773">
        <v>7</v>
      </c>
      <c r="U30" s="773">
        <v>7</v>
      </c>
      <c r="V30" s="773">
        <v>9</v>
      </c>
      <c r="W30" s="773">
        <f t="shared" si="0"/>
        <v>23</v>
      </c>
      <c r="X30" s="773">
        <v>30</v>
      </c>
      <c r="Y30" s="773" t="s">
        <v>6353</v>
      </c>
      <c r="Z30" s="773">
        <v>121121</v>
      </c>
      <c r="AA30" s="773" t="s">
        <v>6353</v>
      </c>
      <c r="AB30" s="773">
        <v>30</v>
      </c>
      <c r="AC30" s="806">
        <v>48</v>
      </c>
      <c r="AD30" s="773">
        <v>4</v>
      </c>
      <c r="AE30" s="773">
        <v>2009</v>
      </c>
      <c r="BO30" s="773">
        <v>1928</v>
      </c>
      <c r="BP30" s="773" t="s">
        <v>7822</v>
      </c>
    </row>
    <row r="31" spans="1:68">
      <c r="A31" s="816" t="str">
        <f ca="1">VLOOKUP(8,$A$124:$BM$131,$I$32+1,0)</f>
        <v>Mông: hanh, phỉ ngã cầu đồng mông, đồng mông cầu ngã. Sơ phệ cáo, tái tam độc, độc tắc bất cáo. Lợi trinh </v>
      </c>
      <c r="H31" s="773" t="s">
        <v>7854</v>
      </c>
      <c r="I31" s="796" t="s">
        <v>7814</v>
      </c>
      <c r="K31" s="817" t="s">
        <v>6688</v>
      </c>
      <c r="S31" s="773" t="s">
        <v>7890</v>
      </c>
      <c r="T31" s="773">
        <v>13</v>
      </c>
      <c r="U31" s="773">
        <v>11</v>
      </c>
      <c r="V31" s="773">
        <v>9</v>
      </c>
      <c r="W31" s="773">
        <f t="shared" si="0"/>
        <v>33</v>
      </c>
      <c r="X31" s="773">
        <v>31</v>
      </c>
      <c r="Y31" s="773" t="s">
        <v>1346</v>
      </c>
      <c r="Z31" s="773">
        <v>211122</v>
      </c>
      <c r="AA31" s="773" t="s">
        <v>1346</v>
      </c>
      <c r="AB31" s="773">
        <v>31</v>
      </c>
      <c r="AC31" s="806">
        <v>28</v>
      </c>
      <c r="AD31" s="773">
        <v>4</v>
      </c>
      <c r="AE31" s="773">
        <v>2010</v>
      </c>
      <c r="BO31" s="773">
        <v>1929</v>
      </c>
      <c r="BP31" s="773" t="s">
        <v>7823</v>
      </c>
    </row>
    <row r="32" spans="1:68">
      <c r="A32" s="816" t="str">
        <f ca="1">VLOOKUP(I33,$A$124:$BM$131,$I$32+1,0)</f>
        <v>Cửu nhị: Bao mông cát, nạp phụ cát, tử khắc gia.</v>
      </c>
      <c r="H32" s="772" t="s">
        <v>7857</v>
      </c>
      <c r="I32" s="791">
        <f ca="1">IF(I21+VLOOKUP(I31,S1:X60,6,0)&gt;64,I21+VLOOKUP(I31,S1:X60,6,0)-64,I21+VLOOKUP(I31,S1:X60,6,0))</f>
        <v>4</v>
      </c>
      <c r="J32" s="791" t="str">
        <f ca="1">VLOOKUP(I32,X1:Y64,2,0)</f>
        <v>Mông</v>
      </c>
      <c r="K32" s="791" t="str">
        <f ca="1">IF(I33=7,"không có",F102)</f>
        <v>23Bác</v>
      </c>
      <c r="S32" s="773" t="s">
        <v>7891</v>
      </c>
      <c r="T32" s="773">
        <v>13</v>
      </c>
      <c r="U32" s="773">
        <v>11</v>
      </c>
      <c r="V32" s="773">
        <v>15</v>
      </c>
      <c r="W32" s="773">
        <f t="shared" si="0"/>
        <v>39</v>
      </c>
      <c r="X32" s="773">
        <v>32</v>
      </c>
      <c r="Y32" s="773" t="s">
        <v>3199</v>
      </c>
      <c r="Z32" s="773">
        <v>221112</v>
      </c>
      <c r="AA32" s="773" t="s">
        <v>3199</v>
      </c>
      <c r="AB32" s="773">
        <v>32</v>
      </c>
      <c r="AC32" s="806">
        <v>17</v>
      </c>
      <c r="AD32" s="773">
        <v>4</v>
      </c>
      <c r="AE32" s="773">
        <v>2011</v>
      </c>
      <c r="BO32" s="773">
        <v>1930</v>
      </c>
      <c r="BP32" s="773" t="s">
        <v>7825</v>
      </c>
    </row>
    <row r="33" spans="1:68">
      <c r="A33" s="818" t="str">
        <f ca="1">IF(I33&gt;3,VLOOKUP(I33-3,$A$124:$BM$131,$I$32+1,0),VLOOKUP(I33+3,$A$124:$BM$131,$I$32+1,0))</f>
        <v>Lục ngũ: Đồng mông cát.</v>
      </c>
      <c r="H33" s="773" t="s">
        <v>7839</v>
      </c>
      <c r="I33" s="802">
        <f ca="1">IF(AND(A167=1,A174=0),7,IF(AND(A167=2,A174=1),7,IF(A174=1,VLOOKUP(E174,D167:G172,4,0),VLOOKUP(E174,F167:G172,2,0))))</f>
        <v>2</v>
      </c>
      <c r="J33" s="802" t="str">
        <f ca="1">IF(A167=1,"dương",IF(A167=2,"âm",IF(A174=0,"âm","dương")))</f>
        <v>dương</v>
      </c>
      <c r="K33" s="802"/>
      <c r="S33" s="773" t="s">
        <v>7892</v>
      </c>
      <c r="T33" s="773">
        <v>9</v>
      </c>
      <c r="U33" s="773">
        <v>9</v>
      </c>
      <c r="V33" s="773">
        <v>13</v>
      </c>
      <c r="W33" s="773">
        <f t="shared" si="0"/>
        <v>31</v>
      </c>
      <c r="X33" s="773">
        <v>33</v>
      </c>
      <c r="Y33" s="773" t="s">
        <v>1486</v>
      </c>
      <c r="Z33" s="773">
        <v>111122</v>
      </c>
      <c r="AA33" s="773" t="s">
        <v>1486</v>
      </c>
      <c r="AB33" s="773">
        <v>33</v>
      </c>
      <c r="AC33" s="806">
        <v>57</v>
      </c>
      <c r="AD33" s="773">
        <v>5</v>
      </c>
      <c r="AE33" s="773">
        <v>2012</v>
      </c>
      <c r="BO33" s="773">
        <v>1931</v>
      </c>
      <c r="BP33" s="773" t="s">
        <v>7827</v>
      </c>
    </row>
    <row r="34" spans="1:68">
      <c r="A34" s="772" t="s">
        <v>6694</v>
      </c>
      <c r="B34" s="772" t="str">
        <f>A172</f>
        <v>tý</v>
      </c>
      <c r="D34" s="772" t="s">
        <v>6691</v>
      </c>
      <c r="J34" s="772" t="s">
        <v>6695</v>
      </c>
      <c r="R34" s="773">
        <v>6</v>
      </c>
      <c r="S34" s="773" t="s">
        <v>7893</v>
      </c>
      <c r="T34" s="773">
        <v>9</v>
      </c>
      <c r="U34" s="773">
        <v>9</v>
      </c>
      <c r="V34" s="773">
        <v>13</v>
      </c>
      <c r="W34" s="773">
        <f t="shared" si="0"/>
        <v>31</v>
      </c>
      <c r="X34" s="773">
        <v>34</v>
      </c>
      <c r="Y34" s="773" t="s">
        <v>7894</v>
      </c>
      <c r="Z34" s="773">
        <v>221111</v>
      </c>
      <c r="AA34" s="773" t="s">
        <v>7894</v>
      </c>
      <c r="AB34" s="773">
        <v>34</v>
      </c>
      <c r="AC34" s="806">
        <v>9</v>
      </c>
      <c r="AD34" s="773">
        <v>5</v>
      </c>
      <c r="AE34" s="773">
        <v>2013</v>
      </c>
      <c r="BO34" s="773">
        <v>1932</v>
      </c>
      <c r="BP34" s="773" t="s">
        <v>7829</v>
      </c>
    </row>
    <row r="35" spans="1:68">
      <c r="A35" s="821" t="str">
        <f ca="1">VLOOKUP(7,$A$117:$BM$123,$I$32+1,0)</f>
        <v>SƠN THUỶ MÔNG </v>
      </c>
      <c r="B35" s="802"/>
      <c r="D35" s="802" t="str">
        <f ca="1">M86</f>
        <v>SƠN ĐỊA BÁC </v>
      </c>
      <c r="E35" s="802"/>
      <c r="F35" s="822" t="str">
        <f ca="1">VLOOKUP(8,$A$124:$BM$131,$F$100+1,0)</f>
        <v>Bác: Bất lợi hữu du vãng.</v>
      </c>
      <c r="J35" s="773" t="s">
        <v>6696</v>
      </c>
      <c r="K35" s="802">
        <f ca="1">IF(I32+K75&gt;64,I32+K75-64,I32+K75)</f>
        <v>5</v>
      </c>
      <c r="L35" s="791" t="str">
        <f t="shared" ref="L35:L40" ca="1" si="7">VLOOKUP(K35,$X$1:$Y$64,2,0)</f>
        <v>Nhu</v>
      </c>
      <c r="M35" s="773" t="s">
        <v>6697</v>
      </c>
      <c r="N35" s="802">
        <f t="shared" ref="N35:N40" ca="1" si="8">IF($I$32+K81&gt;64,$I$32+K81-64,$I$32+K81)</f>
        <v>11</v>
      </c>
      <c r="O35" s="791" t="str">
        <f t="shared" ref="O35:O40" ca="1" si="9">VLOOKUP(N35,$X$1:$Y$64,2,0)</f>
        <v>Thái</v>
      </c>
      <c r="R35" s="773">
        <v>5</v>
      </c>
      <c r="S35" s="773" t="s">
        <v>7895</v>
      </c>
      <c r="T35" s="773">
        <v>11</v>
      </c>
      <c r="U35" s="773">
        <v>15</v>
      </c>
      <c r="V35" s="773">
        <v>15</v>
      </c>
      <c r="W35" s="773">
        <f t="shared" si="0"/>
        <v>41</v>
      </c>
      <c r="X35" s="773">
        <v>35</v>
      </c>
      <c r="Y35" s="773" t="s">
        <v>5986</v>
      </c>
      <c r="Z35" s="773">
        <v>121222</v>
      </c>
      <c r="AA35" s="773" t="s">
        <v>5986</v>
      </c>
      <c r="AB35" s="773">
        <v>35</v>
      </c>
      <c r="AC35" s="806">
        <v>37</v>
      </c>
      <c r="AD35" s="773">
        <v>5</v>
      </c>
      <c r="AE35" s="773">
        <v>2014</v>
      </c>
      <c r="BO35" s="773">
        <v>1933</v>
      </c>
      <c r="BP35" s="773" t="s">
        <v>7831</v>
      </c>
    </row>
    <row r="36" spans="1:68">
      <c r="A36" s="830" t="str">
        <f ca="1">VLOOKUP(1,$A$117:$BM$123,$I$32+1,0)</f>
        <v>Phụ Mẫu Dần Mộc </v>
      </c>
      <c r="B36" s="824"/>
      <c r="C36" s="825" t="str">
        <f t="shared" ref="C36:C41" ca="1" si="10">IF($I$33=R40,"X"," ")</f>
        <v xml:space="preserve"> </v>
      </c>
      <c r="D36" s="824" t="str">
        <f t="shared" ref="D36:D41" ca="1" si="11">T87</f>
        <v>Phụ Mẫu Dần Mộc</v>
      </c>
      <c r="F36" s="816" t="str">
        <f t="shared" ref="F36:F41" ca="1" si="12">IF($I$33=R40,VLOOKUP($I$33,$A$124:$BM$131,$F$100+1,0)," ")</f>
        <v xml:space="preserve"> </v>
      </c>
      <c r="J36" s="773" t="s">
        <v>6698</v>
      </c>
      <c r="K36" s="802">
        <f ca="1">IF($I$32+K76&gt;64,$I$32+K76-64,$I$32+K76)</f>
        <v>6</v>
      </c>
      <c r="L36" s="791" t="str">
        <f t="shared" ca="1" si="7"/>
        <v>Tụng</v>
      </c>
      <c r="M36" s="773" t="s">
        <v>6699</v>
      </c>
      <c r="N36" s="802">
        <f t="shared" ca="1" si="8"/>
        <v>12</v>
      </c>
      <c r="O36" s="791" t="str">
        <f t="shared" ca="1" si="9"/>
        <v>Bĩ</v>
      </c>
      <c r="R36" s="773">
        <v>4</v>
      </c>
      <c r="S36" s="773" t="s">
        <v>7897</v>
      </c>
      <c r="T36" s="773">
        <v>11</v>
      </c>
      <c r="U36" s="773">
        <v>15</v>
      </c>
      <c r="V36" s="773">
        <v>7</v>
      </c>
      <c r="W36" s="773">
        <f t="shared" si="0"/>
        <v>33</v>
      </c>
      <c r="X36" s="773">
        <v>36</v>
      </c>
      <c r="Y36" s="773" t="s">
        <v>7898</v>
      </c>
      <c r="Z36" s="773">
        <v>222121</v>
      </c>
      <c r="AA36" s="773" t="s">
        <v>7898</v>
      </c>
      <c r="AB36" s="773">
        <v>36</v>
      </c>
      <c r="AC36" s="806">
        <v>42</v>
      </c>
      <c r="AD36" s="773">
        <v>5</v>
      </c>
      <c r="AE36" s="773" t="e">
        <f>#REF!</f>
        <v>#REF!</v>
      </c>
      <c r="BO36" s="773">
        <v>1934</v>
      </c>
      <c r="BP36" s="773" t="s">
        <v>7835</v>
      </c>
    </row>
    <row r="37" spans="1:68" s="783" customFormat="1">
      <c r="A37" s="830" t="str">
        <f ca="1">VLOOKUP(2,$A$117:$BM$123,$I$32+1,0)</f>
        <v>Quan Quỷ Tý Thủy </v>
      </c>
      <c r="B37" s="824"/>
      <c r="C37" s="825" t="str">
        <f t="shared" ca="1" si="10"/>
        <v xml:space="preserve"> </v>
      </c>
      <c r="D37" s="824" t="str">
        <f t="shared" ca="1" si="11"/>
        <v>Quan Quỷ Tý Thủy</v>
      </c>
      <c r="E37" s="773"/>
      <c r="F37" s="816" t="str">
        <f t="shared" ca="1" si="12"/>
        <v xml:space="preserve"> </v>
      </c>
      <c r="G37" s="773"/>
      <c r="H37" s="773"/>
      <c r="I37" s="773"/>
      <c r="J37" s="773" t="s">
        <v>6700</v>
      </c>
      <c r="K37" s="802">
        <f ca="1">IF($I$32+K77&gt;64,$I$32+K77-64,$I$32+K77)</f>
        <v>7</v>
      </c>
      <c r="L37" s="791" t="str">
        <f t="shared" ca="1" si="7"/>
        <v>Sư</v>
      </c>
      <c r="M37" s="773" t="s">
        <v>6701</v>
      </c>
      <c r="N37" s="802">
        <f t="shared" ca="1" si="8"/>
        <v>13</v>
      </c>
      <c r="O37" s="791" t="str">
        <f t="shared" ca="1" si="9"/>
        <v>Đồng nhân</v>
      </c>
      <c r="R37" s="783">
        <v>3</v>
      </c>
      <c r="S37" s="783" t="s">
        <v>7899</v>
      </c>
      <c r="T37" s="783">
        <v>15</v>
      </c>
      <c r="U37" s="783">
        <v>13</v>
      </c>
      <c r="V37" s="783">
        <v>7</v>
      </c>
      <c r="W37" s="783">
        <f t="shared" si="0"/>
        <v>35</v>
      </c>
      <c r="X37" s="783">
        <v>37</v>
      </c>
      <c r="Y37" s="783" t="s">
        <v>7900</v>
      </c>
      <c r="Z37" s="783">
        <v>112121</v>
      </c>
      <c r="AA37" s="783" t="s">
        <v>7900</v>
      </c>
      <c r="AB37" s="783">
        <v>37</v>
      </c>
      <c r="AC37" s="828">
        <v>25</v>
      </c>
      <c r="AD37" s="783">
        <v>5</v>
      </c>
      <c r="BO37" s="783">
        <v>1935</v>
      </c>
      <c r="BP37" s="783" t="s">
        <v>7838</v>
      </c>
    </row>
    <row r="38" spans="1:68">
      <c r="A38" s="830" t="str">
        <f ca="1">VLOOKUP(3,$A$117:$BM$123,$I$32+1,0)</f>
        <v>Tử Tôn Tuất Thổ (Thế) </v>
      </c>
      <c r="B38" s="824"/>
      <c r="C38" s="825" t="str">
        <f t="shared" ca="1" si="10"/>
        <v xml:space="preserve"> </v>
      </c>
      <c r="D38" s="824" t="str">
        <f t="shared" ca="1" si="11"/>
        <v>Tử Tôn Tuất Thổ</v>
      </c>
      <c r="F38" s="816" t="str">
        <f t="shared" ca="1" si="12"/>
        <v xml:space="preserve"> </v>
      </c>
      <c r="J38" s="773" t="s">
        <v>6702</v>
      </c>
      <c r="K38" s="802">
        <f ca="1">IF($I$32+K78&gt;64,$I$32+K78-64,$I$32+K78)</f>
        <v>8</v>
      </c>
      <c r="L38" s="791" t="str">
        <f t="shared" ca="1" si="7"/>
        <v>Tỉ</v>
      </c>
      <c r="M38" s="773" t="s">
        <v>6703</v>
      </c>
      <c r="N38" s="802">
        <f t="shared" ca="1" si="8"/>
        <v>14</v>
      </c>
      <c r="O38" s="791" t="str">
        <f t="shared" ca="1" si="9"/>
        <v>Đại hữu</v>
      </c>
      <c r="R38" s="773">
        <v>2</v>
      </c>
      <c r="S38" s="773" t="s">
        <v>7901</v>
      </c>
      <c r="T38" s="773">
        <v>15</v>
      </c>
      <c r="U38" s="773">
        <v>13</v>
      </c>
      <c r="V38" s="773">
        <v>15</v>
      </c>
      <c r="W38" s="773">
        <f t="shared" si="0"/>
        <v>43</v>
      </c>
      <c r="X38" s="773">
        <v>38</v>
      </c>
      <c r="Y38" s="773" t="s">
        <v>7902</v>
      </c>
      <c r="Z38" s="773">
        <v>121211</v>
      </c>
      <c r="AA38" s="773" t="s">
        <v>7902</v>
      </c>
      <c r="AB38" s="773">
        <v>38</v>
      </c>
      <c r="AC38" s="806">
        <v>21</v>
      </c>
      <c r="AD38" s="773">
        <v>5</v>
      </c>
      <c r="BO38" s="773">
        <v>1936</v>
      </c>
      <c r="BP38" s="773" t="s">
        <v>7840</v>
      </c>
    </row>
    <row r="39" spans="1:68">
      <c r="A39" s="830" t="str">
        <f ca="1">VLOOKUP(4,$A$117:$BM$123,$I$32+1,0)</f>
        <v>Huynh Đệ Ngọ Hỏa </v>
      </c>
      <c r="B39" s="824"/>
      <c r="C39" s="825" t="str">
        <f t="shared" ca="1" si="10"/>
        <v xml:space="preserve"> </v>
      </c>
      <c r="D39" s="824" t="str">
        <f t="shared" ca="1" si="11"/>
        <v>Phụ Mẫu Mão Mộc</v>
      </c>
      <c r="F39" s="816" t="str">
        <f t="shared" ca="1" si="12"/>
        <v xml:space="preserve"> </v>
      </c>
      <c r="J39" s="773" t="s">
        <v>6704</v>
      </c>
      <c r="K39" s="802">
        <f ca="1">IF($I$32+K79&gt;64,$I$32+K79-64,$I$32+K79)</f>
        <v>9</v>
      </c>
      <c r="L39" s="791" t="str">
        <f t="shared" ca="1" si="7"/>
        <v>Tiểu súc</v>
      </c>
      <c r="M39" s="773" t="s">
        <v>6705</v>
      </c>
      <c r="N39" s="802">
        <f t="shared" ca="1" si="8"/>
        <v>15</v>
      </c>
      <c r="O39" s="791" t="str">
        <f t="shared" ca="1" si="9"/>
        <v>Khiêm</v>
      </c>
      <c r="R39" s="773">
        <v>1</v>
      </c>
      <c r="S39" s="773" t="s">
        <v>7903</v>
      </c>
      <c r="T39" s="773">
        <v>13</v>
      </c>
      <c r="U39" s="773">
        <v>7</v>
      </c>
      <c r="V39" s="773">
        <v>11</v>
      </c>
      <c r="W39" s="773">
        <f t="shared" si="0"/>
        <v>31</v>
      </c>
      <c r="X39" s="773">
        <v>39</v>
      </c>
      <c r="Y39" s="773" t="s">
        <v>5977</v>
      </c>
      <c r="Z39" s="773">
        <v>212122</v>
      </c>
      <c r="AA39" s="773" t="s">
        <v>5977</v>
      </c>
      <c r="AB39" s="773">
        <v>39</v>
      </c>
      <c r="AC39" s="806">
        <v>27</v>
      </c>
      <c r="AD39" s="773">
        <v>5</v>
      </c>
      <c r="BO39" s="773">
        <v>1937</v>
      </c>
      <c r="BP39" s="773" t="s">
        <v>7842</v>
      </c>
    </row>
    <row r="40" spans="1:68">
      <c r="A40" s="830" t="str">
        <f ca="1">VLOOKUP(5,$A$117:$BM$123,$I$32+1,0)</f>
        <v>Tử Tôn Thìn Thổ </v>
      </c>
      <c r="B40" s="824"/>
      <c r="C40" s="825" t="str">
        <f t="shared" ca="1" si="10"/>
        <v>X</v>
      </c>
      <c r="D40" s="824" t="str">
        <f t="shared" ca="1" si="11"/>
        <v>Huynh Đệ Tỵ Hỏa</v>
      </c>
      <c r="F40" s="816" t="str">
        <f t="shared" ca="1" si="12"/>
        <v>Lục nhị: Bác sàng dĩ biện, miệt trinh, hung.</v>
      </c>
      <c r="J40" s="773" t="s">
        <v>6706</v>
      </c>
      <c r="K40" s="802">
        <f ca="1">IF($I$32+K80&gt;64,$I$32+K80-64,$I$32+K80)</f>
        <v>10</v>
      </c>
      <c r="L40" s="791" t="str">
        <f t="shared" ca="1" si="7"/>
        <v>Lý</v>
      </c>
      <c r="M40" s="773" t="s">
        <v>6707</v>
      </c>
      <c r="N40" s="802">
        <f t="shared" ca="1" si="8"/>
        <v>16</v>
      </c>
      <c r="O40" s="791" t="str">
        <f t="shared" ca="1" si="9"/>
        <v>Dự</v>
      </c>
      <c r="R40" s="773">
        <v>6</v>
      </c>
      <c r="S40" s="773" t="s">
        <v>7904</v>
      </c>
      <c r="T40" s="773">
        <v>13</v>
      </c>
      <c r="U40" s="773">
        <v>7</v>
      </c>
      <c r="V40" s="773">
        <v>11</v>
      </c>
      <c r="W40" s="773">
        <f t="shared" si="0"/>
        <v>31</v>
      </c>
      <c r="X40" s="773">
        <v>40</v>
      </c>
      <c r="Y40" s="773" t="s">
        <v>1478</v>
      </c>
      <c r="Z40" s="773">
        <v>221212</v>
      </c>
      <c r="AA40" s="773" t="s">
        <v>1478</v>
      </c>
      <c r="AB40" s="773">
        <v>40</v>
      </c>
      <c r="AC40" s="806">
        <v>18</v>
      </c>
      <c r="AD40" s="773">
        <v>5</v>
      </c>
      <c r="BO40" s="773">
        <v>1938</v>
      </c>
      <c r="BP40" s="773" t="s">
        <v>7846</v>
      </c>
    </row>
    <row r="41" spans="1:68">
      <c r="A41" s="830" t="str">
        <f ca="1">VLOOKUP(6,$A$117:$BM$123,$I$32+1,0)</f>
        <v>Phu Mẫu Dần Mộc (Ứng) </v>
      </c>
      <c r="B41" s="824"/>
      <c r="C41" s="825" t="str">
        <f t="shared" ca="1" si="10"/>
        <v xml:space="preserve"> </v>
      </c>
      <c r="D41" s="824" t="str">
        <f t="shared" ca="1" si="11"/>
        <v>Tử Tôn Mùi Thổ</v>
      </c>
      <c r="F41" s="816" t="str">
        <f t="shared" ca="1" si="12"/>
        <v xml:space="preserve"> </v>
      </c>
      <c r="R41" s="773">
        <v>5</v>
      </c>
      <c r="S41" s="773" t="s">
        <v>7905</v>
      </c>
      <c r="T41" s="773">
        <v>9</v>
      </c>
      <c r="U41" s="773">
        <v>11</v>
      </c>
      <c r="V41" s="773">
        <v>15</v>
      </c>
      <c r="W41" s="773">
        <f t="shared" si="0"/>
        <v>35</v>
      </c>
      <c r="X41" s="773">
        <v>41</v>
      </c>
      <c r="Y41" s="773" t="s">
        <v>458</v>
      </c>
      <c r="Z41" s="773">
        <v>122211</v>
      </c>
      <c r="AA41" s="773" t="s">
        <v>458</v>
      </c>
      <c r="AB41" s="773">
        <v>41</v>
      </c>
      <c r="AC41" s="806">
        <v>29</v>
      </c>
      <c r="AD41" s="773">
        <v>6</v>
      </c>
      <c r="BO41" s="773">
        <v>1939</v>
      </c>
      <c r="BP41" s="773" t="s">
        <v>7848</v>
      </c>
    </row>
    <row r="42" spans="1:68" s="783" customFormat="1">
      <c r="F42" s="827" t="str">
        <f ca="1">IF(I33&gt;3,VLOOKUP(I33-3,$A$124:$BM$131,$F$100+1,0),VLOOKUP(I33+3,$A$124:$BM$131,$F$100+1,0))</f>
        <v>Lục ngũ: Quán ngư, dĩ cung nhân sủng, vô bất lợi.</v>
      </c>
      <c r="R42" s="783">
        <v>4</v>
      </c>
      <c r="S42" s="783" t="s">
        <v>7906</v>
      </c>
      <c r="T42" s="783">
        <v>9</v>
      </c>
      <c r="U42" s="783">
        <v>11</v>
      </c>
      <c r="V42" s="783">
        <v>9</v>
      </c>
      <c r="W42" s="783">
        <f t="shared" si="0"/>
        <v>29</v>
      </c>
      <c r="X42" s="783">
        <v>42</v>
      </c>
      <c r="Y42" s="783" t="s">
        <v>3034</v>
      </c>
      <c r="Z42" s="783">
        <v>112221</v>
      </c>
      <c r="AA42" s="783" t="s">
        <v>3034</v>
      </c>
      <c r="AB42" s="783">
        <v>42</v>
      </c>
      <c r="AC42" s="828">
        <v>60</v>
      </c>
      <c r="AD42" s="783">
        <v>6</v>
      </c>
      <c r="BO42" s="783">
        <v>1940</v>
      </c>
      <c r="BP42" s="783" t="s">
        <v>7850</v>
      </c>
    </row>
    <row r="43" spans="1:68">
      <c r="R43" s="773">
        <v>3</v>
      </c>
      <c r="S43" s="773" t="s">
        <v>7907</v>
      </c>
      <c r="T43" s="773">
        <v>7</v>
      </c>
      <c r="U43" s="773">
        <v>9</v>
      </c>
      <c r="V43" s="773">
        <v>9</v>
      </c>
      <c r="W43" s="773">
        <f t="shared" si="0"/>
        <v>25</v>
      </c>
      <c r="X43" s="773">
        <v>43</v>
      </c>
      <c r="Y43" s="773" t="s">
        <v>457</v>
      </c>
      <c r="Z43" s="773">
        <v>211111</v>
      </c>
      <c r="AA43" s="773" t="s">
        <v>457</v>
      </c>
      <c r="AB43" s="773">
        <v>43</v>
      </c>
      <c r="AC43" s="806">
        <v>3</v>
      </c>
      <c r="AD43" s="773">
        <v>6</v>
      </c>
      <c r="BO43" s="773">
        <v>1941</v>
      </c>
      <c r="BP43" s="773" t="s">
        <v>7852</v>
      </c>
    </row>
    <row r="44" spans="1:68">
      <c r="A44" s="772" t="s">
        <v>6708</v>
      </c>
      <c r="B44" s="791" t="str">
        <f>VLOOKUP(A45,X1:Y64,2,0)</f>
        <v>Càn</v>
      </c>
      <c r="C44" s="802"/>
      <c r="D44" s="772" t="s">
        <v>6691</v>
      </c>
      <c r="E44" s="791" t="str">
        <f>L107</f>
        <v>Đỉnh</v>
      </c>
      <c r="F44" s="802"/>
      <c r="G44" s="822" t="str">
        <f>VLOOKUP(8,$A$124:$BM$131,$L$108+1,0)</f>
        <v>Ðỉnh: Nguyên cát, hanh. </v>
      </c>
      <c r="R44" s="773">
        <v>2</v>
      </c>
      <c r="S44" s="773" t="s">
        <v>7908</v>
      </c>
      <c r="T44" s="773">
        <v>7</v>
      </c>
      <c r="U44" s="773">
        <v>9</v>
      </c>
      <c r="V44" s="773">
        <v>15</v>
      </c>
      <c r="W44" s="773">
        <f t="shared" si="0"/>
        <v>31</v>
      </c>
      <c r="X44" s="773">
        <v>44</v>
      </c>
      <c r="Y44" s="773" t="s">
        <v>3193</v>
      </c>
      <c r="Z44" s="773">
        <v>111112</v>
      </c>
      <c r="AA44" s="773" t="s">
        <v>3193</v>
      </c>
      <c r="AB44" s="773">
        <v>44</v>
      </c>
      <c r="AC44" s="806">
        <v>63</v>
      </c>
      <c r="AD44" s="773">
        <v>6</v>
      </c>
      <c r="BO44" s="773">
        <v>1942</v>
      </c>
      <c r="BP44" s="773" t="s">
        <v>7855</v>
      </c>
    </row>
    <row r="45" spans="1:68">
      <c r="A45" s="796">
        <v>1</v>
      </c>
      <c r="B45" s="831" t="str">
        <f>VLOOKUP(1,$A$117:$BM$123,$A$45+1,0)</f>
        <v>Phụ Mẫu Tuất Thổ (Thế) </v>
      </c>
      <c r="D45" s="825" t="str">
        <f t="shared" ref="D45:D50" si="13">IF(OR($A$46=R34,$A$47=R34,$A$48=R34,$A$49=R34,$A$50=R34,$A$51=R34),"X"," ")</f>
        <v xml:space="preserve"> </v>
      </c>
      <c r="E45" s="773" t="str">
        <f t="shared" ref="E45:E50" si="14">T95</f>
        <v>Quan Quỷ Tỵ Hỏa</v>
      </c>
      <c r="G45" s="816" t="str">
        <f t="shared" ref="G45:G50" si="15">IF(OR($A$46=R34,$A$47=R34,$A$48=R34,$A$49=R34,$A$50=R34,$A$51=R34),VLOOKUP(R34,$A$124:$BM$131,$L$108+1,0)," ")</f>
        <v xml:space="preserve"> </v>
      </c>
      <c r="R45" s="773">
        <v>1</v>
      </c>
      <c r="S45" s="773" t="s">
        <v>7909</v>
      </c>
      <c r="T45" s="773">
        <v>15</v>
      </c>
      <c r="U45" s="773">
        <v>15</v>
      </c>
      <c r="V45" s="773">
        <v>13</v>
      </c>
      <c r="W45" s="773">
        <f t="shared" si="0"/>
        <v>43</v>
      </c>
      <c r="X45" s="773">
        <v>45</v>
      </c>
      <c r="Y45" s="773" t="s">
        <v>5988</v>
      </c>
      <c r="Z45" s="773">
        <v>211222</v>
      </c>
      <c r="AA45" s="773" t="s">
        <v>5988</v>
      </c>
      <c r="AB45" s="773">
        <v>45</v>
      </c>
      <c r="AC45" s="806">
        <v>49</v>
      </c>
      <c r="AD45" s="773">
        <v>6</v>
      </c>
      <c r="BO45" s="773">
        <v>1943</v>
      </c>
      <c r="BP45" s="773" t="s">
        <v>7858</v>
      </c>
    </row>
    <row r="46" spans="1:68">
      <c r="A46" s="832">
        <v>5</v>
      </c>
      <c r="B46" s="831" t="str">
        <f>VLOOKUP(2,$A$117:$BM$123,$A$45+1,0)</f>
        <v>Huynh Đệ Thân Kim </v>
      </c>
      <c r="D46" s="825" t="str">
        <f t="shared" si="13"/>
        <v>X</v>
      </c>
      <c r="E46" s="773" t="str">
        <f t="shared" si="14"/>
        <v>Phụ Mẫu Mùi Thổ</v>
      </c>
      <c r="G46" s="816" t="str">
        <f t="shared" si="15"/>
        <v>Lục ngũ: Đỉnh hoàng nhĩ, kim huyễn, lợi trinh. </v>
      </c>
      <c r="S46" s="773" t="s">
        <v>7910</v>
      </c>
      <c r="T46" s="773">
        <v>15</v>
      </c>
      <c r="U46" s="773">
        <v>15</v>
      </c>
      <c r="V46" s="773">
        <v>13</v>
      </c>
      <c r="W46" s="773">
        <f t="shared" si="0"/>
        <v>43</v>
      </c>
      <c r="X46" s="773">
        <v>46</v>
      </c>
      <c r="Y46" s="773" t="s">
        <v>841</v>
      </c>
      <c r="Z46" s="773">
        <v>222112</v>
      </c>
      <c r="AA46" s="773" t="s">
        <v>841</v>
      </c>
      <c r="AB46" s="773">
        <v>46</v>
      </c>
      <c r="AC46" s="806">
        <v>55</v>
      </c>
      <c r="AD46" s="773">
        <v>6</v>
      </c>
      <c r="BO46" s="773">
        <v>1944</v>
      </c>
      <c r="BP46" s="773" t="s">
        <v>7862</v>
      </c>
    </row>
    <row r="47" spans="1:68">
      <c r="A47" s="832">
        <v>1</v>
      </c>
      <c r="B47" s="831" t="str">
        <f>VLOOKUP(3,$A$117:$BM$123,$A$45+1,0)</f>
        <v>Quan Quỷ Ngọ Hỏa </v>
      </c>
      <c r="D47" s="825" t="str">
        <f t="shared" si="13"/>
        <v xml:space="preserve"> </v>
      </c>
      <c r="E47" s="773" t="str">
        <f t="shared" si="14"/>
        <v>Huynh Đệ Dậu Kim</v>
      </c>
      <c r="G47" s="816" t="str">
        <f t="shared" si="15"/>
        <v xml:space="preserve"> </v>
      </c>
      <c r="S47" s="773" t="s">
        <v>7913</v>
      </c>
      <c r="T47" s="773">
        <v>13</v>
      </c>
      <c r="U47" s="773">
        <v>13</v>
      </c>
      <c r="V47" s="773">
        <v>15</v>
      </c>
      <c r="W47" s="773">
        <f t="shared" si="0"/>
        <v>41</v>
      </c>
      <c r="X47" s="773">
        <v>47</v>
      </c>
      <c r="Y47" s="773" t="s">
        <v>1482</v>
      </c>
      <c r="Z47" s="773">
        <v>211212</v>
      </c>
      <c r="AA47" s="773" t="s">
        <v>1482</v>
      </c>
      <c r="AB47" s="773">
        <v>47</v>
      </c>
      <c r="AC47" s="806">
        <v>36</v>
      </c>
      <c r="AD47" s="773">
        <v>6</v>
      </c>
      <c r="BO47" s="773">
        <v>1945</v>
      </c>
      <c r="BP47" s="773" t="s">
        <v>7864</v>
      </c>
    </row>
    <row r="48" spans="1:68">
      <c r="A48" s="832"/>
      <c r="B48" s="831" t="str">
        <f>VLOOKUP(4,$A$117:$BM$123,$A$45+1,0)</f>
        <v>Phụ Mẫu Thìn Thổ (Ứng) </v>
      </c>
      <c r="D48" s="825" t="str">
        <f t="shared" si="13"/>
        <v xml:space="preserve"> </v>
      </c>
      <c r="E48" s="773" t="str">
        <f t="shared" si="14"/>
        <v>Huynh Đệ Dậu Kim</v>
      </c>
      <c r="G48" s="816" t="str">
        <f t="shared" si="15"/>
        <v xml:space="preserve"> </v>
      </c>
      <c r="S48" s="773" t="s">
        <v>7914</v>
      </c>
      <c r="T48" s="773">
        <v>13</v>
      </c>
      <c r="U48" s="773">
        <v>13</v>
      </c>
      <c r="V48" s="773">
        <v>7</v>
      </c>
      <c r="W48" s="773">
        <f t="shared" si="0"/>
        <v>33</v>
      </c>
      <c r="X48" s="773">
        <v>48</v>
      </c>
      <c r="Y48" s="773" t="s">
        <v>837</v>
      </c>
      <c r="Z48" s="773">
        <v>212112</v>
      </c>
      <c r="AA48" s="773" t="s">
        <v>837</v>
      </c>
      <c r="AB48" s="773">
        <v>48</v>
      </c>
      <c r="AC48" s="806">
        <v>7</v>
      </c>
      <c r="AD48" s="773">
        <v>6</v>
      </c>
      <c r="BO48" s="773">
        <v>1946</v>
      </c>
      <c r="BP48" s="773" t="s">
        <v>7866</v>
      </c>
    </row>
    <row r="49" spans="1:68">
      <c r="A49" s="832"/>
      <c r="B49" s="831" t="str">
        <f>VLOOKUP(5,$A$117:$BM$123,$A$45+1,0)</f>
        <v>Thê Tài Dần Mộc </v>
      </c>
      <c r="D49" s="825" t="str">
        <f t="shared" si="13"/>
        <v xml:space="preserve"> </v>
      </c>
      <c r="E49" s="773" t="str">
        <f t="shared" si="14"/>
        <v>Tử Tôn Hợi Thủy</v>
      </c>
      <c r="G49" s="816" t="str">
        <f t="shared" si="15"/>
        <v xml:space="preserve"> </v>
      </c>
      <c r="S49" s="773" t="s">
        <v>7915</v>
      </c>
      <c r="T49" s="773">
        <v>11</v>
      </c>
      <c r="U49" s="773">
        <v>7</v>
      </c>
      <c r="V49" s="773">
        <v>7</v>
      </c>
      <c r="W49" s="773">
        <f t="shared" si="0"/>
        <v>25</v>
      </c>
      <c r="X49" s="773">
        <v>49</v>
      </c>
      <c r="Y49" s="773" t="s">
        <v>6351</v>
      </c>
      <c r="Z49" s="773">
        <v>211121</v>
      </c>
      <c r="AA49" s="773" t="s">
        <v>6351</v>
      </c>
      <c r="AB49" s="773">
        <v>49</v>
      </c>
      <c r="AC49" s="806">
        <v>52</v>
      </c>
      <c r="AD49" s="773">
        <v>7</v>
      </c>
      <c r="BO49" s="773">
        <v>1947</v>
      </c>
      <c r="BP49" s="773" t="s">
        <v>7867</v>
      </c>
    </row>
    <row r="50" spans="1:68">
      <c r="A50" s="832"/>
      <c r="B50" s="831" t="str">
        <f>VLOOKUP(6,$A$117:$BM$123,$A$45+1,0)</f>
        <v>Tử Tôn Tý Thủy </v>
      </c>
      <c r="D50" s="825" t="str">
        <f t="shared" si="13"/>
        <v>X</v>
      </c>
      <c r="E50" s="773" t="str">
        <f t="shared" si="14"/>
        <v>Phụ Mẫu Sửu Thổ</v>
      </c>
      <c r="G50" s="816" t="str">
        <f t="shared" si="15"/>
        <v>Sơ lục: Đỉnh điên chỉ, lợi xuất bĩ, đắc thiếp, dĩ kì tử, vô cữu.</v>
      </c>
      <c r="S50" s="773" t="s">
        <v>7916</v>
      </c>
      <c r="T50" s="773">
        <v>11</v>
      </c>
      <c r="U50" s="773">
        <v>7</v>
      </c>
      <c r="V50" s="773">
        <v>15</v>
      </c>
      <c r="W50" s="773">
        <f t="shared" si="0"/>
        <v>33</v>
      </c>
      <c r="X50" s="773">
        <v>50</v>
      </c>
      <c r="Y50" s="773" t="s">
        <v>3197</v>
      </c>
      <c r="Z50" s="773">
        <v>121112</v>
      </c>
      <c r="AA50" s="773" t="s">
        <v>3197</v>
      </c>
      <c r="AB50" s="773">
        <v>50</v>
      </c>
      <c r="AC50" s="806">
        <v>22</v>
      </c>
      <c r="AD50" s="773">
        <v>7</v>
      </c>
      <c r="BO50" s="773">
        <v>1948</v>
      </c>
      <c r="BP50" s="773" t="s">
        <v>7869</v>
      </c>
    </row>
    <row r="51" spans="1:68">
      <c r="A51" s="832"/>
      <c r="J51" s="773" t="s">
        <v>6709</v>
      </c>
      <c r="K51" s="773" t="s">
        <v>6710</v>
      </c>
      <c r="L51" s="773">
        <v>2</v>
      </c>
      <c r="M51" s="773">
        <v>3</v>
      </c>
      <c r="N51" s="773">
        <v>4</v>
      </c>
      <c r="O51" s="773">
        <v>5</v>
      </c>
      <c r="P51" s="773">
        <v>6</v>
      </c>
      <c r="Q51" s="773">
        <v>7</v>
      </c>
      <c r="R51" s="773">
        <v>8</v>
      </c>
      <c r="S51" s="773" t="s">
        <v>7917</v>
      </c>
      <c r="T51" s="773">
        <v>7</v>
      </c>
      <c r="U51" s="773">
        <v>11</v>
      </c>
      <c r="V51" s="773">
        <v>11</v>
      </c>
      <c r="W51" s="773">
        <f t="shared" si="0"/>
        <v>29</v>
      </c>
      <c r="X51" s="773">
        <v>51</v>
      </c>
      <c r="Y51" s="773" t="s">
        <v>4288</v>
      </c>
      <c r="Z51" s="773">
        <v>221221</v>
      </c>
      <c r="AA51" s="773" t="s">
        <v>4288</v>
      </c>
      <c r="AB51" s="773">
        <v>51</v>
      </c>
      <c r="AC51" s="806">
        <v>26</v>
      </c>
      <c r="AD51" s="773">
        <v>7</v>
      </c>
      <c r="BO51" s="773">
        <v>1949</v>
      </c>
      <c r="BP51" s="773" t="s">
        <v>7878</v>
      </c>
    </row>
    <row r="52" spans="1:68">
      <c r="A52" s="833"/>
      <c r="B52" s="816" t="str">
        <f>VLOOKUP(8,$A$124:$BM$131,$A$45+1,0)</f>
        <v>Càn: nguyên, hanh, lợi, trinh</v>
      </c>
      <c r="J52" s="773" t="s">
        <v>6711</v>
      </c>
      <c r="K52" s="773" t="s">
        <v>6712</v>
      </c>
      <c r="L52" s="773" t="s">
        <v>6712</v>
      </c>
      <c r="M52" s="773" t="s">
        <v>6713</v>
      </c>
      <c r="N52" s="773" t="s">
        <v>6714</v>
      </c>
      <c r="O52" s="773" t="s">
        <v>6714</v>
      </c>
      <c r="P52" s="773" t="s">
        <v>6715</v>
      </c>
      <c r="Q52" s="773" t="s">
        <v>6716</v>
      </c>
      <c r="R52" s="773" t="s">
        <v>6716</v>
      </c>
      <c r="S52" s="773" t="s">
        <v>7918</v>
      </c>
      <c r="T52" s="773">
        <v>7</v>
      </c>
      <c r="U52" s="773">
        <v>11</v>
      </c>
      <c r="V52" s="773">
        <v>11</v>
      </c>
      <c r="W52" s="773">
        <f t="shared" si="0"/>
        <v>29</v>
      </c>
      <c r="X52" s="773">
        <v>52</v>
      </c>
      <c r="Y52" s="773" t="s">
        <v>9014</v>
      </c>
      <c r="Z52" s="773">
        <v>122122</v>
      </c>
      <c r="AA52" s="773" t="s">
        <v>9014</v>
      </c>
      <c r="AB52" s="773">
        <v>52</v>
      </c>
      <c r="AC52" s="806">
        <v>41</v>
      </c>
      <c r="AD52" s="773">
        <v>7</v>
      </c>
      <c r="BO52" s="773">
        <v>1950</v>
      </c>
      <c r="BP52" s="773" t="s">
        <v>7881</v>
      </c>
    </row>
    <row r="53" spans="1:68">
      <c r="A53" s="833"/>
      <c r="B53" s="783" t="str">
        <f t="shared" ref="B53:B58" si="16">F84</f>
        <v>Cửu ngũ: phi long tại thiên, lợi kiến đại nhân.</v>
      </c>
      <c r="C53" s="783"/>
      <c r="D53" s="783"/>
      <c r="E53" s="783"/>
      <c r="F53" s="783"/>
      <c r="G53" s="783"/>
      <c r="J53" s="773" t="s">
        <v>6717</v>
      </c>
      <c r="K53" s="773" t="s">
        <v>6716</v>
      </c>
      <c r="L53" s="773" t="s">
        <v>6716</v>
      </c>
      <c r="M53" s="773" t="s">
        <v>6714</v>
      </c>
      <c r="N53" s="773" t="s">
        <v>6715</v>
      </c>
      <c r="O53" s="773" t="s">
        <v>6715</v>
      </c>
      <c r="P53" s="773" t="s">
        <v>6712</v>
      </c>
      <c r="Q53" s="773" t="s">
        <v>6713</v>
      </c>
      <c r="R53" s="773" t="s">
        <v>6713</v>
      </c>
      <c r="S53" s="773" t="s">
        <v>7919</v>
      </c>
      <c r="T53" s="773">
        <v>15</v>
      </c>
      <c r="U53" s="773">
        <v>9</v>
      </c>
      <c r="V53" s="773">
        <v>15</v>
      </c>
      <c r="W53" s="773">
        <f t="shared" si="0"/>
        <v>39</v>
      </c>
      <c r="X53" s="773">
        <v>53</v>
      </c>
      <c r="Y53" s="773" t="s">
        <v>5975</v>
      </c>
      <c r="Z53" s="773">
        <v>112122</v>
      </c>
      <c r="AA53" s="773" t="s">
        <v>5975</v>
      </c>
      <c r="AB53" s="773">
        <v>53</v>
      </c>
      <c r="AC53" s="806">
        <v>38</v>
      </c>
      <c r="AD53" s="773">
        <v>7</v>
      </c>
      <c r="BO53" s="773">
        <v>1951</v>
      </c>
      <c r="BP53" s="773" t="s">
        <v>7884</v>
      </c>
    </row>
    <row r="54" spans="1:68">
      <c r="B54" s="783" t="str">
        <f t="shared" si="16"/>
        <v>Sơ cửu: tiềm long vật dụng.</v>
      </c>
      <c r="C54" s="783"/>
      <c r="D54" s="783"/>
      <c r="E54" s="783"/>
      <c r="F54" s="783"/>
      <c r="G54" s="783"/>
      <c r="J54" s="773" t="s">
        <v>6718</v>
      </c>
      <c r="K54" s="773" t="s">
        <v>6713</v>
      </c>
      <c r="L54" s="773" t="s">
        <v>6713</v>
      </c>
      <c r="M54" s="773" t="s">
        <v>6715</v>
      </c>
      <c r="N54" s="773" t="s">
        <v>6712</v>
      </c>
      <c r="O54" s="773" t="s">
        <v>6712</v>
      </c>
      <c r="P54" s="773" t="s">
        <v>6716</v>
      </c>
      <c r="Q54" s="773" t="s">
        <v>6714</v>
      </c>
      <c r="R54" s="773" t="s">
        <v>6714</v>
      </c>
      <c r="S54" s="773" t="s">
        <v>7920</v>
      </c>
      <c r="T54" s="773">
        <v>15</v>
      </c>
      <c r="U54" s="773">
        <v>9</v>
      </c>
      <c r="V54" s="773">
        <v>9</v>
      </c>
      <c r="W54" s="773">
        <f t="shared" si="0"/>
        <v>33</v>
      </c>
      <c r="X54" s="773">
        <v>54</v>
      </c>
      <c r="Y54" s="773" t="s">
        <v>7921</v>
      </c>
      <c r="Z54" s="773">
        <v>221211</v>
      </c>
      <c r="AA54" s="773" t="s">
        <v>7921</v>
      </c>
      <c r="AB54" s="773">
        <v>54</v>
      </c>
      <c r="AC54" s="806">
        <v>10</v>
      </c>
      <c r="AD54" s="773">
        <v>7</v>
      </c>
      <c r="BO54" s="773">
        <v>1952</v>
      </c>
      <c r="BP54" s="773" t="s">
        <v>7888</v>
      </c>
    </row>
    <row r="55" spans="1:68">
      <c r="B55" s="783" t="str">
        <f t="shared" si="16"/>
        <v xml:space="preserve"> </v>
      </c>
      <c r="C55" s="783"/>
      <c r="D55" s="783"/>
      <c r="E55" s="783"/>
      <c r="F55" s="783"/>
      <c r="G55" s="783"/>
      <c r="J55" s="773" t="s">
        <v>6719</v>
      </c>
      <c r="K55" s="773" t="s">
        <v>6715</v>
      </c>
      <c r="L55" s="773" t="s">
        <v>6715</v>
      </c>
      <c r="M55" s="773" t="s">
        <v>6716</v>
      </c>
      <c r="N55" s="773" t="s">
        <v>6713</v>
      </c>
      <c r="O55" s="773" t="s">
        <v>6713</v>
      </c>
      <c r="P55" s="773" t="s">
        <v>6714</v>
      </c>
      <c r="Q55" s="773" t="s">
        <v>6712</v>
      </c>
      <c r="R55" s="773" t="s">
        <v>6712</v>
      </c>
      <c r="S55" s="773" t="s">
        <v>7922</v>
      </c>
      <c r="T55" s="773">
        <v>9</v>
      </c>
      <c r="U55" s="773">
        <v>15</v>
      </c>
      <c r="V55" s="773">
        <v>9</v>
      </c>
      <c r="W55" s="773">
        <f t="shared" si="0"/>
        <v>33</v>
      </c>
      <c r="X55" s="773">
        <v>55</v>
      </c>
      <c r="Y55" s="773" t="s">
        <v>5931</v>
      </c>
      <c r="Z55" s="773">
        <v>221121</v>
      </c>
      <c r="AA55" s="773" t="s">
        <v>5931</v>
      </c>
      <c r="AB55" s="773">
        <v>55</v>
      </c>
      <c r="AC55" s="806">
        <v>61</v>
      </c>
      <c r="AD55" s="773">
        <v>7</v>
      </c>
      <c r="BO55" s="773">
        <v>1953</v>
      </c>
      <c r="BP55" s="773" t="s">
        <v>7889</v>
      </c>
    </row>
    <row r="56" spans="1:68">
      <c r="B56" s="783" t="str">
        <f t="shared" si="16"/>
        <v xml:space="preserve"> </v>
      </c>
      <c r="C56" s="783"/>
      <c r="D56" s="783"/>
      <c r="E56" s="783"/>
      <c r="F56" s="783"/>
      <c r="G56" s="783"/>
      <c r="J56" s="773" t="s">
        <v>6720</v>
      </c>
      <c r="K56" s="773" t="s">
        <v>6714</v>
      </c>
      <c r="L56" s="773" t="s">
        <v>6714</v>
      </c>
      <c r="M56" s="773" t="s">
        <v>6712</v>
      </c>
      <c r="N56" s="773" t="s">
        <v>6716</v>
      </c>
      <c r="O56" s="773" t="s">
        <v>6716</v>
      </c>
      <c r="P56" s="773" t="s">
        <v>6713</v>
      </c>
      <c r="Q56" s="773" t="s">
        <v>6715</v>
      </c>
      <c r="R56" s="773" t="s">
        <v>6715</v>
      </c>
      <c r="S56" s="773" t="s">
        <v>7923</v>
      </c>
      <c r="T56" s="773">
        <v>9</v>
      </c>
      <c r="U56" s="773">
        <v>15</v>
      </c>
      <c r="V56" s="773">
        <v>15</v>
      </c>
      <c r="W56" s="773">
        <f t="shared" si="0"/>
        <v>39</v>
      </c>
      <c r="X56" s="773">
        <v>56</v>
      </c>
      <c r="Y56" s="773" t="s">
        <v>8984</v>
      </c>
      <c r="Z56" s="773">
        <v>121122</v>
      </c>
      <c r="AA56" s="773" t="s">
        <v>8984</v>
      </c>
      <c r="AB56" s="773">
        <v>56</v>
      </c>
      <c r="AC56" s="806">
        <v>53</v>
      </c>
      <c r="AD56" s="773">
        <v>7</v>
      </c>
      <c r="BO56" s="773">
        <v>1954</v>
      </c>
      <c r="BP56" s="773" t="s">
        <v>7890</v>
      </c>
    </row>
    <row r="57" spans="1:68">
      <c r="B57" s="783" t="str">
        <f t="shared" si="16"/>
        <v xml:space="preserve"> </v>
      </c>
      <c r="C57" s="783"/>
      <c r="D57" s="783"/>
      <c r="E57" s="783"/>
      <c r="F57" s="783"/>
      <c r="G57" s="783"/>
      <c r="J57" s="833" t="s">
        <v>6721</v>
      </c>
      <c r="K57" s="834">
        <f ca="1">VLOOKUP(H8,$AC$1:$AD$64,2,0)</f>
        <v>6</v>
      </c>
      <c r="L57" s="831" t="str">
        <f ca="1">VLOOKUP(7,$A$117:$BM$123,$F$93+1,0)</f>
        <v>THỦY THIÊN NHU </v>
      </c>
      <c r="N57" s="806"/>
      <c r="O57" s="806"/>
      <c r="S57" s="773" t="s">
        <v>7924</v>
      </c>
      <c r="T57" s="773">
        <v>11</v>
      </c>
      <c r="U57" s="773">
        <v>13</v>
      </c>
      <c r="V57" s="773">
        <v>13</v>
      </c>
      <c r="W57" s="773">
        <f t="shared" si="0"/>
        <v>37</v>
      </c>
      <c r="X57" s="773">
        <v>57</v>
      </c>
      <c r="Y57" s="773" t="s">
        <v>835</v>
      </c>
      <c r="Z57" s="773">
        <v>112112</v>
      </c>
      <c r="AA57" s="773" t="s">
        <v>835</v>
      </c>
      <c r="AB57" s="773">
        <v>57</v>
      </c>
      <c r="AC57" s="806">
        <v>2</v>
      </c>
      <c r="AD57" s="773">
        <v>8</v>
      </c>
      <c r="BO57" s="773">
        <v>1955</v>
      </c>
      <c r="BP57" s="773" t="s">
        <v>7891</v>
      </c>
    </row>
    <row r="58" spans="1:68">
      <c r="B58" s="783" t="str">
        <f t="shared" si="16"/>
        <v xml:space="preserve"> </v>
      </c>
      <c r="C58" s="783"/>
      <c r="D58" s="783"/>
      <c r="E58" s="783"/>
      <c r="F58" s="783"/>
      <c r="G58" s="783"/>
      <c r="K58" s="831" t="str">
        <f ca="1">VLOOKUP(1,$A$117:$BM$123,$F$93+1,0)</f>
        <v>Thê Tài Tý Thủy </v>
      </c>
      <c r="M58" s="773">
        <f t="shared" ref="M58:M63" ca="1" si="17">FIND(" ",K58,FIND(" ",K58)+1)</f>
        <v>8</v>
      </c>
      <c r="N58" s="806">
        <f t="shared" ref="N58:N63" ca="1" si="18">FIND(" ",K58,M58+1)</f>
        <v>11</v>
      </c>
      <c r="O58" s="806" t="str">
        <f t="shared" ref="O58:O63" ca="1" si="19">MID(K58,M58+1,N58-M58-1)</f>
        <v>Tý</v>
      </c>
      <c r="P58" s="773" t="str">
        <f t="shared" ref="P58:P63" ca="1" si="20">VLOOKUP(O58,$M$64:$N$75,2,0)</f>
        <v>Thủy</v>
      </c>
      <c r="Q58" s="773" t="str">
        <f t="shared" ref="Q58:Q63" ca="1" si="21">VLOOKUP(P58,$J$52:$R$56,$K$57+1,0)</f>
        <v>Huynh Đệ</v>
      </c>
      <c r="S58" s="773" t="s">
        <v>7925</v>
      </c>
      <c r="T58" s="773">
        <v>11</v>
      </c>
      <c r="U58" s="773">
        <v>13</v>
      </c>
      <c r="V58" s="773">
        <v>13</v>
      </c>
      <c r="W58" s="773">
        <f t="shared" si="0"/>
        <v>37</v>
      </c>
      <c r="X58" s="773">
        <v>58</v>
      </c>
      <c r="Y58" s="773" t="s">
        <v>7926</v>
      </c>
      <c r="Z58" s="773">
        <v>211211</v>
      </c>
      <c r="AA58" s="773" t="s">
        <v>7926</v>
      </c>
      <c r="AB58" s="773">
        <v>58</v>
      </c>
      <c r="AC58" s="806">
        <v>24</v>
      </c>
      <c r="AD58" s="773">
        <v>8</v>
      </c>
      <c r="BO58" s="773">
        <v>1956</v>
      </c>
      <c r="BP58" s="773" t="s">
        <v>7892</v>
      </c>
    </row>
    <row r="59" spans="1:68">
      <c r="K59" s="831" t="str">
        <f ca="1">VLOOKUP(2,$A$117:$BM$123,$F$93+1,0)</f>
        <v>Huynh Đệ Tuất Thổ</v>
      </c>
      <c r="M59" s="773">
        <f t="shared" ca="1" si="17"/>
        <v>9</v>
      </c>
      <c r="N59" s="806">
        <f t="shared" ca="1" si="18"/>
        <v>14</v>
      </c>
      <c r="O59" s="806" t="str">
        <f t="shared" ca="1" si="19"/>
        <v>Tuất</v>
      </c>
      <c r="P59" s="773" t="str">
        <f t="shared" ca="1" si="20"/>
        <v>Thổ</v>
      </c>
      <c r="Q59" s="773" t="str">
        <f t="shared" ca="1" si="21"/>
        <v>Quan Quỷ</v>
      </c>
      <c r="S59" s="773" t="s">
        <v>7927</v>
      </c>
      <c r="T59" s="773">
        <v>7</v>
      </c>
      <c r="U59" s="773">
        <v>7</v>
      </c>
      <c r="V59" s="773">
        <v>15</v>
      </c>
      <c r="W59" s="773">
        <f t="shared" si="0"/>
        <v>29</v>
      </c>
      <c r="X59" s="773">
        <v>59</v>
      </c>
      <c r="Y59" s="773" t="s">
        <v>1162</v>
      </c>
      <c r="Z59" s="773">
        <v>112212</v>
      </c>
      <c r="AA59" s="773" t="s">
        <v>1162</v>
      </c>
      <c r="AB59" s="773">
        <v>59</v>
      </c>
      <c r="AC59" s="806">
        <v>19</v>
      </c>
      <c r="AD59" s="773">
        <v>8</v>
      </c>
      <c r="BO59" s="773">
        <v>1957</v>
      </c>
      <c r="BP59" s="773" t="s">
        <v>7893</v>
      </c>
    </row>
    <row r="60" spans="1:68">
      <c r="K60" s="831" t="str">
        <f ca="1">VLOOKUP(3,$A$117:$BM$123,$F$93+1,0)</f>
        <v>Tử Tôn Thân Kim (Thế) </v>
      </c>
      <c r="M60" s="773">
        <f t="shared" ca="1" si="17"/>
        <v>7</v>
      </c>
      <c r="N60" s="806">
        <f t="shared" ca="1" si="18"/>
        <v>12</v>
      </c>
      <c r="O60" s="806" t="str">
        <f t="shared" ca="1" si="19"/>
        <v>Thân</v>
      </c>
      <c r="P60" s="773" t="str">
        <f t="shared" ca="1" si="20"/>
        <v>Kim</v>
      </c>
      <c r="Q60" s="773" t="str">
        <f t="shared" ca="1" si="21"/>
        <v>Phụ Mẫu</v>
      </c>
      <c r="S60" s="773" t="s">
        <v>7928</v>
      </c>
      <c r="T60" s="773">
        <v>7</v>
      </c>
      <c r="U60" s="773">
        <v>7</v>
      </c>
      <c r="V60" s="773">
        <v>7</v>
      </c>
      <c r="W60" s="773">
        <f t="shared" si="0"/>
        <v>21</v>
      </c>
      <c r="X60" s="773">
        <v>60</v>
      </c>
      <c r="Y60" s="773" t="s">
        <v>5949</v>
      </c>
      <c r="Z60" s="773">
        <v>212211</v>
      </c>
      <c r="AA60" s="773" t="s">
        <v>5949</v>
      </c>
      <c r="AB60" s="773">
        <v>60</v>
      </c>
      <c r="AC60" s="806">
        <v>11</v>
      </c>
      <c r="AD60" s="773">
        <v>8</v>
      </c>
      <c r="BO60" s="773">
        <v>1958</v>
      </c>
      <c r="BP60" s="773" t="s">
        <v>7895</v>
      </c>
    </row>
    <row r="61" spans="1:68">
      <c r="K61" s="831" t="str">
        <f ca="1">VLOOKUP(4,$A$117:$BM$123,$F$93+1,0)</f>
        <v>Huynh Đệ Thìn Thổ</v>
      </c>
      <c r="M61" s="773">
        <f t="shared" ca="1" si="17"/>
        <v>9</v>
      </c>
      <c r="N61" s="806">
        <f t="shared" ca="1" si="18"/>
        <v>14</v>
      </c>
      <c r="O61" s="806" t="str">
        <f t="shared" ca="1" si="19"/>
        <v>Thìn</v>
      </c>
      <c r="P61" s="773" t="str">
        <f t="shared" ca="1" si="20"/>
        <v>Thổ</v>
      </c>
      <c r="Q61" s="773" t="str">
        <f t="shared" ca="1" si="21"/>
        <v>Quan Quỷ</v>
      </c>
      <c r="X61" s="773">
        <v>61</v>
      </c>
      <c r="Y61" s="773" t="s">
        <v>7929</v>
      </c>
      <c r="Z61" s="773">
        <v>112211</v>
      </c>
      <c r="AA61" s="773" t="s">
        <v>7929</v>
      </c>
      <c r="AB61" s="773">
        <v>61</v>
      </c>
      <c r="AC61" s="806">
        <v>34</v>
      </c>
      <c r="AD61" s="773">
        <v>8</v>
      </c>
      <c r="BO61" s="773">
        <v>1959</v>
      </c>
      <c r="BP61" s="773" t="s">
        <v>7897</v>
      </c>
    </row>
    <row r="62" spans="1:68">
      <c r="K62" s="831" t="str">
        <f ca="1">VLOOKUP(5,$A$117:$BM$123,$F$93+1,0)</f>
        <v>Quan Quỷ Dần Mộc</v>
      </c>
      <c r="M62" s="773">
        <f t="shared" ca="1" si="17"/>
        <v>9</v>
      </c>
      <c r="N62" s="806">
        <f t="shared" ca="1" si="18"/>
        <v>13</v>
      </c>
      <c r="O62" s="806" t="str">
        <f t="shared" ca="1" si="19"/>
        <v>Dần</v>
      </c>
      <c r="P62" s="773" t="str">
        <f t="shared" ca="1" si="20"/>
        <v>Mộc</v>
      </c>
      <c r="Q62" s="773" t="str">
        <f t="shared" ca="1" si="21"/>
        <v>Tử Tôn</v>
      </c>
      <c r="X62" s="773">
        <v>62</v>
      </c>
      <c r="Y62" s="773" t="s">
        <v>7930</v>
      </c>
      <c r="Z62" s="773">
        <v>221122</v>
      </c>
      <c r="AA62" s="773" t="s">
        <v>7930</v>
      </c>
      <c r="AB62" s="773">
        <v>62</v>
      </c>
      <c r="AC62" s="806">
        <v>43</v>
      </c>
      <c r="AD62" s="773">
        <v>8</v>
      </c>
      <c r="BO62" s="773">
        <v>1960</v>
      </c>
      <c r="BP62" s="773" t="s">
        <v>7899</v>
      </c>
    </row>
    <row r="63" spans="1:68">
      <c r="K63" s="831" t="str">
        <f ca="1">VLOOKUP(6,$A$117:$BM$123,$F$93+1,0)</f>
        <v>Thê Tài Tý Thủy (Ứng) </v>
      </c>
      <c r="M63" s="773">
        <f t="shared" ca="1" si="17"/>
        <v>8</v>
      </c>
      <c r="N63" s="806">
        <f t="shared" ca="1" si="18"/>
        <v>11</v>
      </c>
      <c r="O63" s="806" t="str">
        <f t="shared" ca="1" si="19"/>
        <v>Tý</v>
      </c>
      <c r="P63" s="773" t="str">
        <f t="shared" ca="1" si="20"/>
        <v>Thủy</v>
      </c>
      <c r="Q63" s="773" t="str">
        <f t="shared" ca="1" si="21"/>
        <v>Huynh Đệ</v>
      </c>
      <c r="X63" s="773">
        <v>63</v>
      </c>
      <c r="Y63" s="773" t="s">
        <v>7931</v>
      </c>
      <c r="Z63" s="773">
        <v>212121</v>
      </c>
      <c r="AA63" s="773" t="s">
        <v>7931</v>
      </c>
      <c r="AB63" s="773">
        <v>63</v>
      </c>
      <c r="AC63" s="806">
        <v>5</v>
      </c>
      <c r="AD63" s="773">
        <v>8</v>
      </c>
      <c r="BO63" s="773">
        <v>1961</v>
      </c>
      <c r="BP63" s="773" t="s">
        <v>7901</v>
      </c>
    </row>
    <row r="64" spans="1:68">
      <c r="J64" s="773" t="s">
        <v>7844</v>
      </c>
      <c r="K64" s="773" t="s">
        <v>7814</v>
      </c>
      <c r="M64" s="773" t="s">
        <v>6548</v>
      </c>
      <c r="N64" s="773" t="s">
        <v>6629</v>
      </c>
      <c r="P64" s="773" t="str">
        <f t="shared" ref="P64:P69" ca="1" si="22">CONCATENATE(Q58," ",O58," ",P58)</f>
        <v>Huynh Đệ Tý Thủy</v>
      </c>
      <c r="X64" s="773">
        <v>64</v>
      </c>
      <c r="Y64" s="773" t="s">
        <v>7932</v>
      </c>
      <c r="Z64" s="773">
        <v>121212</v>
      </c>
      <c r="AA64" s="773" t="s">
        <v>7932</v>
      </c>
      <c r="AB64" s="773">
        <v>64</v>
      </c>
      <c r="AC64" s="806">
        <v>8</v>
      </c>
      <c r="AD64" s="773">
        <v>8</v>
      </c>
      <c r="BO64" s="773">
        <v>1962</v>
      </c>
      <c r="BP64" s="773" t="s">
        <v>7903</v>
      </c>
    </row>
    <row r="65" spans="10:68">
      <c r="J65" s="773" t="s">
        <v>7847</v>
      </c>
      <c r="K65" s="773" t="s">
        <v>7840</v>
      </c>
      <c r="M65" s="773" t="s">
        <v>7875</v>
      </c>
      <c r="N65" s="773" t="s">
        <v>6625</v>
      </c>
      <c r="P65" s="773" t="str">
        <f t="shared" ca="1" si="22"/>
        <v>Quan Quỷ Tuất Thổ</v>
      </c>
      <c r="BO65" s="773">
        <v>1963</v>
      </c>
      <c r="BP65" s="773" t="s">
        <v>7904</v>
      </c>
    </row>
    <row r="66" spans="10:68">
      <c r="J66" s="773" t="s">
        <v>7849</v>
      </c>
      <c r="K66" s="773" t="s">
        <v>7869</v>
      </c>
      <c r="M66" s="773" t="s">
        <v>7874</v>
      </c>
      <c r="N66" s="773" t="s">
        <v>6667</v>
      </c>
      <c r="P66" s="773" t="str">
        <f t="shared" ca="1" si="22"/>
        <v>Phụ Mẫu Thân Kim</v>
      </c>
      <c r="BO66" s="773">
        <v>1964</v>
      </c>
      <c r="BP66" s="773" t="s">
        <v>7905</v>
      </c>
    </row>
    <row r="67" spans="10:68">
      <c r="J67" s="773" t="s">
        <v>7851</v>
      </c>
      <c r="K67" s="773" t="s">
        <v>7899</v>
      </c>
      <c r="M67" s="773" t="s">
        <v>7873</v>
      </c>
      <c r="N67" s="773" t="s">
        <v>6667</v>
      </c>
      <c r="P67" s="773" t="str">
        <f t="shared" ca="1" si="22"/>
        <v>Quan Quỷ Thìn Thổ</v>
      </c>
      <c r="BO67" s="773">
        <v>1965</v>
      </c>
      <c r="BP67" s="773" t="s">
        <v>7906</v>
      </c>
    </row>
    <row r="68" spans="10:68">
      <c r="J68" s="773" t="s">
        <v>6549</v>
      </c>
      <c r="K68" s="773" t="s">
        <v>7915</v>
      </c>
      <c r="M68" s="773" t="s">
        <v>7872</v>
      </c>
      <c r="N68" s="773" t="s">
        <v>6625</v>
      </c>
      <c r="P68" s="773" t="str">
        <f t="shared" ca="1" si="22"/>
        <v>Tử Tôn Dần Mộc</v>
      </c>
      <c r="BO68" s="773">
        <v>1966</v>
      </c>
      <c r="BP68" s="773" t="s">
        <v>7907</v>
      </c>
    </row>
    <row r="69" spans="10:68">
      <c r="J69" s="773" t="s">
        <v>7856</v>
      </c>
      <c r="K69" s="773" t="s">
        <v>7814</v>
      </c>
      <c r="M69" s="773" t="s">
        <v>7871</v>
      </c>
      <c r="N69" s="773" t="s">
        <v>6622</v>
      </c>
      <c r="P69" s="773" t="str">
        <f t="shared" ca="1" si="22"/>
        <v>Huynh Đệ Tý Thủy</v>
      </c>
      <c r="BO69" s="773">
        <v>1967</v>
      </c>
      <c r="BP69" s="773" t="s">
        <v>7908</v>
      </c>
    </row>
    <row r="70" spans="10:68">
      <c r="J70" s="773" t="s">
        <v>7860</v>
      </c>
      <c r="K70" s="773" t="s">
        <v>7840</v>
      </c>
      <c r="M70" s="773" t="s">
        <v>7883</v>
      </c>
      <c r="N70" s="773" t="s">
        <v>6622</v>
      </c>
      <c r="BO70" s="773">
        <v>1968</v>
      </c>
      <c r="BP70" s="773" t="s">
        <v>7909</v>
      </c>
    </row>
    <row r="71" spans="10:68">
      <c r="J71" s="773" t="s">
        <v>6562</v>
      </c>
      <c r="K71" s="773" t="s">
        <v>7869</v>
      </c>
      <c r="M71" s="773" t="s">
        <v>7882</v>
      </c>
      <c r="N71" s="773" t="s">
        <v>6625</v>
      </c>
      <c r="BO71" s="773">
        <v>1969</v>
      </c>
      <c r="BP71" s="773" t="s">
        <v>7910</v>
      </c>
    </row>
    <row r="72" spans="10:68">
      <c r="J72" s="773" t="s">
        <v>7865</v>
      </c>
      <c r="K72" s="773" t="s">
        <v>7899</v>
      </c>
      <c r="M72" s="773" t="s">
        <v>7887</v>
      </c>
      <c r="N72" s="773" t="s">
        <v>6666</v>
      </c>
      <c r="BO72" s="773">
        <v>1970</v>
      </c>
      <c r="BP72" s="773" t="s">
        <v>7913</v>
      </c>
    </row>
    <row r="73" spans="10:68">
      <c r="J73" s="773" t="s">
        <v>6567</v>
      </c>
      <c r="K73" s="773" t="s">
        <v>7915</v>
      </c>
      <c r="M73" s="773" t="s">
        <v>7886</v>
      </c>
      <c r="N73" s="773" t="s">
        <v>6666</v>
      </c>
      <c r="BO73" s="773">
        <v>1971</v>
      </c>
      <c r="BP73" s="773" t="s">
        <v>7914</v>
      </c>
    </row>
    <row r="74" spans="10:68">
      <c r="M74" s="773" t="s">
        <v>7880</v>
      </c>
      <c r="N74" s="773" t="s">
        <v>6625</v>
      </c>
      <c r="BO74" s="773">
        <v>1972</v>
      </c>
      <c r="BP74" s="773" t="s">
        <v>7915</v>
      </c>
    </row>
    <row r="75" spans="10:68">
      <c r="J75" s="773" t="str">
        <f>VLOOKUP(J76,J64:K73,2,0)</f>
        <v>giáp tý</v>
      </c>
      <c r="K75" s="773">
        <f>VLOOKUP($J$75,$S$1:$X$60,6,0)</f>
        <v>1</v>
      </c>
      <c r="M75" s="773" t="s">
        <v>7877</v>
      </c>
      <c r="N75" s="773" t="s">
        <v>6629</v>
      </c>
      <c r="BO75" s="773">
        <v>1973</v>
      </c>
      <c r="BP75" s="773" t="s">
        <v>7916</v>
      </c>
    </row>
    <row r="76" spans="10:68">
      <c r="J76" s="773" t="str">
        <f>LEFT(I31,J77-1)</f>
        <v>giáp</v>
      </c>
      <c r="K76" s="773">
        <f t="shared" ref="K76:K86" si="23">K75+1</f>
        <v>2</v>
      </c>
      <c r="BO76" s="773">
        <v>1974</v>
      </c>
      <c r="BP76" s="773" t="s">
        <v>7917</v>
      </c>
    </row>
    <row r="77" spans="10:68">
      <c r="J77" s="773">
        <f>FIND(" ",I31)</f>
        <v>5</v>
      </c>
      <c r="K77" s="773">
        <f t="shared" si="23"/>
        <v>3</v>
      </c>
      <c r="L77" s="834">
        <f ca="1">VLOOKUP(I21,$AC$1:$AD$64,2,0)</f>
        <v>6</v>
      </c>
      <c r="M77" s="831" t="str">
        <f ca="1">VLOOKUP(7,$A$117:$BM$123,$F$97+1,0)</f>
        <v>THỦY TRẠCH TIẾT </v>
      </c>
      <c r="BO77" s="773">
        <v>1975</v>
      </c>
      <c r="BP77" s="773" t="s">
        <v>7918</v>
      </c>
    </row>
    <row r="78" spans="10:68">
      <c r="K78" s="773">
        <f t="shared" si="23"/>
        <v>4</v>
      </c>
      <c r="M78" s="831" t="str">
        <f ca="1">VLOOKUP(1,$A$117:$BM$123,$F$97+1,0)</f>
        <v>Huynh Đệ Tý Thủy </v>
      </c>
      <c r="O78" s="773">
        <f t="shared" ref="O78:O83" ca="1" si="24">FIND(" ",M78,FIND(" ",M78)+1)</f>
        <v>9</v>
      </c>
      <c r="P78" s="806">
        <f t="shared" ref="P78:P83" ca="1" si="25">FIND(" ",M78,O78+1)</f>
        <v>12</v>
      </c>
      <c r="Q78" s="806" t="str">
        <f t="shared" ref="Q78:Q83" ca="1" si="26">MID(M78,O78+1,P78-O78-1)</f>
        <v>Tý</v>
      </c>
      <c r="R78" s="773" t="str">
        <f t="shared" ref="R78:R83" ca="1" si="27">VLOOKUP(Q78,$M$64:$N$75,2,0)</f>
        <v>Thủy</v>
      </c>
      <c r="S78" s="773" t="str">
        <f t="shared" ref="S78:S83" ca="1" si="28">VLOOKUP(R78,$J$52:$R$56,$L$77+1,0)</f>
        <v>Huynh Đệ</v>
      </c>
      <c r="T78" s="773" t="str">
        <f t="shared" ref="T78:T83" ca="1" si="29">CONCATENATE(S78," ",Q78," ",R78)</f>
        <v>Huynh Đệ Tý Thủy</v>
      </c>
      <c r="BO78" s="773">
        <v>1976</v>
      </c>
      <c r="BP78" s="773" t="s">
        <v>7919</v>
      </c>
    </row>
    <row r="79" spans="10:68">
      <c r="K79" s="773">
        <f t="shared" si="23"/>
        <v>5</v>
      </c>
      <c r="M79" s="831" t="str">
        <f ca="1">VLOOKUP(2,$A$117:$BM$123,$F$97+1,0)</f>
        <v>Quan Quỷ Tuất Thổ </v>
      </c>
      <c r="O79" s="773">
        <f t="shared" ca="1" si="24"/>
        <v>9</v>
      </c>
      <c r="P79" s="806">
        <f t="shared" ca="1" si="25"/>
        <v>14</v>
      </c>
      <c r="Q79" s="806" t="str">
        <f t="shared" ca="1" si="26"/>
        <v>Tuất</v>
      </c>
      <c r="R79" s="773" t="str">
        <f t="shared" ca="1" si="27"/>
        <v>Thổ</v>
      </c>
      <c r="S79" s="773" t="str">
        <f t="shared" ca="1" si="28"/>
        <v>Quan Quỷ</v>
      </c>
      <c r="T79" s="773" t="str">
        <f t="shared" ca="1" si="29"/>
        <v>Quan Quỷ Tuất Thổ</v>
      </c>
      <c r="BO79" s="773">
        <v>1977</v>
      </c>
      <c r="BP79" s="773" t="s">
        <v>7920</v>
      </c>
    </row>
    <row r="80" spans="10:68">
      <c r="K80" s="773">
        <f t="shared" si="23"/>
        <v>6</v>
      </c>
      <c r="M80" s="831" t="str">
        <f ca="1">VLOOKUP(3,$A$117:$BM$123,$F$97+1,0)</f>
        <v>Phụ Mẫu Thân Kim (Ứng) </v>
      </c>
      <c r="O80" s="773">
        <f t="shared" ca="1" si="24"/>
        <v>8</v>
      </c>
      <c r="P80" s="806">
        <f t="shared" ca="1" si="25"/>
        <v>13</v>
      </c>
      <c r="Q80" s="806" t="str">
        <f t="shared" ca="1" si="26"/>
        <v>Thân</v>
      </c>
      <c r="R80" s="773" t="str">
        <f t="shared" ca="1" si="27"/>
        <v>Kim</v>
      </c>
      <c r="S80" s="773" t="str">
        <f t="shared" ca="1" si="28"/>
        <v>Phụ Mẫu</v>
      </c>
      <c r="T80" s="773" t="str">
        <f t="shared" ca="1" si="29"/>
        <v>Phụ Mẫu Thân Kim</v>
      </c>
      <c r="BO80" s="773">
        <v>1978</v>
      </c>
      <c r="BP80" s="773" t="s">
        <v>7922</v>
      </c>
    </row>
    <row r="81" spans="1:68">
      <c r="K81" s="773">
        <f t="shared" si="23"/>
        <v>7</v>
      </c>
      <c r="M81" s="831" t="str">
        <f ca="1">VLOOKUP(4,$A$117:$BM$123,$F$97+1,0)</f>
        <v>Quan Quỷ Sửu Thổ </v>
      </c>
      <c r="O81" s="773">
        <f t="shared" ca="1" si="24"/>
        <v>9</v>
      </c>
      <c r="P81" s="806">
        <f t="shared" ca="1" si="25"/>
        <v>13</v>
      </c>
      <c r="Q81" s="806" t="str">
        <f t="shared" ca="1" si="26"/>
        <v>Sửu</v>
      </c>
      <c r="R81" s="773" t="str">
        <f t="shared" ca="1" si="27"/>
        <v>Thổ</v>
      </c>
      <c r="S81" s="773" t="str">
        <f t="shared" ca="1" si="28"/>
        <v>Quan Quỷ</v>
      </c>
      <c r="T81" s="773" t="str">
        <f t="shared" ca="1" si="29"/>
        <v>Quan Quỷ Sửu Thổ</v>
      </c>
      <c r="BO81" s="773">
        <v>1979</v>
      </c>
      <c r="BP81" s="773" t="s">
        <v>7923</v>
      </c>
    </row>
    <row r="82" spans="1:68">
      <c r="K82" s="773">
        <f t="shared" si="23"/>
        <v>8</v>
      </c>
      <c r="M82" s="831" t="str">
        <f ca="1">VLOOKUP(5,$A$117:$BM$123,$F$97+1,0)</f>
        <v>Tử Tôn Mão Mộc </v>
      </c>
      <c r="O82" s="773">
        <f t="shared" ca="1" si="24"/>
        <v>7</v>
      </c>
      <c r="P82" s="806">
        <f t="shared" ca="1" si="25"/>
        <v>11</v>
      </c>
      <c r="Q82" s="806" t="str">
        <f t="shared" ca="1" si="26"/>
        <v>Mão</v>
      </c>
      <c r="R82" s="773" t="str">
        <f t="shared" ca="1" si="27"/>
        <v>Mộc</v>
      </c>
      <c r="S82" s="773" t="str">
        <f t="shared" ca="1" si="28"/>
        <v>Tử Tôn</v>
      </c>
      <c r="T82" s="773" t="str">
        <f t="shared" ca="1" si="29"/>
        <v>Tử Tôn Mão Mộc</v>
      </c>
      <c r="BO82" s="773">
        <v>1980</v>
      </c>
      <c r="BP82" s="773" t="s">
        <v>7924</v>
      </c>
    </row>
    <row r="83" spans="1:68">
      <c r="K83" s="773">
        <f t="shared" si="23"/>
        <v>9</v>
      </c>
      <c r="M83" s="831" t="str">
        <f ca="1">VLOOKUP(6,$A$117:$BM$123,$F$97+1,0)</f>
        <v>Thê Tài Tỵ Hỏa (Thế) </v>
      </c>
      <c r="O83" s="773">
        <f t="shared" ca="1" si="24"/>
        <v>8</v>
      </c>
      <c r="P83" s="806">
        <f t="shared" ca="1" si="25"/>
        <v>11</v>
      </c>
      <c r="Q83" s="806" t="str">
        <f t="shared" ca="1" si="26"/>
        <v>Tỵ</v>
      </c>
      <c r="R83" s="773" t="str">
        <f t="shared" ca="1" si="27"/>
        <v>Hỏa</v>
      </c>
      <c r="S83" s="773" t="str">
        <f t="shared" ca="1" si="28"/>
        <v>Thê Tài</v>
      </c>
      <c r="T83" s="773" t="str">
        <f t="shared" ca="1" si="29"/>
        <v>Thê Tài Tỵ Hỏa</v>
      </c>
      <c r="BO83" s="773">
        <v>1981</v>
      </c>
      <c r="BP83" s="773" t="s">
        <v>7925</v>
      </c>
    </row>
    <row r="84" spans="1:68">
      <c r="A84" s="827" t="str">
        <f t="shared" ref="A84:A89" si="30">VLOOKUP(A46,$A$124:$BM$131,$A$45+1,0)</f>
        <v>Cửu ngũ: phi long tại thiên, lợi kiến đại nhân.</v>
      </c>
      <c r="C84" s="773" t="b">
        <f t="shared" ref="C84:C89" si="31">ISTEXT(A84)</f>
        <v>1</v>
      </c>
      <c r="D84" s="773" t="str">
        <f t="shared" ref="D84:D89" si="32">LEFT(C84,1)</f>
        <v>T</v>
      </c>
      <c r="E84" s="773">
        <f t="shared" ref="E84:E89" si="33">IF(D84="T",1,0)</f>
        <v>1</v>
      </c>
      <c r="F84" s="773" t="str">
        <f t="shared" ref="F84:F89" si="34">IF(E84=1,A84," ")</f>
        <v>Cửu ngũ: phi long tại thiên, lợi kiến đại nhân.</v>
      </c>
      <c r="K84" s="773">
        <f t="shared" si="23"/>
        <v>10</v>
      </c>
      <c r="M84" s="831" t="str">
        <f ca="1">VLOOKUP(7,$A$117:$BM$123,$F$97+1,0)</f>
        <v>THỦY TRẠCH TIẾT </v>
      </c>
      <c r="P84" s="806"/>
      <c r="BO84" s="773">
        <v>1982</v>
      </c>
      <c r="BP84" s="773" t="s">
        <v>7927</v>
      </c>
    </row>
    <row r="85" spans="1:68">
      <c r="A85" s="827" t="str">
        <f t="shared" si="30"/>
        <v>Sơ cửu: tiềm long vật dụng.</v>
      </c>
      <c r="C85" s="773" t="b">
        <f t="shared" si="31"/>
        <v>1</v>
      </c>
      <c r="D85" s="773" t="str">
        <f t="shared" si="32"/>
        <v>T</v>
      </c>
      <c r="E85" s="773">
        <f t="shared" si="33"/>
        <v>1</v>
      </c>
      <c r="F85" s="773" t="str">
        <f t="shared" si="34"/>
        <v>Sơ cửu: tiềm long vật dụng.</v>
      </c>
      <c r="K85" s="773">
        <f t="shared" si="23"/>
        <v>11</v>
      </c>
      <c r="BO85" s="773">
        <v>1983</v>
      </c>
      <c r="BP85" s="773" t="s">
        <v>7928</v>
      </c>
    </row>
    <row r="86" spans="1:68">
      <c r="A86" s="827" t="e">
        <f t="shared" si="30"/>
        <v>#N/A</v>
      </c>
      <c r="C86" s="773" t="b">
        <f t="shared" si="31"/>
        <v>0</v>
      </c>
      <c r="D86" s="773" t="str">
        <f t="shared" si="32"/>
        <v>F</v>
      </c>
      <c r="E86" s="773">
        <f t="shared" si="33"/>
        <v>0</v>
      </c>
      <c r="F86" s="773" t="str">
        <f t="shared" si="34"/>
        <v xml:space="preserve"> </v>
      </c>
      <c r="K86" s="773">
        <f t="shared" si="23"/>
        <v>12</v>
      </c>
      <c r="L86" s="834">
        <f ca="1">VLOOKUP(I32,$AC$1:$AD$64,2,0)</f>
        <v>3</v>
      </c>
      <c r="M86" s="831" t="str">
        <f ca="1">VLOOKUP(7,$A$117:$BM$123,$F$100+1,0)</f>
        <v>SƠN ĐỊA BÁC </v>
      </c>
      <c r="BO86" s="773">
        <v>1984</v>
      </c>
      <c r="BP86" s="773" t="s">
        <v>7814</v>
      </c>
    </row>
    <row r="87" spans="1:68">
      <c r="A87" s="827" t="e">
        <f t="shared" si="30"/>
        <v>#N/A</v>
      </c>
      <c r="C87" s="773" t="b">
        <f t="shared" si="31"/>
        <v>0</v>
      </c>
      <c r="D87" s="773" t="str">
        <f t="shared" si="32"/>
        <v>F</v>
      </c>
      <c r="E87" s="773">
        <f t="shared" si="33"/>
        <v>0</v>
      </c>
      <c r="F87" s="773" t="str">
        <f t="shared" si="34"/>
        <v xml:space="preserve"> </v>
      </c>
      <c r="M87" s="831" t="str">
        <f ca="1">VLOOKUP(1,$A$117:$BM$123,$F$100+1,0)</f>
        <v>Thê Tài Dần Mộc </v>
      </c>
      <c r="O87" s="773">
        <f t="shared" ref="O87:O92" ca="1" si="35">FIND(" ",M87,FIND(" ",M87)+1)</f>
        <v>8</v>
      </c>
      <c r="P87" s="806">
        <f t="shared" ref="P87:P92" ca="1" si="36">FIND(" ",M87,O87+1)</f>
        <v>12</v>
      </c>
      <c r="Q87" s="806" t="str">
        <f t="shared" ref="Q87:Q92" ca="1" si="37">MID(M87,O87+1,P87-O87-1)</f>
        <v>Dần</v>
      </c>
      <c r="R87" s="773" t="str">
        <f t="shared" ref="R87:R92" ca="1" si="38">VLOOKUP(Q87,$M$64:$N$75,2,0)</f>
        <v>Mộc</v>
      </c>
      <c r="S87" s="773" t="str">
        <f t="shared" ref="S87:S92" ca="1" si="39">VLOOKUP(R87,$J$52:$R$56,$L$86+1,0)</f>
        <v>Phụ Mẫu</v>
      </c>
      <c r="T87" s="773" t="str">
        <f t="shared" ref="T87:T92" ca="1" si="40">CONCATENATE(S87," ",Q87," ",R87)</f>
        <v>Phụ Mẫu Dần Mộc</v>
      </c>
      <c r="BO87" s="773">
        <v>1985</v>
      </c>
      <c r="BP87" s="773" t="s">
        <v>7818</v>
      </c>
    </row>
    <row r="88" spans="1:68">
      <c r="A88" s="827" t="e">
        <f t="shared" si="30"/>
        <v>#N/A</v>
      </c>
      <c r="C88" s="773" t="b">
        <f t="shared" si="31"/>
        <v>0</v>
      </c>
      <c r="D88" s="773" t="str">
        <f t="shared" si="32"/>
        <v>F</v>
      </c>
      <c r="E88" s="773">
        <f t="shared" si="33"/>
        <v>0</v>
      </c>
      <c r="F88" s="773" t="str">
        <f t="shared" si="34"/>
        <v xml:space="preserve"> </v>
      </c>
      <c r="M88" s="831" t="str">
        <f ca="1">VLOOKUP(2,$A$117:$BM$123,$F$100+1,0)</f>
        <v>Tử Tôn Tý Thủy (Thế) </v>
      </c>
      <c r="O88" s="773">
        <f t="shared" ca="1" si="35"/>
        <v>7</v>
      </c>
      <c r="P88" s="806">
        <f t="shared" ca="1" si="36"/>
        <v>10</v>
      </c>
      <c r="Q88" s="806" t="str">
        <f t="shared" ca="1" si="37"/>
        <v>Tý</v>
      </c>
      <c r="R88" s="773" t="str">
        <f t="shared" ca="1" si="38"/>
        <v>Thủy</v>
      </c>
      <c r="S88" s="773" t="str">
        <f t="shared" ca="1" si="39"/>
        <v>Quan Quỷ</v>
      </c>
      <c r="T88" s="773" t="str">
        <f t="shared" ca="1" si="40"/>
        <v>Quan Quỷ Tý Thủy</v>
      </c>
      <c r="BO88" s="773">
        <v>1986</v>
      </c>
      <c r="BP88" s="773" t="s">
        <v>7819</v>
      </c>
    </row>
    <row r="89" spans="1:68">
      <c r="A89" s="827" t="e">
        <f t="shared" si="30"/>
        <v>#N/A</v>
      </c>
      <c r="C89" s="773" t="b">
        <f t="shared" si="31"/>
        <v>0</v>
      </c>
      <c r="D89" s="773" t="str">
        <f t="shared" si="32"/>
        <v>F</v>
      </c>
      <c r="E89" s="773">
        <f t="shared" si="33"/>
        <v>0</v>
      </c>
      <c r="F89" s="773" t="str">
        <f t="shared" si="34"/>
        <v xml:space="preserve"> </v>
      </c>
      <c r="M89" s="831" t="str">
        <f ca="1">VLOOKUP(3,$A$117:$BM$123,$F$100+1,0)</f>
        <v>Phụ Mẫu Tuất Thổ </v>
      </c>
      <c r="O89" s="773">
        <f t="shared" ca="1" si="35"/>
        <v>8</v>
      </c>
      <c r="P89" s="806">
        <f t="shared" ca="1" si="36"/>
        <v>13</v>
      </c>
      <c r="Q89" s="806" t="str">
        <f t="shared" ca="1" si="37"/>
        <v>Tuất</v>
      </c>
      <c r="R89" s="773" t="str">
        <f t="shared" ca="1" si="38"/>
        <v>Thổ</v>
      </c>
      <c r="S89" s="773" t="str">
        <f t="shared" ca="1" si="39"/>
        <v>Tử Tôn</v>
      </c>
      <c r="T89" s="773" t="str">
        <f t="shared" ca="1" si="40"/>
        <v>Tử Tôn Tuất Thổ</v>
      </c>
      <c r="BO89" s="773">
        <v>1987</v>
      </c>
      <c r="BP89" s="773" t="s">
        <v>7820</v>
      </c>
    </row>
    <row r="90" spans="1:68">
      <c r="M90" s="831" t="str">
        <f ca="1">VLOOKUP(4,$A$117:$BM$123,$F$100+1,0)</f>
        <v>Thê Tài Mão Mộc </v>
      </c>
      <c r="O90" s="773">
        <f t="shared" ca="1" si="35"/>
        <v>8</v>
      </c>
      <c r="P90" s="806">
        <f t="shared" ca="1" si="36"/>
        <v>12</v>
      </c>
      <c r="Q90" s="806" t="str">
        <f t="shared" ca="1" si="37"/>
        <v>Mão</v>
      </c>
      <c r="R90" s="773" t="str">
        <f t="shared" ca="1" si="38"/>
        <v>Mộc</v>
      </c>
      <c r="S90" s="773" t="str">
        <f t="shared" ca="1" si="39"/>
        <v>Phụ Mẫu</v>
      </c>
      <c r="T90" s="773" t="str">
        <f t="shared" ca="1" si="40"/>
        <v>Phụ Mẫu Mão Mộc</v>
      </c>
      <c r="BO90" s="773">
        <v>1988</v>
      </c>
      <c r="BP90" s="773" t="s">
        <v>7822</v>
      </c>
    </row>
    <row r="91" spans="1:68">
      <c r="B91" s="773" t="s">
        <v>6548</v>
      </c>
      <c r="C91" s="773">
        <v>1</v>
      </c>
      <c r="M91" s="831" t="str">
        <f ca="1">VLOOKUP(5,$A$117:$BM$123,$F$100+1,0)</f>
        <v>Quan Quỷ Tỵ Hỏa (Ứng) </v>
      </c>
      <c r="O91" s="773">
        <f t="shared" ca="1" si="35"/>
        <v>9</v>
      </c>
      <c r="P91" s="806">
        <f t="shared" ca="1" si="36"/>
        <v>12</v>
      </c>
      <c r="Q91" s="806" t="str">
        <f t="shared" ca="1" si="37"/>
        <v>Tỵ</v>
      </c>
      <c r="R91" s="773" t="str">
        <f t="shared" ca="1" si="38"/>
        <v>Hỏa</v>
      </c>
      <c r="S91" s="773" t="str">
        <f t="shared" ca="1" si="39"/>
        <v>Huynh Đệ</v>
      </c>
      <c r="T91" s="773" t="str">
        <f t="shared" ca="1" si="40"/>
        <v>Huynh Đệ Tỵ Hỏa</v>
      </c>
      <c r="BO91" s="773">
        <v>1989</v>
      </c>
      <c r="BP91" s="773" t="s">
        <v>7823</v>
      </c>
    </row>
    <row r="92" spans="1:68">
      <c r="B92" s="773" t="s">
        <v>7875</v>
      </c>
      <c r="C92" s="773">
        <v>2</v>
      </c>
      <c r="M92" s="831" t="str">
        <f ca="1">VLOOKUP(6,$A$117:$BM$123,$F$100+1,0)</f>
        <v>Phụ Mẫu Mùi Thổ </v>
      </c>
      <c r="O92" s="773">
        <f t="shared" ca="1" si="35"/>
        <v>8</v>
      </c>
      <c r="P92" s="806">
        <f t="shared" ca="1" si="36"/>
        <v>12</v>
      </c>
      <c r="Q92" s="806" t="str">
        <f t="shared" ca="1" si="37"/>
        <v>Mùi</v>
      </c>
      <c r="R92" s="773" t="str">
        <f t="shared" ca="1" si="38"/>
        <v>Thổ</v>
      </c>
      <c r="S92" s="773" t="str">
        <f t="shared" ca="1" si="39"/>
        <v>Tử Tôn</v>
      </c>
      <c r="T92" s="773" t="str">
        <f t="shared" ca="1" si="40"/>
        <v>Tử Tôn Mùi Thổ</v>
      </c>
      <c r="BO92" s="773">
        <v>1990</v>
      </c>
      <c r="BP92" s="773" t="s">
        <v>7825</v>
      </c>
    </row>
    <row r="93" spans="1:68">
      <c r="B93" s="773" t="s">
        <v>7874</v>
      </c>
      <c r="C93" s="773">
        <v>3</v>
      </c>
      <c r="E93" s="773">
        <f ca="1">IF(A154=1,2,1)</f>
        <v>1</v>
      </c>
      <c r="F93" s="773">
        <f ca="1">VLOOKUP(F94,$AA$1:$AB$64,2,0)</f>
        <v>5</v>
      </c>
      <c r="BO93" s="773">
        <v>1991</v>
      </c>
      <c r="BP93" s="773" t="s">
        <v>7827</v>
      </c>
    </row>
    <row r="94" spans="1:68">
      <c r="B94" s="773" t="s">
        <v>7873</v>
      </c>
      <c r="C94" s="773">
        <v>4</v>
      </c>
      <c r="E94" s="773" t="str">
        <f ca="1">REPLACE(A149,7-H9,1,E93)</f>
        <v>212111</v>
      </c>
      <c r="F94" s="773" t="str">
        <f ca="1">VLOOKUP(E95,$Z$1:$AA$64,2,0)</f>
        <v>Nhu</v>
      </c>
      <c r="L94" s="834">
        <f>VLOOKUP(A45,$AC$1:$AD$64,2,0)</f>
        <v>1</v>
      </c>
      <c r="M94" s="831" t="str">
        <f>VLOOKUP(7,$A$117:$BM$123,$L$108+1,0)</f>
        <v>HỎA PHONG ĐỈNH </v>
      </c>
      <c r="BO94" s="773">
        <v>1992</v>
      </c>
      <c r="BP94" s="773" t="s">
        <v>7829</v>
      </c>
    </row>
    <row r="95" spans="1:68">
      <c r="B95" s="773" t="s">
        <v>7872</v>
      </c>
      <c r="C95" s="773">
        <v>5</v>
      </c>
      <c r="E95" s="773">
        <f ca="1">E94+0</f>
        <v>212111</v>
      </c>
      <c r="F95" s="773" t="str">
        <f ca="1">CONCATENATE(F93,F94)</f>
        <v>5Nhu</v>
      </c>
      <c r="M95" s="831" t="str">
        <f>VLOOKUP(1,$A$117:$BM$123,$L$108+1,0)</f>
        <v>Huynh Đệ Tỵ Hỏa </v>
      </c>
      <c r="O95" s="773">
        <f t="shared" ref="O95:O100" si="41">FIND(" ",M95,FIND(" ",M95)+1)</f>
        <v>9</v>
      </c>
      <c r="P95" s="806">
        <f t="shared" ref="P95:P100" si="42">FIND(" ",M95,O95+1)</f>
        <v>12</v>
      </c>
      <c r="Q95" s="806" t="str">
        <f t="shared" ref="Q95:Q100" si="43">MID(M95,O95+1,P95-O95-1)</f>
        <v>Tỵ</v>
      </c>
      <c r="R95" s="773" t="str">
        <f t="shared" ref="R95:R100" si="44">VLOOKUP(Q95,$M$64:$N$75,2,0)</f>
        <v>Hỏa</v>
      </c>
      <c r="S95" s="773" t="str">
        <f t="shared" ref="S95:S100" si="45">VLOOKUP(R95,$J$52:$R$56,$L$94+1,0)</f>
        <v>Quan Quỷ</v>
      </c>
      <c r="T95" s="773" t="str">
        <f t="shared" ref="T95:T100" si="46">CONCATENATE(S95," ",Q95," ",R95)</f>
        <v>Quan Quỷ Tỵ Hỏa</v>
      </c>
      <c r="BO95" s="773">
        <v>1993</v>
      </c>
      <c r="BP95" s="773" t="s">
        <v>7831</v>
      </c>
    </row>
    <row r="96" spans="1:68">
      <c r="B96" s="773" t="s">
        <v>7871</v>
      </c>
      <c r="C96" s="773">
        <v>6</v>
      </c>
      <c r="M96" s="831" t="str">
        <f>VLOOKUP(2,$A$117:$BM$123,$L$108+1,0)</f>
        <v>Tử Tôn Mùi Thổ (Ứng) </v>
      </c>
      <c r="O96" s="773">
        <f t="shared" si="41"/>
        <v>7</v>
      </c>
      <c r="P96" s="806">
        <f t="shared" si="42"/>
        <v>11</v>
      </c>
      <c r="Q96" s="806" t="str">
        <f t="shared" si="43"/>
        <v>Mùi</v>
      </c>
      <c r="R96" s="773" t="str">
        <f t="shared" si="44"/>
        <v>Thổ</v>
      </c>
      <c r="S96" s="773" t="str">
        <f t="shared" si="45"/>
        <v>Phụ Mẫu</v>
      </c>
      <c r="T96" s="773" t="str">
        <f t="shared" si="46"/>
        <v>Phụ Mẫu Mùi Thổ</v>
      </c>
      <c r="BO96" s="773">
        <v>1994</v>
      </c>
      <c r="BP96" s="773" t="s">
        <v>7835</v>
      </c>
    </row>
    <row r="97" spans="1:68">
      <c r="B97" s="773" t="s">
        <v>7883</v>
      </c>
      <c r="C97" s="773">
        <v>7</v>
      </c>
      <c r="E97" s="773">
        <f>IF(A164=1,2,1)</f>
        <v>1</v>
      </c>
      <c r="F97" s="773">
        <f ca="1">VLOOKUP(F98,$AA$1:$AB$64,2,0)</f>
        <v>60</v>
      </c>
      <c r="M97" s="831" t="str">
        <f>VLOOKUP(3,$A$117:$BM$123,$L$108+1,0)</f>
        <v>Thê Tài Dậu Kim </v>
      </c>
      <c r="O97" s="773">
        <f t="shared" si="41"/>
        <v>8</v>
      </c>
      <c r="P97" s="806">
        <f t="shared" si="42"/>
        <v>12</v>
      </c>
      <c r="Q97" s="806" t="str">
        <f t="shared" si="43"/>
        <v>Dậu</v>
      </c>
      <c r="R97" s="773" t="str">
        <f t="shared" si="44"/>
        <v>Kim</v>
      </c>
      <c r="S97" s="773" t="str">
        <f t="shared" si="45"/>
        <v>Huynh Đệ</v>
      </c>
      <c r="T97" s="773" t="str">
        <f t="shared" si="46"/>
        <v>Huynh Đệ Dậu Kim</v>
      </c>
      <c r="BO97" s="773">
        <v>1995</v>
      </c>
      <c r="BP97" s="773" t="s">
        <v>7838</v>
      </c>
    </row>
    <row r="98" spans="1:68">
      <c r="B98" s="773" t="s">
        <v>7882</v>
      </c>
      <c r="C98" s="773">
        <v>8</v>
      </c>
      <c r="E98" s="773" t="str">
        <f ca="1">REPLACE(A159,7-I22,1,E97)</f>
        <v>212211</v>
      </c>
      <c r="F98" s="773" t="str">
        <f ca="1">VLOOKUP(E99,$Z$1:$AA$64,2,0)</f>
        <v>Tiết</v>
      </c>
      <c r="J98" s="773" t="str">
        <f ca="1">LEFT(J100,J99-1)</f>
        <v>Nhâm</v>
      </c>
      <c r="K98" s="773" t="str">
        <f ca="1">RIGHT(J100,LEN(J100)-J99)</f>
        <v>Ngọ</v>
      </c>
      <c r="M98" s="831" t="str">
        <f>VLOOKUP(4,$A$117:$BM$123,$L$108+1,0)</f>
        <v>Thê Tài Dậu Kim </v>
      </c>
      <c r="O98" s="773">
        <f t="shared" si="41"/>
        <v>8</v>
      </c>
      <c r="P98" s="806">
        <f t="shared" si="42"/>
        <v>12</v>
      </c>
      <c r="Q98" s="806" t="str">
        <f t="shared" si="43"/>
        <v>Dậu</v>
      </c>
      <c r="R98" s="773" t="str">
        <f t="shared" si="44"/>
        <v>Kim</v>
      </c>
      <c r="S98" s="773" t="str">
        <f t="shared" si="45"/>
        <v>Huynh Đệ</v>
      </c>
      <c r="T98" s="773" t="str">
        <f t="shared" si="46"/>
        <v>Huynh Đệ Dậu Kim</v>
      </c>
      <c r="BO98" s="773">
        <v>1996</v>
      </c>
      <c r="BP98" s="773" t="s">
        <v>7840</v>
      </c>
    </row>
    <row r="99" spans="1:68">
      <c r="B99" s="773" t="s">
        <v>7887</v>
      </c>
      <c r="C99" s="773">
        <v>9</v>
      </c>
      <c r="E99" s="773">
        <f ca="1">E98+0</f>
        <v>212211</v>
      </c>
      <c r="F99" s="773" t="str">
        <f ca="1">CONCATENATE(F97,F98)</f>
        <v>60Tiết</v>
      </c>
      <c r="J99" s="773">
        <f ca="1">FIND(" ",J100)</f>
        <v>5</v>
      </c>
      <c r="M99" s="831" t="str">
        <f>VLOOKUP(5,$A$117:$BM$123,$L$108+1,0)</f>
        <v>Quan Quỷ Hợi Thủy (Thế) </v>
      </c>
      <c r="O99" s="773">
        <f t="shared" si="41"/>
        <v>9</v>
      </c>
      <c r="P99" s="806">
        <f t="shared" si="42"/>
        <v>13</v>
      </c>
      <c r="Q99" s="806" t="str">
        <f t="shared" si="43"/>
        <v>Hợi</v>
      </c>
      <c r="R99" s="773" t="str">
        <f t="shared" si="44"/>
        <v>Thủy</v>
      </c>
      <c r="S99" s="773" t="str">
        <f t="shared" si="45"/>
        <v>Tử Tôn</v>
      </c>
      <c r="T99" s="773" t="str">
        <f t="shared" si="46"/>
        <v>Tử Tôn Hợi Thủy</v>
      </c>
      <c r="BO99" s="773">
        <v>1997</v>
      </c>
      <c r="BP99" s="773" t="s">
        <v>7842</v>
      </c>
    </row>
    <row r="100" spans="1:68">
      <c r="B100" s="773" t="s">
        <v>7886</v>
      </c>
      <c r="C100" s="773">
        <v>10</v>
      </c>
      <c r="E100" s="773">
        <f>IF(A174=1,2,1)</f>
        <v>2</v>
      </c>
      <c r="F100" s="773">
        <f ca="1">VLOOKUP(F101,$AA$1:$AB$64,2,0)</f>
        <v>23</v>
      </c>
      <c r="J100" s="773" t="str">
        <f ca="1">TRIM(J101)</f>
        <v>Nhâm Ngọ</v>
      </c>
      <c r="K100" s="773" t="str">
        <f ca="1">M145</f>
        <v>nhâm dần</v>
      </c>
      <c r="M100" s="831" t="str">
        <f>VLOOKUP(6,$A$117:$BM$123,$L$108+1,0)</f>
        <v>Tử Tôn Sửu Thổ </v>
      </c>
      <c r="O100" s="773">
        <f t="shared" si="41"/>
        <v>7</v>
      </c>
      <c r="P100" s="806">
        <f t="shared" si="42"/>
        <v>11</v>
      </c>
      <c r="Q100" s="806" t="str">
        <f t="shared" si="43"/>
        <v>Sửu</v>
      </c>
      <c r="R100" s="773" t="str">
        <f t="shared" si="44"/>
        <v>Thổ</v>
      </c>
      <c r="S100" s="773" t="str">
        <f t="shared" si="45"/>
        <v>Phụ Mẫu</v>
      </c>
      <c r="T100" s="773" t="str">
        <f t="shared" si="46"/>
        <v>Phụ Mẫu Sửu Thổ</v>
      </c>
      <c r="BO100" s="773">
        <v>1998</v>
      </c>
      <c r="BP100" s="773" t="s">
        <v>7846</v>
      </c>
    </row>
    <row r="101" spans="1:68">
      <c r="B101" s="773" t="s">
        <v>7880</v>
      </c>
      <c r="C101" s="773">
        <v>11</v>
      </c>
      <c r="E101" s="773" t="str">
        <f ca="1">REPLACE(A169,7-I33,1,E100)</f>
        <v>122222</v>
      </c>
      <c r="F101" s="773" t="str">
        <f ca="1">VLOOKUP(E102,$Z$1:$AA$64,2,0)</f>
        <v>Bác</v>
      </c>
      <c r="J101" s="773" t="str">
        <f ca="1">RIGHT(H102,J102-J103-2)</f>
        <v>Nhâm Ngọ</v>
      </c>
      <c r="BO101" s="773">
        <v>1999</v>
      </c>
      <c r="BP101" s="773" t="s">
        <v>7848</v>
      </c>
    </row>
    <row r="102" spans="1:68">
      <c r="B102" s="773" t="s">
        <v>7877</v>
      </c>
      <c r="C102" s="773">
        <v>12</v>
      </c>
      <c r="E102" s="773">
        <f ca="1">E101+0</f>
        <v>122222</v>
      </c>
      <c r="F102" s="773" t="str">
        <f ca="1">CONCATENATE(F100,F101)</f>
        <v>23Bác</v>
      </c>
      <c r="G102" s="773" t="str">
        <f ca="1">MID(H102,J103-2,2)</f>
        <v xml:space="preserve"> 6</v>
      </c>
      <c r="H102" s="773" t="str">
        <f ca="1">'Thể cách'!F4</f>
        <v>giờ Thìn 6/1 Nhâm Ngọ</v>
      </c>
      <c r="J102" s="773">
        <f ca="1">LEN(H102)</f>
        <v>21</v>
      </c>
      <c r="BO102" s="773">
        <v>2000</v>
      </c>
      <c r="BP102" s="773" t="s">
        <v>7850</v>
      </c>
    </row>
    <row r="103" spans="1:68">
      <c r="G103" s="773">
        <f ca="1">G102+0</f>
        <v>6</v>
      </c>
      <c r="H103" s="773" t="str">
        <f ca="1">MID(H102,J103+1,2)</f>
        <v xml:space="preserve">1 </v>
      </c>
      <c r="I103" s="773">
        <f ca="1">H103+0</f>
        <v>1</v>
      </c>
      <c r="J103" s="773">
        <f ca="1">FIND("/",H102)</f>
        <v>11</v>
      </c>
      <c r="L103" s="773">
        <f>VLOOKUP(A45,$X$1:$Z$64,3,0)</f>
        <v>111111</v>
      </c>
      <c r="M103" s="773" t="str">
        <f>REPLACE(L103,7-A46,1,IF(MID(L103,7-A46,1)+0=1,2,1))</f>
        <v>121111</v>
      </c>
      <c r="N103" s="773" t="b">
        <f t="shared" ref="N103:N108" si="47">ISTEXT(M103)</f>
        <v>1</v>
      </c>
      <c r="O103" s="773">
        <f t="shared" ref="O103:O108" si="48">IF(LEFT(N103,1)="T",1,0)</f>
        <v>1</v>
      </c>
      <c r="P103" s="773">
        <f>IF(O103=1,O103+1,O103)</f>
        <v>2</v>
      </c>
      <c r="Q103" s="773">
        <f t="shared" ref="Q103:Q108" si="49">IF(O103=1,P103,0)</f>
        <v>2</v>
      </c>
      <c r="R103" s="773">
        <f t="shared" ref="R103:R108" si="50">M103+0</f>
        <v>121111</v>
      </c>
      <c r="BO103" s="773">
        <v>2001</v>
      </c>
      <c r="BP103" s="773" t="s">
        <v>7852</v>
      </c>
    </row>
    <row r="104" spans="1:68">
      <c r="A104" s="772" t="s">
        <v>7868</v>
      </c>
      <c r="M104" s="773" t="str">
        <f>REPLACE(M103,7-A47,1,IF(MID(M103,7-A47,1)+0=1,2,1))</f>
        <v>121112</v>
      </c>
      <c r="N104" s="773" t="b">
        <f t="shared" si="47"/>
        <v>1</v>
      </c>
      <c r="O104" s="773">
        <f t="shared" si="48"/>
        <v>1</v>
      </c>
      <c r="P104" s="773">
        <f>IF(O104=1,P103+1,P103)</f>
        <v>3</v>
      </c>
      <c r="Q104" s="773">
        <f t="shared" si="49"/>
        <v>3</v>
      </c>
      <c r="R104" s="773">
        <f t="shared" si="50"/>
        <v>121112</v>
      </c>
      <c r="BO104" s="773">
        <v>2002</v>
      </c>
      <c r="BP104" s="773" t="s">
        <v>7855</v>
      </c>
    </row>
    <row r="105" spans="1:68">
      <c r="A105" s="773" t="s">
        <v>7844</v>
      </c>
      <c r="B105" s="773">
        <v>5</v>
      </c>
      <c r="C105" s="773" t="s">
        <v>7871</v>
      </c>
      <c r="D105" s="773" t="s">
        <v>7872</v>
      </c>
      <c r="E105" s="773" t="s">
        <v>7873</v>
      </c>
      <c r="F105" s="773" t="s">
        <v>7874</v>
      </c>
      <c r="G105" s="773" t="s">
        <v>7875</v>
      </c>
      <c r="H105" s="773" t="s">
        <v>6548</v>
      </c>
      <c r="I105" s="773" t="s">
        <v>7877</v>
      </c>
      <c r="J105" s="773" t="s">
        <v>7880</v>
      </c>
      <c r="L105" s="773">
        <f>MAX(Q103:Q108)</f>
        <v>3</v>
      </c>
      <c r="M105" s="773" t="e">
        <f>REPLACE(M104,7-A48,1,IF(MID(M104,7-A48,1)+0=1,2,1))</f>
        <v>#VALUE!</v>
      </c>
      <c r="N105" s="773" t="b">
        <f t="shared" si="47"/>
        <v>0</v>
      </c>
      <c r="O105" s="773">
        <f t="shared" si="48"/>
        <v>0</v>
      </c>
      <c r="P105" s="773">
        <f>IF(O105=1,P104+1,P104)</f>
        <v>3</v>
      </c>
      <c r="Q105" s="773">
        <f t="shared" si="49"/>
        <v>0</v>
      </c>
      <c r="R105" s="773" t="e">
        <f t="shared" si="50"/>
        <v>#VALUE!</v>
      </c>
      <c r="BO105" s="773">
        <v>2003</v>
      </c>
      <c r="BP105" s="773" t="s">
        <v>7858</v>
      </c>
    </row>
    <row r="106" spans="1:68">
      <c r="A106" s="773" t="s">
        <v>7847</v>
      </c>
      <c r="B106" s="773">
        <v>4</v>
      </c>
      <c r="C106" s="773" t="s">
        <v>7872</v>
      </c>
      <c r="D106" s="773" t="s">
        <v>7873</v>
      </c>
      <c r="E106" s="773" t="s">
        <v>7874</v>
      </c>
      <c r="F106" s="773" t="s">
        <v>7875</v>
      </c>
      <c r="G106" s="773" t="s">
        <v>6548</v>
      </c>
      <c r="H106" s="773" t="s">
        <v>7877</v>
      </c>
      <c r="I106" s="773" t="s">
        <v>7880</v>
      </c>
      <c r="J106" s="773" t="s">
        <v>7886</v>
      </c>
      <c r="L106" s="773">
        <f>VLOOKUP(L105,Q103:R108,2,0)</f>
        <v>121112</v>
      </c>
      <c r="M106" s="773" t="e">
        <f>REPLACE(M105,7-A49,1,IF(MID(M105,7-A49,1)+0=1,2,1))</f>
        <v>#VALUE!</v>
      </c>
      <c r="N106" s="773" t="b">
        <f t="shared" si="47"/>
        <v>0</v>
      </c>
      <c r="O106" s="773">
        <f t="shared" si="48"/>
        <v>0</v>
      </c>
      <c r="P106" s="773">
        <f>IF(O106=1,P105+1,P105)</f>
        <v>3</v>
      </c>
      <c r="Q106" s="773">
        <f t="shared" si="49"/>
        <v>0</v>
      </c>
      <c r="R106" s="773" t="e">
        <f t="shared" si="50"/>
        <v>#VALUE!</v>
      </c>
      <c r="BO106" s="773">
        <v>2004</v>
      </c>
      <c r="BP106" s="773" t="s">
        <v>7862</v>
      </c>
    </row>
    <row r="107" spans="1:68">
      <c r="A107" s="773" t="s">
        <v>7849</v>
      </c>
      <c r="B107" s="773">
        <v>1</v>
      </c>
      <c r="C107" s="773" t="s">
        <v>7882</v>
      </c>
      <c r="D107" s="773" t="s">
        <v>7883</v>
      </c>
      <c r="E107" s="773" t="s">
        <v>7871</v>
      </c>
      <c r="F107" s="773" t="s">
        <v>7872</v>
      </c>
      <c r="G107" s="773" t="s">
        <v>7873</v>
      </c>
      <c r="H107" s="773" t="s">
        <v>7874</v>
      </c>
      <c r="I107" s="773" t="s">
        <v>7875</v>
      </c>
      <c r="J107" s="773" t="s">
        <v>6548</v>
      </c>
      <c r="L107" s="773" t="str">
        <f>VLOOKUP(L106,$Z$1:$AA$64,2,0)</f>
        <v>Đỉnh</v>
      </c>
      <c r="M107" s="773" t="e">
        <f>REPLACE(M106,7-A50,1,IF(MID(M106,7-A50,1)+0=1,2,1))</f>
        <v>#VALUE!</v>
      </c>
      <c r="N107" s="773" t="b">
        <f t="shared" si="47"/>
        <v>0</v>
      </c>
      <c r="O107" s="773">
        <f t="shared" si="48"/>
        <v>0</v>
      </c>
      <c r="P107" s="773">
        <f>IF(O107=1,P106+1,P106)</f>
        <v>3</v>
      </c>
      <c r="Q107" s="773">
        <f t="shared" si="49"/>
        <v>0</v>
      </c>
      <c r="R107" s="773" t="e">
        <f t="shared" si="50"/>
        <v>#VALUE!</v>
      </c>
      <c r="BO107" s="773">
        <v>2005</v>
      </c>
      <c r="BP107" s="773" t="s">
        <v>7864</v>
      </c>
    </row>
    <row r="108" spans="1:68">
      <c r="A108" s="773" t="s">
        <v>7851</v>
      </c>
      <c r="B108" s="773">
        <v>3</v>
      </c>
      <c r="C108" s="773" t="s">
        <v>7880</v>
      </c>
      <c r="D108" s="773" t="s">
        <v>7886</v>
      </c>
      <c r="E108" s="773" t="s">
        <v>7887</v>
      </c>
      <c r="F108" s="773" t="s">
        <v>7882</v>
      </c>
      <c r="G108" s="773" t="s">
        <v>7883</v>
      </c>
      <c r="H108" s="773" t="s">
        <v>7871</v>
      </c>
      <c r="I108" s="773" t="s">
        <v>7872</v>
      </c>
      <c r="J108" s="773" t="s">
        <v>7873</v>
      </c>
      <c r="L108" s="773">
        <f>VLOOKUP(L107,$AA$1:$AB$64,2,0)</f>
        <v>50</v>
      </c>
      <c r="M108" s="773" t="e">
        <f>REPLACE(M107,7-A51,1,IF(MID(M107,7-A51,1)+0=1,2,1))</f>
        <v>#VALUE!</v>
      </c>
      <c r="N108" s="773" t="b">
        <f t="shared" si="47"/>
        <v>0</v>
      </c>
      <c r="O108" s="773">
        <f t="shared" si="48"/>
        <v>0</v>
      </c>
      <c r="P108" s="773">
        <f>IF(O108=1,P107+1,P107)</f>
        <v>3</v>
      </c>
      <c r="Q108" s="773">
        <f t="shared" si="49"/>
        <v>0</v>
      </c>
      <c r="R108" s="773" t="e">
        <f t="shared" si="50"/>
        <v>#VALUE!</v>
      </c>
      <c r="BO108" s="773">
        <v>2006</v>
      </c>
      <c r="BP108" s="773" t="s">
        <v>7866</v>
      </c>
    </row>
    <row r="109" spans="1:68">
      <c r="A109" s="773" t="s">
        <v>6549</v>
      </c>
      <c r="B109" s="773">
        <v>2</v>
      </c>
      <c r="C109" s="773" t="s">
        <v>7875</v>
      </c>
      <c r="D109" s="773" t="s">
        <v>6548</v>
      </c>
      <c r="E109" s="773" t="s">
        <v>7877</v>
      </c>
      <c r="F109" s="773" t="s">
        <v>7880</v>
      </c>
      <c r="G109" s="773" t="s">
        <v>7886</v>
      </c>
      <c r="H109" s="773" t="s">
        <v>7887</v>
      </c>
      <c r="I109" s="773" t="s">
        <v>7882</v>
      </c>
      <c r="J109" s="773" t="s">
        <v>7883</v>
      </c>
      <c r="BO109" s="773">
        <v>2007</v>
      </c>
      <c r="BP109" s="773" t="s">
        <v>7867</v>
      </c>
    </row>
    <row r="110" spans="1:68">
      <c r="A110" s="773" t="s">
        <v>7856</v>
      </c>
      <c r="B110" s="773">
        <v>5</v>
      </c>
      <c r="C110" s="773" t="s">
        <v>7871</v>
      </c>
      <c r="D110" s="773" t="s">
        <v>7872</v>
      </c>
      <c r="E110" s="773" t="s">
        <v>7873</v>
      </c>
      <c r="F110" s="773" t="s">
        <v>7874</v>
      </c>
      <c r="G110" s="773" t="s">
        <v>7875</v>
      </c>
      <c r="H110" s="773" t="s">
        <v>6548</v>
      </c>
      <c r="I110" s="773" t="s">
        <v>7877</v>
      </c>
      <c r="J110" s="773" t="s">
        <v>7880</v>
      </c>
      <c r="BO110" s="773">
        <v>2008</v>
      </c>
      <c r="BP110" s="773" t="s">
        <v>7869</v>
      </c>
    </row>
    <row r="111" spans="1:68">
      <c r="A111" s="773" t="s">
        <v>7860</v>
      </c>
      <c r="B111" s="773">
        <v>4</v>
      </c>
      <c r="C111" s="773" t="s">
        <v>7872</v>
      </c>
      <c r="D111" s="773" t="s">
        <v>7873</v>
      </c>
      <c r="E111" s="773" t="s">
        <v>7874</v>
      </c>
      <c r="F111" s="773" t="s">
        <v>7875</v>
      </c>
      <c r="G111" s="773" t="s">
        <v>6548</v>
      </c>
      <c r="H111" s="773" t="s">
        <v>7877</v>
      </c>
      <c r="I111" s="773" t="s">
        <v>7880</v>
      </c>
      <c r="J111" s="773" t="s">
        <v>7886</v>
      </c>
      <c r="BO111" s="773">
        <v>2009</v>
      </c>
      <c r="BP111" s="773" t="s">
        <v>7878</v>
      </c>
    </row>
    <row r="112" spans="1:68">
      <c r="A112" s="773" t="s">
        <v>6562</v>
      </c>
      <c r="B112" s="773">
        <v>1</v>
      </c>
      <c r="C112" s="773" t="s">
        <v>7882</v>
      </c>
      <c r="D112" s="773" t="s">
        <v>7883</v>
      </c>
      <c r="E112" s="773" t="s">
        <v>7871</v>
      </c>
      <c r="F112" s="773" t="s">
        <v>7872</v>
      </c>
      <c r="G112" s="773" t="s">
        <v>7873</v>
      </c>
      <c r="H112" s="773" t="s">
        <v>7874</v>
      </c>
      <c r="I112" s="773" t="s">
        <v>7875</v>
      </c>
      <c r="J112" s="773" t="s">
        <v>6548</v>
      </c>
      <c r="BO112" s="773">
        <v>2010</v>
      </c>
      <c r="BP112" s="773" t="s">
        <v>7881</v>
      </c>
    </row>
    <row r="113" spans="1:68">
      <c r="A113" s="773" t="s">
        <v>7865</v>
      </c>
      <c r="B113" s="773">
        <v>3</v>
      </c>
      <c r="C113" s="773" t="s">
        <v>7880</v>
      </c>
      <c r="D113" s="773" t="s">
        <v>7886</v>
      </c>
      <c r="E113" s="773" t="s">
        <v>7887</v>
      </c>
      <c r="F113" s="773" t="s">
        <v>7882</v>
      </c>
      <c r="G113" s="773" t="s">
        <v>7883</v>
      </c>
      <c r="H113" s="773" t="s">
        <v>7871</v>
      </c>
      <c r="I113" s="773" t="s">
        <v>7872</v>
      </c>
      <c r="J113" s="773" t="s">
        <v>7873</v>
      </c>
      <c r="BO113" s="773">
        <v>2011</v>
      </c>
      <c r="BP113" s="773" t="s">
        <v>7884</v>
      </c>
    </row>
    <row r="114" spans="1:68">
      <c r="A114" s="773" t="s">
        <v>6567</v>
      </c>
      <c r="B114" s="773">
        <v>2</v>
      </c>
      <c r="C114" s="773" t="s">
        <v>7875</v>
      </c>
      <c r="D114" s="773" t="s">
        <v>6548</v>
      </c>
      <c r="E114" s="773" t="s">
        <v>7877</v>
      </c>
      <c r="F114" s="773" t="s">
        <v>7880</v>
      </c>
      <c r="G114" s="773" t="s">
        <v>7886</v>
      </c>
      <c r="H114" s="773" t="s">
        <v>7887</v>
      </c>
      <c r="I114" s="773" t="s">
        <v>7882</v>
      </c>
      <c r="J114" s="773" t="s">
        <v>7883</v>
      </c>
      <c r="BO114" s="773">
        <v>2012</v>
      </c>
      <c r="BP114" s="773" t="s">
        <v>7888</v>
      </c>
    </row>
    <row r="115" spans="1:68">
      <c r="BO115" s="773">
        <v>2013</v>
      </c>
      <c r="BP115" s="773" t="s">
        <v>7889</v>
      </c>
    </row>
    <row r="116" spans="1:68">
      <c r="B116" s="773">
        <v>1</v>
      </c>
      <c r="C116" s="773">
        <v>2</v>
      </c>
      <c r="D116" s="773">
        <v>3</v>
      </c>
      <c r="E116" s="773">
        <v>4</v>
      </c>
      <c r="F116" s="773">
        <v>5</v>
      </c>
      <c r="G116" s="773">
        <v>6</v>
      </c>
      <c r="H116" s="773">
        <v>7</v>
      </c>
      <c r="I116" s="773">
        <v>8</v>
      </c>
      <c r="J116" s="773">
        <v>9</v>
      </c>
      <c r="K116" s="773">
        <v>10</v>
      </c>
      <c r="L116" s="773">
        <v>11</v>
      </c>
      <c r="M116" s="773">
        <v>12</v>
      </c>
      <c r="N116" s="773">
        <v>13</v>
      </c>
      <c r="O116" s="773">
        <v>14</v>
      </c>
      <c r="P116" s="773">
        <v>15</v>
      </c>
      <c r="Q116" s="773">
        <v>16</v>
      </c>
      <c r="R116" s="773">
        <v>17</v>
      </c>
      <c r="S116" s="773">
        <v>18</v>
      </c>
      <c r="T116" s="773">
        <v>19</v>
      </c>
      <c r="U116" s="773">
        <v>20</v>
      </c>
      <c r="V116" s="773">
        <v>21</v>
      </c>
      <c r="W116" s="773">
        <v>22</v>
      </c>
      <c r="X116" s="773">
        <v>23</v>
      </c>
      <c r="Y116" s="773">
        <v>24</v>
      </c>
      <c r="Z116" s="773">
        <v>25</v>
      </c>
      <c r="AA116" s="773">
        <v>26</v>
      </c>
      <c r="AB116" s="773">
        <v>27</v>
      </c>
      <c r="AC116" s="773">
        <v>28</v>
      </c>
      <c r="AD116" s="773">
        <v>29</v>
      </c>
      <c r="AE116" s="773">
        <v>30</v>
      </c>
      <c r="AF116" s="773">
        <v>31</v>
      </c>
      <c r="AG116" s="773">
        <v>32</v>
      </c>
      <c r="AH116" s="773">
        <v>33</v>
      </c>
      <c r="AI116" s="773">
        <v>34</v>
      </c>
      <c r="AJ116" s="773">
        <v>35</v>
      </c>
      <c r="AK116" s="773">
        <v>36</v>
      </c>
      <c r="AL116" s="773">
        <v>37</v>
      </c>
      <c r="AM116" s="773">
        <v>38</v>
      </c>
      <c r="AN116" s="773">
        <v>39</v>
      </c>
      <c r="AO116" s="773">
        <v>40</v>
      </c>
      <c r="AP116" s="773">
        <v>41</v>
      </c>
      <c r="AQ116" s="773">
        <v>42</v>
      </c>
      <c r="AR116" s="773">
        <v>43</v>
      </c>
      <c r="AS116" s="773">
        <v>44</v>
      </c>
      <c r="AT116" s="773">
        <v>45</v>
      </c>
      <c r="AU116" s="773">
        <v>46</v>
      </c>
      <c r="AV116" s="773">
        <v>47</v>
      </c>
      <c r="AW116" s="773">
        <v>48</v>
      </c>
      <c r="AX116" s="773">
        <v>49</v>
      </c>
      <c r="AY116" s="773">
        <v>50</v>
      </c>
      <c r="AZ116" s="773">
        <v>51</v>
      </c>
      <c r="BA116" s="773">
        <v>52</v>
      </c>
      <c r="BB116" s="773">
        <v>53</v>
      </c>
      <c r="BC116" s="773">
        <v>54</v>
      </c>
      <c r="BD116" s="773">
        <v>55</v>
      </c>
      <c r="BE116" s="773">
        <v>56</v>
      </c>
      <c r="BF116" s="773">
        <v>57</v>
      </c>
      <c r="BG116" s="773">
        <v>58</v>
      </c>
      <c r="BH116" s="773">
        <v>59</v>
      </c>
      <c r="BI116" s="773">
        <v>60</v>
      </c>
      <c r="BJ116" s="773">
        <v>61</v>
      </c>
      <c r="BK116" s="773">
        <v>62</v>
      </c>
      <c r="BL116" s="773">
        <v>63</v>
      </c>
      <c r="BM116" s="773">
        <v>64</v>
      </c>
      <c r="BO116" s="773">
        <v>2014</v>
      </c>
      <c r="BP116" s="773" t="s">
        <v>7890</v>
      </c>
    </row>
    <row r="117" spans="1:68">
      <c r="A117" s="773">
        <v>7</v>
      </c>
      <c r="B117" s="835" t="s">
        <v>6722</v>
      </c>
      <c r="C117" s="806" t="s">
        <v>6723</v>
      </c>
      <c r="D117" s="806" t="s">
        <v>6724</v>
      </c>
      <c r="E117" s="806" t="s">
        <v>6725</v>
      </c>
      <c r="F117" s="806" t="s">
        <v>6726</v>
      </c>
      <c r="G117" s="806" t="s">
        <v>6727</v>
      </c>
      <c r="H117" s="806" t="s">
        <v>6728</v>
      </c>
      <c r="I117" s="806" t="s">
        <v>6729</v>
      </c>
      <c r="J117" s="806" t="s">
        <v>6730</v>
      </c>
      <c r="K117" s="806" t="s">
        <v>6731</v>
      </c>
      <c r="L117" s="806" t="s">
        <v>6732</v>
      </c>
      <c r="M117" s="806" t="s">
        <v>6733</v>
      </c>
      <c r="N117" s="806" t="s">
        <v>6734</v>
      </c>
      <c r="O117" s="806" t="s">
        <v>6735</v>
      </c>
      <c r="P117" s="806" t="s">
        <v>6736</v>
      </c>
      <c r="Q117" s="806" t="s">
        <v>6737</v>
      </c>
      <c r="R117" s="806" t="s">
        <v>6738</v>
      </c>
      <c r="S117" s="806" t="s">
        <v>6739</v>
      </c>
      <c r="T117" s="806" t="s">
        <v>6740</v>
      </c>
      <c r="U117" s="806" t="s">
        <v>6741</v>
      </c>
      <c r="V117" s="806" t="s">
        <v>6742</v>
      </c>
      <c r="W117" s="806" t="s">
        <v>6743</v>
      </c>
      <c r="X117" s="806" t="s">
        <v>6744</v>
      </c>
      <c r="Y117" s="806" t="s">
        <v>6745</v>
      </c>
      <c r="Z117" s="806" t="s">
        <v>6746</v>
      </c>
      <c r="AA117" s="806" t="s">
        <v>6747</v>
      </c>
      <c r="AB117" s="806" t="s">
        <v>6748</v>
      </c>
      <c r="AC117" s="806" t="s">
        <v>6749</v>
      </c>
      <c r="AD117" s="806" t="s">
        <v>6750</v>
      </c>
      <c r="AE117" s="806" t="s">
        <v>6751</v>
      </c>
      <c r="AF117" s="806" t="s">
        <v>6752</v>
      </c>
      <c r="AG117" s="806" t="s">
        <v>6753</v>
      </c>
      <c r="AH117" s="806" t="s">
        <v>6754</v>
      </c>
      <c r="AI117" s="806" t="s">
        <v>6755</v>
      </c>
      <c r="AJ117" s="806" t="s">
        <v>6756</v>
      </c>
      <c r="AK117" s="806" t="s">
        <v>6757</v>
      </c>
      <c r="AL117" s="806" t="s">
        <v>6758</v>
      </c>
      <c r="AM117" s="806" t="s">
        <v>6759</v>
      </c>
      <c r="AN117" s="806" t="s">
        <v>6760</v>
      </c>
      <c r="AO117" s="806" t="s">
        <v>6761</v>
      </c>
      <c r="AP117" s="806" t="s">
        <v>6762</v>
      </c>
      <c r="AQ117" s="806" t="s">
        <v>6763</v>
      </c>
      <c r="AR117" s="806" t="s">
        <v>6764</v>
      </c>
      <c r="AS117" s="806" t="s">
        <v>6765</v>
      </c>
      <c r="AT117" s="806" t="s">
        <v>6766</v>
      </c>
      <c r="AU117" s="806" t="s">
        <v>6767</v>
      </c>
      <c r="AV117" s="806" t="s">
        <v>6768</v>
      </c>
      <c r="AW117" s="806" t="s">
        <v>6769</v>
      </c>
      <c r="AX117" s="806" t="s">
        <v>6770</v>
      </c>
      <c r="AY117" s="806" t="s">
        <v>6771</v>
      </c>
      <c r="AZ117" s="806" t="s">
        <v>6772</v>
      </c>
      <c r="BA117" s="806" t="s">
        <v>6773</v>
      </c>
      <c r="BB117" s="806" t="s">
        <v>6774</v>
      </c>
      <c r="BC117" s="806" t="s">
        <v>6775</v>
      </c>
      <c r="BD117" s="806" t="s">
        <v>6776</v>
      </c>
      <c r="BE117" s="806" t="s">
        <v>6777</v>
      </c>
      <c r="BF117" s="806" t="s">
        <v>6778</v>
      </c>
      <c r="BG117" s="806" t="s">
        <v>6779</v>
      </c>
      <c r="BH117" s="806" t="s">
        <v>6780</v>
      </c>
      <c r="BI117" s="806" t="s">
        <v>6781</v>
      </c>
      <c r="BJ117" s="806" t="s">
        <v>6782</v>
      </c>
      <c r="BK117" s="806" t="s">
        <v>6783</v>
      </c>
      <c r="BL117" s="806" t="s">
        <v>6784</v>
      </c>
      <c r="BM117" s="806" t="s">
        <v>6785</v>
      </c>
      <c r="BO117" s="773">
        <v>2015</v>
      </c>
      <c r="BP117" s="773" t="s">
        <v>7891</v>
      </c>
    </row>
    <row r="118" spans="1:68">
      <c r="A118" s="773">
        <v>1</v>
      </c>
      <c r="B118" s="835" t="s">
        <v>6786</v>
      </c>
      <c r="C118" s="806" t="s">
        <v>6787</v>
      </c>
      <c r="D118" s="806" t="s">
        <v>6788</v>
      </c>
      <c r="E118" s="806" t="s">
        <v>6789</v>
      </c>
      <c r="F118" s="806" t="s">
        <v>6790</v>
      </c>
      <c r="G118" s="806" t="s">
        <v>6791</v>
      </c>
      <c r="H118" s="806" t="s">
        <v>6792</v>
      </c>
      <c r="I118" s="806" t="s">
        <v>6793</v>
      </c>
      <c r="J118" s="806" t="s">
        <v>6794</v>
      </c>
      <c r="K118" s="806" t="s">
        <v>6795</v>
      </c>
      <c r="L118" s="806" t="s">
        <v>6796</v>
      </c>
      <c r="M118" s="806" t="s">
        <v>6797</v>
      </c>
      <c r="N118" s="806" t="s">
        <v>6798</v>
      </c>
      <c r="O118" s="806" t="s">
        <v>6799</v>
      </c>
      <c r="P118" s="806" t="s">
        <v>6800</v>
      </c>
      <c r="Q118" s="806" t="s">
        <v>6801</v>
      </c>
      <c r="R118" s="806" t="s">
        <v>6802</v>
      </c>
      <c r="S118" s="806" t="s">
        <v>6803</v>
      </c>
      <c r="T118" s="806" t="s">
        <v>6804</v>
      </c>
      <c r="U118" s="806" t="s">
        <v>6805</v>
      </c>
      <c r="V118" s="806" t="s">
        <v>6806</v>
      </c>
      <c r="W118" s="806" t="s">
        <v>6807</v>
      </c>
      <c r="X118" s="806" t="s">
        <v>6808</v>
      </c>
      <c r="Y118" s="806" t="s">
        <v>6804</v>
      </c>
      <c r="Z118" s="806" t="s">
        <v>6801</v>
      </c>
      <c r="AA118" s="806" t="s">
        <v>6807</v>
      </c>
      <c r="AB118" s="806" t="s">
        <v>6809</v>
      </c>
      <c r="AC118" s="806" t="s">
        <v>6810</v>
      </c>
      <c r="AD118" s="806" t="s">
        <v>6811</v>
      </c>
      <c r="AE118" s="806" t="s">
        <v>6812</v>
      </c>
      <c r="AF118" s="806" t="s">
        <v>6813</v>
      </c>
      <c r="AG118" s="806" t="s">
        <v>6814</v>
      </c>
      <c r="AH118" s="806" t="s">
        <v>6815</v>
      </c>
      <c r="AI118" s="806" t="s">
        <v>6816</v>
      </c>
      <c r="AJ118" s="806" t="s">
        <v>6817</v>
      </c>
      <c r="AK118" s="806" t="s">
        <v>6818</v>
      </c>
      <c r="AL118" s="806" t="s">
        <v>6794</v>
      </c>
      <c r="AM118" s="806" t="s">
        <v>6819</v>
      </c>
      <c r="AN118" s="806" t="s">
        <v>6820</v>
      </c>
      <c r="AO118" s="806" t="s">
        <v>6801</v>
      </c>
      <c r="AP118" s="806" t="s">
        <v>6821</v>
      </c>
      <c r="AQ118" s="806" t="s">
        <v>6822</v>
      </c>
      <c r="AR118" s="806" t="s">
        <v>6823</v>
      </c>
      <c r="AS118" s="806" t="s">
        <v>6815</v>
      </c>
      <c r="AT118" s="806" t="s">
        <v>6824</v>
      </c>
      <c r="AU118" s="806" t="s">
        <v>6825</v>
      </c>
      <c r="AV118" s="806" t="s">
        <v>6824</v>
      </c>
      <c r="AW118" s="806" t="s">
        <v>6826</v>
      </c>
      <c r="AX118" s="806" t="s">
        <v>6827</v>
      </c>
      <c r="AY118" s="806" t="s">
        <v>6828</v>
      </c>
      <c r="AZ118" s="806" t="s">
        <v>6829</v>
      </c>
      <c r="BA118" s="806" t="s">
        <v>6830</v>
      </c>
      <c r="BB118" s="806" t="s">
        <v>6831</v>
      </c>
      <c r="BC118" s="806" t="s">
        <v>6797</v>
      </c>
      <c r="BD118" s="806" t="s">
        <v>6832</v>
      </c>
      <c r="BE118" s="806" t="s">
        <v>6828</v>
      </c>
      <c r="BF118" s="806" t="s">
        <v>6833</v>
      </c>
      <c r="BG118" s="806" t="s">
        <v>6834</v>
      </c>
      <c r="BH118" s="806" t="s">
        <v>6835</v>
      </c>
      <c r="BI118" s="806" t="s">
        <v>6788</v>
      </c>
      <c r="BJ118" s="806" t="s">
        <v>6836</v>
      </c>
      <c r="BK118" s="806" t="s">
        <v>6815</v>
      </c>
      <c r="BL118" s="806" t="s">
        <v>6837</v>
      </c>
      <c r="BM118" s="806" t="s">
        <v>6838</v>
      </c>
      <c r="BO118" s="773">
        <v>2016</v>
      </c>
      <c r="BP118" s="773" t="s">
        <v>7892</v>
      </c>
    </row>
    <row r="119" spans="1:68">
      <c r="A119" s="773">
        <v>2</v>
      </c>
      <c r="B119" s="835" t="s">
        <v>6839</v>
      </c>
      <c r="C119" s="806" t="s">
        <v>6840</v>
      </c>
      <c r="D119" s="806" t="s">
        <v>6841</v>
      </c>
      <c r="E119" s="806" t="s">
        <v>6842</v>
      </c>
      <c r="F119" s="806" t="s">
        <v>6816</v>
      </c>
      <c r="G119" s="806" t="s">
        <v>6843</v>
      </c>
      <c r="H119" s="806" t="s">
        <v>6844</v>
      </c>
      <c r="I119" s="806" t="s">
        <v>6795</v>
      </c>
      <c r="J119" s="806" t="s">
        <v>6806</v>
      </c>
      <c r="K119" s="806" t="s">
        <v>6845</v>
      </c>
      <c r="L119" s="806" t="s">
        <v>6840</v>
      </c>
      <c r="M119" s="806" t="s">
        <v>6839</v>
      </c>
      <c r="N119" s="806" t="s">
        <v>6843</v>
      </c>
      <c r="O119" s="806" t="s">
        <v>6824</v>
      </c>
      <c r="P119" s="806" t="s">
        <v>6846</v>
      </c>
      <c r="Q119" s="806" t="s">
        <v>6847</v>
      </c>
      <c r="R119" s="806" t="s">
        <v>6825</v>
      </c>
      <c r="S119" s="806" t="s">
        <v>6826</v>
      </c>
      <c r="T119" s="806" t="s">
        <v>6848</v>
      </c>
      <c r="U119" s="806" t="s">
        <v>6817</v>
      </c>
      <c r="V119" s="806" t="s">
        <v>6849</v>
      </c>
      <c r="W119" s="806" t="s">
        <v>6790</v>
      </c>
      <c r="X119" s="806" t="s">
        <v>6850</v>
      </c>
      <c r="Y119" s="806" t="s">
        <v>6840</v>
      </c>
      <c r="Z119" s="806" t="s">
        <v>6847</v>
      </c>
      <c r="AA119" s="806" t="s">
        <v>6851</v>
      </c>
      <c r="AB119" s="806" t="s">
        <v>6826</v>
      </c>
      <c r="AC119" s="806" t="s">
        <v>6825</v>
      </c>
      <c r="AD119" s="806" t="s">
        <v>6832</v>
      </c>
      <c r="AE119" s="806" t="s">
        <v>6852</v>
      </c>
      <c r="AF119" s="806" t="s">
        <v>6800</v>
      </c>
      <c r="AG119" s="806" t="s">
        <v>6847</v>
      </c>
      <c r="AH119" s="806" t="s">
        <v>6853</v>
      </c>
      <c r="AI119" s="806" t="s">
        <v>6854</v>
      </c>
      <c r="AJ119" s="806" t="s">
        <v>6824</v>
      </c>
      <c r="AK119" s="806" t="s">
        <v>6844</v>
      </c>
      <c r="AL119" s="806" t="s">
        <v>6855</v>
      </c>
      <c r="AM119" s="806" t="s">
        <v>6823</v>
      </c>
      <c r="AN119" s="806" t="s">
        <v>6815</v>
      </c>
      <c r="AO119" s="806" t="s">
        <v>6856</v>
      </c>
      <c r="AP119" s="806" t="s">
        <v>6790</v>
      </c>
      <c r="AQ119" s="806" t="s">
        <v>6806</v>
      </c>
      <c r="AR119" s="806" t="s">
        <v>6787</v>
      </c>
      <c r="AS119" s="806" t="s">
        <v>6839</v>
      </c>
      <c r="AT119" s="806" t="s">
        <v>6857</v>
      </c>
      <c r="AU119" s="806" t="s">
        <v>6858</v>
      </c>
      <c r="AV119" s="806" t="s">
        <v>6800</v>
      </c>
      <c r="AW119" s="806" t="s">
        <v>6829</v>
      </c>
      <c r="AX119" s="806" t="s">
        <v>6818</v>
      </c>
      <c r="AY119" s="806" t="s">
        <v>6859</v>
      </c>
      <c r="AZ119" s="806" t="s">
        <v>6847</v>
      </c>
      <c r="BA119" s="806" t="s">
        <v>6790</v>
      </c>
      <c r="BB119" s="806" t="s">
        <v>6860</v>
      </c>
      <c r="BC119" s="806" t="s">
        <v>6839</v>
      </c>
      <c r="BD119" s="806" t="s">
        <v>6861</v>
      </c>
      <c r="BE119" s="806" t="s">
        <v>6852</v>
      </c>
      <c r="BF119" s="806" t="s">
        <v>6806</v>
      </c>
      <c r="BG119" s="806" t="s">
        <v>6800</v>
      </c>
      <c r="BH119" s="806" t="s">
        <v>6812</v>
      </c>
      <c r="BI119" s="806" t="s">
        <v>6832</v>
      </c>
      <c r="BJ119" s="806" t="s">
        <v>6860</v>
      </c>
      <c r="BK119" s="806" t="s">
        <v>6839</v>
      </c>
      <c r="BL119" s="806" t="s">
        <v>6832</v>
      </c>
      <c r="BM119" s="806" t="s">
        <v>6852</v>
      </c>
      <c r="BO119" s="773">
        <v>2017</v>
      </c>
      <c r="BP119" s="773" t="s">
        <v>7893</v>
      </c>
    </row>
    <row r="120" spans="1:68">
      <c r="A120" s="773">
        <v>3</v>
      </c>
      <c r="B120" s="835" t="s">
        <v>6862</v>
      </c>
      <c r="C120" s="806" t="s">
        <v>6863</v>
      </c>
      <c r="D120" s="806" t="s">
        <v>6864</v>
      </c>
      <c r="E120" s="806" t="s">
        <v>6865</v>
      </c>
      <c r="F120" s="806" t="s">
        <v>6845</v>
      </c>
      <c r="G120" s="806" t="s">
        <v>6866</v>
      </c>
      <c r="H120" s="806" t="s">
        <v>6867</v>
      </c>
      <c r="I120" s="806" t="s">
        <v>6854</v>
      </c>
      <c r="J120" s="806" t="s">
        <v>6802</v>
      </c>
      <c r="K120" s="806" t="s">
        <v>6868</v>
      </c>
      <c r="L120" s="806" t="s">
        <v>6863</v>
      </c>
      <c r="M120" s="806" t="s">
        <v>6862</v>
      </c>
      <c r="N120" s="806" t="s">
        <v>6869</v>
      </c>
      <c r="O120" s="806" t="s">
        <v>6800</v>
      </c>
      <c r="P120" s="806" t="s">
        <v>6870</v>
      </c>
      <c r="Q120" s="806" t="s">
        <v>6871</v>
      </c>
      <c r="R120" s="806" t="s">
        <v>6858</v>
      </c>
      <c r="S120" s="806" t="s">
        <v>6801</v>
      </c>
      <c r="T120" s="806" t="s">
        <v>6863</v>
      </c>
      <c r="U120" s="806" t="s">
        <v>6834</v>
      </c>
      <c r="V120" s="806" t="s">
        <v>6825</v>
      </c>
      <c r="W120" s="806" t="s">
        <v>6872</v>
      </c>
      <c r="X120" s="806" t="s">
        <v>6815</v>
      </c>
      <c r="Y120" s="806" t="s">
        <v>6873</v>
      </c>
      <c r="Z120" s="806" t="s">
        <v>6874</v>
      </c>
      <c r="AA120" s="806" t="s">
        <v>6795</v>
      </c>
      <c r="AB120" s="806" t="s">
        <v>6829</v>
      </c>
      <c r="AC120" s="806" t="s">
        <v>6875</v>
      </c>
      <c r="AD120" s="806" t="s">
        <v>6864</v>
      </c>
      <c r="AE120" s="806" t="s">
        <v>6876</v>
      </c>
      <c r="AF120" s="806" t="s">
        <v>6877</v>
      </c>
      <c r="AG120" s="806" t="s">
        <v>6878</v>
      </c>
      <c r="AH120" s="806" t="s">
        <v>6862</v>
      </c>
      <c r="AI120" s="806" t="s">
        <v>6879</v>
      </c>
      <c r="AJ120" s="806" t="s">
        <v>6880</v>
      </c>
      <c r="AK120" s="806" t="s">
        <v>6881</v>
      </c>
      <c r="AL120" s="806" t="s">
        <v>6810</v>
      </c>
      <c r="AM120" s="806" t="s">
        <v>6787</v>
      </c>
      <c r="AN120" s="806" t="s">
        <v>6882</v>
      </c>
      <c r="AO120" s="806" t="s">
        <v>6878</v>
      </c>
      <c r="AP120" s="806" t="s">
        <v>6795</v>
      </c>
      <c r="AQ120" s="806" t="s">
        <v>6810</v>
      </c>
      <c r="AR120" s="806" t="s">
        <v>6840</v>
      </c>
      <c r="AS120" s="806" t="s">
        <v>6883</v>
      </c>
      <c r="AT120" s="806" t="s">
        <v>6884</v>
      </c>
      <c r="AU120" s="806" t="s">
        <v>6885</v>
      </c>
      <c r="AV120" s="806" t="s">
        <v>6886</v>
      </c>
      <c r="AW120" s="806" t="s">
        <v>6847</v>
      </c>
      <c r="AX120" s="806" t="s">
        <v>6887</v>
      </c>
      <c r="AY120" s="806" t="s">
        <v>6876</v>
      </c>
      <c r="AZ120" s="806" t="s">
        <v>6878</v>
      </c>
      <c r="BA120" s="806" t="s">
        <v>6795</v>
      </c>
      <c r="BB120" s="806" t="s">
        <v>6823</v>
      </c>
      <c r="BC120" s="806" t="s">
        <v>6862</v>
      </c>
      <c r="BD120" s="806" t="s">
        <v>6888</v>
      </c>
      <c r="BE120" s="806" t="s">
        <v>6889</v>
      </c>
      <c r="BF120" s="806" t="s">
        <v>6810</v>
      </c>
      <c r="BG120" s="806" t="s">
        <v>6877</v>
      </c>
      <c r="BH120" s="806" t="s">
        <v>6852</v>
      </c>
      <c r="BI120" s="806" t="s">
        <v>6890</v>
      </c>
      <c r="BJ120" s="806" t="s">
        <v>6891</v>
      </c>
      <c r="BK120" s="806" t="s">
        <v>6892</v>
      </c>
      <c r="BL120" s="806" t="s">
        <v>6864</v>
      </c>
      <c r="BM120" s="806" t="s">
        <v>6876</v>
      </c>
      <c r="BO120" s="773">
        <v>2018</v>
      </c>
      <c r="BP120" s="773" t="s">
        <v>7895</v>
      </c>
    </row>
    <row r="121" spans="1:68">
      <c r="A121" s="773">
        <v>4</v>
      </c>
      <c r="B121" s="835" t="s">
        <v>6893</v>
      </c>
      <c r="C121" s="806" t="s">
        <v>6831</v>
      </c>
      <c r="D121" s="806" t="s">
        <v>6894</v>
      </c>
      <c r="E121" s="806" t="s">
        <v>6869</v>
      </c>
      <c r="F121" s="806" t="s">
        <v>6895</v>
      </c>
      <c r="G121" s="806" t="s">
        <v>6869</v>
      </c>
      <c r="H121" s="806" t="s">
        <v>6896</v>
      </c>
      <c r="I121" s="806" t="s">
        <v>6897</v>
      </c>
      <c r="J121" s="806" t="s">
        <v>6898</v>
      </c>
      <c r="K121" s="806" t="s">
        <v>6863</v>
      </c>
      <c r="L121" s="806" t="s">
        <v>6899</v>
      </c>
      <c r="M121" s="806" t="s">
        <v>6900</v>
      </c>
      <c r="N121" s="806" t="s">
        <v>6901</v>
      </c>
      <c r="O121" s="806" t="s">
        <v>6902</v>
      </c>
      <c r="P121" s="806" t="s">
        <v>6839</v>
      </c>
      <c r="Q121" s="806" t="s">
        <v>6794</v>
      </c>
      <c r="R121" s="806" t="s">
        <v>6903</v>
      </c>
      <c r="S121" s="806" t="s">
        <v>6904</v>
      </c>
      <c r="T121" s="806" t="s">
        <v>6863</v>
      </c>
      <c r="U121" s="806" t="s">
        <v>6805</v>
      </c>
      <c r="V121" s="806" t="s">
        <v>6898</v>
      </c>
      <c r="W121" s="806" t="s">
        <v>6840</v>
      </c>
      <c r="X121" s="806" t="s">
        <v>6805</v>
      </c>
      <c r="Y121" s="806" t="s">
        <v>6905</v>
      </c>
      <c r="Z121" s="806" t="s">
        <v>6898</v>
      </c>
      <c r="AA121" s="806" t="s">
        <v>6905</v>
      </c>
      <c r="AB121" s="806" t="s">
        <v>6898</v>
      </c>
      <c r="AC121" s="806" t="s">
        <v>6825</v>
      </c>
      <c r="AD121" s="806" t="s">
        <v>6906</v>
      </c>
      <c r="AE121" s="806" t="s">
        <v>6907</v>
      </c>
      <c r="AF121" s="806" t="s">
        <v>6882</v>
      </c>
      <c r="AG121" s="806" t="s">
        <v>6904</v>
      </c>
      <c r="AH121" s="806" t="s">
        <v>6839</v>
      </c>
      <c r="AI121" s="806" t="s">
        <v>6905</v>
      </c>
      <c r="AJ121" s="806" t="s">
        <v>6805</v>
      </c>
      <c r="AK121" s="806" t="s">
        <v>6844</v>
      </c>
      <c r="AL121" s="806" t="s">
        <v>6858</v>
      </c>
      <c r="AM121" s="806" t="s">
        <v>6863</v>
      </c>
      <c r="AN121" s="806" t="s">
        <v>6839</v>
      </c>
      <c r="AO121" s="806" t="s">
        <v>6878</v>
      </c>
      <c r="AP121" s="806" t="s">
        <v>6908</v>
      </c>
      <c r="AQ121" s="806" t="s">
        <v>6903</v>
      </c>
      <c r="AR121" s="806" t="s">
        <v>6905</v>
      </c>
      <c r="AS121" s="806" t="s">
        <v>6800</v>
      </c>
      <c r="AT121" s="806" t="s">
        <v>6805</v>
      </c>
      <c r="AU121" s="806" t="s">
        <v>6825</v>
      </c>
      <c r="AV121" s="806" t="s">
        <v>6862</v>
      </c>
      <c r="AW121" s="806" t="s">
        <v>6825</v>
      </c>
      <c r="AX121" s="806" t="s">
        <v>6844</v>
      </c>
      <c r="AY121" s="806" t="s">
        <v>6876</v>
      </c>
      <c r="AZ121" s="806" t="s">
        <v>6909</v>
      </c>
      <c r="BA121" s="806" t="s">
        <v>6910</v>
      </c>
      <c r="BB121" s="806" t="s">
        <v>6845</v>
      </c>
      <c r="BC121" s="806" t="s">
        <v>6911</v>
      </c>
      <c r="BD121" s="806" t="s">
        <v>6844</v>
      </c>
      <c r="BE121" s="806" t="s">
        <v>6843</v>
      </c>
      <c r="BF121" s="806" t="s">
        <v>6912</v>
      </c>
      <c r="BG121" s="806" t="s">
        <v>6913</v>
      </c>
      <c r="BH121" s="806" t="s">
        <v>6869</v>
      </c>
      <c r="BI121" s="806" t="s">
        <v>6867</v>
      </c>
      <c r="BJ121" s="806" t="s">
        <v>6863</v>
      </c>
      <c r="BK121" s="806" t="s">
        <v>6839</v>
      </c>
      <c r="BL121" s="806" t="s">
        <v>6914</v>
      </c>
      <c r="BM121" s="806" t="s">
        <v>6866</v>
      </c>
      <c r="BO121" s="773">
        <v>2019</v>
      </c>
      <c r="BP121" s="773" t="s">
        <v>7897</v>
      </c>
    </row>
    <row r="122" spans="1:68">
      <c r="A122" s="773">
        <v>5</v>
      </c>
      <c r="B122" s="835" t="s">
        <v>6808</v>
      </c>
      <c r="C122" s="806" t="s">
        <v>6860</v>
      </c>
      <c r="D122" s="806" t="s">
        <v>6915</v>
      </c>
      <c r="E122" s="806" t="s">
        <v>6916</v>
      </c>
      <c r="F122" s="806" t="s">
        <v>6917</v>
      </c>
      <c r="G122" s="806" t="s">
        <v>6916</v>
      </c>
      <c r="H122" s="806" t="s">
        <v>6894</v>
      </c>
      <c r="I122" s="806" t="s">
        <v>6860</v>
      </c>
      <c r="J122" s="806" t="s">
        <v>6809</v>
      </c>
      <c r="K122" s="806" t="s">
        <v>6831</v>
      </c>
      <c r="L122" s="806" t="s">
        <v>6807</v>
      </c>
      <c r="M122" s="806" t="s">
        <v>6817</v>
      </c>
      <c r="N122" s="806" t="s">
        <v>6918</v>
      </c>
      <c r="O122" s="806" t="s">
        <v>6808</v>
      </c>
      <c r="P122" s="806" t="s">
        <v>6883</v>
      </c>
      <c r="Q122" s="806" t="s">
        <v>6806</v>
      </c>
      <c r="R122" s="806" t="s">
        <v>6809</v>
      </c>
      <c r="S122" s="806" t="s">
        <v>6858</v>
      </c>
      <c r="T122" s="806" t="s">
        <v>6897</v>
      </c>
      <c r="U122" s="806" t="s">
        <v>6817</v>
      </c>
      <c r="V122" s="806" t="s">
        <v>6803</v>
      </c>
      <c r="W122" s="806" t="s">
        <v>6863</v>
      </c>
      <c r="X122" s="806" t="s">
        <v>6799</v>
      </c>
      <c r="Y122" s="806" t="s">
        <v>6807</v>
      </c>
      <c r="Z122" s="806" t="s">
        <v>6809</v>
      </c>
      <c r="AA122" s="806" t="s">
        <v>6830</v>
      </c>
      <c r="AB122" s="806" t="s">
        <v>6809</v>
      </c>
      <c r="AC122" s="806" t="s">
        <v>6858</v>
      </c>
      <c r="AD122" s="806" t="s">
        <v>6894</v>
      </c>
      <c r="AE122" s="806" t="s">
        <v>6918</v>
      </c>
      <c r="AF122" s="806" t="s">
        <v>6862</v>
      </c>
      <c r="AG122" s="806" t="s">
        <v>6858</v>
      </c>
      <c r="AH122" s="806" t="s">
        <v>6892</v>
      </c>
      <c r="AI122" s="806" t="s">
        <v>6807</v>
      </c>
      <c r="AJ122" s="806" t="s">
        <v>6817</v>
      </c>
      <c r="AK122" s="806" t="s">
        <v>6867</v>
      </c>
      <c r="AL122" s="806" t="s">
        <v>6885</v>
      </c>
      <c r="AM122" s="806" t="s">
        <v>6836</v>
      </c>
      <c r="AN122" s="806" t="s">
        <v>6862</v>
      </c>
      <c r="AO122" s="806" t="s">
        <v>6903</v>
      </c>
      <c r="AP122" s="806" t="s">
        <v>6836</v>
      </c>
      <c r="AQ122" s="806" t="s">
        <v>6809</v>
      </c>
      <c r="AR122" s="806" t="s">
        <v>6821</v>
      </c>
      <c r="AS122" s="806" t="s">
        <v>6877</v>
      </c>
      <c r="AT122" s="806" t="s">
        <v>6919</v>
      </c>
      <c r="AU122" s="806" t="s">
        <v>6858</v>
      </c>
      <c r="AV122" s="806" t="s">
        <v>6920</v>
      </c>
      <c r="AW122" s="806" t="s">
        <v>6921</v>
      </c>
      <c r="AX122" s="806" t="s">
        <v>6867</v>
      </c>
      <c r="AY122" s="806" t="s">
        <v>6901</v>
      </c>
      <c r="AZ122" s="806" t="s">
        <v>6809</v>
      </c>
      <c r="BA122" s="806" t="s">
        <v>6868</v>
      </c>
      <c r="BB122" s="806" t="s">
        <v>6868</v>
      </c>
      <c r="BC122" s="806" t="s">
        <v>6805</v>
      </c>
      <c r="BD122" s="806" t="s">
        <v>6922</v>
      </c>
      <c r="BE122" s="806" t="s">
        <v>6869</v>
      </c>
      <c r="BF122" s="806" t="s">
        <v>6858</v>
      </c>
      <c r="BG122" s="806" t="s">
        <v>6805</v>
      </c>
      <c r="BH122" s="806" t="s">
        <v>6923</v>
      </c>
      <c r="BI122" s="806" t="s">
        <v>6924</v>
      </c>
      <c r="BJ122" s="806" t="s">
        <v>6836</v>
      </c>
      <c r="BK122" s="806" t="s">
        <v>6862</v>
      </c>
      <c r="BL122" s="806" t="s">
        <v>6867</v>
      </c>
      <c r="BM122" s="806" t="s">
        <v>6916</v>
      </c>
      <c r="BO122" s="773">
        <v>2020</v>
      </c>
      <c r="BP122" s="773" t="s">
        <v>7899</v>
      </c>
    </row>
    <row r="123" spans="1:68">
      <c r="A123" s="773">
        <v>6</v>
      </c>
      <c r="B123" s="835" t="s">
        <v>6820</v>
      </c>
      <c r="C123" s="806" t="s">
        <v>6823</v>
      </c>
      <c r="D123" s="806" t="s">
        <v>6788</v>
      </c>
      <c r="E123" s="806" t="s">
        <v>6925</v>
      </c>
      <c r="F123" s="806" t="s">
        <v>6851</v>
      </c>
      <c r="G123" s="806" t="s">
        <v>6926</v>
      </c>
      <c r="H123" s="806" t="s">
        <v>6927</v>
      </c>
      <c r="I123" s="806" t="s">
        <v>6823</v>
      </c>
      <c r="J123" s="806" t="s">
        <v>6928</v>
      </c>
      <c r="K123" s="806" t="s">
        <v>6860</v>
      </c>
      <c r="L123" s="806" t="s">
        <v>6790</v>
      </c>
      <c r="M123" s="806" t="s">
        <v>6824</v>
      </c>
      <c r="N123" s="806" t="s">
        <v>6835</v>
      </c>
      <c r="O123" s="806" t="s">
        <v>6820</v>
      </c>
      <c r="P123" s="806" t="s">
        <v>6920</v>
      </c>
      <c r="Q123" s="806" t="s">
        <v>6849</v>
      </c>
      <c r="R123" s="806" t="s">
        <v>6826</v>
      </c>
      <c r="S123" s="806" t="s">
        <v>6929</v>
      </c>
      <c r="T123" s="806" t="s">
        <v>6930</v>
      </c>
      <c r="U123" s="806" t="s">
        <v>6813</v>
      </c>
      <c r="V123" s="806" t="s">
        <v>6826</v>
      </c>
      <c r="W123" s="806" t="s">
        <v>6897</v>
      </c>
      <c r="X123" s="806" t="s">
        <v>6824</v>
      </c>
      <c r="Y123" s="806" t="s">
        <v>6931</v>
      </c>
      <c r="Z123" s="806" t="s">
        <v>6932</v>
      </c>
      <c r="AA123" s="806" t="s">
        <v>6790</v>
      </c>
      <c r="AB123" s="806" t="s">
        <v>6932</v>
      </c>
      <c r="AC123" s="806" t="s">
        <v>6933</v>
      </c>
      <c r="AD123" s="806" t="s">
        <v>6934</v>
      </c>
      <c r="AE123" s="806" t="s">
        <v>6835</v>
      </c>
      <c r="AF123" s="806" t="s">
        <v>6920</v>
      </c>
      <c r="AG123" s="806" t="s">
        <v>6929</v>
      </c>
      <c r="AH123" s="806" t="s">
        <v>6920</v>
      </c>
      <c r="AI123" s="806" t="s">
        <v>6851</v>
      </c>
      <c r="AJ123" s="806" t="s">
        <v>6813</v>
      </c>
      <c r="AK123" s="806" t="s">
        <v>6935</v>
      </c>
      <c r="AL123" s="806" t="s">
        <v>6794</v>
      </c>
      <c r="AM123" s="806" t="s">
        <v>6936</v>
      </c>
      <c r="AN123" s="806" t="s">
        <v>6893</v>
      </c>
      <c r="AO123" s="806" t="s">
        <v>6809</v>
      </c>
      <c r="AP123" s="806" t="s">
        <v>6860</v>
      </c>
      <c r="AQ123" s="806" t="s">
        <v>6826</v>
      </c>
      <c r="AR123" s="806" t="s">
        <v>6790</v>
      </c>
      <c r="AS123" s="806" t="s">
        <v>6911</v>
      </c>
      <c r="AT123" s="806" t="s">
        <v>6824</v>
      </c>
      <c r="AU123" s="806" t="s">
        <v>6933</v>
      </c>
      <c r="AV123" s="806" t="s">
        <v>6937</v>
      </c>
      <c r="AW123" s="806" t="s">
        <v>6929</v>
      </c>
      <c r="AX123" s="806" t="s">
        <v>6935</v>
      </c>
      <c r="AY123" s="806" t="s">
        <v>6918</v>
      </c>
      <c r="AZ123" s="806" t="s">
        <v>6826</v>
      </c>
      <c r="BA123" s="806" t="s">
        <v>6905</v>
      </c>
      <c r="BB123" s="806" t="s">
        <v>6905</v>
      </c>
      <c r="BC123" s="806" t="s">
        <v>6817</v>
      </c>
      <c r="BD123" s="806" t="s">
        <v>6924</v>
      </c>
      <c r="BE123" s="806" t="s">
        <v>6938</v>
      </c>
      <c r="BF123" s="806" t="s">
        <v>6929</v>
      </c>
      <c r="BG123" s="806" t="s">
        <v>6817</v>
      </c>
      <c r="BH123" s="806" t="s">
        <v>6789</v>
      </c>
      <c r="BI123" s="806" t="s">
        <v>6939</v>
      </c>
      <c r="BJ123" s="806" t="s">
        <v>6936</v>
      </c>
      <c r="BK123" s="806" t="s">
        <v>6893</v>
      </c>
      <c r="BL123" s="806" t="s">
        <v>6924</v>
      </c>
      <c r="BM123" s="806" t="s">
        <v>6789</v>
      </c>
      <c r="BO123" s="773">
        <v>2021</v>
      </c>
      <c r="BP123" s="773" t="s">
        <v>7901</v>
      </c>
    </row>
    <row r="124" spans="1:68" s="796" customFormat="1">
      <c r="A124" s="796">
        <v>8</v>
      </c>
      <c r="B124" s="836" t="s">
        <v>6940</v>
      </c>
      <c r="C124" s="837" t="s">
        <v>6941</v>
      </c>
      <c r="D124" s="837" t="s">
        <v>6942</v>
      </c>
      <c r="E124" s="838" t="s">
        <v>6943</v>
      </c>
      <c r="F124" s="838" t="s">
        <v>6944</v>
      </c>
      <c r="G124" s="838" t="s">
        <v>6945</v>
      </c>
      <c r="H124" s="838" t="s">
        <v>6946</v>
      </c>
      <c r="I124" s="838" t="s">
        <v>6947</v>
      </c>
      <c r="J124" s="806" t="s">
        <v>6948</v>
      </c>
      <c r="K124" s="806" t="s">
        <v>6949</v>
      </c>
      <c r="L124" s="806" t="s">
        <v>6950</v>
      </c>
      <c r="M124" s="818" t="s">
        <v>6951</v>
      </c>
      <c r="N124" s="818" t="s">
        <v>6952</v>
      </c>
      <c r="O124" s="818" t="s">
        <v>6953</v>
      </c>
      <c r="P124" s="818" t="s">
        <v>6954</v>
      </c>
      <c r="Q124" s="818" t="s">
        <v>6955</v>
      </c>
      <c r="R124" s="818" t="s">
        <v>6956</v>
      </c>
      <c r="S124" s="806" t="s">
        <v>6957</v>
      </c>
      <c r="T124" s="818" t="s">
        <v>6958</v>
      </c>
      <c r="U124" s="818" t="s">
        <v>6959</v>
      </c>
      <c r="V124" s="818" t="s">
        <v>6960</v>
      </c>
      <c r="W124" s="818" t="s">
        <v>6961</v>
      </c>
      <c r="X124" s="818" t="s">
        <v>6962</v>
      </c>
      <c r="Y124" s="806" t="s">
        <v>6963</v>
      </c>
      <c r="Z124" s="806" t="s">
        <v>6964</v>
      </c>
      <c r="AA124" s="818" t="s">
        <v>6965</v>
      </c>
      <c r="AB124" s="818" t="s">
        <v>6966</v>
      </c>
      <c r="AC124" s="818" t="s">
        <v>6967</v>
      </c>
      <c r="AD124" s="818" t="s">
        <v>6968</v>
      </c>
      <c r="AE124" s="818" t="s">
        <v>6969</v>
      </c>
      <c r="AF124" s="818" t="s">
        <v>6970</v>
      </c>
      <c r="AG124" s="818" t="s">
        <v>6971</v>
      </c>
      <c r="AH124" s="818" t="s">
        <v>6972</v>
      </c>
      <c r="AI124" s="818" t="s">
        <v>6973</v>
      </c>
      <c r="AJ124" s="818" t="s">
        <v>6974</v>
      </c>
      <c r="AK124" s="818" t="s">
        <v>6975</v>
      </c>
      <c r="AL124" s="818" t="s">
        <v>6976</v>
      </c>
      <c r="AM124" s="818" t="s">
        <v>6977</v>
      </c>
      <c r="AN124" s="818" t="s">
        <v>6978</v>
      </c>
      <c r="AO124" s="818" t="s">
        <v>6979</v>
      </c>
      <c r="AP124" s="806" t="s">
        <v>6980</v>
      </c>
      <c r="AQ124" s="818" t="s">
        <v>6981</v>
      </c>
      <c r="AR124" s="818" t="s">
        <v>6982</v>
      </c>
      <c r="AS124" s="818" t="s">
        <v>6983</v>
      </c>
      <c r="AT124" s="806" t="s">
        <v>6984</v>
      </c>
      <c r="AU124" s="818" t="s">
        <v>6985</v>
      </c>
      <c r="AV124" s="818" t="s">
        <v>6986</v>
      </c>
      <c r="AW124" s="806" t="s">
        <v>6987</v>
      </c>
      <c r="AX124" s="818" t="s">
        <v>6988</v>
      </c>
      <c r="AY124" s="818" t="s">
        <v>6989</v>
      </c>
      <c r="AZ124" s="806" t="s">
        <v>6990</v>
      </c>
      <c r="BA124" s="818" t="s">
        <v>6991</v>
      </c>
      <c r="BB124" s="818" t="s">
        <v>6992</v>
      </c>
      <c r="BC124" s="818" t="s">
        <v>6993</v>
      </c>
      <c r="BD124" s="818" t="s">
        <v>6994</v>
      </c>
      <c r="BE124" s="818" t="s">
        <v>6995</v>
      </c>
      <c r="BF124" s="818" t="s">
        <v>6996</v>
      </c>
      <c r="BG124" s="818" t="s">
        <v>6997</v>
      </c>
      <c r="BH124" s="806" t="s">
        <v>6998</v>
      </c>
      <c r="BI124" s="818" t="s">
        <v>6999</v>
      </c>
      <c r="BJ124" s="818" t="s">
        <v>7000</v>
      </c>
      <c r="BK124" s="806" t="s">
        <v>7001</v>
      </c>
      <c r="BL124" s="818" t="s">
        <v>9076</v>
      </c>
      <c r="BM124" s="818" t="s">
        <v>9077</v>
      </c>
      <c r="BO124" s="796">
        <v>2022</v>
      </c>
      <c r="BP124" s="796" t="s">
        <v>7903</v>
      </c>
    </row>
    <row r="125" spans="1:68" ht="14.25">
      <c r="A125" s="773">
        <v>1</v>
      </c>
      <c r="B125" s="839" t="s">
        <v>9078</v>
      </c>
      <c r="C125" s="835" t="s">
        <v>9079</v>
      </c>
      <c r="D125" s="835" t="s">
        <v>9080</v>
      </c>
      <c r="E125" s="806" t="s">
        <v>9081</v>
      </c>
      <c r="F125" s="806" t="s">
        <v>9082</v>
      </c>
      <c r="G125" s="806" t="s">
        <v>9083</v>
      </c>
      <c r="H125" s="806" t="s">
        <v>9084</v>
      </c>
      <c r="I125" s="806" t="s">
        <v>9085</v>
      </c>
      <c r="J125" s="805" t="s">
        <v>9086</v>
      </c>
      <c r="K125" s="805" t="s">
        <v>9087</v>
      </c>
      <c r="L125" s="818" t="s">
        <v>9088</v>
      </c>
      <c r="M125" s="818" t="s">
        <v>9089</v>
      </c>
      <c r="N125" s="818" t="s">
        <v>9090</v>
      </c>
      <c r="O125" s="818" t="s">
        <v>9091</v>
      </c>
      <c r="P125" s="818" t="s">
        <v>9092</v>
      </c>
      <c r="Q125" s="818" t="s">
        <v>9093</v>
      </c>
      <c r="R125" s="818" t="s">
        <v>9094</v>
      </c>
      <c r="S125" s="818" t="s">
        <v>9095</v>
      </c>
      <c r="T125" s="818" t="s">
        <v>9096</v>
      </c>
      <c r="U125" s="818" t="s">
        <v>9097</v>
      </c>
      <c r="V125" s="818" t="s">
        <v>9098</v>
      </c>
      <c r="W125" s="818" t="s">
        <v>9099</v>
      </c>
      <c r="X125" s="806" t="s">
        <v>9100</v>
      </c>
      <c r="Y125" s="818" t="s">
        <v>9101</v>
      </c>
      <c r="Z125" s="818" t="s">
        <v>9102</v>
      </c>
      <c r="AA125" s="818" t="s">
        <v>9103</v>
      </c>
      <c r="AB125" s="818" t="s">
        <v>9104</v>
      </c>
      <c r="AC125" s="818" t="s">
        <v>9105</v>
      </c>
      <c r="AD125" s="818" t="s">
        <v>9106</v>
      </c>
      <c r="AE125" s="818" t="s">
        <v>9107</v>
      </c>
      <c r="AF125" s="818" t="s">
        <v>9108</v>
      </c>
      <c r="AG125" s="818" t="s">
        <v>9109</v>
      </c>
      <c r="AH125" s="818" t="s">
        <v>9110</v>
      </c>
      <c r="AI125" s="818" t="s">
        <v>9111</v>
      </c>
      <c r="AJ125" s="806" t="s">
        <v>9112</v>
      </c>
      <c r="AK125" s="806" t="s">
        <v>9113</v>
      </c>
      <c r="AL125" s="818" t="s">
        <v>9114</v>
      </c>
      <c r="AM125" s="818" t="s">
        <v>9115</v>
      </c>
      <c r="AN125" s="818" t="s">
        <v>9116</v>
      </c>
      <c r="AO125" s="818" t="s">
        <v>9117</v>
      </c>
      <c r="AP125" s="818" t="s">
        <v>9118</v>
      </c>
      <c r="AQ125" s="818" t="s">
        <v>9119</v>
      </c>
      <c r="AR125" s="818" t="s">
        <v>9120</v>
      </c>
      <c r="AS125" s="818" t="s">
        <v>9121</v>
      </c>
      <c r="AT125" s="806" t="s">
        <v>9122</v>
      </c>
      <c r="AU125" s="818" t="s">
        <v>9123</v>
      </c>
      <c r="AV125" s="818" t="s">
        <v>9124</v>
      </c>
      <c r="AW125" s="818" t="s">
        <v>9125</v>
      </c>
      <c r="AX125" s="818" t="s">
        <v>9126</v>
      </c>
      <c r="AY125" s="818" t="s">
        <v>9127</v>
      </c>
      <c r="AZ125" s="818" t="s">
        <v>9128</v>
      </c>
      <c r="BA125" s="818" t="s">
        <v>9129</v>
      </c>
      <c r="BB125" s="818" t="s">
        <v>9130</v>
      </c>
      <c r="BC125" s="818" t="s">
        <v>9131</v>
      </c>
      <c r="BD125" s="818" t="s">
        <v>9132</v>
      </c>
      <c r="BE125" s="818" t="s">
        <v>9133</v>
      </c>
      <c r="BF125" s="818" t="s">
        <v>9134</v>
      </c>
      <c r="BG125" s="818" t="s">
        <v>9135</v>
      </c>
      <c r="BH125" s="818" t="s">
        <v>9136</v>
      </c>
      <c r="BI125" s="818" t="s">
        <v>9137</v>
      </c>
      <c r="BJ125" s="806" t="s">
        <v>9138</v>
      </c>
      <c r="BK125" s="818" t="s">
        <v>9139</v>
      </c>
      <c r="BL125" s="818" t="s">
        <v>9140</v>
      </c>
      <c r="BM125" s="818" t="s">
        <v>9141</v>
      </c>
      <c r="BO125" s="773">
        <v>2023</v>
      </c>
      <c r="BP125" s="773" t="s">
        <v>7904</v>
      </c>
    </row>
    <row r="126" spans="1:68" ht="15">
      <c r="A126" s="773">
        <v>2</v>
      </c>
      <c r="B126" s="839" t="s">
        <v>9142</v>
      </c>
      <c r="C126" s="835" t="s">
        <v>9143</v>
      </c>
      <c r="D126" s="835" t="s">
        <v>9144</v>
      </c>
      <c r="E126" s="806" t="s">
        <v>9145</v>
      </c>
      <c r="F126" s="806" t="s">
        <v>9146</v>
      </c>
      <c r="G126" s="806" t="s">
        <v>9147</v>
      </c>
      <c r="H126" s="806" t="s">
        <v>9148</v>
      </c>
      <c r="I126" s="806" t="s">
        <v>9149</v>
      </c>
      <c r="J126" s="805" t="s">
        <v>9150</v>
      </c>
      <c r="K126" s="805" t="s">
        <v>9151</v>
      </c>
      <c r="L126" s="818" t="s">
        <v>9152</v>
      </c>
      <c r="M126" s="818" t="s">
        <v>9153</v>
      </c>
      <c r="N126" s="818" t="s">
        <v>9154</v>
      </c>
      <c r="O126" s="818" t="s">
        <v>9155</v>
      </c>
      <c r="P126" s="818" t="s">
        <v>9156</v>
      </c>
      <c r="Q126" s="818" t="s">
        <v>9157</v>
      </c>
      <c r="R126" s="818" t="s">
        <v>9158</v>
      </c>
      <c r="S126" s="818" t="s">
        <v>9159</v>
      </c>
      <c r="T126" s="818" t="s">
        <v>9160</v>
      </c>
      <c r="U126" s="818" t="s">
        <v>9161</v>
      </c>
      <c r="V126" s="818" t="s">
        <v>9162</v>
      </c>
      <c r="W126" s="818" t="s">
        <v>9163</v>
      </c>
      <c r="X126" s="806" t="s">
        <v>9164</v>
      </c>
      <c r="Y126" s="818" t="s">
        <v>9165</v>
      </c>
      <c r="Z126" s="818" t="s">
        <v>9166</v>
      </c>
      <c r="AA126" s="818" t="s">
        <v>9167</v>
      </c>
      <c r="AB126" s="818" t="s">
        <v>9168</v>
      </c>
      <c r="AC126" s="818" t="s">
        <v>9169</v>
      </c>
      <c r="AD126" s="818" t="s">
        <v>9170</v>
      </c>
      <c r="AE126" s="818" t="s">
        <v>9171</v>
      </c>
      <c r="AF126" s="818" t="s">
        <v>9172</v>
      </c>
      <c r="AG126" s="818" t="s">
        <v>9173</v>
      </c>
      <c r="AH126" s="818" t="s">
        <v>9174</v>
      </c>
      <c r="AI126" s="818" t="s">
        <v>9175</v>
      </c>
      <c r="AJ126" s="806" t="s">
        <v>9176</v>
      </c>
      <c r="AK126" s="818" t="s">
        <v>9177</v>
      </c>
      <c r="AL126" s="818" t="s">
        <v>9178</v>
      </c>
      <c r="AM126" s="818" t="s">
        <v>9179</v>
      </c>
      <c r="AN126" s="818" t="s">
        <v>9180</v>
      </c>
      <c r="AO126" s="818" t="s">
        <v>9181</v>
      </c>
      <c r="AP126" s="818" t="s">
        <v>9182</v>
      </c>
      <c r="AQ126" s="818" t="s">
        <v>9183</v>
      </c>
      <c r="AR126" s="818" t="s">
        <v>9184</v>
      </c>
      <c r="AS126" s="818" t="s">
        <v>9185</v>
      </c>
      <c r="AT126" s="818" t="s">
        <v>9186</v>
      </c>
      <c r="AU126" s="818" t="s">
        <v>9187</v>
      </c>
      <c r="AV126" s="806" t="s">
        <v>9188</v>
      </c>
      <c r="AW126" s="818" t="s">
        <v>9189</v>
      </c>
      <c r="AX126" s="818" t="s">
        <v>9190</v>
      </c>
      <c r="AY126" s="818" t="s">
        <v>9191</v>
      </c>
      <c r="AZ126" s="818" t="s">
        <v>9192</v>
      </c>
      <c r="BA126" s="818" t="s">
        <v>9193</v>
      </c>
      <c r="BB126" s="818" t="s">
        <v>9194</v>
      </c>
      <c r="BC126" s="818" t="s">
        <v>9195</v>
      </c>
      <c r="BD126" s="806" t="s">
        <v>9196</v>
      </c>
      <c r="BE126" s="818" t="s">
        <v>9197</v>
      </c>
      <c r="BF126" s="818" t="s">
        <v>9198</v>
      </c>
      <c r="BG126" s="818" t="s">
        <v>9199</v>
      </c>
      <c r="BH126" s="818" t="s">
        <v>9200</v>
      </c>
      <c r="BI126" s="818" t="s">
        <v>9201</v>
      </c>
      <c r="BJ126" s="806" t="s">
        <v>9202</v>
      </c>
      <c r="BK126" s="806" t="s">
        <v>9203</v>
      </c>
      <c r="BL126" s="818" t="s">
        <v>9204</v>
      </c>
      <c r="BM126" s="818" t="s">
        <v>9205</v>
      </c>
      <c r="BO126" s="773">
        <v>2024</v>
      </c>
      <c r="BP126" s="773" t="s">
        <v>7905</v>
      </c>
    </row>
    <row r="127" spans="1:68" ht="14.25">
      <c r="A127" s="773">
        <v>3</v>
      </c>
      <c r="B127" s="839" t="s">
        <v>9206</v>
      </c>
      <c r="C127" s="835" t="s">
        <v>7566</v>
      </c>
      <c r="D127" s="835" t="s">
        <v>7567</v>
      </c>
      <c r="E127" s="806" t="s">
        <v>7568</v>
      </c>
      <c r="F127" s="806" t="s">
        <v>7569</v>
      </c>
      <c r="G127" s="806" t="s">
        <v>7570</v>
      </c>
      <c r="H127" s="806" t="s">
        <v>7571</v>
      </c>
      <c r="I127" s="806" t="s">
        <v>7572</v>
      </c>
      <c r="J127" s="805" t="s">
        <v>7573</v>
      </c>
      <c r="K127" s="805" t="s">
        <v>7574</v>
      </c>
      <c r="L127" s="806" t="s">
        <v>7575</v>
      </c>
      <c r="M127" s="818" t="s">
        <v>7576</v>
      </c>
      <c r="N127" s="806" t="s">
        <v>7577</v>
      </c>
      <c r="O127" s="818" t="s">
        <v>7578</v>
      </c>
      <c r="P127" s="818" t="s">
        <v>7579</v>
      </c>
      <c r="Q127" s="818" t="s">
        <v>7580</v>
      </c>
      <c r="R127" s="806" t="s">
        <v>7581</v>
      </c>
      <c r="S127" s="818" t="s">
        <v>7582</v>
      </c>
      <c r="T127" s="818" t="s">
        <v>7583</v>
      </c>
      <c r="U127" s="818" t="s">
        <v>7584</v>
      </c>
      <c r="V127" s="818" t="s">
        <v>7585</v>
      </c>
      <c r="W127" s="818" t="s">
        <v>7586</v>
      </c>
      <c r="X127" s="806" t="s">
        <v>7587</v>
      </c>
      <c r="Y127" s="818" t="s">
        <v>7588</v>
      </c>
      <c r="Z127" s="806" t="s">
        <v>7589</v>
      </c>
      <c r="AA127" s="806" t="s">
        <v>7590</v>
      </c>
      <c r="AB127" s="818" t="s">
        <v>7591</v>
      </c>
      <c r="AC127" s="818" t="s">
        <v>7592</v>
      </c>
      <c r="AD127" s="818" t="s">
        <v>7593</v>
      </c>
      <c r="AE127" s="818" t="s">
        <v>7594</v>
      </c>
      <c r="AF127" s="818" t="s">
        <v>7595</v>
      </c>
      <c r="AG127" s="818" t="s">
        <v>7596</v>
      </c>
      <c r="AH127" s="818" t="s">
        <v>7597</v>
      </c>
      <c r="AI127" s="806" t="s">
        <v>7598</v>
      </c>
      <c r="AJ127" s="806" t="s">
        <v>7599</v>
      </c>
      <c r="AK127" s="818" t="s">
        <v>7600</v>
      </c>
      <c r="AL127" s="818" t="s">
        <v>7601</v>
      </c>
      <c r="AM127" s="806" t="s">
        <v>7602</v>
      </c>
      <c r="AN127" s="818" t="s">
        <v>7603</v>
      </c>
      <c r="AO127" s="818" t="s">
        <v>7604</v>
      </c>
      <c r="AP127" s="806" t="s">
        <v>7605</v>
      </c>
      <c r="AQ127" s="818" t="s">
        <v>7606</v>
      </c>
      <c r="AR127" s="806" t="s">
        <v>7607</v>
      </c>
      <c r="AS127" s="818" t="s">
        <v>7608</v>
      </c>
      <c r="AT127" s="818" t="s">
        <v>7609</v>
      </c>
      <c r="AU127" s="818" t="s">
        <v>7610</v>
      </c>
      <c r="AV127" s="818" t="s">
        <v>7611</v>
      </c>
      <c r="AW127" s="806" t="s">
        <v>7612</v>
      </c>
      <c r="AX127" s="818" t="s">
        <v>7613</v>
      </c>
      <c r="AY127" s="818" t="s">
        <v>7614</v>
      </c>
      <c r="AZ127" s="818" t="s">
        <v>7615</v>
      </c>
      <c r="BA127" s="818" t="s">
        <v>7616</v>
      </c>
      <c r="BB127" s="818" t="s">
        <v>7617</v>
      </c>
      <c r="BC127" s="818" t="s">
        <v>7618</v>
      </c>
      <c r="BD127" s="806" t="s">
        <v>7619</v>
      </c>
      <c r="BE127" s="818" t="s">
        <v>7620</v>
      </c>
      <c r="BF127" s="818" t="s">
        <v>7621</v>
      </c>
      <c r="BG127" s="818" t="s">
        <v>7622</v>
      </c>
      <c r="BH127" s="818" t="s">
        <v>7623</v>
      </c>
      <c r="BI127" s="818" t="s">
        <v>7624</v>
      </c>
      <c r="BJ127" s="806" t="s">
        <v>7625</v>
      </c>
      <c r="BK127" s="818" t="s">
        <v>7626</v>
      </c>
      <c r="BL127" s="818" t="s">
        <v>7627</v>
      </c>
      <c r="BM127" s="818" t="s">
        <v>7628</v>
      </c>
      <c r="BO127" s="773">
        <v>2025</v>
      </c>
      <c r="BP127" s="773" t="s">
        <v>7906</v>
      </c>
    </row>
    <row r="128" spans="1:68" ht="14.25">
      <c r="A128" s="773">
        <v>4</v>
      </c>
      <c r="B128" s="839" t="s">
        <v>7629</v>
      </c>
      <c r="C128" s="835" t="s">
        <v>7630</v>
      </c>
      <c r="D128" s="835" t="s">
        <v>7631</v>
      </c>
      <c r="E128" s="806" t="s">
        <v>7632</v>
      </c>
      <c r="F128" s="806" t="s">
        <v>7633</v>
      </c>
      <c r="G128" s="806" t="s">
        <v>7634</v>
      </c>
      <c r="H128" s="806" t="s">
        <v>7635</v>
      </c>
      <c r="I128" s="806" t="s">
        <v>7636</v>
      </c>
      <c r="J128" s="805" t="s">
        <v>7637</v>
      </c>
      <c r="K128" s="805" t="s">
        <v>7638</v>
      </c>
      <c r="L128" s="818" t="s">
        <v>7639</v>
      </c>
      <c r="M128" s="818" t="s">
        <v>7640</v>
      </c>
      <c r="N128" s="818" t="s">
        <v>7641</v>
      </c>
      <c r="O128" s="818" t="s">
        <v>7642</v>
      </c>
      <c r="P128" s="818" t="s">
        <v>7643</v>
      </c>
      <c r="Q128" s="818" t="s">
        <v>7644</v>
      </c>
      <c r="R128" s="806" t="s">
        <v>7645</v>
      </c>
      <c r="S128" s="818" t="s">
        <v>7646</v>
      </c>
      <c r="T128" s="818" t="s">
        <v>7647</v>
      </c>
      <c r="U128" s="818" t="s">
        <v>7648</v>
      </c>
      <c r="V128" s="806" t="s">
        <v>7649</v>
      </c>
      <c r="W128" s="818" t="s">
        <v>7650</v>
      </c>
      <c r="X128" s="806" t="s">
        <v>7651</v>
      </c>
      <c r="Y128" s="818" t="s">
        <v>7652</v>
      </c>
      <c r="Z128" s="818" t="s">
        <v>7653</v>
      </c>
      <c r="AA128" s="818" t="s">
        <v>7654</v>
      </c>
      <c r="AB128" s="818" t="s">
        <v>7655</v>
      </c>
      <c r="AC128" s="818" t="s">
        <v>7656</v>
      </c>
      <c r="AD128" s="818" t="s">
        <v>7657</v>
      </c>
      <c r="AE128" s="818" t="s">
        <v>7658</v>
      </c>
      <c r="AF128" s="818" t="s">
        <v>7659</v>
      </c>
      <c r="AG128" s="818" t="s">
        <v>7660</v>
      </c>
      <c r="AH128" s="818" t="s">
        <v>7661</v>
      </c>
      <c r="AI128" s="818" t="s">
        <v>7662</v>
      </c>
      <c r="AJ128" s="806" t="s">
        <v>7663</v>
      </c>
      <c r="AK128" s="818" t="s">
        <v>7664</v>
      </c>
      <c r="AL128" s="818" t="s">
        <v>7665</v>
      </c>
      <c r="AM128" s="818" t="s">
        <v>7666</v>
      </c>
      <c r="AN128" s="818" t="s">
        <v>7667</v>
      </c>
      <c r="AO128" s="818" t="s">
        <v>7668</v>
      </c>
      <c r="AP128" s="818" t="s">
        <v>7669</v>
      </c>
      <c r="AQ128" s="818" t="s">
        <v>7670</v>
      </c>
      <c r="AR128" s="818" t="s">
        <v>7671</v>
      </c>
      <c r="AS128" s="818" t="s">
        <v>7672</v>
      </c>
      <c r="AT128" s="818" t="s">
        <v>7673</v>
      </c>
      <c r="AU128" s="818" t="s">
        <v>7674</v>
      </c>
      <c r="AV128" s="818" t="s">
        <v>7675</v>
      </c>
      <c r="AW128" s="818" t="s">
        <v>7676</v>
      </c>
      <c r="AX128" s="818" t="s">
        <v>7677</v>
      </c>
      <c r="AY128" s="818" t="s">
        <v>7678</v>
      </c>
      <c r="AZ128" s="818" t="s">
        <v>7679</v>
      </c>
      <c r="BA128" s="818" t="s">
        <v>7680</v>
      </c>
      <c r="BB128" s="818" t="s">
        <v>7681</v>
      </c>
      <c r="BC128" s="818" t="s">
        <v>7682</v>
      </c>
      <c r="BD128" s="818" t="s">
        <v>7683</v>
      </c>
      <c r="BE128" s="818" t="s">
        <v>7684</v>
      </c>
      <c r="BF128" s="818" t="s">
        <v>7685</v>
      </c>
      <c r="BG128" s="818" t="s">
        <v>7686</v>
      </c>
      <c r="BH128" s="818" t="s">
        <v>7687</v>
      </c>
      <c r="BI128" s="818" t="s">
        <v>7688</v>
      </c>
      <c r="BJ128" s="806" t="s">
        <v>7689</v>
      </c>
      <c r="BK128" s="818" t="s">
        <v>7690</v>
      </c>
      <c r="BL128" s="818" t="s">
        <v>7691</v>
      </c>
      <c r="BM128" s="818" t="s">
        <v>7692</v>
      </c>
      <c r="BO128" s="773">
        <v>2026</v>
      </c>
      <c r="BP128" s="773" t="s">
        <v>7907</v>
      </c>
    </row>
    <row r="129" spans="1:68" ht="14.25">
      <c r="A129" s="773">
        <v>5</v>
      </c>
      <c r="B129" s="839" t="s">
        <v>7693</v>
      </c>
      <c r="C129" s="835" t="s">
        <v>7694</v>
      </c>
      <c r="D129" s="835" t="s">
        <v>7695</v>
      </c>
      <c r="E129" s="806" t="s">
        <v>7696</v>
      </c>
      <c r="F129" s="806" t="s">
        <v>7697</v>
      </c>
      <c r="G129" s="806" t="s">
        <v>7698</v>
      </c>
      <c r="H129" s="806" t="s">
        <v>7699</v>
      </c>
      <c r="I129" s="806" t="s">
        <v>7700</v>
      </c>
      <c r="J129" s="805" t="s">
        <v>7701</v>
      </c>
      <c r="K129" s="805" t="s">
        <v>7702</v>
      </c>
      <c r="L129" s="818" t="s">
        <v>7703</v>
      </c>
      <c r="M129" s="806" t="s">
        <v>7704</v>
      </c>
      <c r="N129" s="806" t="s">
        <v>7705</v>
      </c>
      <c r="O129" s="818" t="s">
        <v>7706</v>
      </c>
      <c r="P129" s="818" t="s">
        <v>7707</v>
      </c>
      <c r="Q129" s="818" t="s">
        <v>7708</v>
      </c>
      <c r="R129" s="818" t="s">
        <v>7709</v>
      </c>
      <c r="S129" s="818" t="s">
        <v>7710</v>
      </c>
      <c r="T129" s="818" t="s">
        <v>7711</v>
      </c>
      <c r="U129" s="818" t="s">
        <v>7712</v>
      </c>
      <c r="V129" s="818" t="s">
        <v>7713</v>
      </c>
      <c r="W129" s="818" t="s">
        <v>7714</v>
      </c>
      <c r="X129" s="806" t="s">
        <v>7715</v>
      </c>
      <c r="Y129" s="818" t="s">
        <v>7716</v>
      </c>
      <c r="Z129" s="818" t="s">
        <v>7717</v>
      </c>
      <c r="AA129" s="818" t="s">
        <v>7718</v>
      </c>
      <c r="AB129" s="818" t="s">
        <v>7719</v>
      </c>
      <c r="AC129" s="818" t="s">
        <v>7720</v>
      </c>
      <c r="AD129" s="818" t="s">
        <v>7721</v>
      </c>
      <c r="AE129" s="818" t="s">
        <v>7722</v>
      </c>
      <c r="AF129" s="818" t="s">
        <v>7723</v>
      </c>
      <c r="AG129" s="818" t="s">
        <v>7724</v>
      </c>
      <c r="AH129" s="818" t="s">
        <v>7725</v>
      </c>
      <c r="AI129" s="818" t="s">
        <v>7726</v>
      </c>
      <c r="AJ129" s="806" t="s">
        <v>7727</v>
      </c>
      <c r="AK129" s="818" t="s">
        <v>7728</v>
      </c>
      <c r="AL129" s="818" t="s">
        <v>7729</v>
      </c>
      <c r="AM129" s="818" t="s">
        <v>7730</v>
      </c>
      <c r="AN129" s="818" t="s">
        <v>7731</v>
      </c>
      <c r="AO129" s="818" t="s">
        <v>7732</v>
      </c>
      <c r="AP129" s="818" t="s">
        <v>7733</v>
      </c>
      <c r="AQ129" s="806" t="s">
        <v>7734</v>
      </c>
      <c r="AR129" s="818" t="s">
        <v>7735</v>
      </c>
      <c r="AS129" s="818" t="s">
        <v>7736</v>
      </c>
      <c r="AT129" s="818" t="s">
        <v>7737</v>
      </c>
      <c r="AU129" s="818" t="s">
        <v>7738</v>
      </c>
      <c r="AV129" s="806" t="s">
        <v>7739</v>
      </c>
      <c r="AW129" s="818" t="s">
        <v>7740</v>
      </c>
      <c r="AX129" s="818" t="s">
        <v>7741</v>
      </c>
      <c r="AY129" s="818" t="s">
        <v>7742</v>
      </c>
      <c r="AZ129" s="818" t="s">
        <v>7743</v>
      </c>
      <c r="BA129" s="818" t="s">
        <v>7744</v>
      </c>
      <c r="BB129" s="818" t="s">
        <v>7745</v>
      </c>
      <c r="BC129" s="818" t="s">
        <v>7746</v>
      </c>
      <c r="BD129" s="818" t="s">
        <v>7747</v>
      </c>
      <c r="BE129" s="818" t="s">
        <v>7748</v>
      </c>
      <c r="BF129" s="806" t="s">
        <v>7749</v>
      </c>
      <c r="BG129" s="818" t="s">
        <v>7750</v>
      </c>
      <c r="BH129" s="818" t="s">
        <v>7751</v>
      </c>
      <c r="BI129" s="818" t="s">
        <v>7752</v>
      </c>
      <c r="BJ129" s="806" t="s">
        <v>7753</v>
      </c>
      <c r="BK129" s="806" t="s">
        <v>7754</v>
      </c>
      <c r="BL129" s="818" t="s">
        <v>7755</v>
      </c>
      <c r="BM129" s="818" t="s">
        <v>7756</v>
      </c>
      <c r="BO129" s="773">
        <v>2027</v>
      </c>
      <c r="BP129" s="773" t="s">
        <v>7908</v>
      </c>
    </row>
    <row r="130" spans="1:68" ht="14.25">
      <c r="A130" s="773">
        <v>6</v>
      </c>
      <c r="B130" s="839" t="s">
        <v>7757</v>
      </c>
      <c r="C130" s="835" t="s">
        <v>7758</v>
      </c>
      <c r="D130" s="835" t="s">
        <v>7759</v>
      </c>
      <c r="E130" s="806" t="s">
        <v>7760</v>
      </c>
      <c r="F130" s="806" t="s">
        <v>7761</v>
      </c>
      <c r="G130" s="806" t="s">
        <v>7762</v>
      </c>
      <c r="H130" s="806" t="s">
        <v>7763</v>
      </c>
      <c r="I130" s="806" t="s">
        <v>7764</v>
      </c>
      <c r="J130" s="805" t="s">
        <v>7765</v>
      </c>
      <c r="K130" s="805" t="s">
        <v>7766</v>
      </c>
      <c r="L130" s="806" t="s">
        <v>7767</v>
      </c>
      <c r="M130" s="818" t="s">
        <v>7768</v>
      </c>
      <c r="N130" s="818" t="s">
        <v>7769</v>
      </c>
      <c r="O130" s="818" t="s">
        <v>7770</v>
      </c>
      <c r="P130" s="818" t="s">
        <v>7771</v>
      </c>
      <c r="Q130" s="818" t="s">
        <v>7772</v>
      </c>
      <c r="R130" s="806" t="s">
        <v>7773</v>
      </c>
      <c r="S130" s="818" t="s">
        <v>7774</v>
      </c>
      <c r="T130" s="818" t="s">
        <v>7775</v>
      </c>
      <c r="U130" s="818" t="s">
        <v>7776</v>
      </c>
      <c r="V130" s="818" t="s">
        <v>7777</v>
      </c>
      <c r="W130" s="818" t="s">
        <v>7778</v>
      </c>
      <c r="X130" s="806" t="s">
        <v>7779</v>
      </c>
      <c r="Y130" s="806" t="s">
        <v>7780</v>
      </c>
      <c r="Z130" s="818" t="s">
        <v>7781</v>
      </c>
      <c r="AA130" s="818" t="s">
        <v>7782</v>
      </c>
      <c r="AB130" s="818" t="s">
        <v>7783</v>
      </c>
      <c r="AC130" s="818" t="s">
        <v>8227</v>
      </c>
      <c r="AD130" s="818" t="s">
        <v>8228</v>
      </c>
      <c r="AE130" s="806" t="s">
        <v>8229</v>
      </c>
      <c r="AF130" s="818" t="s">
        <v>8230</v>
      </c>
      <c r="AG130" s="818" t="s">
        <v>8231</v>
      </c>
      <c r="AH130" s="818" t="s">
        <v>8232</v>
      </c>
      <c r="AI130" s="818" t="s">
        <v>8233</v>
      </c>
      <c r="AJ130" s="806" t="s">
        <v>8234</v>
      </c>
      <c r="AK130" s="818" t="s">
        <v>8235</v>
      </c>
      <c r="AL130" s="818" t="s">
        <v>8236</v>
      </c>
      <c r="AM130" s="818" t="s">
        <v>8237</v>
      </c>
      <c r="AN130" s="818" t="s">
        <v>8238</v>
      </c>
      <c r="AO130" s="818" t="s">
        <v>8239</v>
      </c>
      <c r="AP130" s="806" t="s">
        <v>8240</v>
      </c>
      <c r="AQ130" s="818" t="s">
        <v>8241</v>
      </c>
      <c r="AR130" s="818" t="s">
        <v>8242</v>
      </c>
      <c r="AS130" s="818" t="s">
        <v>8243</v>
      </c>
      <c r="AT130" s="818" t="s">
        <v>8244</v>
      </c>
      <c r="AU130" s="818" t="s">
        <v>8245</v>
      </c>
      <c r="AV130" s="806" t="s">
        <v>8246</v>
      </c>
      <c r="AW130" s="818" t="s">
        <v>8247</v>
      </c>
      <c r="AX130" s="818" t="s">
        <v>8248</v>
      </c>
      <c r="AY130" s="818" t="s">
        <v>8249</v>
      </c>
      <c r="AZ130" s="806" t="s">
        <v>8250</v>
      </c>
      <c r="BA130" s="818" t="s">
        <v>8251</v>
      </c>
      <c r="BB130" s="818" t="s">
        <v>8252</v>
      </c>
      <c r="BC130" s="806" t="s">
        <v>8253</v>
      </c>
      <c r="BD130" s="806" t="s">
        <v>8254</v>
      </c>
      <c r="BE130" s="818" t="s">
        <v>8255</v>
      </c>
      <c r="BF130" s="818" t="s">
        <v>8256</v>
      </c>
      <c r="BG130" s="818" t="s">
        <v>8257</v>
      </c>
      <c r="BH130" s="818" t="s">
        <v>8258</v>
      </c>
      <c r="BI130" s="818" t="s">
        <v>8259</v>
      </c>
      <c r="BJ130" s="806" t="s">
        <v>8260</v>
      </c>
      <c r="BK130" s="818" t="s">
        <v>8261</v>
      </c>
      <c r="BL130" s="818" t="s">
        <v>8262</v>
      </c>
      <c r="BM130" s="818" t="s">
        <v>8263</v>
      </c>
      <c r="BO130" s="773">
        <v>2028</v>
      </c>
      <c r="BP130" s="773" t="s">
        <v>7909</v>
      </c>
    </row>
    <row r="131" spans="1:68">
      <c r="A131" s="773">
        <v>7</v>
      </c>
      <c r="B131" s="839" t="s">
        <v>8264</v>
      </c>
      <c r="BO131" s="773">
        <v>2029</v>
      </c>
      <c r="BP131" s="773" t="s">
        <v>7910</v>
      </c>
    </row>
    <row r="132" spans="1:68">
      <c r="BO132" s="773">
        <v>2030</v>
      </c>
      <c r="BP132" s="773" t="s">
        <v>7913</v>
      </c>
    </row>
    <row r="133" spans="1:68">
      <c r="A133" s="772" t="s">
        <v>7896</v>
      </c>
      <c r="C133" s="773">
        <v>15</v>
      </c>
      <c r="D133" s="773">
        <v>25</v>
      </c>
      <c r="E133" s="773">
        <v>35</v>
      </c>
      <c r="F133" s="773">
        <v>45</v>
      </c>
      <c r="G133" s="773">
        <v>55</v>
      </c>
      <c r="H133" s="773">
        <v>65</v>
      </c>
      <c r="I133" s="820">
        <v>75</v>
      </c>
      <c r="J133" s="820">
        <v>85</v>
      </c>
      <c r="BO133" s="773">
        <v>2031</v>
      </c>
      <c r="BP133" s="773" t="s">
        <v>7914</v>
      </c>
    </row>
    <row r="134" spans="1:68">
      <c r="A134" s="773" t="s">
        <v>7844</v>
      </c>
      <c r="B134" s="773">
        <v>5</v>
      </c>
      <c r="C134" s="773" t="s">
        <v>7882</v>
      </c>
      <c r="D134" s="773" t="s">
        <v>7887</v>
      </c>
      <c r="E134" s="773" t="s">
        <v>7886</v>
      </c>
      <c r="F134" s="773" t="s">
        <v>7880</v>
      </c>
      <c r="G134" s="773" t="s">
        <v>7877</v>
      </c>
      <c r="H134" s="773" t="s">
        <v>6548</v>
      </c>
      <c r="I134" s="773" t="s">
        <v>7875</v>
      </c>
      <c r="J134" s="773" t="s">
        <v>7874</v>
      </c>
      <c r="BO134" s="773">
        <v>2032</v>
      </c>
      <c r="BP134" s="773" t="s">
        <v>7915</v>
      </c>
    </row>
    <row r="135" spans="1:68">
      <c r="A135" s="773" t="s">
        <v>7847</v>
      </c>
      <c r="B135" s="773">
        <v>4</v>
      </c>
      <c r="C135" s="773" t="s">
        <v>7883</v>
      </c>
      <c r="D135" s="773" t="s">
        <v>7882</v>
      </c>
      <c r="E135" s="773" t="s">
        <v>7887</v>
      </c>
      <c r="F135" s="773" t="s">
        <v>7886</v>
      </c>
      <c r="G135" s="773" t="s">
        <v>7880</v>
      </c>
      <c r="H135" s="773" t="s">
        <v>7877</v>
      </c>
      <c r="I135" s="773" t="s">
        <v>6548</v>
      </c>
      <c r="J135" s="773" t="s">
        <v>7875</v>
      </c>
      <c r="BO135" s="773">
        <v>2033</v>
      </c>
      <c r="BP135" s="773" t="s">
        <v>7916</v>
      </c>
    </row>
    <row r="136" spans="1:68">
      <c r="A136" s="773" t="s">
        <v>7849</v>
      </c>
      <c r="B136" s="773">
        <v>1</v>
      </c>
      <c r="C136" s="773" t="s">
        <v>7886</v>
      </c>
      <c r="D136" s="773" t="s">
        <v>7880</v>
      </c>
      <c r="E136" s="773" t="s">
        <v>7877</v>
      </c>
      <c r="F136" s="773" t="s">
        <v>6548</v>
      </c>
      <c r="G136" s="773" t="s">
        <v>7875</v>
      </c>
      <c r="H136" s="773" t="s">
        <v>7874</v>
      </c>
      <c r="I136" s="773" t="s">
        <v>7873</v>
      </c>
      <c r="J136" s="773" t="s">
        <v>7872</v>
      </c>
      <c r="BO136" s="773">
        <v>2034</v>
      </c>
      <c r="BP136" s="773" t="s">
        <v>7917</v>
      </c>
    </row>
    <row r="137" spans="1:68">
      <c r="A137" s="773" t="s">
        <v>7851</v>
      </c>
      <c r="B137" s="773">
        <v>3</v>
      </c>
      <c r="C137" s="773" t="s">
        <v>6548</v>
      </c>
      <c r="D137" s="773" t="s">
        <v>7875</v>
      </c>
      <c r="E137" s="773" t="s">
        <v>7874</v>
      </c>
      <c r="F137" s="773" t="s">
        <v>7873</v>
      </c>
      <c r="G137" s="773" t="s">
        <v>7872</v>
      </c>
      <c r="H137" s="773" t="s">
        <v>7871</v>
      </c>
      <c r="I137" s="773" t="s">
        <v>7883</v>
      </c>
      <c r="J137" s="773" t="s">
        <v>7882</v>
      </c>
      <c r="BO137" s="773">
        <v>2035</v>
      </c>
      <c r="BP137" s="773" t="s">
        <v>7918</v>
      </c>
    </row>
    <row r="138" spans="1:68">
      <c r="A138" s="773" t="s">
        <v>6549</v>
      </c>
      <c r="B138" s="773">
        <v>2</v>
      </c>
      <c r="C138" s="773" t="s">
        <v>7873</v>
      </c>
      <c r="D138" s="773" t="s">
        <v>7872</v>
      </c>
      <c r="E138" s="773" t="s">
        <v>7871</v>
      </c>
      <c r="F138" s="773" t="s">
        <v>7883</v>
      </c>
      <c r="G138" s="773" t="s">
        <v>7882</v>
      </c>
      <c r="H138" s="773" t="s">
        <v>7887</v>
      </c>
      <c r="I138" s="773" t="s">
        <v>7886</v>
      </c>
      <c r="J138" s="773" t="s">
        <v>7880</v>
      </c>
      <c r="BO138" s="773">
        <v>2036</v>
      </c>
      <c r="BP138" s="773" t="s">
        <v>7919</v>
      </c>
    </row>
    <row r="139" spans="1:68">
      <c r="A139" s="773" t="s">
        <v>7856</v>
      </c>
      <c r="B139" s="773">
        <v>5</v>
      </c>
      <c r="C139" s="773" t="s">
        <v>7882</v>
      </c>
      <c r="D139" s="773" t="s">
        <v>7887</v>
      </c>
      <c r="E139" s="773" t="s">
        <v>7886</v>
      </c>
      <c r="F139" s="773" t="s">
        <v>7880</v>
      </c>
      <c r="G139" s="773" t="s">
        <v>7877</v>
      </c>
      <c r="H139" s="773" t="s">
        <v>6548</v>
      </c>
      <c r="I139" s="773" t="s">
        <v>7875</v>
      </c>
      <c r="J139" s="773" t="s">
        <v>7874</v>
      </c>
      <c r="BO139" s="773">
        <v>2037</v>
      </c>
      <c r="BP139" s="773" t="s">
        <v>7920</v>
      </c>
    </row>
    <row r="140" spans="1:68">
      <c r="A140" s="773" t="s">
        <v>7860</v>
      </c>
      <c r="B140" s="773">
        <v>4</v>
      </c>
      <c r="C140" s="773" t="s">
        <v>7883</v>
      </c>
      <c r="D140" s="773" t="s">
        <v>7882</v>
      </c>
      <c r="E140" s="773" t="s">
        <v>7887</v>
      </c>
      <c r="F140" s="773" t="s">
        <v>7886</v>
      </c>
      <c r="G140" s="773" t="s">
        <v>7880</v>
      </c>
      <c r="H140" s="773" t="s">
        <v>7877</v>
      </c>
      <c r="I140" s="773" t="s">
        <v>6548</v>
      </c>
      <c r="J140" s="773" t="s">
        <v>7875</v>
      </c>
      <c r="BO140" s="773">
        <v>2038</v>
      </c>
      <c r="BP140" s="773" t="s">
        <v>7922</v>
      </c>
    </row>
    <row r="141" spans="1:68">
      <c r="A141" s="773" t="s">
        <v>6562</v>
      </c>
      <c r="B141" s="773">
        <v>1</v>
      </c>
      <c r="C141" s="773" t="s">
        <v>7886</v>
      </c>
      <c r="D141" s="773" t="s">
        <v>7880</v>
      </c>
      <c r="E141" s="773" t="s">
        <v>7877</v>
      </c>
      <c r="F141" s="773" t="s">
        <v>6548</v>
      </c>
      <c r="G141" s="773" t="s">
        <v>7875</v>
      </c>
      <c r="H141" s="773" t="s">
        <v>7874</v>
      </c>
      <c r="I141" s="773" t="s">
        <v>7873</v>
      </c>
      <c r="J141" s="773" t="s">
        <v>7872</v>
      </c>
      <c r="BO141" s="773">
        <v>2039</v>
      </c>
      <c r="BP141" s="773" t="s">
        <v>7923</v>
      </c>
    </row>
    <row r="142" spans="1:68">
      <c r="A142" s="773" t="s">
        <v>7865</v>
      </c>
      <c r="B142" s="773">
        <v>3</v>
      </c>
      <c r="C142" s="773" t="s">
        <v>6548</v>
      </c>
      <c r="D142" s="773" t="s">
        <v>7875</v>
      </c>
      <c r="E142" s="773" t="s">
        <v>7874</v>
      </c>
      <c r="F142" s="773" t="s">
        <v>7873</v>
      </c>
      <c r="G142" s="773" t="s">
        <v>7872</v>
      </c>
      <c r="H142" s="773" t="s">
        <v>7871</v>
      </c>
      <c r="I142" s="773" t="s">
        <v>7883</v>
      </c>
      <c r="J142" s="773" t="s">
        <v>7882</v>
      </c>
      <c r="BO142" s="773">
        <v>2040</v>
      </c>
      <c r="BP142" s="773" t="s">
        <v>7924</v>
      </c>
    </row>
    <row r="143" spans="1:68">
      <c r="A143" s="773" t="s">
        <v>6567</v>
      </c>
      <c r="B143" s="773">
        <v>2</v>
      </c>
      <c r="C143" s="773" t="s">
        <v>7873</v>
      </c>
      <c r="D143" s="773" t="s">
        <v>7872</v>
      </c>
      <c r="E143" s="773" t="s">
        <v>7871</v>
      </c>
      <c r="F143" s="773" t="s">
        <v>7883</v>
      </c>
      <c r="G143" s="773" t="s">
        <v>7882</v>
      </c>
      <c r="H143" s="773" t="s">
        <v>7887</v>
      </c>
      <c r="I143" s="773" t="s">
        <v>7886</v>
      </c>
      <c r="J143" s="773" t="s">
        <v>7880</v>
      </c>
      <c r="BO143" s="773">
        <v>2041</v>
      </c>
      <c r="BP143" s="773" t="s">
        <v>7925</v>
      </c>
    </row>
    <row r="144" spans="1:68">
      <c r="BO144" s="773">
        <v>2042</v>
      </c>
      <c r="BP144" s="773" t="s">
        <v>7927</v>
      </c>
    </row>
    <row r="145" spans="1:68">
      <c r="K145" s="773" t="str">
        <f ca="1">VLOOKUP(J98,I147:U157,I103+1,0)</f>
        <v>nhâm</v>
      </c>
      <c r="L145" s="773" t="str">
        <f ca="1">VLOOKUP(I103,$A$176:$B$187,2,0)</f>
        <v>dần</v>
      </c>
      <c r="M145" s="773" t="str">
        <f ca="1">CONCATENATE(K145," ",L145)</f>
        <v>nhâm dần</v>
      </c>
      <c r="BO145" s="773">
        <v>2043</v>
      </c>
      <c r="BP145" s="773" t="s">
        <v>7928</v>
      </c>
    </row>
    <row r="146" spans="1:68">
      <c r="C146" s="773" t="s">
        <v>7911</v>
      </c>
      <c r="D146" s="773" t="s">
        <v>7911</v>
      </c>
      <c r="E146" s="773" t="s">
        <v>7912</v>
      </c>
      <c r="F146" s="773" t="s">
        <v>7912</v>
      </c>
    </row>
    <row r="147" spans="1:68">
      <c r="A147" s="773">
        <f ca="1">H8</f>
        <v>63</v>
      </c>
      <c r="B147" s="773">
        <f ca="1">MID($A$149,1,1)+0</f>
        <v>2</v>
      </c>
      <c r="C147" s="773">
        <f ca="1">IF(B147=1,C148+1,C148)</f>
        <v>3</v>
      </c>
      <c r="D147" s="773">
        <f t="shared" ref="D147:D152" ca="1" si="51">IF(B147=1,C147,0)</f>
        <v>0</v>
      </c>
      <c r="E147" s="773">
        <f ca="1">IF(B147=2,1,0)</f>
        <v>1</v>
      </c>
      <c r="F147" s="773">
        <f t="shared" ref="F147:F152" ca="1" si="52">IF(B147=2,E147,0)</f>
        <v>1</v>
      </c>
      <c r="G147" s="773">
        <v>6</v>
      </c>
      <c r="I147" s="806"/>
      <c r="J147" s="806">
        <v>1</v>
      </c>
      <c r="K147" s="806">
        <v>2</v>
      </c>
      <c r="L147" s="818">
        <v>3</v>
      </c>
      <c r="M147" s="818">
        <v>4</v>
      </c>
      <c r="N147" s="806">
        <v>5</v>
      </c>
      <c r="O147" s="806">
        <v>6</v>
      </c>
      <c r="P147" s="806">
        <v>7</v>
      </c>
      <c r="Q147" s="806">
        <v>8</v>
      </c>
      <c r="R147" s="806">
        <v>9</v>
      </c>
      <c r="S147" s="806">
        <v>10</v>
      </c>
      <c r="T147" s="806">
        <v>11</v>
      </c>
      <c r="U147" s="806">
        <v>12</v>
      </c>
    </row>
    <row r="148" spans="1:68">
      <c r="B148" s="773">
        <f ca="1">MID($A$149,2,1)+0</f>
        <v>1</v>
      </c>
      <c r="C148" s="773">
        <f ca="1">IF(B148=1,C149+1,C149)</f>
        <v>3</v>
      </c>
      <c r="D148" s="773">
        <f t="shared" ca="1" si="51"/>
        <v>3</v>
      </c>
      <c r="E148" s="773">
        <f ca="1">IF(B148=2,E147+1,E147)</f>
        <v>1</v>
      </c>
      <c r="F148" s="773">
        <f t="shared" ca="1" si="52"/>
        <v>0</v>
      </c>
      <c r="G148" s="773">
        <v>5</v>
      </c>
      <c r="I148" s="806" t="s">
        <v>7844</v>
      </c>
      <c r="J148" s="806" t="s">
        <v>7849</v>
      </c>
      <c r="K148" s="806" t="s">
        <v>7851</v>
      </c>
      <c r="L148" s="818" t="s">
        <v>6549</v>
      </c>
      <c r="M148" s="818" t="s">
        <v>7856</v>
      </c>
      <c r="N148" s="806" t="s">
        <v>7860</v>
      </c>
      <c r="O148" s="806" t="s">
        <v>6562</v>
      </c>
      <c r="P148" s="806" t="s">
        <v>7865</v>
      </c>
      <c r="Q148" s="806" t="s">
        <v>6567</v>
      </c>
      <c r="R148" s="806" t="s">
        <v>7844</v>
      </c>
      <c r="S148" s="806" t="s">
        <v>7847</v>
      </c>
      <c r="T148" s="806" t="s">
        <v>7849</v>
      </c>
      <c r="U148" s="806" t="s">
        <v>7851</v>
      </c>
    </row>
    <row r="149" spans="1:68">
      <c r="A149" s="773">
        <f ca="1">VLOOKUP(A147,X1:Z64,3,0)</f>
        <v>212121</v>
      </c>
      <c r="B149" s="773">
        <f ca="1">MID($A$149,3,1)+0</f>
        <v>2</v>
      </c>
      <c r="C149" s="773">
        <f ca="1">IF(B149=1,C150+1,C150)</f>
        <v>2</v>
      </c>
      <c r="D149" s="773">
        <f t="shared" ca="1" si="51"/>
        <v>0</v>
      </c>
      <c r="E149" s="773">
        <f ca="1">IF(B149=2,E148+1,E148)</f>
        <v>2</v>
      </c>
      <c r="F149" s="773">
        <f t="shared" ca="1" si="52"/>
        <v>2</v>
      </c>
      <c r="G149" s="773">
        <v>4</v>
      </c>
      <c r="I149" s="806" t="s">
        <v>7847</v>
      </c>
      <c r="J149" s="806" t="s">
        <v>6549</v>
      </c>
      <c r="K149" s="806" t="s">
        <v>7856</v>
      </c>
      <c r="L149" s="818" t="s">
        <v>7860</v>
      </c>
      <c r="M149" s="818" t="s">
        <v>6562</v>
      </c>
      <c r="N149" s="806" t="s">
        <v>7865</v>
      </c>
      <c r="O149" s="806" t="s">
        <v>6567</v>
      </c>
      <c r="P149" s="806" t="s">
        <v>7844</v>
      </c>
      <c r="Q149" s="806" t="s">
        <v>7847</v>
      </c>
      <c r="R149" s="806" t="s">
        <v>7849</v>
      </c>
      <c r="S149" s="806" t="s">
        <v>7851</v>
      </c>
      <c r="T149" s="806" t="s">
        <v>6549</v>
      </c>
      <c r="U149" s="806" t="s">
        <v>7856</v>
      </c>
    </row>
    <row r="150" spans="1:68">
      <c r="B150" s="773">
        <f ca="1">MID($A$149,4,1)+0</f>
        <v>1</v>
      </c>
      <c r="C150" s="773">
        <f ca="1">IF(B150=1,C151+1,C151)</f>
        <v>2</v>
      </c>
      <c r="D150" s="773">
        <f t="shared" ca="1" si="51"/>
        <v>2</v>
      </c>
      <c r="E150" s="773">
        <f ca="1">IF(B150=2,E149+1,E149)</f>
        <v>2</v>
      </c>
      <c r="F150" s="773">
        <f t="shared" ca="1" si="52"/>
        <v>0</v>
      </c>
      <c r="G150" s="773">
        <v>3</v>
      </c>
      <c r="I150" s="806" t="s">
        <v>7849</v>
      </c>
      <c r="J150" s="806" t="s">
        <v>7860</v>
      </c>
      <c r="K150" s="806" t="s">
        <v>6562</v>
      </c>
      <c r="L150" s="818" t="s">
        <v>7865</v>
      </c>
      <c r="M150" s="818" t="s">
        <v>6567</v>
      </c>
      <c r="N150" s="806" t="s">
        <v>7844</v>
      </c>
      <c r="O150" s="806" t="s">
        <v>7847</v>
      </c>
      <c r="P150" s="806" t="s">
        <v>7849</v>
      </c>
      <c r="Q150" s="806" t="s">
        <v>7851</v>
      </c>
      <c r="R150" s="806" t="s">
        <v>6549</v>
      </c>
      <c r="S150" s="806" t="s">
        <v>7856</v>
      </c>
      <c r="T150" s="806" t="s">
        <v>7860</v>
      </c>
      <c r="U150" s="806" t="s">
        <v>6562</v>
      </c>
    </row>
    <row r="151" spans="1:68">
      <c r="B151" s="773">
        <f ca="1">MID($A$149,5,1)+0</f>
        <v>2</v>
      </c>
      <c r="C151" s="773">
        <f ca="1">IF(B151=1,C152+1,C152)</f>
        <v>1</v>
      </c>
      <c r="D151" s="773">
        <f t="shared" ca="1" si="51"/>
        <v>0</v>
      </c>
      <c r="E151" s="773">
        <f ca="1">IF(B151=2,E150+1,E150)</f>
        <v>3</v>
      </c>
      <c r="F151" s="773">
        <f t="shared" ca="1" si="52"/>
        <v>3</v>
      </c>
      <c r="G151" s="773">
        <v>2</v>
      </c>
      <c r="I151" s="806" t="s">
        <v>7851</v>
      </c>
      <c r="J151" s="806" t="s">
        <v>7865</v>
      </c>
      <c r="K151" s="806" t="s">
        <v>6567</v>
      </c>
      <c r="L151" s="818" t="s">
        <v>7844</v>
      </c>
      <c r="M151" s="818" t="s">
        <v>7847</v>
      </c>
      <c r="N151" s="806" t="s">
        <v>7849</v>
      </c>
      <c r="O151" s="806" t="s">
        <v>7851</v>
      </c>
      <c r="P151" s="806" t="s">
        <v>6549</v>
      </c>
      <c r="Q151" s="806" t="s">
        <v>7856</v>
      </c>
      <c r="R151" s="806" t="s">
        <v>7860</v>
      </c>
      <c r="S151" s="806" t="s">
        <v>6562</v>
      </c>
      <c r="T151" s="806" t="s">
        <v>7865</v>
      </c>
      <c r="U151" s="806" t="s">
        <v>6567</v>
      </c>
    </row>
    <row r="152" spans="1:68">
      <c r="B152" s="773">
        <f ca="1">MID($A$149,6,1)+0</f>
        <v>1</v>
      </c>
      <c r="C152" s="773">
        <f ca="1">IF(B152=1,1,0)</f>
        <v>1</v>
      </c>
      <c r="D152" s="773">
        <f t="shared" ca="1" si="51"/>
        <v>1</v>
      </c>
      <c r="E152" s="773">
        <f ca="1">IF(B152=2,E151+1,E151)</f>
        <v>3</v>
      </c>
      <c r="F152" s="773">
        <f t="shared" ca="1" si="52"/>
        <v>0</v>
      </c>
      <c r="G152" s="773">
        <v>1</v>
      </c>
      <c r="I152" s="806" t="s">
        <v>6549</v>
      </c>
      <c r="J152" s="806" t="s">
        <v>7844</v>
      </c>
      <c r="K152" s="806" t="s">
        <v>7847</v>
      </c>
      <c r="L152" s="818" t="s">
        <v>7849</v>
      </c>
      <c r="M152" s="818" t="s">
        <v>7851</v>
      </c>
      <c r="N152" s="806" t="s">
        <v>6549</v>
      </c>
      <c r="O152" s="806" t="s">
        <v>7856</v>
      </c>
      <c r="P152" s="806" t="s">
        <v>7860</v>
      </c>
      <c r="Q152" s="806" t="s">
        <v>6562</v>
      </c>
      <c r="R152" s="806" t="s">
        <v>7865</v>
      </c>
      <c r="S152" s="806" t="s">
        <v>6567</v>
      </c>
      <c r="T152" s="806" t="s">
        <v>7844</v>
      </c>
      <c r="U152" s="806" t="s">
        <v>7847</v>
      </c>
    </row>
    <row r="153" spans="1:68">
      <c r="A153" s="773">
        <f ca="1">VLOOKUP(P7,B176:C187,2,0)</f>
        <v>6</v>
      </c>
      <c r="B153" s="773">
        <f ca="1">COUNTIF($B$147:$B$152,1)</f>
        <v>3</v>
      </c>
      <c r="I153" s="806" t="s">
        <v>7856</v>
      </c>
      <c r="J153" s="806" t="s">
        <v>7849</v>
      </c>
      <c r="K153" s="806" t="s">
        <v>7851</v>
      </c>
      <c r="L153" s="818" t="s">
        <v>6549</v>
      </c>
      <c r="M153" s="818" t="s">
        <v>7856</v>
      </c>
      <c r="N153" s="806" t="s">
        <v>7860</v>
      </c>
      <c r="O153" s="806" t="s">
        <v>6562</v>
      </c>
      <c r="P153" s="806" t="s">
        <v>7865</v>
      </c>
      <c r="Q153" s="806" t="s">
        <v>6567</v>
      </c>
      <c r="R153" s="806" t="s">
        <v>7844</v>
      </c>
      <c r="S153" s="806" t="s">
        <v>7847</v>
      </c>
      <c r="T153" s="806" t="s">
        <v>7849</v>
      </c>
      <c r="U153" s="806" t="s">
        <v>7851</v>
      </c>
    </row>
    <row r="154" spans="1:68">
      <c r="A154" s="773">
        <f ca="1">MOD(A153,2)</f>
        <v>0</v>
      </c>
      <c r="B154" s="773">
        <f ca="1">COUNTIF($B$147:$B$152,2)</f>
        <v>3</v>
      </c>
      <c r="D154" s="773">
        <f ca="1">IF(A154=1,MOD(A153,B153),MOD(A153,B154))</f>
        <v>0</v>
      </c>
      <c r="E154" s="773">
        <f ca="1">IF(A154=1,IF(D154=0,MAX(D147:D152),D154),IF(D154=0,MAX(F147:F152),D154))</f>
        <v>3</v>
      </c>
      <c r="I154" s="806" t="s">
        <v>7860</v>
      </c>
      <c r="J154" s="806" t="s">
        <v>6549</v>
      </c>
      <c r="K154" s="806" t="s">
        <v>7856</v>
      </c>
      <c r="L154" s="818" t="s">
        <v>7860</v>
      </c>
      <c r="M154" s="818" t="s">
        <v>6562</v>
      </c>
      <c r="N154" s="806" t="s">
        <v>7865</v>
      </c>
      <c r="O154" s="806" t="s">
        <v>6567</v>
      </c>
      <c r="P154" s="806" t="s">
        <v>7844</v>
      </c>
      <c r="Q154" s="806" t="s">
        <v>7847</v>
      </c>
      <c r="R154" s="806" t="s">
        <v>7849</v>
      </c>
      <c r="S154" s="806" t="s">
        <v>7851</v>
      </c>
      <c r="T154" s="806" t="s">
        <v>6549</v>
      </c>
      <c r="U154" s="806" t="s">
        <v>7856</v>
      </c>
    </row>
    <row r="155" spans="1:68">
      <c r="I155" s="806" t="s">
        <v>6562</v>
      </c>
      <c r="J155" s="806" t="s">
        <v>7860</v>
      </c>
      <c r="K155" s="806" t="s">
        <v>6562</v>
      </c>
      <c r="L155" s="818" t="s">
        <v>7865</v>
      </c>
      <c r="M155" s="818" t="s">
        <v>6567</v>
      </c>
      <c r="N155" s="806" t="s">
        <v>7844</v>
      </c>
      <c r="O155" s="806" t="s">
        <v>7847</v>
      </c>
      <c r="P155" s="806" t="s">
        <v>7849</v>
      </c>
      <c r="Q155" s="806" t="s">
        <v>7851</v>
      </c>
      <c r="R155" s="806" t="s">
        <v>6549</v>
      </c>
      <c r="S155" s="806" t="s">
        <v>7856</v>
      </c>
      <c r="T155" s="806" t="s">
        <v>7860</v>
      </c>
      <c r="U155" s="806" t="s">
        <v>6562</v>
      </c>
    </row>
    <row r="156" spans="1:68">
      <c r="C156" s="773" t="s">
        <v>7911</v>
      </c>
      <c r="D156" s="773" t="s">
        <v>7911</v>
      </c>
      <c r="E156" s="773" t="s">
        <v>7912</v>
      </c>
      <c r="F156" s="773" t="s">
        <v>7912</v>
      </c>
      <c r="I156" s="806" t="s">
        <v>7865</v>
      </c>
      <c r="J156" s="806" t="s">
        <v>7865</v>
      </c>
      <c r="K156" s="806" t="s">
        <v>6567</v>
      </c>
      <c r="L156" s="818" t="s">
        <v>7844</v>
      </c>
      <c r="M156" s="818" t="s">
        <v>7847</v>
      </c>
      <c r="N156" s="806" t="s">
        <v>7849</v>
      </c>
      <c r="O156" s="806" t="s">
        <v>7851</v>
      </c>
      <c r="P156" s="806" t="s">
        <v>6549</v>
      </c>
      <c r="Q156" s="806" t="s">
        <v>7856</v>
      </c>
      <c r="R156" s="806" t="s">
        <v>7860</v>
      </c>
      <c r="S156" s="806" t="s">
        <v>6562</v>
      </c>
      <c r="T156" s="806" t="s">
        <v>7865</v>
      </c>
      <c r="U156" s="806" t="s">
        <v>6567</v>
      </c>
    </row>
    <row r="157" spans="1:68">
      <c r="A157" s="773">
        <f ca="1">I21</f>
        <v>3</v>
      </c>
      <c r="B157" s="773">
        <f ca="1">MID($A$159,1,1)+0</f>
        <v>2</v>
      </c>
      <c r="C157" s="773">
        <f ca="1">IF(B157=1,C158+1,C158)</f>
        <v>2</v>
      </c>
      <c r="D157" s="773">
        <f t="shared" ref="D157:D162" ca="1" si="53">IF(B157=1,C157,0)</f>
        <v>0</v>
      </c>
      <c r="E157" s="773">
        <f ca="1">IF(B157=2,1,0)</f>
        <v>1</v>
      </c>
      <c r="F157" s="773">
        <f t="shared" ref="F157:F162" ca="1" si="54">IF(B157=2,E157,0)</f>
        <v>1</v>
      </c>
      <c r="G157" s="773">
        <v>6</v>
      </c>
      <c r="I157" s="806" t="s">
        <v>6567</v>
      </c>
      <c r="J157" s="806" t="s">
        <v>7844</v>
      </c>
      <c r="K157" s="806" t="s">
        <v>7847</v>
      </c>
      <c r="L157" s="818" t="s">
        <v>7849</v>
      </c>
      <c r="M157" s="818" t="s">
        <v>7851</v>
      </c>
      <c r="N157" s="806" t="s">
        <v>6549</v>
      </c>
      <c r="O157" s="806" t="s">
        <v>7856</v>
      </c>
      <c r="P157" s="806" t="s">
        <v>7860</v>
      </c>
      <c r="Q157" s="806" t="s">
        <v>6562</v>
      </c>
      <c r="R157" s="806" t="s">
        <v>7865</v>
      </c>
      <c r="S157" s="806" t="s">
        <v>6567</v>
      </c>
      <c r="T157" s="806" t="s">
        <v>7844</v>
      </c>
      <c r="U157" s="806" t="s">
        <v>7847</v>
      </c>
    </row>
    <row r="158" spans="1:68">
      <c r="B158" s="773">
        <f ca="1">MID($A$159,2,1)+0</f>
        <v>1</v>
      </c>
      <c r="C158" s="773">
        <f ca="1">IF(B158=1,C159+1,C159)</f>
        <v>2</v>
      </c>
      <c r="D158" s="773">
        <f t="shared" ca="1" si="53"/>
        <v>2</v>
      </c>
      <c r="E158" s="773">
        <f ca="1">IF(B158=2,E157+1,E157)</f>
        <v>1</v>
      </c>
      <c r="F158" s="773">
        <f t="shared" ca="1" si="54"/>
        <v>0</v>
      </c>
      <c r="G158" s="773">
        <v>5</v>
      </c>
    </row>
    <row r="159" spans="1:68">
      <c r="A159" s="773">
        <f ca="1">VLOOKUP(A157,$X$1:$Z$64,3,0)</f>
        <v>212221</v>
      </c>
      <c r="B159" s="773">
        <f ca="1">MID($A$159,3,1)+0</f>
        <v>2</v>
      </c>
      <c r="C159" s="773">
        <f ca="1">IF(B159=1,C160+1,C160)</f>
        <v>1</v>
      </c>
      <c r="D159" s="773">
        <f t="shared" ca="1" si="53"/>
        <v>0</v>
      </c>
      <c r="E159" s="773">
        <f ca="1">IF(B159=2,E158+1,E158)</f>
        <v>2</v>
      </c>
      <c r="F159" s="773">
        <f t="shared" ca="1" si="54"/>
        <v>2</v>
      </c>
      <c r="G159" s="773">
        <v>4</v>
      </c>
    </row>
    <row r="160" spans="1:68">
      <c r="B160" s="773">
        <f ca="1">MID($A$159,4,1)+0</f>
        <v>2</v>
      </c>
      <c r="C160" s="773">
        <f ca="1">IF(B160=1,C161+1,C161)</f>
        <v>1</v>
      </c>
      <c r="D160" s="773">
        <f t="shared" ca="1" si="53"/>
        <v>0</v>
      </c>
      <c r="E160" s="773">
        <f ca="1">IF(B160=2,E159+1,E159)</f>
        <v>3</v>
      </c>
      <c r="F160" s="773">
        <f t="shared" ca="1" si="54"/>
        <v>3</v>
      </c>
      <c r="G160" s="773">
        <v>3</v>
      </c>
    </row>
    <row r="161" spans="1:7">
      <c r="B161" s="773">
        <f ca="1">MID($A$159,5,1)+0</f>
        <v>2</v>
      </c>
      <c r="C161" s="773">
        <f ca="1">IF(B161=1,C162+1,C162)</f>
        <v>1</v>
      </c>
      <c r="D161" s="773">
        <f t="shared" ca="1" si="53"/>
        <v>0</v>
      </c>
      <c r="E161" s="773">
        <f ca="1">IF(B161=2,E160+1,E160)</f>
        <v>4</v>
      </c>
      <c r="F161" s="773">
        <f t="shared" ca="1" si="54"/>
        <v>4</v>
      </c>
      <c r="G161" s="773">
        <v>2</v>
      </c>
    </row>
    <row r="162" spans="1:7">
      <c r="A162" s="773" t="str">
        <f>VLOOKUP(I20,$A$176:$B$187,2,0)</f>
        <v>mão</v>
      </c>
      <c r="B162" s="773">
        <f ca="1">MID($A$159,6,1)+0</f>
        <v>1</v>
      </c>
      <c r="C162" s="773">
        <f ca="1">IF(B162=1,1,0)</f>
        <v>1</v>
      </c>
      <c r="D162" s="773">
        <f t="shared" ca="1" si="53"/>
        <v>1</v>
      </c>
      <c r="E162" s="773">
        <f ca="1">IF(B162=2,E161+1,E161)</f>
        <v>4</v>
      </c>
      <c r="F162" s="773">
        <f t="shared" ca="1" si="54"/>
        <v>0</v>
      </c>
      <c r="G162" s="773">
        <v>1</v>
      </c>
    </row>
    <row r="163" spans="1:7">
      <c r="A163" s="773">
        <f>VLOOKUP(A162,B176:C187,2,0)</f>
        <v>4</v>
      </c>
      <c r="B163" s="773">
        <f ca="1">COUNTIF(B157:B162,1)</f>
        <v>2</v>
      </c>
    </row>
    <row r="164" spans="1:7">
      <c r="A164" s="773">
        <f>MOD(A163,2)</f>
        <v>0</v>
      </c>
      <c r="B164" s="773">
        <f ca="1">COUNTIF(B157:B162,2)</f>
        <v>4</v>
      </c>
      <c r="D164" s="773">
        <f ca="1">IF(A164=1,MOD(A163,B163),MOD(A163,B164))</f>
        <v>0</v>
      </c>
      <c r="E164" s="773">
        <f ca="1">IF(A164=1,IF(D164=0,MAX(D157:D162),D164),IF(D164=0,MAX(F157:F162),D164))</f>
        <v>4</v>
      </c>
    </row>
    <row r="166" spans="1:7">
      <c r="C166" s="773" t="s">
        <v>7911</v>
      </c>
      <c r="D166" s="773" t="s">
        <v>7911</v>
      </c>
      <c r="E166" s="773" t="s">
        <v>7912</v>
      </c>
      <c r="F166" s="773" t="s">
        <v>7912</v>
      </c>
    </row>
    <row r="167" spans="1:7">
      <c r="A167" s="773">
        <f ca="1">I32</f>
        <v>4</v>
      </c>
      <c r="B167" s="773">
        <f ca="1">MID($A$169,1,1)+0</f>
        <v>1</v>
      </c>
      <c r="C167" s="773">
        <f ca="1">IF(B167=1,C168+1,C168)</f>
        <v>2</v>
      </c>
      <c r="D167" s="773">
        <f t="shared" ref="D167:D172" ca="1" si="55">IF(B167=1,C167,0)</f>
        <v>2</v>
      </c>
      <c r="E167" s="773">
        <f ca="1">IF(B167=2,1,0)</f>
        <v>0</v>
      </c>
      <c r="F167" s="773">
        <f t="shared" ref="F167:F172" ca="1" si="56">IF(B167=2,E167,0)</f>
        <v>0</v>
      </c>
      <c r="G167" s="773">
        <v>6</v>
      </c>
    </row>
    <row r="168" spans="1:7">
      <c r="B168" s="773">
        <f ca="1">MID($A$169,2,1)+0</f>
        <v>2</v>
      </c>
      <c r="C168" s="773">
        <f ca="1">IF(B168=1,C169+1,C169)</f>
        <v>1</v>
      </c>
      <c r="D168" s="773">
        <f t="shared" ca="1" si="55"/>
        <v>0</v>
      </c>
      <c r="E168" s="773">
        <f ca="1">IF(B168=2,E167+1,E167)</f>
        <v>1</v>
      </c>
      <c r="F168" s="773">
        <f t="shared" ca="1" si="56"/>
        <v>1</v>
      </c>
      <c r="G168" s="773">
        <v>5</v>
      </c>
    </row>
    <row r="169" spans="1:7">
      <c r="A169" s="773">
        <f ca="1">VLOOKUP(A167,$X$1:$Z$64,3,0)</f>
        <v>122212</v>
      </c>
      <c r="B169" s="773">
        <f ca="1">MID($A$169,3,1)+0</f>
        <v>2</v>
      </c>
      <c r="C169" s="773">
        <f ca="1">IF(B169=1,C170+1,C170)</f>
        <v>1</v>
      </c>
      <c r="D169" s="773">
        <f t="shared" ca="1" si="55"/>
        <v>0</v>
      </c>
      <c r="E169" s="773">
        <f ca="1">IF(B169=2,E168+1,E168)</f>
        <v>2</v>
      </c>
      <c r="F169" s="773">
        <f t="shared" ca="1" si="56"/>
        <v>2</v>
      </c>
      <c r="G169" s="773">
        <v>4</v>
      </c>
    </row>
    <row r="170" spans="1:7">
      <c r="B170" s="773">
        <f ca="1">MID($A$169,4,1)+0</f>
        <v>2</v>
      </c>
      <c r="C170" s="773">
        <f ca="1">IF(B170=1,C171+1,C171)</f>
        <v>1</v>
      </c>
      <c r="D170" s="773">
        <f t="shared" ca="1" si="55"/>
        <v>0</v>
      </c>
      <c r="E170" s="773">
        <f ca="1">IF(B170=2,E169+1,E169)</f>
        <v>3</v>
      </c>
      <c r="F170" s="773">
        <f t="shared" ca="1" si="56"/>
        <v>3</v>
      </c>
      <c r="G170" s="773">
        <v>3</v>
      </c>
    </row>
    <row r="171" spans="1:7">
      <c r="A171" s="773">
        <f>FIND(" ",I31)</f>
        <v>5</v>
      </c>
      <c r="B171" s="773">
        <f ca="1">MID($A$169,5,1)+0</f>
        <v>1</v>
      </c>
      <c r="C171" s="773">
        <f ca="1">IF(B171=1,C172+1,C172)</f>
        <v>1</v>
      </c>
      <c r="D171" s="773">
        <f t="shared" ca="1" si="55"/>
        <v>1</v>
      </c>
      <c r="E171" s="773">
        <f ca="1">IF(B171=2,E170+1,E170)</f>
        <v>3</v>
      </c>
      <c r="F171" s="773">
        <f t="shared" ca="1" si="56"/>
        <v>0</v>
      </c>
      <c r="G171" s="773">
        <v>2</v>
      </c>
    </row>
    <row r="172" spans="1:7">
      <c r="A172" s="773" t="str">
        <f>RIGHT(I31,LEN(I31)-A171)</f>
        <v>tý</v>
      </c>
      <c r="B172" s="773">
        <f ca="1">MID($A$169,6,1)+0</f>
        <v>2</v>
      </c>
      <c r="C172" s="773">
        <f ca="1">IF(B172=1,1,0)</f>
        <v>0</v>
      </c>
      <c r="D172" s="773">
        <f t="shared" ca="1" si="55"/>
        <v>0</v>
      </c>
      <c r="E172" s="773">
        <f ca="1">IF(B172=2,E171+1,E171)</f>
        <v>4</v>
      </c>
      <c r="F172" s="773">
        <f t="shared" ca="1" si="56"/>
        <v>4</v>
      </c>
      <c r="G172" s="773">
        <v>1</v>
      </c>
    </row>
    <row r="173" spans="1:7">
      <c r="A173" s="773">
        <f>VLOOKUP(A172,B91:C102,2,0)</f>
        <v>1</v>
      </c>
      <c r="B173" s="773">
        <f ca="1">COUNTIF(B167:B172,1)</f>
        <v>2</v>
      </c>
    </row>
    <row r="174" spans="1:7">
      <c r="A174" s="773">
        <f>MOD(A173,2)</f>
        <v>1</v>
      </c>
      <c r="B174" s="773">
        <f ca="1">COUNTIF(B167:B172,2)</f>
        <v>4</v>
      </c>
      <c r="D174" s="773">
        <f ca="1">IF(A174=1,MOD(A173,B173),MOD(A173,B174))</f>
        <v>1</v>
      </c>
      <c r="E174" s="773">
        <f ca="1">IF(A174=1,IF(D174=0,MAX(D167:D172),D174),IF(D174=0,MAX(F167:F172),D174))</f>
        <v>1</v>
      </c>
    </row>
    <row r="176" spans="1:7">
      <c r="A176" s="773">
        <v>11</v>
      </c>
      <c r="B176" s="773" t="s">
        <v>6548</v>
      </c>
      <c r="C176" s="773">
        <v>1</v>
      </c>
      <c r="E176" s="773">
        <v>1</v>
      </c>
      <c r="F176" s="773">
        <v>31</v>
      </c>
    </row>
    <row r="177" spans="1:6">
      <c r="A177" s="773">
        <v>12</v>
      </c>
      <c r="B177" s="773" t="s">
        <v>7875</v>
      </c>
      <c r="C177" s="773">
        <v>2</v>
      </c>
      <c r="E177" s="773">
        <v>2</v>
      </c>
      <c r="F177" s="773">
        <v>28</v>
      </c>
    </row>
    <row r="178" spans="1:6">
      <c r="A178" s="773">
        <v>1</v>
      </c>
      <c r="B178" s="773" t="s">
        <v>7874</v>
      </c>
      <c r="C178" s="773">
        <v>3</v>
      </c>
      <c r="E178" s="773">
        <v>3</v>
      </c>
      <c r="F178" s="773">
        <v>31</v>
      </c>
    </row>
    <row r="179" spans="1:6">
      <c r="A179" s="773">
        <v>2</v>
      </c>
      <c r="B179" s="773" t="s">
        <v>7873</v>
      </c>
      <c r="C179" s="773">
        <v>4</v>
      </c>
      <c r="E179" s="773">
        <v>4</v>
      </c>
      <c r="F179" s="773">
        <v>30</v>
      </c>
    </row>
    <row r="180" spans="1:6">
      <c r="A180" s="773">
        <v>3</v>
      </c>
      <c r="B180" s="773" t="s">
        <v>7872</v>
      </c>
      <c r="C180" s="773">
        <v>5</v>
      </c>
      <c r="E180" s="773">
        <v>5</v>
      </c>
      <c r="F180" s="773">
        <v>31</v>
      </c>
    </row>
    <row r="181" spans="1:6">
      <c r="A181" s="773">
        <v>4</v>
      </c>
      <c r="B181" s="773" t="s">
        <v>7871</v>
      </c>
      <c r="C181" s="773">
        <v>6</v>
      </c>
      <c r="E181" s="773">
        <v>6</v>
      </c>
      <c r="F181" s="773">
        <v>30</v>
      </c>
    </row>
    <row r="182" spans="1:6">
      <c r="A182" s="773">
        <v>5</v>
      </c>
      <c r="B182" s="773" t="s">
        <v>7883</v>
      </c>
      <c r="C182" s="773">
        <v>7</v>
      </c>
      <c r="E182" s="773">
        <v>7</v>
      </c>
      <c r="F182" s="773">
        <v>31</v>
      </c>
    </row>
    <row r="183" spans="1:6">
      <c r="A183" s="773">
        <v>6</v>
      </c>
      <c r="B183" s="773" t="s">
        <v>7882</v>
      </c>
      <c r="C183" s="773">
        <v>8</v>
      </c>
      <c r="E183" s="773">
        <v>8</v>
      </c>
      <c r="F183" s="773">
        <v>31</v>
      </c>
    </row>
    <row r="184" spans="1:6">
      <c r="A184" s="773">
        <v>7</v>
      </c>
      <c r="B184" s="773" t="s">
        <v>7887</v>
      </c>
      <c r="C184" s="773">
        <v>9</v>
      </c>
      <c r="E184" s="773">
        <v>9</v>
      </c>
      <c r="F184" s="773">
        <v>30</v>
      </c>
    </row>
    <row r="185" spans="1:6">
      <c r="A185" s="773">
        <v>8</v>
      </c>
      <c r="B185" s="773" t="s">
        <v>7886</v>
      </c>
      <c r="C185" s="773">
        <v>10</v>
      </c>
      <c r="E185" s="773">
        <v>10</v>
      </c>
      <c r="F185" s="773">
        <v>31</v>
      </c>
    </row>
    <row r="186" spans="1:6">
      <c r="A186" s="773">
        <v>9</v>
      </c>
      <c r="B186" s="773" t="s">
        <v>7880</v>
      </c>
      <c r="C186" s="773">
        <v>11</v>
      </c>
      <c r="E186" s="773">
        <v>11</v>
      </c>
      <c r="F186" s="773">
        <v>30</v>
      </c>
    </row>
    <row r="187" spans="1:6">
      <c r="A187" s="773">
        <v>10</v>
      </c>
      <c r="B187" s="773" t="s">
        <v>7877</v>
      </c>
      <c r="C187" s="773">
        <v>12</v>
      </c>
      <c r="E187" s="773">
        <v>12</v>
      </c>
      <c r="F187" s="773">
        <v>31</v>
      </c>
    </row>
  </sheetData>
  <mergeCells count="1">
    <mergeCell ref="B1:C1"/>
  </mergeCells>
  <phoneticPr fontId="3" type="noConversion"/>
  <dataValidations count="2">
    <dataValidation type="list" allowBlank="1" showInputMessage="1" showErrorMessage="1" sqref="A46:A48" xr:uid="{1E789B26-7144-49D3-A276-3B1E3B3DA30F}">
      <formula1>$R$34:$R$39</formula1>
    </dataValidation>
    <dataValidation type="list" allowBlank="1" showInputMessage="1" showErrorMessage="1" sqref="I20" xr:uid="{F18225D4-309C-4EE8-BF09-98397E94BB6C}">
      <formula1>$E$176:$E$187</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2FD9-F8AC-4D06-AE91-B7FFA0AD49B9}">
  <sheetPr codeName="Sheet11"/>
  <dimension ref="A1:BY370"/>
  <sheetViews>
    <sheetView tabSelected="1" workbookViewId="0">
      <selection activeCell="C40" sqref="C40"/>
    </sheetView>
  </sheetViews>
  <sheetFormatPr defaultRowHeight="12.75"/>
  <cols>
    <col min="1" max="1" width="10.5703125" style="773" customWidth="1"/>
    <col min="2" max="2" width="5.85546875" style="773" customWidth="1"/>
    <col min="3" max="3" width="10.5703125" style="773" customWidth="1"/>
    <col min="4" max="4" width="10.7109375" style="773" customWidth="1"/>
    <col min="5" max="5" width="6.7109375" style="773" customWidth="1"/>
    <col min="6" max="6" width="10" style="773" customWidth="1"/>
    <col min="7" max="7" width="10.5703125" style="773" customWidth="1"/>
    <col min="8" max="8" width="6.28515625" style="773" customWidth="1"/>
    <col min="9" max="9" width="10.140625" style="773" customWidth="1"/>
    <col min="10" max="10" width="10.5703125" style="773" customWidth="1"/>
    <col min="11" max="11" width="6" style="773" customWidth="1"/>
    <col min="12" max="12" width="9.7109375" style="773" customWidth="1"/>
    <col min="13" max="16" width="9.140625" style="773"/>
    <col min="17" max="17" width="12.28515625" style="773" customWidth="1"/>
    <col min="18" max="18" width="11" style="773" customWidth="1"/>
    <col min="19" max="22" width="9.140625" style="773"/>
    <col min="23" max="23" width="5.7109375" style="773" customWidth="1"/>
    <col min="24" max="24" width="5.5703125" style="773" customWidth="1"/>
    <col min="25" max="25" width="5.42578125" style="773" customWidth="1"/>
    <col min="26" max="26" width="5.7109375" style="773" customWidth="1"/>
    <col min="27" max="27" width="6.7109375" style="773" customWidth="1"/>
    <col min="28" max="28" width="4.140625" style="773" customWidth="1"/>
    <col min="29" max="29" width="5.42578125" style="773" customWidth="1"/>
    <col min="30" max="30" width="4.85546875" style="773" customWidth="1"/>
    <col min="31" max="31" width="6.140625" style="773" customWidth="1"/>
    <col min="32" max="32" width="6.7109375" style="773" customWidth="1"/>
    <col min="33" max="33" width="5.5703125" style="773" customWidth="1"/>
    <col min="34" max="34" width="5" style="773" customWidth="1"/>
    <col min="35" max="35" width="9.140625" style="773"/>
    <col min="36" max="36" width="13.85546875" style="773" customWidth="1"/>
    <col min="37" max="16384" width="9.140625" style="773"/>
  </cols>
  <sheetData>
    <row r="1" spans="1:77" s="842" customFormat="1" ht="11.1" customHeight="1">
      <c r="A1" s="840" t="str">
        <f ca="1">S41</f>
        <v>Tật ách</v>
      </c>
      <c r="B1" s="841" t="str">
        <f ca="1">K87</f>
        <v>Tử Vi (M)</v>
      </c>
      <c r="D1" s="843" t="str">
        <f ca="1">S42</f>
        <v>Tài bạch</v>
      </c>
      <c r="E1" s="844" t="str">
        <f ca="1">K88</f>
        <v xml:space="preserve"> </v>
      </c>
      <c r="G1" s="845" t="str">
        <f ca="1">S43</f>
        <v>Tử tức</v>
      </c>
      <c r="H1" s="846" t="str">
        <f ca="1">K89</f>
        <v xml:space="preserve"> </v>
      </c>
      <c r="J1" s="843" t="str">
        <f ca="1">S44</f>
        <v>Phu quân</v>
      </c>
      <c r="K1" s="847" t="str">
        <f ca="1">K90</f>
        <v xml:space="preserve"> </v>
      </c>
      <c r="L1" s="848"/>
      <c r="Q1" s="849"/>
      <c r="R1" s="849"/>
      <c r="S1" s="849"/>
      <c r="T1" s="849"/>
      <c r="AP1" s="773"/>
      <c r="AQ1" s="803" t="s">
        <v>6665</v>
      </c>
      <c r="AR1" s="773"/>
      <c r="AS1" s="773"/>
      <c r="AT1" s="773"/>
      <c r="AU1" s="773"/>
      <c r="BX1" s="773">
        <v>1899</v>
      </c>
      <c r="BY1" s="773" t="s">
        <v>7897</v>
      </c>
    </row>
    <row r="2" spans="1:77" s="787" customFormat="1" ht="11.1" customHeight="1">
      <c r="A2" s="847" t="str">
        <f ca="1">T41</f>
        <v xml:space="preserve"> </v>
      </c>
      <c r="B2" s="841" t="str">
        <f ca="1">M87</f>
        <v>Thất Sát(V)</v>
      </c>
      <c r="C2" s="850"/>
      <c r="D2" s="851" t="str">
        <f ca="1">T42</f>
        <v>Thân</v>
      </c>
      <c r="E2" s="852" t="str">
        <f ca="1">M88</f>
        <v xml:space="preserve"> </v>
      </c>
      <c r="F2" s="850"/>
      <c r="G2" s="853" t="str">
        <f ca="1">T43</f>
        <v xml:space="preserve"> </v>
      </c>
      <c r="H2" s="852" t="str">
        <f ca="1">M89</f>
        <v xml:space="preserve"> </v>
      </c>
      <c r="I2" s="850"/>
      <c r="J2" s="851" t="str">
        <f ca="1">T44</f>
        <v xml:space="preserve"> </v>
      </c>
      <c r="K2" s="847" t="str">
        <f ca="1">M90</f>
        <v xml:space="preserve"> </v>
      </c>
      <c r="L2" s="854"/>
      <c r="Q2" s="787" t="s">
        <v>8265</v>
      </c>
      <c r="S2" s="855" t="s">
        <v>1402</v>
      </c>
      <c r="T2" s="855" t="s">
        <v>9301</v>
      </c>
      <c r="U2" s="855" t="s">
        <v>353</v>
      </c>
      <c r="V2" s="855" t="s">
        <v>1399</v>
      </c>
      <c r="W2" s="855" t="s">
        <v>505</v>
      </c>
      <c r="X2" s="856" t="s">
        <v>8266</v>
      </c>
      <c r="Y2" s="855" t="s">
        <v>506</v>
      </c>
      <c r="Z2" s="855" t="s">
        <v>507</v>
      </c>
      <c r="AA2" s="855" t="s">
        <v>9297</v>
      </c>
      <c r="AB2" s="855" t="s">
        <v>9298</v>
      </c>
      <c r="AC2" s="855" t="s">
        <v>9299</v>
      </c>
      <c r="AD2" s="855" t="s">
        <v>9300</v>
      </c>
      <c r="AP2" s="773">
        <v>1</v>
      </c>
      <c r="AQ2" s="773" t="s">
        <v>7814</v>
      </c>
      <c r="AR2" s="773" t="s">
        <v>7880</v>
      </c>
      <c r="AS2" s="773" t="s">
        <v>7877</v>
      </c>
      <c r="AT2" s="773">
        <v>1</v>
      </c>
      <c r="AU2" s="805" t="s">
        <v>6666</v>
      </c>
      <c r="BX2" s="773">
        <v>1900</v>
      </c>
      <c r="BY2" s="773" t="s">
        <v>7899</v>
      </c>
    </row>
    <row r="3" spans="1:77" s="787" customFormat="1" ht="11.1" customHeight="1">
      <c r="A3" s="857" t="str">
        <f ca="1">AU125</f>
        <v xml:space="preserve"> </v>
      </c>
      <c r="B3" s="850"/>
      <c r="C3" s="858" t="str">
        <f ca="1">AU205</f>
        <v xml:space="preserve"> </v>
      </c>
      <c r="D3" s="859" t="str">
        <f ca="1">AY125</f>
        <v xml:space="preserve"> </v>
      </c>
      <c r="E3" s="860"/>
      <c r="F3" s="860" t="str">
        <f ca="1">AY205</f>
        <v xml:space="preserve"> </v>
      </c>
      <c r="G3" s="861" t="str">
        <f ca="1">BC125</f>
        <v xml:space="preserve"> </v>
      </c>
      <c r="H3" s="860"/>
      <c r="I3" s="860" t="str">
        <f ca="1">BC205</f>
        <v xml:space="preserve"> </v>
      </c>
      <c r="J3" s="859" t="str">
        <f ca="1">BG125</f>
        <v xml:space="preserve"> </v>
      </c>
      <c r="K3" s="860"/>
      <c r="L3" s="862" t="str">
        <f ca="1">BG205</f>
        <v xml:space="preserve"> </v>
      </c>
      <c r="Q3" s="787" t="s">
        <v>8267</v>
      </c>
      <c r="S3" s="787">
        <v>1</v>
      </c>
      <c r="T3" s="787">
        <v>2</v>
      </c>
      <c r="U3" s="787">
        <v>3</v>
      </c>
      <c r="V3" s="787">
        <v>4</v>
      </c>
      <c r="W3" s="787">
        <v>5</v>
      </c>
      <c r="X3" s="787">
        <v>6</v>
      </c>
      <c r="Y3" s="787">
        <v>7</v>
      </c>
      <c r="Z3" s="787">
        <v>8</v>
      </c>
      <c r="AA3" s="787">
        <v>9</v>
      </c>
      <c r="AB3" s="787">
        <v>10</v>
      </c>
      <c r="AC3" s="787">
        <v>11</v>
      </c>
      <c r="AD3" s="787">
        <v>12</v>
      </c>
      <c r="AP3" s="773">
        <v>2</v>
      </c>
      <c r="AQ3" s="773" t="s">
        <v>7818</v>
      </c>
      <c r="AR3" s="773" t="s">
        <v>7880</v>
      </c>
      <c r="AS3" s="773" t="s">
        <v>7877</v>
      </c>
      <c r="AT3" s="773">
        <v>2</v>
      </c>
      <c r="AU3" s="805" t="s">
        <v>6666</v>
      </c>
      <c r="BX3" s="773">
        <v>1901</v>
      </c>
      <c r="BY3" s="773" t="s">
        <v>7901</v>
      </c>
    </row>
    <row r="4" spans="1:77" s="787" customFormat="1" ht="11.1" customHeight="1">
      <c r="A4" s="857" t="str">
        <f t="shared" ref="A4:A10" ca="1" si="0">AU118</f>
        <v>Thiên Việt</v>
      </c>
      <c r="B4" s="863" t="str">
        <f ca="1">AU126</f>
        <v xml:space="preserve"> </v>
      </c>
      <c r="C4" s="857" t="str">
        <f t="shared" ref="C4:C10" ca="1" si="1">AU198</f>
        <v>Phá Toái</v>
      </c>
      <c r="D4" s="859" t="str">
        <f t="shared" ref="D4:D10" ca="1" si="2">AY118</f>
        <v>Văn Xương</v>
      </c>
      <c r="E4" s="864" t="str">
        <f ca="1">AY126</f>
        <v xml:space="preserve"> </v>
      </c>
      <c r="F4" s="860" t="str">
        <f t="shared" ref="F4:F10" ca="1" si="3">AY198</f>
        <v>Thái Tuế</v>
      </c>
      <c r="G4" s="861" t="str">
        <f t="shared" ref="G4:G10" ca="1" si="4">BC118</f>
        <v>Quốc Ấn</v>
      </c>
      <c r="H4" s="864" t="str">
        <f ca="1">BC126</f>
        <v xml:space="preserve"> </v>
      </c>
      <c r="I4" s="860" t="str">
        <f t="shared" ref="I4:I10" ca="1" si="5">BC198</f>
        <v>Địa Không</v>
      </c>
      <c r="J4" s="859" t="str">
        <f t="shared" ref="J4:J10" ca="1" si="6">BG118</f>
        <v>Văn Khúc</v>
      </c>
      <c r="K4" s="864" t="str">
        <f ca="1">BG126</f>
        <v xml:space="preserve"> </v>
      </c>
      <c r="L4" s="862" t="str">
        <f t="shared" ref="L4:L10" ca="1" si="7">BG198</f>
        <v>Tang Môn</v>
      </c>
      <c r="Q4" s="773" t="s">
        <v>8268</v>
      </c>
      <c r="R4" s="773">
        <v>1</v>
      </c>
      <c r="S4" s="773" t="s">
        <v>8269</v>
      </c>
      <c r="T4" s="773" t="s">
        <v>8270</v>
      </c>
      <c r="U4" s="773" t="s">
        <v>8271</v>
      </c>
      <c r="V4" s="773" t="s">
        <v>8269</v>
      </c>
      <c r="W4" s="773" t="s">
        <v>8272</v>
      </c>
      <c r="X4" s="773" t="s">
        <v>8271</v>
      </c>
      <c r="Y4" s="773" t="s">
        <v>8271</v>
      </c>
      <c r="Z4" s="773" t="s">
        <v>8270</v>
      </c>
      <c r="AA4" s="773" t="s">
        <v>8271</v>
      </c>
      <c r="AB4" s="773" t="s">
        <v>8269</v>
      </c>
      <c r="AC4" s="773" t="s">
        <v>8272</v>
      </c>
      <c r="AD4" s="773" t="s">
        <v>8269</v>
      </c>
      <c r="AE4" s="773" t="str">
        <f ca="1">HLOOKUP(I83,$Q$2:$AD$17,3,0)</f>
        <v>M</v>
      </c>
      <c r="AF4" s="773" t="str">
        <f t="shared" ref="AF4:AF17" ca="1" si="8">CONCATENATE(Q4,"(",AE4,")")</f>
        <v>Tử Vi (M)</v>
      </c>
      <c r="AG4" s="773" t="str">
        <f ca="1">I83</f>
        <v>tỵ</v>
      </c>
      <c r="AH4" s="787">
        <f t="shared" ref="AH4:AH17" ca="1" si="9">VLOOKUP(AG4,$N$49:$O$60,2,0)</f>
        <v>6</v>
      </c>
      <c r="AI4" s="802">
        <f t="shared" ref="AI4:AI17" ca="1" si="10">VLOOKUP(AK4,$AJ$4:$AN$17,5,0)</f>
        <v>3</v>
      </c>
      <c r="AJ4" s="773">
        <v>1</v>
      </c>
      <c r="AK4" s="773">
        <v>14</v>
      </c>
      <c r="AL4" s="802" t="str">
        <f t="shared" ref="AL4:AL17" ca="1" si="11">VLOOKUP(AK4,$AJ$4:$AM$17,4,0)</f>
        <v>Cự Môn(V)</v>
      </c>
      <c r="AM4" s="773" t="str">
        <f t="shared" ref="AM4:AM17" ca="1" si="12">AF4</f>
        <v>Tử Vi (M)</v>
      </c>
      <c r="AN4" s="773">
        <f t="shared" ref="AN4:AN17" ca="1" si="13">AH4</f>
        <v>6</v>
      </c>
      <c r="AP4" s="773">
        <v>3</v>
      </c>
      <c r="AQ4" s="773" t="s">
        <v>7819</v>
      </c>
      <c r="AR4" s="773" t="s">
        <v>7880</v>
      </c>
      <c r="AS4" s="773" t="s">
        <v>7877</v>
      </c>
      <c r="AT4" s="773">
        <v>3</v>
      </c>
      <c r="AU4" s="805" t="s">
        <v>6622</v>
      </c>
      <c r="BX4" s="773">
        <v>1902</v>
      </c>
      <c r="BY4" s="773" t="s">
        <v>7903</v>
      </c>
    </row>
    <row r="5" spans="1:77" s="787" customFormat="1" ht="11.1" customHeight="1">
      <c r="A5" s="857" t="str">
        <f t="shared" ca="1" si="0"/>
        <v>Hóa Quyền</v>
      </c>
      <c r="B5" s="863" t="str">
        <f ca="1">AU127</f>
        <v xml:space="preserve"> </v>
      </c>
      <c r="C5" s="857" t="str">
        <f t="shared" ca="1" si="1"/>
        <v>Trực Phù</v>
      </c>
      <c r="D5" s="859" t="str">
        <f t="shared" ca="1" si="2"/>
        <v>Phong Cáo</v>
      </c>
      <c r="E5" s="864" t="str">
        <f ca="1">AY127</f>
        <v xml:space="preserve"> </v>
      </c>
      <c r="F5" s="860" t="str">
        <f t="shared" ca="1" si="3"/>
        <v xml:space="preserve"> </v>
      </c>
      <c r="G5" s="861" t="str">
        <f t="shared" ca="1" si="4"/>
        <v>Địa Giải</v>
      </c>
      <c r="H5" s="864" t="str">
        <f ca="1">BC127</f>
        <v xml:space="preserve"> </v>
      </c>
      <c r="I5" s="860" t="str">
        <f t="shared" ca="1" si="5"/>
        <v>Linh Tinh</v>
      </c>
      <c r="J5" s="859" t="str">
        <f t="shared" ca="1" si="6"/>
        <v>Thiên Giải</v>
      </c>
      <c r="K5" s="864" t="str">
        <f ca="1">BG127</f>
        <v xml:space="preserve"> </v>
      </c>
      <c r="L5" s="862" t="str">
        <f t="shared" ca="1" si="7"/>
        <v>Cô Thần</v>
      </c>
      <c r="Q5" s="773" t="s">
        <v>8273</v>
      </c>
      <c r="R5" s="773">
        <v>2</v>
      </c>
      <c r="S5" s="773" t="s">
        <v>8271</v>
      </c>
      <c r="T5" s="773" t="s">
        <v>8269</v>
      </c>
      <c r="U5" s="773" t="s">
        <v>8271</v>
      </c>
      <c r="V5" s="773" t="s">
        <v>8269</v>
      </c>
      <c r="W5" s="773" t="s">
        <v>8272</v>
      </c>
      <c r="X5" s="773" t="s">
        <v>8270</v>
      </c>
      <c r="Y5" s="773" t="s">
        <v>8271</v>
      </c>
      <c r="Z5" s="773" t="s">
        <v>8270</v>
      </c>
      <c r="AA5" s="773" t="s">
        <v>8271</v>
      </c>
      <c r="AB5" s="773" t="s">
        <v>8269</v>
      </c>
      <c r="AC5" s="773" t="s">
        <v>8272</v>
      </c>
      <c r="AD5" s="773" t="s">
        <v>8270</v>
      </c>
      <c r="AE5" s="773" t="str">
        <f ca="1">HLOOKUP(S$33,$Q$2:$AD$17,4,0)</f>
        <v>D</v>
      </c>
      <c r="AF5" s="773" t="str">
        <f t="shared" ca="1" si="8"/>
        <v>Thiên Phủ(D)</v>
      </c>
      <c r="AG5" s="773" t="str">
        <f ca="1">S33</f>
        <v>Hợi</v>
      </c>
      <c r="AH5" s="787">
        <f t="shared" ca="1" si="9"/>
        <v>12</v>
      </c>
      <c r="AI5" s="802">
        <f t="shared" ca="1" si="10"/>
        <v>3</v>
      </c>
      <c r="AJ5" s="773">
        <v>2</v>
      </c>
      <c r="AK5" s="773">
        <v>13</v>
      </c>
      <c r="AL5" s="802" t="str">
        <f t="shared" ca="1" si="11"/>
        <v>Thái Dương(V)</v>
      </c>
      <c r="AM5" s="773" t="str">
        <f t="shared" ca="1" si="12"/>
        <v>Thiên Phủ(D)</v>
      </c>
      <c r="AN5" s="773">
        <f t="shared" ca="1" si="13"/>
        <v>12</v>
      </c>
      <c r="AP5" s="773">
        <v>4</v>
      </c>
      <c r="AQ5" s="773" t="s">
        <v>7820</v>
      </c>
      <c r="AR5" s="773" t="s">
        <v>7880</v>
      </c>
      <c r="AS5" s="773" t="s">
        <v>7877</v>
      </c>
      <c r="AT5" s="773">
        <v>4</v>
      </c>
      <c r="AU5" s="805" t="s">
        <v>6622</v>
      </c>
      <c r="BX5" s="773">
        <v>1903</v>
      </c>
      <c r="BY5" s="773" t="s">
        <v>7904</v>
      </c>
    </row>
    <row r="6" spans="1:77" s="787" customFormat="1" ht="11.1" customHeight="1">
      <c r="A6" s="857" t="str">
        <f t="shared" ca="1" si="0"/>
        <v>Bát Tọa</v>
      </c>
      <c r="B6" s="863" t="str">
        <f ca="1">AU128</f>
        <v xml:space="preserve"> </v>
      </c>
      <c r="C6" s="857" t="str">
        <f t="shared" ca="1" si="1"/>
        <v>Thiên Sứ</v>
      </c>
      <c r="D6" s="859" t="str">
        <f t="shared" ca="1" si="2"/>
        <v>Thiên Phúc</v>
      </c>
      <c r="E6" s="864" t="str">
        <f ca="1">AY128</f>
        <v xml:space="preserve"> </v>
      </c>
      <c r="F6" s="860" t="str">
        <f t="shared" ca="1" si="3"/>
        <v xml:space="preserve"> </v>
      </c>
      <c r="G6" s="861" t="str">
        <f t="shared" ca="1" si="4"/>
        <v>Tướng Quân</v>
      </c>
      <c r="H6" s="864" t="str">
        <f ca="1">BC128</f>
        <v xml:space="preserve"> </v>
      </c>
      <c r="I6" s="860" t="str">
        <f t="shared" ca="1" si="5"/>
        <v>Thiên Không</v>
      </c>
      <c r="J6" s="859" t="str">
        <f t="shared" ca="1" si="6"/>
        <v>Thiên Mã</v>
      </c>
      <c r="K6" s="864" t="str">
        <f ca="1">BG128</f>
        <v xml:space="preserve"> </v>
      </c>
      <c r="L6" s="862" t="str">
        <f t="shared" ca="1" si="7"/>
        <v>Tiểu Hao</v>
      </c>
      <c r="Q6" s="773" t="s">
        <v>8274</v>
      </c>
      <c r="R6" s="773">
        <v>3</v>
      </c>
      <c r="S6" s="773" t="s">
        <v>8272</v>
      </c>
      <c r="T6" s="773" t="s">
        <v>8271</v>
      </c>
      <c r="U6" s="773" t="s">
        <v>8272</v>
      </c>
      <c r="V6" s="773" t="s">
        <v>8270</v>
      </c>
      <c r="W6" s="773" t="s">
        <v>8271</v>
      </c>
      <c r="X6" s="773" t="s">
        <v>8275</v>
      </c>
      <c r="Y6" s="773" t="s">
        <v>8272</v>
      </c>
      <c r="Z6" s="773" t="s">
        <v>8271</v>
      </c>
      <c r="AA6" s="773" t="s">
        <v>8272</v>
      </c>
      <c r="AB6" s="773" t="s">
        <v>8270</v>
      </c>
      <c r="AC6" s="773" t="s">
        <v>8271</v>
      </c>
      <c r="AD6" s="773" t="s">
        <v>8275</v>
      </c>
      <c r="AE6" s="773" t="str">
        <f ca="1">HLOOKUP(P$33,$Q$2:$AD$17,5,0)</f>
        <v>M</v>
      </c>
      <c r="AF6" s="773" t="str">
        <f t="shared" ca="1" si="8"/>
        <v>Vũ Khúc(M)</v>
      </c>
      <c r="AG6" s="773" t="str">
        <f ca="1">P33</f>
        <v>Sửu</v>
      </c>
      <c r="AH6" s="787">
        <f t="shared" ca="1" si="9"/>
        <v>2</v>
      </c>
      <c r="AI6" s="802">
        <f t="shared" ca="1" si="10"/>
        <v>5</v>
      </c>
      <c r="AJ6" s="773">
        <v>3</v>
      </c>
      <c r="AK6" s="773">
        <v>12</v>
      </c>
      <c r="AL6" s="802" t="str">
        <f t="shared" ca="1" si="11"/>
        <v>Thiên Lương(M)</v>
      </c>
      <c r="AM6" s="773" t="str">
        <f t="shared" ca="1" si="12"/>
        <v>Vũ Khúc(M)</v>
      </c>
      <c r="AN6" s="773">
        <f t="shared" ca="1" si="13"/>
        <v>2</v>
      </c>
      <c r="AP6" s="773">
        <v>5</v>
      </c>
      <c r="AQ6" s="773" t="s">
        <v>7822</v>
      </c>
      <c r="AR6" s="773" t="s">
        <v>7880</v>
      </c>
      <c r="AS6" s="773" t="s">
        <v>7877</v>
      </c>
      <c r="AT6" s="773">
        <v>5</v>
      </c>
      <c r="AU6" s="805" t="s">
        <v>6667</v>
      </c>
      <c r="BX6" s="773">
        <v>1904</v>
      </c>
      <c r="BY6" s="773" t="s">
        <v>7905</v>
      </c>
    </row>
    <row r="7" spans="1:77" s="787" customFormat="1" ht="11.1" customHeight="1">
      <c r="A7" s="857" t="str">
        <f t="shared" ca="1" si="0"/>
        <v>Tràng Sinh</v>
      </c>
      <c r="B7" s="957" t="str">
        <f>IF($G$24="có",AU142," ")</f>
        <v>L.Mã</v>
      </c>
      <c r="C7" s="857" t="str">
        <f t="shared" ca="1" si="1"/>
        <v xml:space="preserve"> </v>
      </c>
      <c r="D7" s="859" t="str">
        <f t="shared" ca="1" si="2"/>
        <v>Tấu Thư</v>
      </c>
      <c r="E7" s="864"/>
      <c r="F7" s="860" t="str">
        <f t="shared" ca="1" si="3"/>
        <v xml:space="preserve"> </v>
      </c>
      <c r="G7" s="861" t="str">
        <f t="shared" ca="1" si="4"/>
        <v>Thiếu Dương</v>
      </c>
      <c r="H7" s="864"/>
      <c r="I7" s="860" t="str">
        <f t="shared" ca="1" si="5"/>
        <v>Thai</v>
      </c>
      <c r="J7" s="859" t="str">
        <f t="shared" ca="1" si="6"/>
        <v xml:space="preserve"> </v>
      </c>
      <c r="K7" s="957" t="str">
        <f>IF($G$24="có",BG142," ")</f>
        <v>L.Đà</v>
      </c>
      <c r="L7" s="862" t="str">
        <f t="shared" ca="1" si="7"/>
        <v>Tuyệt</v>
      </c>
      <c r="Q7" s="773" t="s">
        <v>8276</v>
      </c>
      <c r="R7" s="773">
        <v>4</v>
      </c>
      <c r="S7" s="773" t="s">
        <v>8272</v>
      </c>
      <c r="T7" s="773" t="s">
        <v>8270</v>
      </c>
      <c r="U7" s="773" t="s">
        <v>8271</v>
      </c>
      <c r="V7" s="773" t="s">
        <v>8275</v>
      </c>
      <c r="W7" s="773" t="s">
        <v>8272</v>
      </c>
      <c r="X7" s="773" t="s">
        <v>8270</v>
      </c>
      <c r="Y7" s="773" t="s">
        <v>8272</v>
      </c>
      <c r="Z7" s="773" t="s">
        <v>8270</v>
      </c>
      <c r="AA7" s="773" t="s">
        <v>8271</v>
      </c>
      <c r="AB7" s="773" t="s">
        <v>8275</v>
      </c>
      <c r="AC7" s="773" t="s">
        <v>8272</v>
      </c>
      <c r="AD7" s="773" t="s">
        <v>8270</v>
      </c>
      <c r="AE7" s="773" t="str">
        <f ca="1">HLOOKUP(W$33,$Q$2:$AD$17,6,0)</f>
        <v>H</v>
      </c>
      <c r="AF7" s="773" t="str">
        <f t="shared" ca="1" si="8"/>
        <v>Thiên Tướng(H)</v>
      </c>
      <c r="AG7" s="773" t="str">
        <f ca="1">W33</f>
        <v>Mão</v>
      </c>
      <c r="AH7" s="787">
        <f t="shared" ca="1" si="9"/>
        <v>4</v>
      </c>
      <c r="AI7" s="802">
        <f t="shared" ca="1" si="10"/>
        <v>1</v>
      </c>
      <c r="AJ7" s="773">
        <v>4</v>
      </c>
      <c r="AK7" s="773">
        <v>11</v>
      </c>
      <c r="AL7" s="802" t="str">
        <f t="shared" ca="1" si="11"/>
        <v>Thiên Đồng(V)</v>
      </c>
      <c r="AM7" s="773" t="str">
        <f t="shared" ca="1" si="12"/>
        <v>Thiên Tướng(H)</v>
      </c>
      <c r="AN7" s="773">
        <f t="shared" ca="1" si="13"/>
        <v>4</v>
      </c>
      <c r="AP7" s="773">
        <v>6</v>
      </c>
      <c r="AQ7" s="773" t="s">
        <v>7823</v>
      </c>
      <c r="AR7" s="773" t="s">
        <v>7880</v>
      </c>
      <c r="AS7" s="773" t="s">
        <v>7877</v>
      </c>
      <c r="AT7" s="773">
        <v>6</v>
      </c>
      <c r="AU7" s="805" t="s">
        <v>6667</v>
      </c>
      <c r="BX7" s="773">
        <v>1905</v>
      </c>
      <c r="BY7" s="773" t="s">
        <v>7906</v>
      </c>
    </row>
    <row r="8" spans="1:77" s="787" customFormat="1" ht="11.1" customHeight="1">
      <c r="A8" s="857" t="str">
        <f t="shared" ca="1" si="0"/>
        <v>Phi Liêm</v>
      </c>
      <c r="B8" s="957" t="str">
        <f>IF($G$24="có",AU143," ")</f>
        <v>L.Tang</v>
      </c>
      <c r="C8" s="857" t="str">
        <f t="shared" ca="1" si="1"/>
        <v xml:space="preserve"> </v>
      </c>
      <c r="D8" s="859" t="str">
        <f t="shared" ca="1" si="2"/>
        <v>Dưỡng</v>
      </c>
      <c r="E8" s="957" t="str">
        <f>IF($G$24="có",AY142," ")</f>
        <v xml:space="preserve"> </v>
      </c>
      <c r="F8" s="860" t="str">
        <f t="shared" ca="1" si="3"/>
        <v xml:space="preserve"> </v>
      </c>
      <c r="G8" s="861" t="str">
        <f t="shared" ca="1" si="4"/>
        <v xml:space="preserve"> </v>
      </c>
      <c r="H8" s="957" t="str">
        <f>IF($G$24="có",BC142," ")</f>
        <v xml:space="preserve"> </v>
      </c>
      <c r="I8" s="860" t="str">
        <f t="shared" ca="1" si="5"/>
        <v xml:space="preserve"> </v>
      </c>
      <c r="J8" s="859" t="str">
        <f t="shared" ca="1" si="6"/>
        <v xml:space="preserve"> </v>
      </c>
      <c r="K8" s="957" t="str">
        <f>IF($G$24="có",BG143," ")</f>
        <v xml:space="preserve"> </v>
      </c>
      <c r="L8" s="862" t="str">
        <f t="shared" ca="1" si="7"/>
        <v xml:space="preserve"> </v>
      </c>
      <c r="Q8" s="773" t="s">
        <v>8277</v>
      </c>
      <c r="R8" s="773">
        <v>5</v>
      </c>
      <c r="S8" s="773" t="s">
        <v>8271</v>
      </c>
      <c r="T8" s="773" t="s">
        <v>8270</v>
      </c>
      <c r="U8" s="773" t="s">
        <v>8271</v>
      </c>
      <c r="V8" s="773" t="s">
        <v>8275</v>
      </c>
      <c r="W8" s="773" t="s">
        <v>8275</v>
      </c>
      <c r="X8" s="773" t="s">
        <v>8272</v>
      </c>
      <c r="Y8" s="773" t="s">
        <v>8271</v>
      </c>
      <c r="Z8" s="773" t="s">
        <v>8270</v>
      </c>
      <c r="AA8" s="773" t="s">
        <v>8271</v>
      </c>
      <c r="AB8" s="773" t="s">
        <v>8275</v>
      </c>
      <c r="AC8" s="773" t="s">
        <v>8275</v>
      </c>
      <c r="AD8" s="773" t="s">
        <v>8272</v>
      </c>
      <c r="AE8" s="773" t="str">
        <f ca="1">HLOOKUP(Y$33,$Q$2:$AD$17,7,0)</f>
        <v>V</v>
      </c>
      <c r="AF8" s="773" t="str">
        <f t="shared" ca="1" si="8"/>
        <v>Thất Sát(V)</v>
      </c>
      <c r="AG8" s="773" t="str">
        <f ca="1">Y33</f>
        <v>Tỵ</v>
      </c>
      <c r="AH8" s="787">
        <f t="shared" ca="1" si="9"/>
        <v>6</v>
      </c>
      <c r="AI8" s="802">
        <f t="shared" ca="1" si="10"/>
        <v>5</v>
      </c>
      <c r="AJ8" s="773">
        <v>5</v>
      </c>
      <c r="AK8" s="773">
        <v>10</v>
      </c>
      <c r="AL8" s="802" t="str">
        <f t="shared" ca="1" si="11"/>
        <v>Thiên Cơ(M)</v>
      </c>
      <c r="AM8" s="773" t="str">
        <f t="shared" ca="1" si="12"/>
        <v>Thất Sát(V)</v>
      </c>
      <c r="AN8" s="773">
        <f t="shared" ca="1" si="13"/>
        <v>6</v>
      </c>
      <c r="AP8" s="773">
        <v>7</v>
      </c>
      <c r="AQ8" s="773" t="s">
        <v>7825</v>
      </c>
      <c r="AR8" s="773" t="s">
        <v>7880</v>
      </c>
      <c r="AS8" s="773" t="s">
        <v>7877</v>
      </c>
      <c r="AT8" s="773">
        <v>7</v>
      </c>
      <c r="AU8" s="805" t="s">
        <v>6625</v>
      </c>
      <c r="BX8" s="773">
        <v>1906</v>
      </c>
      <c r="BY8" s="773" t="s">
        <v>7907</v>
      </c>
    </row>
    <row r="9" spans="1:77" s="865" customFormat="1" ht="11.1" customHeight="1">
      <c r="A9" s="857" t="str">
        <f t="shared" ca="1" si="0"/>
        <v xml:space="preserve"> </v>
      </c>
      <c r="B9" s="957" t="str">
        <f>IF($G$24="có",AU144," ")</f>
        <v xml:space="preserve"> </v>
      </c>
      <c r="C9" s="857" t="str">
        <f t="shared" ca="1" si="1"/>
        <v xml:space="preserve"> </v>
      </c>
      <c r="D9" s="859" t="str">
        <f t="shared" ca="1" si="2"/>
        <v xml:space="preserve"> </v>
      </c>
      <c r="E9" s="957" t="str">
        <f>IF($G$24="có",AY143," ")</f>
        <v xml:space="preserve"> </v>
      </c>
      <c r="F9" s="860" t="str">
        <f t="shared" ca="1" si="3"/>
        <v xml:space="preserve"> </v>
      </c>
      <c r="G9" s="861" t="str">
        <f t="shared" ca="1" si="4"/>
        <v xml:space="preserve"> </v>
      </c>
      <c r="H9" s="957" t="str">
        <f>IF($G$24="có",BC143," ")</f>
        <v xml:space="preserve"> </v>
      </c>
      <c r="I9" s="860" t="str">
        <f t="shared" ca="1" si="5"/>
        <v xml:space="preserve"> </v>
      </c>
      <c r="J9" s="859" t="str">
        <f t="shared" ca="1" si="6"/>
        <v xml:space="preserve"> </v>
      </c>
      <c r="K9" s="957" t="str">
        <f>IF($G$24="có",BG144," ")</f>
        <v xml:space="preserve"> </v>
      </c>
      <c r="L9" s="862" t="str">
        <f t="shared" ca="1" si="7"/>
        <v xml:space="preserve"> </v>
      </c>
      <c r="Q9" s="773" t="s">
        <v>8278</v>
      </c>
      <c r="R9" s="773">
        <v>6</v>
      </c>
      <c r="S9" s="773" t="s">
        <v>8271</v>
      </c>
      <c r="T9" s="773" t="s">
        <v>8272</v>
      </c>
      <c r="U9" s="773" t="s">
        <v>8275</v>
      </c>
      <c r="V9" s="773" t="s">
        <v>8275</v>
      </c>
      <c r="W9" s="773" t="s">
        <v>8270</v>
      </c>
      <c r="X9" s="773" t="s">
        <v>8275</v>
      </c>
      <c r="Y9" s="773" t="s">
        <v>8271</v>
      </c>
      <c r="Z9" s="773" t="s">
        <v>8272</v>
      </c>
      <c r="AA9" s="773" t="s">
        <v>8275</v>
      </c>
      <c r="AB9" s="773" t="s">
        <v>8275</v>
      </c>
      <c r="AC9" s="773" t="s">
        <v>8270</v>
      </c>
      <c r="AD9" s="773" t="s">
        <v>8275</v>
      </c>
      <c r="AE9" s="773" t="str">
        <f ca="1">HLOOKUP(Z$33,$Q$2:$AD$17,8,0)</f>
        <v>H</v>
      </c>
      <c r="AF9" s="773" t="str">
        <f t="shared" ca="1" si="8"/>
        <v>Phá Quân(H)</v>
      </c>
      <c r="AG9" s="773" t="str">
        <f ca="1">Z33</f>
        <v>Dậu</v>
      </c>
      <c r="AH9" s="787">
        <f t="shared" ca="1" si="9"/>
        <v>10</v>
      </c>
      <c r="AI9" s="773">
        <f t="shared" ca="1" si="10"/>
        <v>1</v>
      </c>
      <c r="AJ9" s="773">
        <v>6</v>
      </c>
      <c r="AK9" s="773">
        <v>9</v>
      </c>
      <c r="AL9" s="773" t="str">
        <f t="shared" ca="1" si="11"/>
        <v>Thái Âm(V)</v>
      </c>
      <c r="AM9" s="773" t="str">
        <f t="shared" ca="1" si="12"/>
        <v>Phá Quân(H)</v>
      </c>
      <c r="AN9" s="773">
        <f t="shared" ca="1" si="13"/>
        <v>10</v>
      </c>
      <c r="AP9" s="773">
        <v>8</v>
      </c>
      <c r="AQ9" s="773" t="s">
        <v>7827</v>
      </c>
      <c r="AR9" s="773" t="s">
        <v>7880</v>
      </c>
      <c r="AS9" s="773" t="s">
        <v>7877</v>
      </c>
      <c r="AT9" s="773">
        <v>8</v>
      </c>
      <c r="AU9" s="805" t="s">
        <v>6625</v>
      </c>
      <c r="BX9" s="773">
        <v>1907</v>
      </c>
      <c r="BY9" s="773" t="s">
        <v>7908</v>
      </c>
    </row>
    <row r="10" spans="1:77" s="787" customFormat="1" ht="12" customHeight="1">
      <c r="A10" s="857" t="str">
        <f t="shared" ca="1" si="0"/>
        <v xml:space="preserve"> </v>
      </c>
      <c r="B10" s="1036" t="str">
        <f ca="1">Q107</f>
        <v>———</v>
      </c>
      <c r="C10" s="857" t="str">
        <f t="shared" ca="1" si="1"/>
        <v xml:space="preserve"> </v>
      </c>
      <c r="D10" s="859" t="str">
        <f t="shared" ca="1" si="2"/>
        <v xml:space="preserve"> </v>
      </c>
      <c r="E10" s="957" t="str">
        <f>IF($G$24="có",AY144," ")</f>
        <v xml:space="preserve"> </v>
      </c>
      <c r="F10" s="860" t="str">
        <f t="shared" ca="1" si="3"/>
        <v xml:space="preserve"> </v>
      </c>
      <c r="G10" s="861" t="str">
        <f t="shared" ca="1" si="4"/>
        <v xml:space="preserve"> </v>
      </c>
      <c r="H10" s="957" t="str">
        <f>IF($G$24="có",BC144," ")</f>
        <v xml:space="preserve"> </v>
      </c>
      <c r="I10" s="860" t="str">
        <f t="shared" ca="1" si="5"/>
        <v xml:space="preserve"> </v>
      </c>
      <c r="J10" s="866" t="str">
        <f t="shared" ca="1" si="6"/>
        <v xml:space="preserve"> </v>
      </c>
      <c r="K10" s="1037" t="str">
        <f ca="1">Q109</f>
        <v xml:space="preserve">TUẦN </v>
      </c>
      <c r="L10" s="867" t="str">
        <f t="shared" ca="1" si="7"/>
        <v xml:space="preserve"> </v>
      </c>
      <c r="N10" s="1030" t="s">
        <v>569</v>
      </c>
      <c r="Q10" s="773" t="s">
        <v>8279</v>
      </c>
      <c r="R10" s="773">
        <v>7</v>
      </c>
      <c r="S10" s="773" t="s">
        <v>8272</v>
      </c>
      <c r="T10" s="773" t="s">
        <v>8270</v>
      </c>
      <c r="U10" s="773" t="s">
        <v>8272</v>
      </c>
      <c r="V10" s="773" t="s">
        <v>8275</v>
      </c>
      <c r="W10" s="773" t="s">
        <v>8271</v>
      </c>
      <c r="X10" s="773" t="s">
        <v>8275</v>
      </c>
      <c r="Y10" s="773" t="s">
        <v>8272</v>
      </c>
      <c r="Z10" s="773" t="s">
        <v>8270</v>
      </c>
      <c r="AA10" s="773" t="s">
        <v>8272</v>
      </c>
      <c r="AB10" s="773" t="s">
        <v>8275</v>
      </c>
      <c r="AC10" s="773" t="s">
        <v>8271</v>
      </c>
      <c r="AD10" s="773" t="s">
        <v>8275</v>
      </c>
      <c r="AE10" s="773" t="str">
        <f ca="1">HLOOKUP(N$33,$Q$2:$AD$17,9,0)</f>
        <v>H</v>
      </c>
      <c r="AF10" s="773" t="str">
        <f t="shared" ca="1" si="8"/>
        <v>Liêm Trinh(H)</v>
      </c>
      <c r="AG10" s="773" t="str">
        <f ca="1">N33</f>
        <v>Dậu</v>
      </c>
      <c r="AH10" s="787">
        <f t="shared" ca="1" si="9"/>
        <v>10</v>
      </c>
      <c r="AI10" s="802">
        <f t="shared" ca="1" si="10"/>
        <v>2</v>
      </c>
      <c r="AJ10" s="773">
        <v>7</v>
      </c>
      <c r="AK10" s="773">
        <v>8</v>
      </c>
      <c r="AL10" s="802" t="str">
        <f t="shared" ca="1" si="11"/>
        <v>Tham Lang(M)</v>
      </c>
      <c r="AM10" s="773" t="str">
        <f t="shared" ca="1" si="12"/>
        <v>Liêm Trinh(H)</v>
      </c>
      <c r="AN10" s="773">
        <f t="shared" ca="1" si="13"/>
        <v>10</v>
      </c>
      <c r="AP10" s="773">
        <v>9</v>
      </c>
      <c r="AQ10" s="773" t="s">
        <v>7829</v>
      </c>
      <c r="AR10" s="773" t="s">
        <v>7880</v>
      </c>
      <c r="AS10" s="773" t="s">
        <v>7877</v>
      </c>
      <c r="AT10" s="773">
        <v>9</v>
      </c>
      <c r="AU10" s="805" t="s">
        <v>6666</v>
      </c>
      <c r="BX10" s="773">
        <v>1908</v>
      </c>
      <c r="BY10" s="773" t="s">
        <v>7909</v>
      </c>
    </row>
    <row r="11" spans="1:77" s="787" customFormat="1" ht="12" customHeight="1">
      <c r="A11" s="868" t="str">
        <f ca="1">S40</f>
        <v>Di</v>
      </c>
      <c r="B11" s="1036"/>
      <c r="C11" s="869" t="str">
        <f ca="1">T40</f>
        <v xml:space="preserve"> </v>
      </c>
      <c r="D11" s="870" t="str">
        <f ca="1">AA54</f>
        <v>54 tỵ</v>
      </c>
      <c r="E11" s="871" t="str">
        <f ca="1">AA55</f>
        <v>44 thìn</v>
      </c>
      <c r="F11" s="1038" t="str">
        <f ca="1">P108</f>
        <v xml:space="preserve">  </v>
      </c>
      <c r="G11" s="1038"/>
      <c r="H11" s="871" t="str">
        <f ca="1">AA56</f>
        <v>34 mão</v>
      </c>
      <c r="I11" s="872" t="str">
        <f ca="1">AA57</f>
        <v>24 dần</v>
      </c>
      <c r="J11" s="873" t="str">
        <f ca="1">S45</f>
        <v>Huynh đệ</v>
      </c>
      <c r="K11" s="1037"/>
      <c r="L11" s="869" t="str">
        <f ca="1">T45</f>
        <v xml:space="preserve"> </v>
      </c>
      <c r="N11" s="1031"/>
      <c r="Q11" s="773" t="s">
        <v>8280</v>
      </c>
      <c r="R11" s="773">
        <v>8</v>
      </c>
      <c r="S11" s="773" t="s">
        <v>8275</v>
      </c>
      <c r="T11" s="773" t="s">
        <v>8271</v>
      </c>
      <c r="U11" s="773" t="s">
        <v>8270</v>
      </c>
      <c r="V11" s="773" t="s">
        <v>8275</v>
      </c>
      <c r="W11" s="773" t="s">
        <v>8272</v>
      </c>
      <c r="X11" s="773" t="s">
        <v>8275</v>
      </c>
      <c r="Y11" s="773" t="s">
        <v>8275</v>
      </c>
      <c r="Z11" s="773" t="s">
        <v>8271</v>
      </c>
      <c r="AA11" s="773" t="s">
        <v>8270</v>
      </c>
      <c r="AB11" s="773" t="s">
        <v>8275</v>
      </c>
      <c r="AC11" s="773" t="s">
        <v>8272</v>
      </c>
      <c r="AD11" s="773" t="s">
        <v>8275</v>
      </c>
      <c r="AE11" s="773" t="str">
        <f ca="1">HLOOKUP(U$33,$Q$2:$AD$17,10,0)</f>
        <v>M</v>
      </c>
      <c r="AF11" s="773" t="str">
        <f t="shared" ca="1" si="8"/>
        <v>Tham Lang(M)</v>
      </c>
      <c r="AG11" s="773" t="str">
        <f ca="1">U33</f>
        <v>Sửu</v>
      </c>
      <c r="AH11" s="787">
        <f t="shared" ca="1" si="9"/>
        <v>2</v>
      </c>
      <c r="AI11" s="802">
        <f t="shared" ca="1" si="10"/>
        <v>10</v>
      </c>
      <c r="AJ11" s="773">
        <v>8</v>
      </c>
      <c r="AK11" s="773">
        <v>7</v>
      </c>
      <c r="AL11" s="802" t="str">
        <f t="shared" ca="1" si="11"/>
        <v>Liêm Trinh(H)</v>
      </c>
      <c r="AM11" s="773" t="str">
        <f t="shared" ca="1" si="12"/>
        <v>Tham Lang(M)</v>
      </c>
      <c r="AN11" s="773">
        <f t="shared" ca="1" si="13"/>
        <v>2</v>
      </c>
      <c r="AP11" s="773">
        <v>10</v>
      </c>
      <c r="AQ11" s="773" t="s">
        <v>7831</v>
      </c>
      <c r="AR11" s="773" t="s">
        <v>7880</v>
      </c>
      <c r="AS11" s="773" t="s">
        <v>7877</v>
      </c>
      <c r="AT11" s="773">
        <v>10</v>
      </c>
      <c r="AU11" s="805" t="s">
        <v>6666</v>
      </c>
      <c r="BX11" s="773">
        <v>1909</v>
      </c>
      <c r="BY11" s="773" t="s">
        <v>7910</v>
      </c>
    </row>
    <row r="12" spans="1:77" s="787" customFormat="1" ht="11.1" customHeight="1">
      <c r="A12" s="857" t="str">
        <f ca="1">AQ126</f>
        <v>Hỷ Thần</v>
      </c>
      <c r="B12" s="874" t="str">
        <f ca="1">K86</f>
        <v>Thiên Cơ(M)</v>
      </c>
      <c r="D12" s="875"/>
      <c r="E12" s="850"/>
      <c r="F12" s="850"/>
      <c r="G12" s="850"/>
      <c r="H12" s="850"/>
      <c r="I12" s="850"/>
      <c r="J12" s="875" t="str">
        <f ca="1">BK126</f>
        <v xml:space="preserve"> </v>
      </c>
      <c r="K12" s="874" t="str">
        <f ca="1">K91</f>
        <v>Phá Quân(H)</v>
      </c>
      <c r="L12" s="867"/>
      <c r="Q12" s="773" t="s">
        <v>8281</v>
      </c>
      <c r="R12" s="773">
        <v>9</v>
      </c>
      <c r="S12" s="773" t="s">
        <v>8272</v>
      </c>
      <c r="T12" s="773" t="s">
        <v>8270</v>
      </c>
      <c r="U12" s="773" t="s">
        <v>8275</v>
      </c>
      <c r="V12" s="773" t="s">
        <v>8275</v>
      </c>
      <c r="W12" s="773" t="s">
        <v>8275</v>
      </c>
      <c r="X12" s="773" t="s">
        <v>8275</v>
      </c>
      <c r="Y12" s="773" t="s">
        <v>8275</v>
      </c>
      <c r="Z12" s="773" t="s">
        <v>8270</v>
      </c>
      <c r="AA12" s="773" t="s">
        <v>8272</v>
      </c>
      <c r="AB12" s="773" t="s">
        <v>8271</v>
      </c>
      <c r="AC12" s="773" t="s">
        <v>8271</v>
      </c>
      <c r="AD12" s="773" t="s">
        <v>8271</v>
      </c>
      <c r="AE12" s="773" t="str">
        <f ca="1">HLOOKUP(T$33,$Q$2:$AD$17,11,0)</f>
        <v>V</v>
      </c>
      <c r="AF12" s="773" t="str">
        <f t="shared" ca="1" si="8"/>
        <v>Thái Âm(V)</v>
      </c>
      <c r="AG12" s="773" t="str">
        <f ca="1">T33</f>
        <v>Tý</v>
      </c>
      <c r="AH12" s="787">
        <f t="shared" ca="1" si="9"/>
        <v>1</v>
      </c>
      <c r="AI12" s="802">
        <f t="shared" ca="1" si="10"/>
        <v>10</v>
      </c>
      <c r="AJ12" s="773">
        <v>9</v>
      </c>
      <c r="AK12" s="773">
        <v>6</v>
      </c>
      <c r="AL12" s="802" t="str">
        <f t="shared" ca="1" si="11"/>
        <v>Phá Quân(H)</v>
      </c>
      <c r="AM12" s="773" t="str">
        <f t="shared" ca="1" si="12"/>
        <v>Thái Âm(V)</v>
      </c>
      <c r="AN12" s="773">
        <f t="shared" ca="1" si="13"/>
        <v>1</v>
      </c>
      <c r="AP12" s="773">
        <v>11</v>
      </c>
      <c r="AQ12" s="773" t="s">
        <v>7835</v>
      </c>
      <c r="AR12" s="773" t="s">
        <v>7887</v>
      </c>
      <c r="AS12" s="773" t="s">
        <v>7886</v>
      </c>
      <c r="AT12" s="773">
        <v>11</v>
      </c>
      <c r="AU12" s="805" t="s">
        <v>6622</v>
      </c>
      <c r="BX12" s="773">
        <v>1910</v>
      </c>
      <c r="BY12" s="773" t="s">
        <v>7913</v>
      </c>
    </row>
    <row r="13" spans="1:77" s="787" customFormat="1" ht="11.1" customHeight="1">
      <c r="A13" s="876" t="str">
        <f ca="1">AQ125</f>
        <v>Mộc Dục</v>
      </c>
      <c r="B13" s="841" t="str">
        <f ca="1">M86</f>
        <v>Thiên Lương(M)</v>
      </c>
      <c r="C13" s="860"/>
      <c r="D13" s="875"/>
      <c r="E13" s="877" t="s">
        <v>8282</v>
      </c>
      <c r="F13" s="878" t="str">
        <f>qdich!B1</f>
        <v>Lá số</v>
      </c>
      <c r="G13" s="877"/>
      <c r="H13" s="850"/>
      <c r="I13" s="850"/>
      <c r="J13" s="875" t="str">
        <f ca="1">BK125</f>
        <v xml:space="preserve"> </v>
      </c>
      <c r="K13" s="841" t="str">
        <f ca="1">M91</f>
        <v>Liêm Trinh(H)</v>
      </c>
      <c r="L13" s="854"/>
      <c r="Q13" s="773" t="s">
        <v>8283</v>
      </c>
      <c r="R13" s="773">
        <v>10</v>
      </c>
      <c r="S13" s="773" t="s">
        <v>8270</v>
      </c>
      <c r="T13" s="773" t="s">
        <v>8270</v>
      </c>
      <c r="U13" s="773" t="s">
        <v>8275</v>
      </c>
      <c r="V13" s="773" t="s">
        <v>8271</v>
      </c>
      <c r="W13" s="773" t="s">
        <v>8271</v>
      </c>
      <c r="X13" s="773" t="s">
        <v>8272</v>
      </c>
      <c r="Y13" s="773" t="s">
        <v>8270</v>
      </c>
      <c r="Z13" s="773" t="s">
        <v>8270</v>
      </c>
      <c r="AA13" s="773" t="s">
        <v>8272</v>
      </c>
      <c r="AB13" s="773" t="s">
        <v>8271</v>
      </c>
      <c r="AC13" s="773" t="s">
        <v>8271</v>
      </c>
      <c r="AD13" s="773" t="s">
        <v>8275</v>
      </c>
      <c r="AE13" s="773" t="str">
        <f ca="1">HLOOKUP(R$33,$Q$2:$AD$17,12,0)</f>
        <v>M</v>
      </c>
      <c r="AF13" s="773" t="str">
        <f t="shared" ca="1" si="8"/>
        <v>Thiên Cơ(M)</v>
      </c>
      <c r="AG13" s="773" t="str">
        <f ca="1">R33</f>
        <v>Thìn</v>
      </c>
      <c r="AH13" s="787">
        <f t="shared" ca="1" si="9"/>
        <v>5</v>
      </c>
      <c r="AI13" s="802">
        <f t="shared" ca="1" si="10"/>
        <v>6</v>
      </c>
      <c r="AJ13" s="773">
        <v>10</v>
      </c>
      <c r="AK13" s="773">
        <v>5</v>
      </c>
      <c r="AL13" s="802" t="str">
        <f t="shared" ca="1" si="11"/>
        <v>Thất Sát(V)</v>
      </c>
      <c r="AM13" s="773" t="str">
        <f t="shared" ca="1" si="12"/>
        <v>Thiên Cơ(M)</v>
      </c>
      <c r="AN13" s="773">
        <f t="shared" ca="1" si="13"/>
        <v>5</v>
      </c>
      <c r="AP13" s="773">
        <v>12</v>
      </c>
      <c r="AQ13" s="773" t="s">
        <v>7838</v>
      </c>
      <c r="AR13" s="773" t="s">
        <v>7887</v>
      </c>
      <c r="AS13" s="773" t="s">
        <v>7886</v>
      </c>
      <c r="AT13" s="773">
        <v>12</v>
      </c>
      <c r="AU13" s="805" t="s">
        <v>6622</v>
      </c>
      <c r="BX13" s="773">
        <v>1911</v>
      </c>
      <c r="BY13" s="773" t="s">
        <v>7914</v>
      </c>
    </row>
    <row r="14" spans="1:77" s="787" customFormat="1" ht="11.1" customHeight="1">
      <c r="A14" s="860" t="str">
        <f t="shared" ref="A14:A20" ca="1" si="14">AQ118</f>
        <v>Thiên Quý</v>
      </c>
      <c r="B14" s="850"/>
      <c r="C14" s="860" t="str">
        <f t="shared" ref="C14:C20" ca="1" si="15">AQ198</f>
        <v>Quả Tú</v>
      </c>
      <c r="D14" s="879"/>
      <c r="E14" s="880" t="s">
        <v>8284</v>
      </c>
      <c r="F14" s="880" t="str">
        <f ca="1">qdich!P13</f>
        <v xml:space="preserve"> Nữ</v>
      </c>
      <c r="G14" s="880"/>
      <c r="H14" s="860"/>
      <c r="I14" s="850"/>
      <c r="J14" s="859" t="str">
        <f t="shared" ref="J14:J20" ca="1" si="16">BK118</f>
        <v>Hồng Loan</v>
      </c>
      <c r="K14" s="860"/>
      <c r="L14" s="862" t="str">
        <f t="shared" ref="L14:L20" ca="1" si="17">BK198</f>
        <v>Hỏa Tinh</v>
      </c>
      <c r="N14" s="1032" t="s">
        <v>570</v>
      </c>
      <c r="Q14" s="773" t="s">
        <v>8285</v>
      </c>
      <c r="R14" s="773">
        <v>11</v>
      </c>
      <c r="S14" s="773" t="s">
        <v>8272</v>
      </c>
      <c r="T14" s="773" t="s">
        <v>8275</v>
      </c>
      <c r="U14" s="773" t="s">
        <v>8271</v>
      </c>
      <c r="V14" s="773" t="s">
        <v>8270</v>
      </c>
      <c r="W14" s="773" t="s">
        <v>8275</v>
      </c>
      <c r="X14" s="773" t="s">
        <v>8270</v>
      </c>
      <c r="Y14" s="773" t="s">
        <v>8275</v>
      </c>
      <c r="Z14" s="773" t="s">
        <v>8275</v>
      </c>
      <c r="AA14" s="773" t="s">
        <v>8271</v>
      </c>
      <c r="AB14" s="773" t="s">
        <v>8275</v>
      </c>
      <c r="AC14" s="773" t="s">
        <v>8275</v>
      </c>
      <c r="AD14" s="773" t="s">
        <v>8270</v>
      </c>
      <c r="AE14" s="773" t="str">
        <f ca="1">HLOOKUP(O$33,$Q$2:$AD$17,13,0)</f>
        <v>V</v>
      </c>
      <c r="AF14" s="773" t="str">
        <f t="shared" ca="1" si="8"/>
        <v>Thiên Đồng(V)</v>
      </c>
      <c r="AG14" s="773" t="str">
        <f ca="1">O33</f>
        <v>Tý</v>
      </c>
      <c r="AH14" s="787">
        <f t="shared" ca="1" si="9"/>
        <v>1</v>
      </c>
      <c r="AI14" s="802">
        <f t="shared" ca="1" si="10"/>
        <v>4</v>
      </c>
      <c r="AJ14" s="773">
        <v>11</v>
      </c>
      <c r="AK14" s="773">
        <v>4</v>
      </c>
      <c r="AL14" s="802" t="str">
        <f t="shared" ca="1" si="11"/>
        <v>Thiên Tướng(H)</v>
      </c>
      <c r="AM14" s="773" t="str">
        <f t="shared" ca="1" si="12"/>
        <v>Thiên Đồng(V)</v>
      </c>
      <c r="AN14" s="773">
        <f t="shared" ca="1" si="13"/>
        <v>1</v>
      </c>
      <c r="AP14" s="773">
        <v>13</v>
      </c>
      <c r="AQ14" s="773" t="s">
        <v>7840</v>
      </c>
      <c r="AR14" s="773" t="s">
        <v>7887</v>
      </c>
      <c r="AS14" s="773" t="s">
        <v>7886</v>
      </c>
      <c r="AT14" s="773">
        <v>13</v>
      </c>
      <c r="AU14" s="805" t="s">
        <v>6675</v>
      </c>
      <c r="BX14" s="773">
        <v>1912</v>
      </c>
      <c r="BY14" s="773" t="s">
        <v>7915</v>
      </c>
    </row>
    <row r="15" spans="1:77" s="787" customFormat="1" ht="11.1" customHeight="1">
      <c r="A15" s="860" t="str">
        <f t="shared" ca="1" si="14"/>
        <v>Hóa Lộc</v>
      </c>
      <c r="B15" s="863" t="str">
        <f ca="1">AQ127</f>
        <v>Thiên Tài</v>
      </c>
      <c r="C15" s="860" t="str">
        <f t="shared" ca="1" si="15"/>
        <v>Điếu Khách</v>
      </c>
      <c r="D15" s="875"/>
      <c r="E15" s="880" t="s">
        <v>9303</v>
      </c>
      <c r="F15" s="880">
        <f ca="1">qdich!G103</f>
        <v>6</v>
      </c>
      <c r="G15" s="880"/>
      <c r="H15" s="860"/>
      <c r="I15" s="850"/>
      <c r="J15" s="859" t="str">
        <f t="shared" ca="1" si="16"/>
        <v>Tam Thai</v>
      </c>
      <c r="K15" s="864" t="str">
        <f ca="1">BK127</f>
        <v xml:space="preserve"> </v>
      </c>
      <c r="L15" s="862" t="str">
        <f t="shared" ca="1" si="17"/>
        <v>Thiên Hình</v>
      </c>
      <c r="N15" s="1033"/>
      <c r="Q15" s="773" t="s">
        <v>8286</v>
      </c>
      <c r="R15" s="773">
        <v>12</v>
      </c>
      <c r="S15" s="773" t="s">
        <v>8272</v>
      </c>
      <c r="T15" s="773" t="s">
        <v>8270</v>
      </c>
      <c r="U15" s="773" t="s">
        <v>8272</v>
      </c>
      <c r="V15" s="773" t="s">
        <v>8272</v>
      </c>
      <c r="W15" s="773" t="s">
        <v>8271</v>
      </c>
      <c r="X15" s="773" t="s">
        <v>8275</v>
      </c>
      <c r="Y15" s="773" t="s">
        <v>8271</v>
      </c>
      <c r="Z15" s="773" t="s">
        <v>8270</v>
      </c>
      <c r="AA15" s="773" t="s">
        <v>8272</v>
      </c>
      <c r="AB15" s="773" t="s">
        <v>8275</v>
      </c>
      <c r="AC15" s="773" t="s">
        <v>8271</v>
      </c>
      <c r="AD15" s="773" t="s">
        <v>8275</v>
      </c>
      <c r="AE15" s="773" t="str">
        <f ca="1">HLOOKUP(X$33,$Q$2:$AD$17,14,0)</f>
        <v>M</v>
      </c>
      <c r="AF15" s="773" t="str">
        <f t="shared" ca="1" si="8"/>
        <v>Thiên Lương(M)</v>
      </c>
      <c r="AG15" s="773" t="str">
        <f ca="1">X33</f>
        <v>Thìn</v>
      </c>
      <c r="AH15" s="787">
        <f t="shared" ca="1" si="9"/>
        <v>5</v>
      </c>
      <c r="AI15" s="802">
        <f t="shared" ca="1" si="10"/>
        <v>2</v>
      </c>
      <c r="AJ15" s="773">
        <v>12</v>
      </c>
      <c r="AK15" s="773">
        <v>3</v>
      </c>
      <c r="AL15" s="802" t="str">
        <f t="shared" ca="1" si="11"/>
        <v>Vũ Khúc(M)</v>
      </c>
      <c r="AM15" s="773" t="str">
        <f t="shared" ca="1" si="12"/>
        <v>Thiên Lương(M)</v>
      </c>
      <c r="AN15" s="773">
        <f t="shared" ca="1" si="13"/>
        <v>5</v>
      </c>
      <c r="AP15" s="773">
        <v>14</v>
      </c>
      <c r="AQ15" s="773" t="s">
        <v>7842</v>
      </c>
      <c r="AR15" s="773" t="s">
        <v>7887</v>
      </c>
      <c r="AS15" s="773" t="s">
        <v>7886</v>
      </c>
      <c r="AT15" s="773">
        <v>14</v>
      </c>
      <c r="AU15" s="805" t="s">
        <v>6675</v>
      </c>
      <c r="BX15" s="773">
        <v>1913</v>
      </c>
      <c r="BY15" s="773" t="s">
        <v>7916</v>
      </c>
    </row>
    <row r="16" spans="1:77" s="881" customFormat="1" ht="11.1" customHeight="1">
      <c r="A16" s="860" t="str">
        <f t="shared" ca="1" si="14"/>
        <v>Tả Phù</v>
      </c>
      <c r="B16" s="863" t="str">
        <f ca="1">AQ128</f>
        <v xml:space="preserve"> </v>
      </c>
      <c r="C16" s="860" t="str">
        <f t="shared" ca="1" si="15"/>
        <v>Thiên La</v>
      </c>
      <c r="D16" s="875"/>
      <c r="E16" s="880" t="s">
        <v>352</v>
      </c>
      <c r="F16" s="880">
        <f ca="1">qdich!I103</f>
        <v>1</v>
      </c>
      <c r="G16" s="880"/>
      <c r="H16" s="860"/>
      <c r="I16" s="850"/>
      <c r="J16" s="859" t="str">
        <f t="shared" ca="1" si="16"/>
        <v>Thiên Trù</v>
      </c>
      <c r="K16" s="864" t="str">
        <f ca="1">BK128</f>
        <v xml:space="preserve"> </v>
      </c>
      <c r="L16" s="862" t="str">
        <f t="shared" ca="1" si="17"/>
        <v>Mộ</v>
      </c>
      <c r="M16" s="787"/>
      <c r="N16" s="787"/>
      <c r="O16" s="787"/>
      <c r="P16" s="787"/>
      <c r="Q16" s="773" t="s">
        <v>8287</v>
      </c>
      <c r="R16" s="773">
        <v>13</v>
      </c>
      <c r="S16" s="773" t="s">
        <v>8275</v>
      </c>
      <c r="T16" s="773" t="s">
        <v>8270</v>
      </c>
      <c r="U16" s="773" t="s">
        <v>8272</v>
      </c>
      <c r="V16" s="773" t="s">
        <v>8272</v>
      </c>
      <c r="W16" s="773" t="s">
        <v>8272</v>
      </c>
      <c r="X16" s="773" t="s">
        <v>8271</v>
      </c>
      <c r="Y16" s="773" t="s">
        <v>8271</v>
      </c>
      <c r="Z16" s="773" t="s">
        <v>8270</v>
      </c>
      <c r="AA16" s="773" t="s">
        <v>8275</v>
      </c>
      <c r="AB16" s="773" t="s">
        <v>8275</v>
      </c>
      <c r="AC16" s="773" t="s">
        <v>8275</v>
      </c>
      <c r="AD16" s="773" t="s">
        <v>8275</v>
      </c>
      <c r="AE16" s="773" t="str">
        <f ca="1">HLOOKUP(Q$33,$Q$2:$AD$17,15,0)</f>
        <v>V</v>
      </c>
      <c r="AF16" s="773" t="str">
        <f t="shared" ca="1" si="8"/>
        <v>Thái Dương(V)</v>
      </c>
      <c r="AG16" s="773" t="str">
        <f ca="1">Q33</f>
        <v>Dần</v>
      </c>
      <c r="AH16" s="787">
        <f t="shared" ca="1" si="9"/>
        <v>3</v>
      </c>
      <c r="AI16" s="802">
        <f t="shared" ca="1" si="10"/>
        <v>12</v>
      </c>
      <c r="AJ16" s="773">
        <v>13</v>
      </c>
      <c r="AK16" s="773">
        <v>2</v>
      </c>
      <c r="AL16" s="802" t="str">
        <f t="shared" ca="1" si="11"/>
        <v>Thiên Phủ(D)</v>
      </c>
      <c r="AM16" s="773" t="str">
        <f t="shared" ca="1" si="12"/>
        <v>Thái Dương(V)</v>
      </c>
      <c r="AN16" s="773">
        <f t="shared" ca="1" si="13"/>
        <v>3</v>
      </c>
      <c r="AP16" s="773">
        <v>15</v>
      </c>
      <c r="AQ16" s="773" t="s">
        <v>7846</v>
      </c>
      <c r="AR16" s="773" t="s">
        <v>7887</v>
      </c>
      <c r="AS16" s="773" t="s">
        <v>7886</v>
      </c>
      <c r="AT16" s="773">
        <v>15</v>
      </c>
      <c r="AU16" s="805" t="s">
        <v>6625</v>
      </c>
      <c r="BX16" s="773">
        <v>1914</v>
      </c>
      <c r="BY16" s="773" t="s">
        <v>7917</v>
      </c>
    </row>
    <row r="17" spans="1:77" s="842" customFormat="1" ht="11.1" customHeight="1">
      <c r="A17" s="860" t="str">
        <f t="shared" ca="1" si="14"/>
        <v>Hóa Khoa</v>
      </c>
      <c r="B17" s="957" t="str">
        <f>IF($G$24="có",AQ142," ")</f>
        <v xml:space="preserve"> </v>
      </c>
      <c r="C17" s="860" t="str">
        <f t="shared" ca="1" si="15"/>
        <v xml:space="preserve"> </v>
      </c>
      <c r="D17" s="882" t="str">
        <f ca="1">AA53</f>
        <v>64 ngọ</v>
      </c>
      <c r="E17" s="880" t="s">
        <v>459</v>
      </c>
      <c r="F17" s="880" t="str">
        <f ca="1">qdich!J98</f>
        <v>Nhâm</v>
      </c>
      <c r="G17" s="880" t="str">
        <f ca="1">qdich!K98</f>
        <v>Ngọ</v>
      </c>
      <c r="I17" s="883" t="str">
        <f ca="1">AA58</f>
        <v>14 sửu</v>
      </c>
      <c r="J17" s="859" t="str">
        <f t="shared" ca="1" si="16"/>
        <v>Lưu Niên</v>
      </c>
      <c r="K17" s="957" t="str">
        <f>IF($G$24="có",BK142," ")</f>
        <v>L.Lộc</v>
      </c>
      <c r="L17" s="862" t="str">
        <f t="shared" ca="1" si="17"/>
        <v xml:space="preserve"> </v>
      </c>
      <c r="Q17" s="773" t="s">
        <v>8288</v>
      </c>
      <c r="R17" s="773">
        <v>14</v>
      </c>
      <c r="S17" s="773" t="s">
        <v>8272</v>
      </c>
      <c r="T17" s="773" t="s">
        <v>8275</v>
      </c>
      <c r="U17" s="773" t="s">
        <v>8272</v>
      </c>
      <c r="V17" s="773" t="s">
        <v>8271</v>
      </c>
      <c r="W17" s="773" t="s">
        <v>8275</v>
      </c>
      <c r="X17" s="773" t="s">
        <v>8275</v>
      </c>
      <c r="Y17" s="773" t="s">
        <v>8272</v>
      </c>
      <c r="Z17" s="773" t="s">
        <v>8275</v>
      </c>
      <c r="AA17" s="773" t="s">
        <v>8270</v>
      </c>
      <c r="AB17" s="773" t="s">
        <v>8271</v>
      </c>
      <c r="AC17" s="773" t="s">
        <v>8275</v>
      </c>
      <c r="AD17" s="773" t="s">
        <v>8270</v>
      </c>
      <c r="AE17" s="773" t="str">
        <f ca="1">HLOOKUP(V$33,$Q$2:$AD$17,16,0)</f>
        <v>V</v>
      </c>
      <c r="AF17" s="773" t="str">
        <f t="shared" ca="1" si="8"/>
        <v>Cự Môn(V)</v>
      </c>
      <c r="AG17" s="773" t="str">
        <f ca="1">V33</f>
        <v>Dần</v>
      </c>
      <c r="AH17" s="787">
        <f t="shared" ca="1" si="9"/>
        <v>3</v>
      </c>
      <c r="AI17" s="802">
        <f t="shared" ca="1" si="10"/>
        <v>6</v>
      </c>
      <c r="AJ17" s="773">
        <v>14</v>
      </c>
      <c r="AK17" s="773">
        <v>1</v>
      </c>
      <c r="AL17" s="802" t="str">
        <f t="shared" ca="1" si="11"/>
        <v>Tử Vi (M)</v>
      </c>
      <c r="AM17" s="773" t="str">
        <f t="shared" ca="1" si="12"/>
        <v>Cự Môn(V)</v>
      </c>
      <c r="AN17" s="773">
        <f t="shared" ca="1" si="13"/>
        <v>3</v>
      </c>
      <c r="AP17" s="773">
        <v>16</v>
      </c>
      <c r="AQ17" s="773" t="s">
        <v>7848</v>
      </c>
      <c r="AR17" s="773" t="s">
        <v>7887</v>
      </c>
      <c r="AS17" s="773" t="s">
        <v>7886</v>
      </c>
      <c r="AT17" s="773">
        <v>16</v>
      </c>
      <c r="AU17" s="805" t="s">
        <v>6625</v>
      </c>
      <c r="BX17" s="773">
        <v>1915</v>
      </c>
      <c r="BY17" s="773" t="s">
        <v>7918</v>
      </c>
    </row>
    <row r="18" spans="1:77" s="787" customFormat="1" ht="11.1" customHeight="1">
      <c r="A18" s="860" t="str">
        <f t="shared" ca="1" si="14"/>
        <v>Phượng Các</v>
      </c>
      <c r="B18" s="957" t="str">
        <f>IF($G$24="có",AQ143," ")</f>
        <v xml:space="preserve"> </v>
      </c>
      <c r="C18" s="860" t="str">
        <f t="shared" ca="1" si="15"/>
        <v xml:space="preserve"> </v>
      </c>
      <c r="D18" s="884"/>
      <c r="E18" s="880" t="s">
        <v>5021</v>
      </c>
      <c r="F18" s="880"/>
      <c r="G18" s="880" t="str">
        <f ca="1">qdich!N15</f>
        <v>Thìn</v>
      </c>
      <c r="H18" s="874"/>
      <c r="I18" s="885"/>
      <c r="J18" s="859" t="str">
        <f t="shared" ca="1" si="16"/>
        <v>Thanh Long</v>
      </c>
      <c r="K18" s="957" t="str">
        <f>IF($G$24="có",BK143," ")</f>
        <v>L.Hư</v>
      </c>
      <c r="L18" s="862" t="str">
        <f t="shared" ca="1" si="17"/>
        <v xml:space="preserve"> </v>
      </c>
      <c r="Q18" s="773" t="s">
        <v>6570</v>
      </c>
      <c r="R18" s="773"/>
      <c r="S18" s="773"/>
      <c r="T18" s="773"/>
      <c r="U18" s="773"/>
      <c r="V18" s="773"/>
      <c r="W18" s="773"/>
      <c r="X18" s="773"/>
      <c r="Y18" s="773"/>
      <c r="Z18" s="773"/>
      <c r="AA18" s="773"/>
      <c r="AB18" s="773"/>
      <c r="AC18" s="773"/>
      <c r="AD18" s="773"/>
      <c r="AE18" s="773"/>
      <c r="AF18" s="773"/>
      <c r="AG18" s="773" t="str">
        <f ca="1">S67</f>
        <v>Ngọ</v>
      </c>
      <c r="AH18" s="773"/>
      <c r="AI18" s="773"/>
      <c r="AJ18" s="773"/>
      <c r="AK18" s="773"/>
      <c r="AL18" s="773"/>
      <c r="AM18" s="773"/>
      <c r="AN18" s="773"/>
      <c r="AP18" s="773">
        <v>17</v>
      </c>
      <c r="AQ18" s="773" t="s">
        <v>7850</v>
      </c>
      <c r="AR18" s="773" t="s">
        <v>7887</v>
      </c>
      <c r="AS18" s="773" t="s">
        <v>7886</v>
      </c>
      <c r="AT18" s="773">
        <v>17</v>
      </c>
      <c r="AU18" s="805" t="s">
        <v>6666</v>
      </c>
      <c r="BX18" s="773">
        <v>1916</v>
      </c>
      <c r="BY18" s="773" t="s">
        <v>7919</v>
      </c>
    </row>
    <row r="19" spans="1:77" s="787" customFormat="1" ht="11.1" customHeight="1">
      <c r="A19" s="860" t="str">
        <f t="shared" ca="1" si="14"/>
        <v>Đường Phù</v>
      </c>
      <c r="B19" s="957" t="str">
        <f>IF($G$24="có",AQ144," ")</f>
        <v xml:space="preserve"> </v>
      </c>
      <c r="C19" s="860" t="str">
        <f t="shared" ca="1" si="15"/>
        <v xml:space="preserve"> </v>
      </c>
      <c r="D19" s="875"/>
      <c r="E19" s="880" t="s">
        <v>8289</v>
      </c>
      <c r="F19" s="886" t="str">
        <f ca="1">Q26</f>
        <v>Mộc</v>
      </c>
      <c r="G19" s="880"/>
      <c r="H19" s="860"/>
      <c r="I19" s="850"/>
      <c r="J19" s="859" t="str">
        <f t="shared" ca="1" si="16"/>
        <v>Thiếu âm</v>
      </c>
      <c r="K19" s="957" t="str">
        <f>IF($G$24="có",BK144," ")</f>
        <v xml:space="preserve"> </v>
      </c>
      <c r="L19" s="862" t="str">
        <f t="shared" ca="1" si="17"/>
        <v xml:space="preserve"> </v>
      </c>
      <c r="Q19" s="773" t="s">
        <v>8290</v>
      </c>
      <c r="R19" s="773"/>
      <c r="S19" s="773"/>
      <c r="T19" s="773"/>
      <c r="U19" s="787" t="s">
        <v>6718</v>
      </c>
      <c r="V19" s="787" t="s">
        <v>6719</v>
      </c>
      <c r="W19" s="787" t="s">
        <v>6720</v>
      </c>
      <c r="X19" s="787" t="s">
        <v>6711</v>
      </c>
      <c r="Y19" s="787" t="s">
        <v>6717</v>
      </c>
      <c r="AG19" s="773" t="str">
        <f ca="1">S68</f>
        <v>Thân</v>
      </c>
      <c r="AI19" s="773"/>
      <c r="AJ19" s="773" t="s">
        <v>6720</v>
      </c>
      <c r="AK19" s="773" t="s">
        <v>6719</v>
      </c>
      <c r="AL19" s="773" t="s">
        <v>6718</v>
      </c>
      <c r="AM19" s="773" t="s">
        <v>6717</v>
      </c>
      <c r="AN19" s="787" t="s">
        <v>6711</v>
      </c>
      <c r="AP19" s="773">
        <v>18</v>
      </c>
      <c r="AQ19" s="773" t="s">
        <v>7852</v>
      </c>
      <c r="AR19" s="773" t="s">
        <v>7887</v>
      </c>
      <c r="AS19" s="773" t="s">
        <v>7886</v>
      </c>
      <c r="AT19" s="773">
        <v>18</v>
      </c>
      <c r="AU19" s="805" t="s">
        <v>6666</v>
      </c>
      <c r="BX19" s="773">
        <v>1917</v>
      </c>
      <c r="BY19" s="773" t="s">
        <v>7920</v>
      </c>
    </row>
    <row r="20" spans="1:77" s="787" customFormat="1" ht="9" customHeight="1">
      <c r="A20" s="860" t="str">
        <f t="shared" ca="1" si="14"/>
        <v>Giải Thần</v>
      </c>
      <c r="B20" s="864" t="str">
        <f ca="1">AQ205</f>
        <v xml:space="preserve"> </v>
      </c>
      <c r="C20" s="860" t="str">
        <f t="shared" ca="1" si="15"/>
        <v xml:space="preserve"> </v>
      </c>
      <c r="D20" s="875"/>
      <c r="E20" s="880" t="s">
        <v>8291</v>
      </c>
      <c r="F20" s="887" t="str">
        <f ca="1">AC27</f>
        <v>kim tứ cục</v>
      </c>
      <c r="G20" s="880"/>
      <c r="H20" s="860"/>
      <c r="I20" s="850"/>
      <c r="J20" s="859" t="str">
        <f t="shared" ca="1" si="16"/>
        <v xml:space="preserve"> </v>
      </c>
      <c r="K20" s="860" t="str">
        <f ca="1">BK205</f>
        <v xml:space="preserve"> </v>
      </c>
      <c r="L20" s="862" t="str">
        <f t="shared" ca="1" si="17"/>
        <v xml:space="preserve"> </v>
      </c>
      <c r="Q20" s="773" t="s">
        <v>8292</v>
      </c>
      <c r="R20" s="773"/>
      <c r="S20" s="773" t="s">
        <v>8293</v>
      </c>
      <c r="T20" s="888" t="s">
        <v>6718</v>
      </c>
      <c r="U20" s="889" t="s">
        <v>8294</v>
      </c>
      <c r="V20" s="889" t="s">
        <v>8295</v>
      </c>
      <c r="W20" s="889" t="s">
        <v>8296</v>
      </c>
      <c r="X20" s="889" t="s">
        <v>8297</v>
      </c>
      <c r="Y20" s="889" t="s">
        <v>8298</v>
      </c>
      <c r="AC20" s="888" t="s">
        <v>6718</v>
      </c>
      <c r="AD20" s="787" t="s">
        <v>8299</v>
      </c>
      <c r="AE20" s="787">
        <v>2</v>
      </c>
      <c r="AG20" s="787" t="str">
        <f ca="1">S71</f>
        <v>Thìn</v>
      </c>
      <c r="AI20" s="773">
        <v>1</v>
      </c>
      <c r="AJ20" s="806" t="s">
        <v>7875</v>
      </c>
      <c r="AK20" s="773" t="s">
        <v>7872</v>
      </c>
      <c r="AL20" s="773" t="s">
        <v>7877</v>
      </c>
      <c r="AM20" s="773" t="s">
        <v>7883</v>
      </c>
      <c r="AN20" s="787" t="s">
        <v>7886</v>
      </c>
      <c r="AP20" s="773">
        <v>19</v>
      </c>
      <c r="AQ20" s="773" t="s">
        <v>7855</v>
      </c>
      <c r="AR20" s="773" t="s">
        <v>7887</v>
      </c>
      <c r="AS20" s="773" t="s">
        <v>7886</v>
      </c>
      <c r="AT20" s="773">
        <v>19</v>
      </c>
      <c r="AU20" s="805" t="s">
        <v>6667</v>
      </c>
      <c r="BX20" s="773">
        <v>1918</v>
      </c>
      <c r="BY20" s="773" t="s">
        <v>7922</v>
      </c>
    </row>
    <row r="21" spans="1:77" s="787" customFormat="1" ht="11.1" customHeight="1">
      <c r="A21" s="890" t="str">
        <f ca="1">S39</f>
        <v>Nô bộc</v>
      </c>
      <c r="B21" s="891" t="str">
        <f ca="1">K85</f>
        <v>Thiên Tướng(H)</v>
      </c>
      <c r="C21" s="892"/>
      <c r="D21" s="875"/>
      <c r="E21" s="860"/>
      <c r="F21" s="874" t="str">
        <f ca="1">AB31</f>
        <v>Âm dương thuận lý</v>
      </c>
      <c r="G21" s="860"/>
      <c r="H21" s="860"/>
      <c r="I21" s="850"/>
      <c r="J21" s="893" t="str">
        <f ca="1">S46</f>
        <v>Mệnh</v>
      </c>
      <c r="K21" s="894" t="str">
        <f ca="1">K92</f>
        <v xml:space="preserve"> </v>
      </c>
      <c r="L21" s="892"/>
      <c r="Q21" s="773" t="s">
        <v>8300</v>
      </c>
      <c r="R21" s="773"/>
      <c r="S21" s="773"/>
      <c r="T21" s="888" t="s">
        <v>6719</v>
      </c>
      <c r="U21" s="889" t="s">
        <v>8297</v>
      </c>
      <c r="V21" s="889" t="s">
        <v>8294</v>
      </c>
      <c r="W21" s="889" t="s">
        <v>8298</v>
      </c>
      <c r="X21" s="889" t="s">
        <v>8296</v>
      </c>
      <c r="Y21" s="889" t="s">
        <v>8295</v>
      </c>
      <c r="AC21" s="888" t="s">
        <v>6719</v>
      </c>
      <c r="AD21" s="787" t="s">
        <v>8301</v>
      </c>
      <c r="AE21" s="787">
        <v>3</v>
      </c>
      <c r="AG21" s="787" t="str">
        <f ca="1">S72</f>
        <v>Tuất</v>
      </c>
      <c r="AI21" s="773">
        <v>2</v>
      </c>
      <c r="AJ21" s="806" t="s">
        <v>7874</v>
      </c>
      <c r="AK21" s="806" t="s">
        <v>7875</v>
      </c>
      <c r="AL21" s="773" t="s">
        <v>7872</v>
      </c>
      <c r="AM21" s="773" t="s">
        <v>7877</v>
      </c>
      <c r="AN21" s="773" t="s">
        <v>7883</v>
      </c>
      <c r="AP21" s="773">
        <v>20</v>
      </c>
      <c r="AQ21" s="773" t="s">
        <v>7858</v>
      </c>
      <c r="AR21" s="773" t="s">
        <v>7887</v>
      </c>
      <c r="AS21" s="773" t="s">
        <v>7886</v>
      </c>
      <c r="AT21" s="773">
        <v>20</v>
      </c>
      <c r="AU21" s="805" t="s">
        <v>6667</v>
      </c>
      <c r="BX21" s="773">
        <v>1919</v>
      </c>
      <c r="BY21" s="773" t="s">
        <v>7923</v>
      </c>
    </row>
    <row r="22" spans="1:77" s="787" customFormat="1" ht="11.1" customHeight="1">
      <c r="A22" s="841" t="str">
        <f ca="1">T39</f>
        <v xml:space="preserve"> </v>
      </c>
      <c r="B22" s="874" t="str">
        <f ca="1">M85</f>
        <v xml:space="preserve"> </v>
      </c>
      <c r="C22" s="850"/>
      <c r="D22" s="875"/>
      <c r="E22" s="860"/>
      <c r="F22" s="874" t="str">
        <f ca="1">T26</f>
        <v>Cục khắc mệnh</v>
      </c>
      <c r="G22" s="860"/>
      <c r="H22" s="860"/>
      <c r="I22" s="850"/>
      <c r="J22" s="895" t="str">
        <f ca="1">T46</f>
        <v xml:space="preserve"> </v>
      </c>
      <c r="K22" s="841" t="str">
        <f ca="1">M92</f>
        <v xml:space="preserve"> </v>
      </c>
      <c r="L22" s="867"/>
      <c r="R22" s="773"/>
      <c r="S22" s="773"/>
      <c r="T22" s="888" t="s">
        <v>8302</v>
      </c>
      <c r="U22" s="889" t="s">
        <v>8298</v>
      </c>
      <c r="V22" s="889" t="s">
        <v>8296</v>
      </c>
      <c r="W22" s="889" t="s">
        <v>8294</v>
      </c>
      <c r="X22" s="889" t="s">
        <v>8295</v>
      </c>
      <c r="Y22" s="889" t="s">
        <v>8297</v>
      </c>
      <c r="AC22" s="888" t="s">
        <v>6720</v>
      </c>
      <c r="AD22" s="787" t="s">
        <v>8303</v>
      </c>
      <c r="AE22" s="787">
        <v>4</v>
      </c>
      <c r="AI22" s="773">
        <v>3</v>
      </c>
      <c r="AJ22" s="806" t="s">
        <v>7874</v>
      </c>
      <c r="AK22" s="806" t="s">
        <v>7874</v>
      </c>
      <c r="AL22" s="806" t="s">
        <v>7875</v>
      </c>
      <c r="AM22" s="773" t="s">
        <v>7872</v>
      </c>
      <c r="AN22" s="773" t="s">
        <v>7877</v>
      </c>
      <c r="AP22" s="773">
        <v>21</v>
      </c>
      <c r="AQ22" s="773" t="s">
        <v>7862</v>
      </c>
      <c r="AR22" s="773" t="s">
        <v>7883</v>
      </c>
      <c r="AS22" s="773" t="s">
        <v>7882</v>
      </c>
      <c r="AT22" s="773">
        <v>21</v>
      </c>
      <c r="AU22" s="805" t="s">
        <v>6675</v>
      </c>
      <c r="BX22" s="773">
        <v>1920</v>
      </c>
      <c r="BY22" s="773" t="s">
        <v>7924</v>
      </c>
    </row>
    <row r="23" spans="1:77" s="787" customFormat="1" ht="11.1" customHeight="1">
      <c r="A23" s="860" t="str">
        <f t="shared" ref="A23:A30" ca="1" si="18">AM118</f>
        <v>Thiên Khôi</v>
      </c>
      <c r="B23" s="850"/>
      <c r="C23" s="860" t="str">
        <f t="shared" ref="C23:C30" ca="1" si="19">AM198</f>
        <v>Địa Kiếp</v>
      </c>
      <c r="D23" s="896"/>
      <c r="E23" s="860" t="s">
        <v>8304</v>
      </c>
      <c r="F23" s="860"/>
      <c r="G23" s="897">
        <v>2011</v>
      </c>
      <c r="H23" s="860"/>
      <c r="I23" s="898"/>
      <c r="J23" s="861" t="str">
        <f t="shared" ref="J23:J30" ca="1" si="20">BO118</f>
        <v>Ấn Quang</v>
      </c>
      <c r="K23" s="850"/>
      <c r="L23" s="899" t="str">
        <f t="shared" ref="L23:L30" ca="1" si="21">BO198</f>
        <v>Đà La</v>
      </c>
      <c r="R23" s="773"/>
      <c r="S23" s="773"/>
      <c r="T23" s="888" t="s">
        <v>6711</v>
      </c>
      <c r="U23" s="889" t="s">
        <v>8295</v>
      </c>
      <c r="V23" s="889" t="s">
        <v>8298</v>
      </c>
      <c r="W23" s="889" t="s">
        <v>8297</v>
      </c>
      <c r="X23" s="889" t="s">
        <v>8294</v>
      </c>
      <c r="Y23" s="889" t="s">
        <v>8296</v>
      </c>
      <c r="AC23" s="888" t="s">
        <v>6711</v>
      </c>
      <c r="AD23" s="787" t="s">
        <v>8305</v>
      </c>
      <c r="AE23" s="787">
        <v>5</v>
      </c>
      <c r="AG23" s="806" t="s">
        <v>6548</v>
      </c>
      <c r="AH23" s="787">
        <v>1</v>
      </c>
      <c r="AI23" s="773">
        <v>4</v>
      </c>
      <c r="AJ23" s="806" t="s">
        <v>7873</v>
      </c>
      <c r="AK23" s="773" t="s">
        <v>7871</v>
      </c>
      <c r="AL23" s="773" t="s">
        <v>7874</v>
      </c>
      <c r="AM23" s="773" t="s">
        <v>7875</v>
      </c>
      <c r="AN23" s="787" t="s">
        <v>7872</v>
      </c>
      <c r="AP23" s="773">
        <v>22</v>
      </c>
      <c r="AQ23" s="773" t="s">
        <v>7864</v>
      </c>
      <c r="AR23" s="773" t="s">
        <v>7883</v>
      </c>
      <c r="AS23" s="773" t="s">
        <v>7882</v>
      </c>
      <c r="AT23" s="773">
        <v>22</v>
      </c>
      <c r="AU23" s="805" t="s">
        <v>6675</v>
      </c>
      <c r="BX23" s="773">
        <v>1921</v>
      </c>
      <c r="BY23" s="773" t="s">
        <v>7925</v>
      </c>
    </row>
    <row r="24" spans="1:77" s="787" customFormat="1" ht="11.1" customHeight="1">
      <c r="A24" s="860" t="str">
        <f t="shared" ca="1" si="18"/>
        <v>Đào Hoa</v>
      </c>
      <c r="B24" s="863" t="str">
        <f ca="1">AM126</f>
        <v xml:space="preserve"> </v>
      </c>
      <c r="C24" s="860" t="str">
        <f t="shared" ca="1" si="19"/>
        <v>Bệnh Phù</v>
      </c>
      <c r="D24" s="900" t="str">
        <f ca="1">AA52</f>
        <v>74 mùi</v>
      </c>
      <c r="E24" s="860" t="s">
        <v>8306</v>
      </c>
      <c r="F24" s="860"/>
      <c r="G24" s="897" t="s">
        <v>8265</v>
      </c>
      <c r="H24" s="860"/>
      <c r="I24" s="883" t="str">
        <f ca="1">AA59</f>
        <v>4 tý</v>
      </c>
      <c r="J24" s="861" t="str">
        <f t="shared" ca="1" si="20"/>
        <v>Hữu Bật</v>
      </c>
      <c r="K24" s="863" t="str">
        <f ca="1">BO126</f>
        <v xml:space="preserve"> </v>
      </c>
      <c r="L24" s="899" t="str">
        <f t="shared" ca="1" si="21"/>
        <v>Tử</v>
      </c>
      <c r="Q24" s="773"/>
      <c r="R24" s="773"/>
      <c r="S24" s="773"/>
      <c r="T24" s="888" t="s">
        <v>6717</v>
      </c>
      <c r="U24" s="889" t="s">
        <v>8296</v>
      </c>
      <c r="V24" s="889" t="s">
        <v>8297</v>
      </c>
      <c r="W24" s="889" t="s">
        <v>8295</v>
      </c>
      <c r="X24" s="889" t="s">
        <v>8298</v>
      </c>
      <c r="Y24" s="889" t="s">
        <v>8294</v>
      </c>
      <c r="AC24" s="888" t="s">
        <v>6717</v>
      </c>
      <c r="AD24" s="787" t="s">
        <v>8307</v>
      </c>
      <c r="AE24" s="787">
        <v>6</v>
      </c>
      <c r="AG24" s="806" t="s">
        <v>7875</v>
      </c>
      <c r="AH24" s="787">
        <v>0</v>
      </c>
      <c r="AI24" s="773">
        <v>5</v>
      </c>
      <c r="AJ24" s="806" t="s">
        <v>7873</v>
      </c>
      <c r="AK24" s="855" t="s">
        <v>7874</v>
      </c>
      <c r="AL24" s="855" t="s">
        <v>6548</v>
      </c>
      <c r="AM24" s="855" t="s">
        <v>7874</v>
      </c>
      <c r="AN24" s="787" t="s">
        <v>7875</v>
      </c>
      <c r="AP24" s="773">
        <v>23</v>
      </c>
      <c r="AQ24" s="773" t="s">
        <v>7866</v>
      </c>
      <c r="AR24" s="773" t="s">
        <v>7883</v>
      </c>
      <c r="AS24" s="773" t="s">
        <v>7882</v>
      </c>
      <c r="AT24" s="773">
        <v>23</v>
      </c>
      <c r="AU24" s="805" t="s">
        <v>6625</v>
      </c>
      <c r="BX24" s="773">
        <v>1922</v>
      </c>
      <c r="BY24" s="773" t="s">
        <v>7927</v>
      </c>
    </row>
    <row r="25" spans="1:77" s="902" customFormat="1" ht="11.1" customHeight="1">
      <c r="A25" s="860" t="str">
        <f t="shared" ca="1" si="18"/>
        <v>Thiên Đức</v>
      </c>
      <c r="B25" s="863" t="str">
        <f ca="1">AM127</f>
        <v xml:space="preserve"> </v>
      </c>
      <c r="C25" s="860" t="str">
        <f t="shared" ca="1" si="19"/>
        <v>Thiên Thương</v>
      </c>
      <c r="D25" s="875"/>
      <c r="E25" s="850"/>
      <c r="F25" s="850"/>
      <c r="G25" s="850"/>
      <c r="H25" s="850"/>
      <c r="I25" s="854"/>
      <c r="J25" s="861" t="str">
        <f t="shared" ca="1" si="20"/>
        <v>Long Trì</v>
      </c>
      <c r="K25" s="863" t="str">
        <f ca="1">BO127</f>
        <v xml:space="preserve"> </v>
      </c>
      <c r="L25" s="899" t="str">
        <f t="shared" ca="1" si="21"/>
        <v>Quan Phù</v>
      </c>
      <c r="M25" s="842"/>
      <c r="N25" s="842"/>
      <c r="O25" s="842"/>
      <c r="P25" s="842"/>
      <c r="Q25" s="860" t="str">
        <f ca="1">qdich!J100</f>
        <v>Nhâm Ngọ</v>
      </c>
      <c r="R25" s="849"/>
      <c r="S25" s="849"/>
      <c r="T25" s="901"/>
      <c r="AG25" s="806" t="s">
        <v>7874</v>
      </c>
      <c r="AH25" s="902">
        <v>1</v>
      </c>
      <c r="AI25" s="773">
        <v>6</v>
      </c>
      <c r="AJ25" s="806" t="s">
        <v>7872</v>
      </c>
      <c r="AK25" s="855" t="s">
        <v>7873</v>
      </c>
      <c r="AL25" s="855" t="s">
        <v>7871</v>
      </c>
      <c r="AM25" s="855" t="s">
        <v>7882</v>
      </c>
      <c r="AN25" s="787" t="s">
        <v>7874</v>
      </c>
      <c r="AP25" s="773">
        <v>24</v>
      </c>
      <c r="AQ25" s="773" t="s">
        <v>7867</v>
      </c>
      <c r="AR25" s="773" t="s">
        <v>7883</v>
      </c>
      <c r="AS25" s="773" t="s">
        <v>7882</v>
      </c>
      <c r="AT25" s="773">
        <v>24</v>
      </c>
      <c r="AU25" s="805" t="s">
        <v>6625</v>
      </c>
      <c r="BX25" s="773">
        <v>1923</v>
      </c>
      <c r="BY25" s="773" t="s">
        <v>7928</v>
      </c>
    </row>
    <row r="26" spans="1:77" s="787" customFormat="1" ht="11.1" customHeight="1">
      <c r="A26" s="860" t="str">
        <f t="shared" ca="1" si="18"/>
        <v>Phúc Đức</v>
      </c>
      <c r="B26" s="863" t="str">
        <f ca="1">AM128</f>
        <v xml:space="preserve"> </v>
      </c>
      <c r="C26" s="860" t="str">
        <f t="shared" ca="1" si="19"/>
        <v xml:space="preserve"> </v>
      </c>
      <c r="D26" s="884"/>
      <c r="E26" s="903"/>
      <c r="F26" s="903"/>
      <c r="G26" s="903"/>
      <c r="H26" s="903"/>
      <c r="I26" s="904"/>
      <c r="J26" s="861" t="str">
        <f t="shared" ca="1" si="20"/>
        <v>Thai Phụ</v>
      </c>
      <c r="K26" s="863" t="str">
        <f ca="1">BO128</f>
        <v xml:space="preserve"> </v>
      </c>
      <c r="L26" s="899" t="str">
        <f t="shared" ca="1" si="21"/>
        <v>Địa Võng</v>
      </c>
      <c r="Q26" s="773" t="str">
        <f ca="1">VLOOKUP(Q25,A311:E370,5,0)</f>
        <v>Mộc</v>
      </c>
      <c r="R26" s="773"/>
      <c r="S26" s="787">
        <f ca="1">VLOOKUP(N42,AC20:AE24,3,0)</f>
        <v>2</v>
      </c>
      <c r="T26" s="787" t="str">
        <f ca="1">VLOOKUP(F19,T19:AC24,S26,0)</f>
        <v>Cục khắc mệnh</v>
      </c>
      <c r="AG26" s="806" t="s">
        <v>7873</v>
      </c>
      <c r="AH26" s="787">
        <v>0</v>
      </c>
      <c r="AI26" s="773">
        <v>7</v>
      </c>
      <c r="AJ26" s="806" t="s">
        <v>7872</v>
      </c>
      <c r="AK26" s="855" t="s">
        <v>7883</v>
      </c>
      <c r="AL26" s="855" t="s">
        <v>7874</v>
      </c>
      <c r="AM26" s="855" t="s">
        <v>6548</v>
      </c>
      <c r="AN26" s="787" t="s">
        <v>7880</v>
      </c>
      <c r="AP26" s="773">
        <v>25</v>
      </c>
      <c r="AQ26" s="773" t="s">
        <v>7869</v>
      </c>
      <c r="AR26" s="773" t="s">
        <v>7883</v>
      </c>
      <c r="AS26" s="773" t="s">
        <v>7882</v>
      </c>
      <c r="AT26" s="773">
        <v>25</v>
      </c>
      <c r="AU26" s="805" t="s">
        <v>6622</v>
      </c>
      <c r="BX26" s="773">
        <v>1924</v>
      </c>
      <c r="BY26" s="773" t="s">
        <v>7814</v>
      </c>
    </row>
    <row r="27" spans="1:77" s="787" customFormat="1" ht="11.1" customHeight="1">
      <c r="A27" s="860" t="str">
        <f t="shared" ca="1" si="18"/>
        <v>Thiên Hỷ</v>
      </c>
      <c r="B27" s="957" t="str">
        <f>IF($G$24="có",AM142," ")</f>
        <v>L.TTuế</v>
      </c>
      <c r="C27" s="860" t="str">
        <f t="shared" ca="1" si="19"/>
        <v xml:space="preserve"> </v>
      </c>
      <c r="D27" s="875"/>
      <c r="E27" s="905" t="s">
        <v>8308</v>
      </c>
      <c r="F27" s="850"/>
      <c r="G27" s="850"/>
      <c r="H27" s="850"/>
      <c r="I27" s="854"/>
      <c r="J27" s="861" t="str">
        <f t="shared" ca="1" si="20"/>
        <v>Thiên Quan</v>
      </c>
      <c r="K27" s="957" t="str">
        <f>IF($G$24="có",BO142," ")</f>
        <v>L.Kình</v>
      </c>
      <c r="L27" s="899" t="str">
        <f t="shared" ca="1" si="21"/>
        <v>Đẩu Quân</v>
      </c>
      <c r="Q27" s="773"/>
      <c r="R27" s="773"/>
      <c r="S27" s="773"/>
      <c r="T27" s="773"/>
      <c r="AA27" s="787" t="str">
        <f ca="1">N42</f>
        <v>kim</v>
      </c>
      <c r="AB27" s="787" t="str">
        <f ca="1">VLOOKUP(N42,AC20:AK25,2,0)</f>
        <v>tứ cục</v>
      </c>
      <c r="AC27" s="787" t="str">
        <f ca="1">CONCATENATE(AA27," ",AB27)</f>
        <v>kim tứ cục</v>
      </c>
      <c r="AG27" s="806" t="s">
        <v>7872</v>
      </c>
      <c r="AH27" s="787">
        <v>1</v>
      </c>
      <c r="AI27" s="773">
        <v>8</v>
      </c>
      <c r="AJ27" s="806" t="s">
        <v>7871</v>
      </c>
      <c r="AK27" s="855" t="s">
        <v>7873</v>
      </c>
      <c r="AL27" s="855" t="s">
        <v>7873</v>
      </c>
      <c r="AM27" s="855" t="s">
        <v>7871</v>
      </c>
      <c r="AN27" s="787" t="s">
        <v>7882</v>
      </c>
      <c r="AP27" s="773">
        <v>26</v>
      </c>
      <c r="AQ27" s="773" t="s">
        <v>7878</v>
      </c>
      <c r="AR27" s="773" t="s">
        <v>7883</v>
      </c>
      <c r="AS27" s="773" t="s">
        <v>7882</v>
      </c>
      <c r="AT27" s="773">
        <v>26</v>
      </c>
      <c r="AU27" s="805" t="s">
        <v>6622</v>
      </c>
      <c r="BX27" s="773">
        <v>1925</v>
      </c>
      <c r="BY27" s="773" t="s">
        <v>7818</v>
      </c>
    </row>
    <row r="28" spans="1:77" s="787" customFormat="1" ht="11.1" customHeight="1">
      <c r="A28" s="860" t="str">
        <f t="shared" ca="1" si="18"/>
        <v>Quan Đới</v>
      </c>
      <c r="B28" s="957" t="str">
        <f>IF($G$24="có",AM143," ")</f>
        <v>L.Khốc</v>
      </c>
      <c r="C28" s="860" t="str">
        <f t="shared" ca="1" si="19"/>
        <v xml:space="preserve"> </v>
      </c>
      <c r="D28" s="875"/>
      <c r="E28" s="850"/>
      <c r="F28" s="850"/>
      <c r="G28" s="850"/>
      <c r="H28" s="850"/>
      <c r="I28" s="850"/>
      <c r="J28" s="861" t="str">
        <f t="shared" ca="1" si="20"/>
        <v>Hoa Cái</v>
      </c>
      <c r="K28" s="957" t="str">
        <f>IF($G$24="có",BO143," ")</f>
        <v xml:space="preserve"> </v>
      </c>
      <c r="L28" s="899" t="str">
        <f t="shared" ca="1" si="21"/>
        <v xml:space="preserve"> </v>
      </c>
      <c r="Q28" s="773"/>
      <c r="R28" s="773"/>
      <c r="S28" s="773"/>
      <c r="T28" s="773"/>
      <c r="AG28" s="806" t="s">
        <v>7871</v>
      </c>
      <c r="AH28" s="787">
        <v>0</v>
      </c>
      <c r="AI28" s="773">
        <v>9</v>
      </c>
      <c r="AJ28" s="806" t="s">
        <v>7871</v>
      </c>
      <c r="AK28" s="855" t="s">
        <v>7872</v>
      </c>
      <c r="AL28" s="855" t="s">
        <v>7875</v>
      </c>
      <c r="AM28" s="855" t="s">
        <v>7874</v>
      </c>
      <c r="AN28" s="787" t="s">
        <v>6548</v>
      </c>
      <c r="AP28" s="773">
        <v>27</v>
      </c>
      <c r="AQ28" s="773" t="s">
        <v>7881</v>
      </c>
      <c r="AR28" s="773" t="s">
        <v>7883</v>
      </c>
      <c r="AS28" s="773" t="s">
        <v>7882</v>
      </c>
      <c r="AT28" s="773">
        <v>27</v>
      </c>
      <c r="AU28" s="805" t="s">
        <v>6667</v>
      </c>
      <c r="BX28" s="773">
        <v>1926</v>
      </c>
      <c r="BY28" s="773" t="s">
        <v>7819</v>
      </c>
    </row>
    <row r="29" spans="1:77" s="787" customFormat="1" ht="11.1" customHeight="1">
      <c r="A29" s="860" t="str">
        <f t="shared" ca="1" si="18"/>
        <v xml:space="preserve"> </v>
      </c>
      <c r="B29" s="957" t="str">
        <f>IF($G$24="có",AM144," ")</f>
        <v xml:space="preserve"> </v>
      </c>
      <c r="C29" s="860" t="str">
        <f t="shared" ca="1" si="19"/>
        <v xml:space="preserve"> </v>
      </c>
      <c r="D29" s="875"/>
      <c r="E29" s="850"/>
      <c r="F29" s="850"/>
      <c r="G29" s="850"/>
      <c r="H29" s="850"/>
      <c r="I29" s="850"/>
      <c r="J29" s="861" t="str">
        <f t="shared" ca="1" si="20"/>
        <v>Lực Sỹ</v>
      </c>
      <c r="K29" s="957" t="str">
        <f>IF($G$24="có",BO144," ")</f>
        <v xml:space="preserve"> </v>
      </c>
      <c r="L29" s="906" t="str">
        <f t="shared" ca="1" si="21"/>
        <v xml:space="preserve"> </v>
      </c>
      <c r="N29" s="787">
        <v>7</v>
      </c>
      <c r="O29" s="787">
        <v>11</v>
      </c>
      <c r="P29" s="787">
        <v>3</v>
      </c>
      <c r="Q29" s="787">
        <v>13</v>
      </c>
      <c r="R29" s="773">
        <v>9</v>
      </c>
      <c r="S29" s="773">
        <v>2</v>
      </c>
      <c r="T29" s="773">
        <v>10</v>
      </c>
      <c r="U29" s="787">
        <v>8</v>
      </c>
      <c r="V29" s="787">
        <v>14</v>
      </c>
      <c r="W29" s="787">
        <v>4</v>
      </c>
      <c r="X29" s="787">
        <v>12</v>
      </c>
      <c r="Y29" s="787">
        <v>5</v>
      </c>
      <c r="Z29" s="787">
        <v>6</v>
      </c>
      <c r="AG29" s="806" t="s">
        <v>7883</v>
      </c>
      <c r="AH29" s="787">
        <v>1</v>
      </c>
      <c r="AI29" s="773">
        <v>10</v>
      </c>
      <c r="AJ29" s="806" t="s">
        <v>7883</v>
      </c>
      <c r="AK29" s="855" t="s">
        <v>7882</v>
      </c>
      <c r="AL29" s="855" t="s">
        <v>7883</v>
      </c>
      <c r="AM29" s="855" t="s">
        <v>7873</v>
      </c>
      <c r="AN29" s="787" t="s">
        <v>7871</v>
      </c>
      <c r="AP29" s="773">
        <v>28</v>
      </c>
      <c r="AQ29" s="773" t="s">
        <v>7884</v>
      </c>
      <c r="AR29" s="773" t="s">
        <v>7883</v>
      </c>
      <c r="AS29" s="773" t="s">
        <v>7882</v>
      </c>
      <c r="AT29" s="773">
        <v>28</v>
      </c>
      <c r="AU29" s="805" t="s">
        <v>6667</v>
      </c>
      <c r="BX29" s="773">
        <v>1927</v>
      </c>
      <c r="BY29" s="773" t="s">
        <v>7820</v>
      </c>
    </row>
    <row r="30" spans="1:77" s="787" customFormat="1" ht="12" customHeight="1">
      <c r="A30" s="889" t="str">
        <f t="shared" ca="1" si="18"/>
        <v xml:space="preserve"> </v>
      </c>
      <c r="B30" s="1037" t="str">
        <f ca="1">Q105</f>
        <v xml:space="preserve"> TRIỆT</v>
      </c>
      <c r="C30" s="889" t="str">
        <f t="shared" ca="1" si="19"/>
        <v xml:space="preserve"> </v>
      </c>
      <c r="D30" s="907" t="str">
        <f ca="1">AA51</f>
        <v>84 thân</v>
      </c>
      <c r="E30" s="908" t="str">
        <f ca="1">AA50</f>
        <v>94 dậu</v>
      </c>
      <c r="F30" s="1039" t="str">
        <f ca="1">P102</f>
        <v xml:space="preserve">  </v>
      </c>
      <c r="G30" s="1039"/>
      <c r="H30" s="909" t="str">
        <f ca="1">AA49</f>
        <v>104 tuất</v>
      </c>
      <c r="I30" s="910" t="str">
        <f ca="1">AA60</f>
        <v>114 hợi</v>
      </c>
      <c r="J30" s="911" t="str">
        <f t="shared" ca="1" si="20"/>
        <v xml:space="preserve"> </v>
      </c>
      <c r="K30" s="1040" t="str">
        <f ca="1">Q110</f>
        <v>————</v>
      </c>
      <c r="L30" s="906" t="str">
        <f t="shared" ca="1" si="21"/>
        <v xml:space="preserve"> </v>
      </c>
      <c r="N30" s="787">
        <v>2</v>
      </c>
      <c r="O30" s="787">
        <v>3</v>
      </c>
      <c r="P30" s="787">
        <v>4</v>
      </c>
      <c r="Q30" s="787">
        <v>5</v>
      </c>
      <c r="R30" s="787">
        <v>6</v>
      </c>
      <c r="S30" s="787">
        <v>7</v>
      </c>
      <c r="T30" s="787">
        <v>8</v>
      </c>
      <c r="U30" s="787">
        <v>9</v>
      </c>
      <c r="V30" s="787">
        <v>10</v>
      </c>
      <c r="W30" s="787">
        <v>11</v>
      </c>
      <c r="X30" s="787">
        <v>12</v>
      </c>
      <c r="Y30" s="787">
        <v>13</v>
      </c>
      <c r="Z30" s="787">
        <v>14</v>
      </c>
      <c r="AB30" s="787">
        <f ca="1">N62</f>
        <v>1</v>
      </c>
      <c r="AC30" s="834">
        <f ca="1">VLOOKUP(N38,$AG$23:$AH$34,2,0)</f>
        <v>1</v>
      </c>
      <c r="AG30" s="806" t="s">
        <v>7882</v>
      </c>
      <c r="AH30" s="787">
        <v>0</v>
      </c>
      <c r="AI30" s="912">
        <v>11</v>
      </c>
      <c r="AJ30" s="913" t="s">
        <v>7883</v>
      </c>
      <c r="AK30" s="914" t="s">
        <v>7872</v>
      </c>
      <c r="AL30" s="914" t="s">
        <v>7873</v>
      </c>
      <c r="AM30" s="914" t="s">
        <v>7887</v>
      </c>
      <c r="AN30" s="915" t="s">
        <v>7874</v>
      </c>
      <c r="AP30" s="773">
        <v>29</v>
      </c>
      <c r="AQ30" s="773" t="s">
        <v>7888</v>
      </c>
      <c r="AR30" s="773" t="s">
        <v>7883</v>
      </c>
      <c r="AS30" s="773" t="s">
        <v>7882</v>
      </c>
      <c r="AT30" s="773">
        <v>29</v>
      </c>
      <c r="AU30" s="805" t="s">
        <v>6675</v>
      </c>
      <c r="BX30" s="773">
        <v>1928</v>
      </c>
      <c r="BY30" s="773" t="s">
        <v>7822</v>
      </c>
    </row>
    <row r="31" spans="1:77" s="787" customFormat="1" ht="12" customHeight="1">
      <c r="A31" s="890" t="str">
        <f ca="1">S38</f>
        <v>Quan lộc</v>
      </c>
      <c r="B31" s="1037"/>
      <c r="C31" s="916" t="str">
        <f ca="1">T38</f>
        <v xml:space="preserve"> </v>
      </c>
      <c r="D31" s="893" t="str">
        <f ca="1">S37</f>
        <v>Điền trạch</v>
      </c>
      <c r="E31" s="846" t="str">
        <f ca="1">K83</f>
        <v>Vũ Khúc(M)</v>
      </c>
      <c r="G31" s="893" t="str">
        <f ca="1">S36</f>
        <v>Phúc đức</v>
      </c>
      <c r="H31" s="807" t="str">
        <f ca="1">K82</f>
        <v>Thái Âm(V)</v>
      </c>
      <c r="J31" s="893" t="str">
        <f ca="1">S47</f>
        <v>Phụ mẫu</v>
      </c>
      <c r="K31" s="1040"/>
      <c r="L31" s="892" t="str">
        <f ca="1">T47</f>
        <v xml:space="preserve"> </v>
      </c>
      <c r="N31" s="917" t="s">
        <v>8309</v>
      </c>
      <c r="O31" s="917" t="s">
        <v>8310</v>
      </c>
      <c r="P31" s="917" t="s">
        <v>8311</v>
      </c>
      <c r="Q31" s="917" t="s">
        <v>5944</v>
      </c>
      <c r="R31" s="917" t="s">
        <v>8310</v>
      </c>
      <c r="S31" s="917" t="s">
        <v>8310</v>
      </c>
      <c r="T31" s="917" t="s">
        <v>5944</v>
      </c>
      <c r="U31" s="917" t="s">
        <v>8312</v>
      </c>
      <c r="V31" s="917" t="s">
        <v>8313</v>
      </c>
      <c r="W31" s="917" t="s">
        <v>8310</v>
      </c>
      <c r="X31" s="1029" t="s">
        <v>8314</v>
      </c>
      <c r="Y31" s="917" t="s">
        <v>8315</v>
      </c>
      <c r="Z31" s="917" t="s">
        <v>8316</v>
      </c>
      <c r="AB31" s="787" t="str">
        <f ca="1">IF(AB30=AC30,"Âm dương thuận lý","Âm dương nghịch lý")</f>
        <v>Âm dương thuận lý</v>
      </c>
      <c r="AG31" s="806" t="s">
        <v>7887</v>
      </c>
      <c r="AH31" s="787">
        <v>1</v>
      </c>
      <c r="AI31" s="773">
        <v>12</v>
      </c>
      <c r="AJ31" s="806" t="s">
        <v>7882</v>
      </c>
      <c r="AK31" s="855" t="s">
        <v>7871</v>
      </c>
      <c r="AL31" s="855" t="s">
        <v>7872</v>
      </c>
      <c r="AM31" s="855" t="s">
        <v>7875</v>
      </c>
      <c r="AN31" s="787" t="s">
        <v>7873</v>
      </c>
      <c r="AP31" s="773">
        <v>30</v>
      </c>
      <c r="AQ31" s="773" t="s">
        <v>7889</v>
      </c>
      <c r="AR31" s="773" t="s">
        <v>7883</v>
      </c>
      <c r="AS31" s="773" t="s">
        <v>7882</v>
      </c>
      <c r="AT31" s="773">
        <v>30</v>
      </c>
      <c r="AU31" s="805" t="s">
        <v>6675</v>
      </c>
      <c r="BX31" s="773">
        <v>1929</v>
      </c>
      <c r="BY31" s="773" t="s">
        <v>7823</v>
      </c>
    </row>
    <row r="32" spans="1:77" s="787" customFormat="1" ht="11.1" customHeight="1">
      <c r="A32" s="918" t="str">
        <f ca="1">AI126</f>
        <v xml:space="preserve"> </v>
      </c>
      <c r="B32" s="847" t="str">
        <f ca="1">K84</f>
        <v>Thái Dương(V)</v>
      </c>
      <c r="C32" s="850"/>
      <c r="D32" s="884" t="str">
        <f ca="1">T37</f>
        <v xml:space="preserve"> </v>
      </c>
      <c r="E32" s="841" t="str">
        <f ca="1">M83</f>
        <v>Tham Lang(M)</v>
      </c>
      <c r="F32" s="850"/>
      <c r="G32" s="884" t="str">
        <f ca="1">T36</f>
        <v xml:space="preserve"> </v>
      </c>
      <c r="H32" s="841" t="str">
        <f ca="1">M82</f>
        <v>Thiên Đồng(V)</v>
      </c>
      <c r="I32" s="854"/>
      <c r="J32" s="875" t="str">
        <f ca="1">BS126</f>
        <v xml:space="preserve"> </v>
      </c>
      <c r="K32" s="874" t="str">
        <f ca="1">K93</f>
        <v>Thiên Phủ(D)</v>
      </c>
      <c r="L32" s="854"/>
      <c r="N32" s="917" t="s">
        <v>8317</v>
      </c>
      <c r="O32" s="917" t="s">
        <v>8318</v>
      </c>
      <c r="P32" s="917" t="s">
        <v>8319</v>
      </c>
      <c r="Q32" s="917" t="s">
        <v>8320</v>
      </c>
      <c r="R32" s="917" t="s">
        <v>8321</v>
      </c>
      <c r="S32" s="917" t="s">
        <v>8322</v>
      </c>
      <c r="T32" s="917" t="s">
        <v>4213</v>
      </c>
      <c r="U32" s="917" t="s">
        <v>8323</v>
      </c>
      <c r="V32" s="917" t="s">
        <v>8324</v>
      </c>
      <c r="W32" s="917" t="s">
        <v>8325</v>
      </c>
      <c r="X32" s="1029"/>
      <c r="Y32" s="917" t="s">
        <v>6672</v>
      </c>
      <c r="Z32" s="917" t="s">
        <v>8326</v>
      </c>
      <c r="AG32" s="806" t="s">
        <v>7886</v>
      </c>
      <c r="AH32" s="787">
        <v>0</v>
      </c>
      <c r="AI32" s="773">
        <v>13</v>
      </c>
      <c r="AJ32" s="806" t="s">
        <v>7882</v>
      </c>
      <c r="AK32" s="855" t="s">
        <v>7887</v>
      </c>
      <c r="AL32" s="855" t="s">
        <v>7874</v>
      </c>
      <c r="AM32" s="855" t="s">
        <v>7883</v>
      </c>
      <c r="AN32" s="787" t="s">
        <v>7877</v>
      </c>
      <c r="AP32" s="773">
        <v>31</v>
      </c>
      <c r="AQ32" s="773" t="s">
        <v>7890</v>
      </c>
      <c r="AR32" s="773" t="s">
        <v>7872</v>
      </c>
      <c r="AS32" s="773" t="s">
        <v>7871</v>
      </c>
      <c r="AT32" s="773">
        <v>31</v>
      </c>
      <c r="AU32" s="805" t="s">
        <v>6666</v>
      </c>
      <c r="BX32" s="773">
        <v>1930</v>
      </c>
      <c r="BY32" s="773" t="s">
        <v>7825</v>
      </c>
    </row>
    <row r="33" spans="1:77" s="787" customFormat="1" ht="11.1" customHeight="1">
      <c r="A33" s="860" t="str">
        <f ca="1">AI125</f>
        <v xml:space="preserve"> </v>
      </c>
      <c r="B33" s="874" t="str">
        <f ca="1">M84</f>
        <v>Cự Môn(V)</v>
      </c>
      <c r="C33" s="850"/>
      <c r="D33" s="859" t="str">
        <f ca="1">AD125</f>
        <v xml:space="preserve"> </v>
      </c>
      <c r="E33" s="860"/>
      <c r="F33" s="860" t="str">
        <f ca="1">AD205</f>
        <v xml:space="preserve"> </v>
      </c>
      <c r="G33" s="859" t="str">
        <f ca="1">Y125</f>
        <v xml:space="preserve"> </v>
      </c>
      <c r="H33" s="860"/>
      <c r="I33" s="862" t="str">
        <f ca="1">Y205</f>
        <v xml:space="preserve"> </v>
      </c>
      <c r="J33" s="875" t="str">
        <f ca="1">BS125</f>
        <v xml:space="preserve"> </v>
      </c>
      <c r="K33" s="874" t="str">
        <f ca="1">M93</f>
        <v xml:space="preserve"> </v>
      </c>
      <c r="L33" s="854"/>
      <c r="N33" s="889" t="str">
        <f t="shared" ref="N33:Z33" ca="1" si="22">VLOOKUP($I$83,$A$66:$N$79,N30,0)</f>
        <v>Dậu</v>
      </c>
      <c r="O33" s="889" t="str">
        <f t="shared" ca="1" si="22"/>
        <v>Tý</v>
      </c>
      <c r="P33" s="889" t="str">
        <f t="shared" ca="1" si="22"/>
        <v>Sửu</v>
      </c>
      <c r="Q33" s="889" t="str">
        <f t="shared" ca="1" si="22"/>
        <v>Dần</v>
      </c>
      <c r="R33" s="889" t="str">
        <f t="shared" ca="1" si="22"/>
        <v>Thìn</v>
      </c>
      <c r="S33" s="889" t="str">
        <f t="shared" ca="1" si="22"/>
        <v>Hợi</v>
      </c>
      <c r="T33" s="889" t="str">
        <f t="shared" ca="1" si="22"/>
        <v>Tý</v>
      </c>
      <c r="U33" s="889" t="str">
        <f t="shared" ca="1" si="22"/>
        <v>Sửu</v>
      </c>
      <c r="V33" s="889" t="str">
        <f t="shared" ca="1" si="22"/>
        <v>Dần</v>
      </c>
      <c r="W33" s="889" t="str">
        <f t="shared" ca="1" si="22"/>
        <v>Mão</v>
      </c>
      <c r="X33" s="889" t="str">
        <f t="shared" ca="1" si="22"/>
        <v>Thìn</v>
      </c>
      <c r="Y33" s="889" t="str">
        <f t="shared" ca="1" si="22"/>
        <v>Tỵ</v>
      </c>
      <c r="Z33" s="889" t="str">
        <f t="shared" ca="1" si="22"/>
        <v>Dậu</v>
      </c>
      <c r="AG33" s="806" t="s">
        <v>7880</v>
      </c>
      <c r="AH33" s="787">
        <v>1</v>
      </c>
      <c r="AI33" s="773">
        <v>14</v>
      </c>
      <c r="AJ33" s="806" t="s">
        <v>7887</v>
      </c>
      <c r="AK33" s="855" t="s">
        <v>7871</v>
      </c>
      <c r="AL33" s="855" t="s">
        <v>7882</v>
      </c>
      <c r="AM33" s="855" t="s">
        <v>7873</v>
      </c>
      <c r="AN33" s="787" t="s">
        <v>7887</v>
      </c>
      <c r="AP33" s="773">
        <v>32</v>
      </c>
      <c r="AQ33" s="773" t="s">
        <v>7891</v>
      </c>
      <c r="AR33" s="773" t="s">
        <v>7872</v>
      </c>
      <c r="AS33" s="773" t="s">
        <v>7871</v>
      </c>
      <c r="AT33" s="773">
        <v>32</v>
      </c>
      <c r="AU33" s="805" t="s">
        <v>6666</v>
      </c>
      <c r="BX33" s="773">
        <v>1931</v>
      </c>
      <c r="BY33" s="773" t="s">
        <v>7827</v>
      </c>
    </row>
    <row r="34" spans="1:77" s="787" customFormat="1" ht="11.1" customHeight="1">
      <c r="A34" s="860" t="str">
        <f t="shared" ref="A34:A40" ca="1" si="23">AI118</f>
        <v>Lâm Quan</v>
      </c>
      <c r="B34" s="863"/>
      <c r="C34" s="857" t="str">
        <f t="shared" ref="C34:C40" ca="1" si="24">AI198</f>
        <v>Bạch Hổ</v>
      </c>
      <c r="D34" s="859" t="str">
        <f t="shared" ref="D34:D40" ca="1" si="25">AD118</f>
        <v>Long Đức</v>
      </c>
      <c r="E34" s="864" t="str">
        <f ca="1">AD126</f>
        <v xml:space="preserve"> </v>
      </c>
      <c r="F34" s="860" t="str">
        <f t="shared" ref="F34:F40" ca="1" si="26">AD198</f>
        <v>Hóa Kỵ</v>
      </c>
      <c r="G34" s="919" t="str">
        <f t="shared" ref="G34:G40" ca="1" si="27">Y118</f>
        <v>Thiên Thọ</v>
      </c>
      <c r="H34" s="864" t="str">
        <f ca="1">Y126</f>
        <v xml:space="preserve"> </v>
      </c>
      <c r="I34" s="862" t="str">
        <f t="shared" ref="I34:I40" ca="1" si="28">Y198</f>
        <v>Kình Dương</v>
      </c>
      <c r="J34" s="859" t="str">
        <f t="shared" ref="J34:J40" ca="1" si="29">BS118</f>
        <v>Lộc Tồn</v>
      </c>
      <c r="K34" s="860"/>
      <c r="L34" s="862" t="str">
        <f t="shared" ref="L34:L40" ca="1" si="30">BS198</f>
        <v>Kiếp Sát</v>
      </c>
      <c r="Q34" s="773"/>
      <c r="R34" s="773"/>
      <c r="S34" s="773"/>
      <c r="T34" s="773"/>
      <c r="AG34" s="806" t="s">
        <v>7877</v>
      </c>
      <c r="AH34" s="787">
        <v>0</v>
      </c>
      <c r="AI34" s="773">
        <v>15</v>
      </c>
      <c r="AJ34" s="806" t="s">
        <v>7887</v>
      </c>
      <c r="AK34" s="855" t="s">
        <v>7883</v>
      </c>
      <c r="AL34" s="855" t="s">
        <v>7872</v>
      </c>
      <c r="AM34" s="855" t="s">
        <v>7872</v>
      </c>
      <c r="AN34" s="787" t="s">
        <v>7875</v>
      </c>
      <c r="AP34" s="773">
        <v>33</v>
      </c>
      <c r="AQ34" s="773" t="s">
        <v>7892</v>
      </c>
      <c r="AR34" s="773" t="s">
        <v>7872</v>
      </c>
      <c r="AS34" s="773" t="s">
        <v>7871</v>
      </c>
      <c r="AT34" s="773">
        <v>33</v>
      </c>
      <c r="AU34" s="805" t="s">
        <v>6622</v>
      </c>
      <c r="BX34" s="773">
        <v>1932</v>
      </c>
      <c r="BY34" s="773" t="s">
        <v>7829</v>
      </c>
    </row>
    <row r="35" spans="1:77" s="787" customFormat="1" ht="11.1" customHeight="1">
      <c r="A35" s="860" t="str">
        <f t="shared" ca="1" si="23"/>
        <v xml:space="preserve"> </v>
      </c>
      <c r="B35" s="863" t="str">
        <f ca="1">AI127</f>
        <v xml:space="preserve"> </v>
      </c>
      <c r="C35" s="857" t="str">
        <f t="shared" ca="1" si="24"/>
        <v>Đại Hao</v>
      </c>
      <c r="D35" s="859" t="str">
        <f t="shared" ca="1" si="25"/>
        <v>Đế Vượng</v>
      </c>
      <c r="E35" s="864" t="str">
        <f ca="1">AD127</f>
        <v xml:space="preserve"> </v>
      </c>
      <c r="F35" s="860" t="str">
        <f t="shared" ca="1" si="26"/>
        <v>Thiên Riêu</v>
      </c>
      <c r="G35" s="859" t="str">
        <f t="shared" ca="1" si="27"/>
        <v xml:space="preserve"> </v>
      </c>
      <c r="H35" s="864" t="str">
        <f ca="1">Y127</f>
        <v xml:space="preserve"> </v>
      </c>
      <c r="I35" s="862" t="str">
        <f t="shared" ca="1" si="28"/>
        <v>Thiên Hư</v>
      </c>
      <c r="J35" s="859" t="str">
        <f t="shared" ca="1" si="29"/>
        <v>Nguyệt Đức</v>
      </c>
      <c r="K35" s="864" t="str">
        <f ca="1">BS127</f>
        <v xml:space="preserve"> </v>
      </c>
      <c r="L35" s="862" t="str">
        <f t="shared" ca="1" si="30"/>
        <v>Lưu Hà</v>
      </c>
      <c r="N35" s="810">
        <f ca="1">VLOOKUP(G18,N49:O60,2,0)</f>
        <v>5</v>
      </c>
      <c r="O35" s="787" t="s">
        <v>8327</v>
      </c>
      <c r="Q35" s="773"/>
      <c r="R35" s="773"/>
      <c r="S35" s="773"/>
      <c r="T35" s="773"/>
      <c r="AI35" s="773">
        <v>16</v>
      </c>
      <c r="AJ35" s="806" t="s">
        <v>7886</v>
      </c>
      <c r="AK35" s="855" t="s">
        <v>7886</v>
      </c>
      <c r="AL35" s="855" t="s">
        <v>7871</v>
      </c>
      <c r="AM35" s="855" t="s">
        <v>7886</v>
      </c>
      <c r="AN35" s="787" t="s">
        <v>7883</v>
      </c>
      <c r="AP35" s="773">
        <v>34</v>
      </c>
      <c r="AQ35" s="773" t="s">
        <v>7893</v>
      </c>
      <c r="AR35" s="773" t="s">
        <v>7872</v>
      </c>
      <c r="AS35" s="773" t="s">
        <v>7871</v>
      </c>
      <c r="AT35" s="773">
        <v>34</v>
      </c>
      <c r="AU35" s="805" t="s">
        <v>6622</v>
      </c>
      <c r="BX35" s="773">
        <v>1933</v>
      </c>
      <c r="BY35" s="773" t="s">
        <v>7831</v>
      </c>
    </row>
    <row r="36" spans="1:77" s="787" customFormat="1" ht="11.1" customHeight="1">
      <c r="A36" s="860" t="str">
        <f t="shared" ca="1" si="23"/>
        <v xml:space="preserve"> </v>
      </c>
      <c r="B36" s="863" t="str">
        <f ca="1">AI128</f>
        <v xml:space="preserve"> </v>
      </c>
      <c r="C36" s="857" t="str">
        <f t="shared" ca="1" si="24"/>
        <v xml:space="preserve"> </v>
      </c>
      <c r="D36" s="859" t="str">
        <f t="shared" ca="1" si="25"/>
        <v xml:space="preserve"> </v>
      </c>
      <c r="E36" s="864" t="str">
        <f ca="1">AD128</f>
        <v xml:space="preserve"> </v>
      </c>
      <c r="F36" s="860" t="str">
        <f t="shared" ca="1" si="26"/>
        <v>Thiên Y</v>
      </c>
      <c r="G36" s="859" t="str">
        <f t="shared" ca="1" si="27"/>
        <v xml:space="preserve"> </v>
      </c>
      <c r="H36" s="864" t="str">
        <f ca="1">Y128</f>
        <v xml:space="preserve"> </v>
      </c>
      <c r="I36" s="862" t="str">
        <f t="shared" ca="1" si="28"/>
        <v>Thiên Khốc</v>
      </c>
      <c r="J36" s="859" t="str">
        <f t="shared" ca="1" si="29"/>
        <v>Bác Sỹ</v>
      </c>
      <c r="K36" s="864" t="str">
        <f ca="1">BS128</f>
        <v xml:space="preserve"> </v>
      </c>
      <c r="L36" s="862" t="str">
        <f t="shared" ca="1" si="30"/>
        <v>Bệnh</v>
      </c>
      <c r="N36" s="787" t="str">
        <f ca="1">VLOOKUP(F16,A41:M53,N35+1,0)</f>
        <v>tuất ngọ</v>
      </c>
      <c r="O36" s="787">
        <f ca="1">IF(F14="nam",1,0)</f>
        <v>0</v>
      </c>
      <c r="P36" s="806">
        <v>1</v>
      </c>
      <c r="Q36" s="773" t="s">
        <v>8289</v>
      </c>
      <c r="R36" s="773">
        <f ca="1">IF(N41=1,1,14-N41)</f>
        <v>3</v>
      </c>
      <c r="S36" s="773" t="str">
        <f t="shared" ref="S36:S47" ca="1" si="31">VLOOKUP(R36,$P$36:$Q$47,2,0)</f>
        <v>Phúc đức</v>
      </c>
      <c r="T36" s="773" t="str">
        <f t="shared" ref="T36:T47" ca="1" si="32">IF($N$40=P36,"Thân"," ")</f>
        <v xml:space="preserve"> </v>
      </c>
      <c r="U36" s="806">
        <v>1</v>
      </c>
      <c r="V36" s="806" t="s">
        <v>6548</v>
      </c>
      <c r="W36" s="806">
        <v>1</v>
      </c>
      <c r="Y36" s="787" t="str">
        <f t="shared" ref="Y36:Y47" ca="1" si="33">VLOOKUP(W36,$AH$4:$AM$17,6,0)</f>
        <v>Thái Âm(V)</v>
      </c>
      <c r="AA36" s="787" t="b">
        <f t="shared" ref="AA36:AA47" ca="1" si="34">ISTEXT(Y36)</f>
        <v>1</v>
      </c>
      <c r="AB36" s="787">
        <f t="shared" ref="AB36:AB47" ca="1" si="35">IF(LEFT(AA36,1)="T",1,0)</f>
        <v>1</v>
      </c>
      <c r="AC36" s="787" t="str">
        <f t="shared" ref="AC36:AC47" ca="1" si="36">VLOOKUP(W36,$AI$4:$AL$17,4,0)</f>
        <v>Thiên Đồng(V)</v>
      </c>
      <c r="AE36" s="787">
        <f t="shared" ref="AE36:AE47" ca="1" si="37">IF(Y36=AC36,0,1)</f>
        <v>1</v>
      </c>
      <c r="AF36" s="787" t="b">
        <f t="shared" ref="AF36:AF47" ca="1" si="38">ISNUMBER(AE36)</f>
        <v>1</v>
      </c>
      <c r="AG36" s="787">
        <f t="shared" ref="AG36:AG47" ca="1" si="39">IF(LEFT(AF36,1)="T",AE36," ")</f>
        <v>1</v>
      </c>
      <c r="AI36" s="773">
        <v>17</v>
      </c>
      <c r="AJ36" s="806" t="s">
        <v>7886</v>
      </c>
      <c r="AK36" s="855" t="s">
        <v>7883</v>
      </c>
      <c r="AL36" s="855" t="s">
        <v>7873</v>
      </c>
      <c r="AM36" s="855" t="s">
        <v>7874</v>
      </c>
      <c r="AN36" s="787" t="s">
        <v>7873</v>
      </c>
      <c r="AP36" s="773">
        <v>35</v>
      </c>
      <c r="AQ36" s="773" t="s">
        <v>7895</v>
      </c>
      <c r="AR36" s="773" t="s">
        <v>7872</v>
      </c>
      <c r="AS36" s="773" t="s">
        <v>7871</v>
      </c>
      <c r="AT36" s="773">
        <v>35</v>
      </c>
      <c r="AU36" s="805" t="s">
        <v>6667</v>
      </c>
      <c r="BX36" s="773">
        <v>1934</v>
      </c>
      <c r="BY36" s="773" t="s">
        <v>7835</v>
      </c>
    </row>
    <row r="37" spans="1:77" s="787" customFormat="1" ht="11.1" customHeight="1">
      <c r="A37" s="860" t="str">
        <f t="shared" ca="1" si="23"/>
        <v xml:space="preserve"> </v>
      </c>
      <c r="B37" s="957" t="str">
        <f>IF($G$24="có",AI142," ")</f>
        <v xml:space="preserve"> </v>
      </c>
      <c r="C37" s="857" t="str">
        <f t="shared" ca="1" si="24"/>
        <v xml:space="preserve"> </v>
      </c>
      <c r="D37" s="859" t="str">
        <f t="shared" ca="1" si="25"/>
        <v xml:space="preserve"> </v>
      </c>
      <c r="E37" s="957" t="str">
        <f>IF($G$24="có",AD142," ")</f>
        <v xml:space="preserve"> </v>
      </c>
      <c r="F37" s="860" t="str">
        <f t="shared" ca="1" si="26"/>
        <v>Phục Binh</v>
      </c>
      <c r="G37" s="859" t="str">
        <f t="shared" ca="1" si="27"/>
        <v xml:space="preserve"> </v>
      </c>
      <c r="H37" s="957" t="str">
        <f>IF($G$24="có",Y142," ")</f>
        <v xml:space="preserve"> </v>
      </c>
      <c r="I37" s="862" t="str">
        <f t="shared" ca="1" si="28"/>
        <v>Suy</v>
      </c>
      <c r="J37" s="859" t="str">
        <f t="shared" ca="1" si="29"/>
        <v xml:space="preserve"> </v>
      </c>
      <c r="K37" s="957" t="str">
        <f>IF($G$24="có",BS142," ")</f>
        <v>L.Hổ</v>
      </c>
      <c r="L37" s="862" t="str">
        <f t="shared" ca="1" si="30"/>
        <v>Tử Phù</v>
      </c>
      <c r="N37" s="787">
        <f ca="1">FIND(" ",N36)</f>
        <v>5</v>
      </c>
      <c r="P37" s="806">
        <v>2</v>
      </c>
      <c r="Q37" s="773" t="s">
        <v>8328</v>
      </c>
      <c r="R37" s="773">
        <f t="shared" ref="R37:R47" ca="1" si="40">IF(R36&lt;12,R36+1,1)</f>
        <v>4</v>
      </c>
      <c r="S37" s="773" t="str">
        <f t="shared" ca="1" si="31"/>
        <v>Điền trạch</v>
      </c>
      <c r="T37" s="773" t="str">
        <f t="shared" ca="1" si="32"/>
        <v xml:space="preserve"> </v>
      </c>
      <c r="U37" s="806">
        <v>2</v>
      </c>
      <c r="V37" s="806" t="s">
        <v>7875</v>
      </c>
      <c r="W37" s="806">
        <v>2</v>
      </c>
      <c r="Y37" s="787" t="str">
        <f t="shared" ca="1" si="33"/>
        <v>Vũ Khúc(M)</v>
      </c>
      <c r="AA37" s="787" t="b">
        <f t="shared" ca="1" si="34"/>
        <v>1</v>
      </c>
      <c r="AB37" s="787">
        <f t="shared" ca="1" si="35"/>
        <v>1</v>
      </c>
      <c r="AC37" s="787" t="str">
        <f t="shared" ca="1" si="36"/>
        <v>Tham Lang(M)</v>
      </c>
      <c r="AE37" s="787">
        <f t="shared" ca="1" si="37"/>
        <v>1</v>
      </c>
      <c r="AF37" s="787" t="b">
        <f t="shared" ca="1" si="38"/>
        <v>1</v>
      </c>
      <c r="AG37" s="787">
        <f t="shared" ca="1" si="39"/>
        <v>1</v>
      </c>
      <c r="AI37" s="773">
        <v>18</v>
      </c>
      <c r="AJ37" s="806" t="s">
        <v>7880</v>
      </c>
      <c r="AK37" s="855" t="s">
        <v>7882</v>
      </c>
      <c r="AL37" s="855" t="s">
        <v>7887</v>
      </c>
      <c r="AM37" s="855" t="s">
        <v>7882</v>
      </c>
      <c r="AN37" s="787" t="s">
        <v>7872</v>
      </c>
      <c r="AP37" s="773">
        <v>36</v>
      </c>
      <c r="AQ37" s="773" t="s">
        <v>7897</v>
      </c>
      <c r="AR37" s="773" t="s">
        <v>7872</v>
      </c>
      <c r="AS37" s="773" t="s">
        <v>7871</v>
      </c>
      <c r="AT37" s="773">
        <v>36</v>
      </c>
      <c r="AU37" s="805" t="s">
        <v>6667</v>
      </c>
      <c r="BX37" s="773">
        <v>1935</v>
      </c>
      <c r="BY37" s="773" t="s">
        <v>7838</v>
      </c>
    </row>
    <row r="38" spans="1:77" s="787" customFormat="1" ht="11.1" customHeight="1">
      <c r="A38" s="860" t="str">
        <f t="shared" ca="1" si="23"/>
        <v xml:space="preserve"> </v>
      </c>
      <c r="B38" s="957" t="str">
        <f>IF($G$24="có",AI143," ")</f>
        <v xml:space="preserve"> </v>
      </c>
      <c r="C38" s="857" t="str">
        <f t="shared" ca="1" si="24"/>
        <v xml:space="preserve"> </v>
      </c>
      <c r="D38" s="859" t="str">
        <f t="shared" ca="1" si="25"/>
        <v xml:space="preserve"> </v>
      </c>
      <c r="E38" s="957" t="str">
        <f>IF($G$24="có",AD143," ")</f>
        <v xml:space="preserve"> </v>
      </c>
      <c r="F38" s="860" t="str">
        <f t="shared" ca="1" si="26"/>
        <v xml:space="preserve"> </v>
      </c>
      <c r="G38" s="859" t="str">
        <f t="shared" ca="1" si="27"/>
        <v xml:space="preserve"> </v>
      </c>
      <c r="H38" s="957" t="str">
        <f>IF($G$24="có",Y143," ")</f>
        <v xml:space="preserve"> </v>
      </c>
      <c r="I38" s="862" t="str">
        <f t="shared" ca="1" si="28"/>
        <v>Tuế Phá</v>
      </c>
      <c r="J38" s="859" t="str">
        <f t="shared" ca="1" si="29"/>
        <v xml:space="preserve"> </v>
      </c>
      <c r="K38" s="957" t="str">
        <f>IF($G$24="có",BS143," ")</f>
        <v xml:space="preserve"> </v>
      </c>
      <c r="L38" s="862" t="str">
        <f t="shared" ca="1" si="30"/>
        <v xml:space="preserve"> </v>
      </c>
      <c r="N38" s="787" t="str">
        <f ca="1">LEFT(N36,N37-1)</f>
        <v>tuất</v>
      </c>
      <c r="O38" s="807" t="s">
        <v>8293</v>
      </c>
      <c r="P38" s="806">
        <v>3</v>
      </c>
      <c r="Q38" s="787" t="s">
        <v>8329</v>
      </c>
      <c r="R38" s="773">
        <f t="shared" ca="1" si="40"/>
        <v>5</v>
      </c>
      <c r="S38" s="773" t="str">
        <f t="shared" ca="1" si="31"/>
        <v>Quan lộc</v>
      </c>
      <c r="T38" s="773" t="str">
        <f t="shared" ca="1" si="32"/>
        <v xml:space="preserve"> </v>
      </c>
      <c r="U38" s="806">
        <v>3</v>
      </c>
      <c r="V38" s="806" t="s">
        <v>7874</v>
      </c>
      <c r="W38" s="806">
        <v>3</v>
      </c>
      <c r="Y38" s="787" t="str">
        <f t="shared" ca="1" si="33"/>
        <v>Thái Dương(V)</v>
      </c>
      <c r="AA38" s="787" t="b">
        <f t="shared" ca="1" si="34"/>
        <v>1</v>
      </c>
      <c r="AB38" s="787">
        <f t="shared" ca="1" si="35"/>
        <v>1</v>
      </c>
      <c r="AC38" s="787" t="str">
        <f t="shared" ca="1" si="36"/>
        <v>Cự Môn(V)</v>
      </c>
      <c r="AE38" s="787">
        <f t="shared" ca="1" si="37"/>
        <v>1</v>
      </c>
      <c r="AF38" s="787" t="b">
        <f t="shared" ca="1" si="38"/>
        <v>1</v>
      </c>
      <c r="AG38" s="787">
        <f t="shared" ca="1" si="39"/>
        <v>1</v>
      </c>
      <c r="AI38" s="773">
        <v>19</v>
      </c>
      <c r="AJ38" s="806" t="s">
        <v>7880</v>
      </c>
      <c r="AK38" s="855" t="s">
        <v>7880</v>
      </c>
      <c r="AL38" s="855" t="s">
        <v>7871</v>
      </c>
      <c r="AM38" s="855" t="s">
        <v>7872</v>
      </c>
      <c r="AN38" s="787" t="s">
        <v>6548</v>
      </c>
      <c r="AP38" s="773">
        <v>37</v>
      </c>
      <c r="AQ38" s="773" t="s">
        <v>7899</v>
      </c>
      <c r="AR38" s="773" t="s">
        <v>7872</v>
      </c>
      <c r="AS38" s="773" t="s">
        <v>7871</v>
      </c>
      <c r="AT38" s="773">
        <v>37</v>
      </c>
      <c r="AU38" s="805" t="s">
        <v>6625</v>
      </c>
      <c r="BX38" s="773">
        <v>1936</v>
      </c>
      <c r="BY38" s="773" t="s">
        <v>7840</v>
      </c>
    </row>
    <row r="39" spans="1:77" s="787" customFormat="1" ht="9.9499999999999993" customHeight="1">
      <c r="A39" s="860" t="str">
        <f t="shared" ca="1" si="23"/>
        <v xml:space="preserve"> </v>
      </c>
      <c r="B39" s="957" t="str">
        <f>IF($G$24="có",AI144," ")</f>
        <v xml:space="preserve"> </v>
      </c>
      <c r="C39" s="857" t="str">
        <f t="shared" ca="1" si="24"/>
        <v xml:space="preserve"> </v>
      </c>
      <c r="D39" s="859" t="str">
        <f t="shared" ca="1" si="25"/>
        <v xml:space="preserve"> </v>
      </c>
      <c r="E39" s="957" t="str">
        <f>IF($G$24="có",AD144," ")</f>
        <v xml:space="preserve"> </v>
      </c>
      <c r="F39" s="860" t="str">
        <f t="shared" ca="1" si="26"/>
        <v xml:space="preserve"> </v>
      </c>
      <c r="G39" s="859" t="str">
        <f t="shared" ca="1" si="27"/>
        <v xml:space="preserve"> </v>
      </c>
      <c r="H39" s="957" t="str">
        <f>IF($G$24="có",Y144," ")</f>
        <v xml:space="preserve"> </v>
      </c>
      <c r="I39" s="862" t="str">
        <f t="shared" ca="1" si="28"/>
        <v>Quan Phủ</v>
      </c>
      <c r="J39" s="859" t="str">
        <f t="shared" ca="1" si="29"/>
        <v xml:space="preserve"> </v>
      </c>
      <c r="K39" s="957" t="str">
        <f>IF($G$24="có",BS144," ")</f>
        <v xml:space="preserve"> </v>
      </c>
      <c r="L39" s="862" t="str">
        <f t="shared" ca="1" si="30"/>
        <v xml:space="preserve"> </v>
      </c>
      <c r="N39" s="915" t="str">
        <f ca="1">RIGHT(N36,LEN(N36)-N37)</f>
        <v>ngọ</v>
      </c>
      <c r="O39" s="807" t="s">
        <v>7887</v>
      </c>
      <c r="P39" s="806">
        <v>4</v>
      </c>
      <c r="Q39" s="787" t="s">
        <v>8330</v>
      </c>
      <c r="R39" s="773">
        <f t="shared" ca="1" si="40"/>
        <v>6</v>
      </c>
      <c r="S39" s="773" t="str">
        <f t="shared" ca="1" si="31"/>
        <v>Nô bộc</v>
      </c>
      <c r="T39" s="773" t="str">
        <f t="shared" ca="1" si="32"/>
        <v xml:space="preserve"> </v>
      </c>
      <c r="U39" s="806">
        <v>4</v>
      </c>
      <c r="V39" s="806" t="s">
        <v>7873</v>
      </c>
      <c r="W39" s="806">
        <v>4</v>
      </c>
      <c r="Y39" s="787" t="str">
        <f t="shared" ca="1" si="33"/>
        <v>Thiên Tướng(H)</v>
      </c>
      <c r="AA39" s="787" t="b">
        <f t="shared" ca="1" si="34"/>
        <v>1</v>
      </c>
      <c r="AB39" s="787">
        <f t="shared" ca="1" si="35"/>
        <v>1</v>
      </c>
      <c r="AC39" s="787" t="str">
        <f t="shared" ca="1" si="36"/>
        <v>Thiên Tướng(H)</v>
      </c>
      <c r="AE39" s="787">
        <f t="shared" ca="1" si="37"/>
        <v>0</v>
      </c>
      <c r="AF39" s="787" t="b">
        <f t="shared" ca="1" si="38"/>
        <v>1</v>
      </c>
      <c r="AG39" s="787">
        <f t="shared" ca="1" si="39"/>
        <v>0</v>
      </c>
      <c r="AI39" s="773">
        <v>20</v>
      </c>
      <c r="AJ39" s="806" t="s">
        <v>7877</v>
      </c>
      <c r="AK39" s="855" t="s">
        <v>7882</v>
      </c>
      <c r="AL39" s="855" t="s">
        <v>7883</v>
      </c>
      <c r="AM39" s="855" t="s">
        <v>7871</v>
      </c>
      <c r="AN39" s="787" t="s">
        <v>7886</v>
      </c>
      <c r="AP39" s="773">
        <v>38</v>
      </c>
      <c r="AQ39" s="773" t="s">
        <v>7901</v>
      </c>
      <c r="AR39" s="773" t="s">
        <v>7872</v>
      </c>
      <c r="AS39" s="773" t="s">
        <v>7871</v>
      </c>
      <c r="AT39" s="773">
        <v>38</v>
      </c>
      <c r="AU39" s="805" t="s">
        <v>6625</v>
      </c>
      <c r="BX39" s="773">
        <v>1937</v>
      </c>
      <c r="BY39" s="773" t="s">
        <v>7842</v>
      </c>
    </row>
    <row r="40" spans="1:77" s="920" customFormat="1" ht="9" customHeight="1">
      <c r="A40" s="860" t="str">
        <f t="shared" ca="1" si="23"/>
        <v xml:space="preserve"> </v>
      </c>
      <c r="B40" s="850" t="str">
        <f ca="1">AI205</f>
        <v xml:space="preserve"> </v>
      </c>
      <c r="C40" s="857" t="str">
        <f t="shared" ca="1" si="24"/>
        <v xml:space="preserve"> </v>
      </c>
      <c r="D40" s="859" t="str">
        <f t="shared" ca="1" si="25"/>
        <v xml:space="preserve"> </v>
      </c>
      <c r="E40" s="860"/>
      <c r="F40" s="860" t="str">
        <f t="shared" ca="1" si="26"/>
        <v xml:space="preserve"> </v>
      </c>
      <c r="G40" s="859" t="str">
        <f t="shared" ca="1" si="27"/>
        <v xml:space="preserve"> </v>
      </c>
      <c r="H40" s="860"/>
      <c r="I40" s="862" t="str">
        <f t="shared" ca="1" si="28"/>
        <v xml:space="preserve"> </v>
      </c>
      <c r="J40" s="859" t="str">
        <f t="shared" ca="1" si="29"/>
        <v xml:space="preserve"> </v>
      </c>
      <c r="K40" s="860" t="str">
        <f ca="1">BS205</f>
        <v xml:space="preserve"> </v>
      </c>
      <c r="L40" s="862" t="str">
        <f t="shared" ca="1" si="30"/>
        <v xml:space="preserve"> </v>
      </c>
      <c r="M40" s="787"/>
      <c r="N40" s="787">
        <f ca="1">VLOOKUP(N39,$N$49:$O$60,2,0)</f>
        <v>7</v>
      </c>
      <c r="O40" s="807"/>
      <c r="P40" s="806">
        <v>5</v>
      </c>
      <c r="Q40" s="773" t="s">
        <v>8331</v>
      </c>
      <c r="R40" s="773">
        <f t="shared" ca="1" si="40"/>
        <v>7</v>
      </c>
      <c r="S40" s="773" t="str">
        <f t="shared" ca="1" si="31"/>
        <v>Di</v>
      </c>
      <c r="T40" s="773" t="str">
        <f t="shared" ca="1" si="32"/>
        <v xml:space="preserve"> </v>
      </c>
      <c r="U40" s="806">
        <v>5</v>
      </c>
      <c r="V40" s="806" t="s">
        <v>7872</v>
      </c>
      <c r="W40" s="806">
        <v>5</v>
      </c>
      <c r="X40" s="787"/>
      <c r="Y40" s="920" t="str">
        <f t="shared" ca="1" si="33"/>
        <v>Thiên Cơ(M)</v>
      </c>
      <c r="AA40" s="920" t="b">
        <f t="shared" ca="1" si="34"/>
        <v>1</v>
      </c>
      <c r="AB40" s="920">
        <f t="shared" ca="1" si="35"/>
        <v>1</v>
      </c>
      <c r="AC40" s="920" t="str">
        <f t="shared" ca="1" si="36"/>
        <v>Thiên Lương(M)</v>
      </c>
      <c r="AE40" s="920">
        <f t="shared" ca="1" si="37"/>
        <v>1</v>
      </c>
      <c r="AF40" s="920" t="b">
        <f t="shared" ca="1" si="38"/>
        <v>1</v>
      </c>
      <c r="AG40" s="920">
        <f t="shared" ca="1" si="39"/>
        <v>1</v>
      </c>
      <c r="AI40" s="921">
        <v>21</v>
      </c>
      <c r="AJ40" s="922" t="s">
        <v>7877</v>
      </c>
      <c r="AK40" s="923" t="s">
        <v>7887</v>
      </c>
      <c r="AL40" s="923" t="s">
        <v>7872</v>
      </c>
      <c r="AM40" s="923" t="s">
        <v>7880</v>
      </c>
      <c r="AN40" s="920" t="s">
        <v>7874</v>
      </c>
      <c r="AP40" s="921">
        <v>39</v>
      </c>
      <c r="AQ40" s="921" t="s">
        <v>7903</v>
      </c>
      <c r="AR40" s="921" t="s">
        <v>7872</v>
      </c>
      <c r="AS40" s="921" t="s">
        <v>7871</v>
      </c>
      <c r="AT40" s="921">
        <v>39</v>
      </c>
      <c r="AU40" s="924" t="s">
        <v>6666</v>
      </c>
      <c r="BX40" s="773">
        <v>1938</v>
      </c>
      <c r="BY40" s="773" t="s">
        <v>7846</v>
      </c>
    </row>
    <row r="41" spans="1:77" s="787" customFormat="1" ht="12.95" customHeight="1">
      <c r="A41" s="925" t="s">
        <v>8332</v>
      </c>
      <c r="B41" s="926" t="s">
        <v>6548</v>
      </c>
      <c r="C41" s="927" t="s">
        <v>7875</v>
      </c>
      <c r="D41" s="927" t="s">
        <v>7874</v>
      </c>
      <c r="E41" s="926" t="s">
        <v>7873</v>
      </c>
      <c r="F41" s="926" t="s">
        <v>7872</v>
      </c>
      <c r="G41" s="926" t="s">
        <v>7871</v>
      </c>
      <c r="H41" s="926" t="s">
        <v>7883</v>
      </c>
      <c r="I41" s="926" t="s">
        <v>7882</v>
      </c>
      <c r="J41" s="927" t="s">
        <v>7887</v>
      </c>
      <c r="K41" s="926" t="s">
        <v>7886</v>
      </c>
      <c r="L41" s="926" t="s">
        <v>7880</v>
      </c>
      <c r="M41" s="928" t="s">
        <v>7877</v>
      </c>
      <c r="N41" s="787">
        <f ca="1">VLOOKUP(N38,$N$49:$O$60,2,0)</f>
        <v>11</v>
      </c>
      <c r="O41" s="807"/>
      <c r="P41" s="806">
        <v>6</v>
      </c>
      <c r="Q41" s="773" t="s">
        <v>8333</v>
      </c>
      <c r="R41" s="773">
        <f t="shared" ca="1" si="40"/>
        <v>8</v>
      </c>
      <c r="S41" s="773" t="str">
        <f t="shared" ca="1" si="31"/>
        <v>Tật ách</v>
      </c>
      <c r="T41" s="773" t="str">
        <f t="shared" ca="1" si="32"/>
        <v xml:space="preserve"> </v>
      </c>
      <c r="U41" s="806">
        <v>6</v>
      </c>
      <c r="V41" s="806" t="s">
        <v>7871</v>
      </c>
      <c r="W41" s="806">
        <v>6</v>
      </c>
      <c r="Y41" s="787" t="str">
        <f t="shared" ca="1" si="33"/>
        <v>Tử Vi (M)</v>
      </c>
      <c r="AA41" s="787" t="b">
        <f t="shared" ca="1" si="34"/>
        <v>1</v>
      </c>
      <c r="AB41" s="787">
        <f t="shared" ca="1" si="35"/>
        <v>1</v>
      </c>
      <c r="AC41" s="787" t="str">
        <f t="shared" ca="1" si="36"/>
        <v>Thất Sát(V)</v>
      </c>
      <c r="AE41" s="787">
        <f t="shared" ca="1" si="37"/>
        <v>1</v>
      </c>
      <c r="AF41" s="787" t="b">
        <f t="shared" ca="1" si="38"/>
        <v>1</v>
      </c>
      <c r="AG41" s="787">
        <f t="shared" ca="1" si="39"/>
        <v>1</v>
      </c>
      <c r="AI41" s="912">
        <v>22</v>
      </c>
      <c r="AJ41" s="913" t="s">
        <v>6548</v>
      </c>
      <c r="AK41" s="914" t="s">
        <v>7877</v>
      </c>
      <c r="AL41" s="914" t="s">
        <v>7886</v>
      </c>
      <c r="AM41" s="914" t="s">
        <v>7873</v>
      </c>
      <c r="AN41" s="915" t="s">
        <v>7882</v>
      </c>
      <c r="AP41" s="773">
        <v>40</v>
      </c>
      <c r="AQ41" s="773" t="s">
        <v>7904</v>
      </c>
      <c r="AR41" s="773" t="s">
        <v>7872</v>
      </c>
      <c r="AS41" s="773" t="s">
        <v>7871</v>
      </c>
      <c r="AT41" s="773">
        <v>40</v>
      </c>
      <c r="AU41" s="805" t="s">
        <v>6666</v>
      </c>
      <c r="BX41" s="773">
        <v>1939</v>
      </c>
      <c r="BY41" s="773" t="s">
        <v>7848</v>
      </c>
    </row>
    <row r="42" spans="1:77" s="787" customFormat="1" ht="12.95" customHeight="1">
      <c r="A42" s="810">
        <v>1</v>
      </c>
      <c r="B42" s="787" t="s">
        <v>8334</v>
      </c>
      <c r="C42" s="787" t="s">
        <v>8335</v>
      </c>
      <c r="D42" s="787" t="s">
        <v>8336</v>
      </c>
      <c r="E42" s="787" t="s">
        <v>8337</v>
      </c>
      <c r="F42" s="787" t="s">
        <v>8338</v>
      </c>
      <c r="G42" s="787" t="s">
        <v>8339</v>
      </c>
      <c r="H42" s="787" t="s">
        <v>8340</v>
      </c>
      <c r="I42" s="787" t="s">
        <v>8341</v>
      </c>
      <c r="J42" s="787" t="s">
        <v>8342</v>
      </c>
      <c r="K42" s="787" t="s">
        <v>8343</v>
      </c>
      <c r="L42" s="787" t="s">
        <v>8344</v>
      </c>
      <c r="M42" s="787" t="s">
        <v>8345</v>
      </c>
      <c r="N42" s="787" t="str">
        <f ca="1">VLOOKUP(F17,A54:M64,N41+1,0)</f>
        <v>kim</v>
      </c>
      <c r="O42" s="807" t="s">
        <v>8346</v>
      </c>
      <c r="P42" s="806">
        <v>7</v>
      </c>
      <c r="Q42" s="787" t="s">
        <v>3030</v>
      </c>
      <c r="R42" s="773">
        <f t="shared" ca="1" si="40"/>
        <v>9</v>
      </c>
      <c r="S42" s="773" t="str">
        <f t="shared" ca="1" si="31"/>
        <v>Tài bạch</v>
      </c>
      <c r="T42" s="773" t="str">
        <f t="shared" ca="1" si="32"/>
        <v>Thân</v>
      </c>
      <c r="U42" s="806">
        <v>7</v>
      </c>
      <c r="V42" s="806" t="s">
        <v>7883</v>
      </c>
      <c r="W42" s="806">
        <v>7</v>
      </c>
      <c r="Y42" s="787" t="e">
        <f t="shared" ca="1" si="33"/>
        <v>#N/A</v>
      </c>
      <c r="AA42" s="787" t="b">
        <f t="shared" ca="1" si="34"/>
        <v>0</v>
      </c>
      <c r="AB42" s="787">
        <f t="shared" ca="1" si="35"/>
        <v>0</v>
      </c>
      <c r="AC42" s="787" t="e">
        <f t="shared" ca="1" si="36"/>
        <v>#N/A</v>
      </c>
      <c r="AE42" s="787" t="e">
        <f t="shared" ca="1" si="37"/>
        <v>#N/A</v>
      </c>
      <c r="AF42" s="787" t="b">
        <f t="shared" ca="1" si="38"/>
        <v>0</v>
      </c>
      <c r="AG42" s="787" t="str">
        <f t="shared" ca="1" si="39"/>
        <v xml:space="preserve"> </v>
      </c>
      <c r="AI42" s="773">
        <v>23</v>
      </c>
      <c r="AJ42" s="806" t="s">
        <v>6548</v>
      </c>
      <c r="AK42" s="855" t="s">
        <v>7887</v>
      </c>
      <c r="AL42" s="855" t="s">
        <v>7883</v>
      </c>
      <c r="AM42" s="855" t="s">
        <v>7887</v>
      </c>
      <c r="AN42" s="787" t="s">
        <v>7872</v>
      </c>
      <c r="AP42" s="773">
        <v>41</v>
      </c>
      <c r="AQ42" s="773" t="s">
        <v>7905</v>
      </c>
      <c r="AR42" s="773" t="s">
        <v>7874</v>
      </c>
      <c r="AS42" s="773" t="s">
        <v>7873</v>
      </c>
      <c r="AT42" s="773">
        <v>41</v>
      </c>
      <c r="AU42" s="805" t="s">
        <v>6622</v>
      </c>
      <c r="BX42" s="773">
        <v>1940</v>
      </c>
      <c r="BY42" s="773" t="s">
        <v>7850</v>
      </c>
    </row>
    <row r="43" spans="1:77" s="787" customFormat="1" ht="12.95" customHeight="1">
      <c r="A43" s="810">
        <v>2</v>
      </c>
      <c r="B43" s="787" t="s">
        <v>8347</v>
      </c>
      <c r="C43" s="787" t="s">
        <v>8348</v>
      </c>
      <c r="D43" s="787" t="s">
        <v>8349</v>
      </c>
      <c r="E43" s="787" t="s">
        <v>8350</v>
      </c>
      <c r="F43" s="787" t="s">
        <v>8351</v>
      </c>
      <c r="G43" s="787" t="s">
        <v>8352</v>
      </c>
      <c r="H43" s="787" t="s">
        <v>8353</v>
      </c>
      <c r="I43" s="787" t="s">
        <v>8354</v>
      </c>
      <c r="J43" s="787" t="s">
        <v>8355</v>
      </c>
      <c r="K43" s="787" t="s">
        <v>8356</v>
      </c>
      <c r="L43" s="787" t="s">
        <v>8357</v>
      </c>
      <c r="M43" s="787" t="s">
        <v>8358</v>
      </c>
      <c r="P43" s="806">
        <v>8</v>
      </c>
      <c r="Q43" s="787" t="s">
        <v>8359</v>
      </c>
      <c r="R43" s="773">
        <f t="shared" ca="1" si="40"/>
        <v>10</v>
      </c>
      <c r="S43" s="773" t="str">
        <f t="shared" ca="1" si="31"/>
        <v>Tử tức</v>
      </c>
      <c r="T43" s="773" t="str">
        <f t="shared" ca="1" si="32"/>
        <v xml:space="preserve"> </v>
      </c>
      <c r="U43" s="806">
        <v>8</v>
      </c>
      <c r="V43" s="806" t="s">
        <v>7882</v>
      </c>
      <c r="W43" s="806">
        <v>8</v>
      </c>
      <c r="Y43" s="787" t="e">
        <f t="shared" ca="1" si="33"/>
        <v>#N/A</v>
      </c>
      <c r="AA43" s="787" t="b">
        <f t="shared" ca="1" si="34"/>
        <v>0</v>
      </c>
      <c r="AB43" s="787">
        <f t="shared" ca="1" si="35"/>
        <v>0</v>
      </c>
      <c r="AC43" s="787" t="e">
        <f t="shared" ca="1" si="36"/>
        <v>#N/A</v>
      </c>
      <c r="AE43" s="787" t="e">
        <f t="shared" ca="1" si="37"/>
        <v>#N/A</v>
      </c>
      <c r="AF43" s="787" t="b">
        <f t="shared" ca="1" si="38"/>
        <v>0</v>
      </c>
      <c r="AG43" s="787" t="str">
        <f t="shared" ca="1" si="39"/>
        <v xml:space="preserve"> </v>
      </c>
      <c r="AI43" s="773">
        <v>24</v>
      </c>
      <c r="AJ43" s="806" t="s">
        <v>7875</v>
      </c>
      <c r="AK43" s="855" t="s">
        <v>7886</v>
      </c>
      <c r="AL43" s="855" t="s">
        <v>7882</v>
      </c>
      <c r="AM43" s="855" t="s">
        <v>7871</v>
      </c>
      <c r="AN43" s="787" t="s">
        <v>7871</v>
      </c>
      <c r="AP43" s="773">
        <v>42</v>
      </c>
      <c r="AQ43" s="773" t="s">
        <v>7906</v>
      </c>
      <c r="AR43" s="773" t="s">
        <v>7874</v>
      </c>
      <c r="AS43" s="773" t="s">
        <v>7873</v>
      </c>
      <c r="AT43" s="773">
        <v>42</v>
      </c>
      <c r="AU43" s="805" t="s">
        <v>6622</v>
      </c>
      <c r="BX43" s="773">
        <v>1941</v>
      </c>
      <c r="BY43" s="773" t="s">
        <v>7852</v>
      </c>
    </row>
    <row r="44" spans="1:77" s="787" customFormat="1" ht="12.95" customHeight="1">
      <c r="A44" s="810">
        <v>3</v>
      </c>
      <c r="B44" s="787" t="s">
        <v>8360</v>
      </c>
      <c r="C44" s="787" t="s">
        <v>8361</v>
      </c>
      <c r="D44" s="787" t="s">
        <v>8362</v>
      </c>
      <c r="E44" s="787" t="s">
        <v>8363</v>
      </c>
      <c r="F44" s="787" t="s">
        <v>8364</v>
      </c>
      <c r="G44" s="787" t="s">
        <v>8365</v>
      </c>
      <c r="H44" s="787" t="s">
        <v>8366</v>
      </c>
      <c r="I44" s="787" t="s">
        <v>8367</v>
      </c>
      <c r="J44" s="787" t="s">
        <v>8368</v>
      </c>
      <c r="K44" s="787" t="s">
        <v>8369</v>
      </c>
      <c r="L44" s="787" t="s">
        <v>8370</v>
      </c>
      <c r="M44" s="787" t="s">
        <v>8371</v>
      </c>
      <c r="N44" s="912" t="str">
        <f ca="1">VLOOKUP($Q$25,$AQ$2:AS61,3,0)</f>
        <v>dậu</v>
      </c>
      <c r="O44" s="787" t="s">
        <v>8372</v>
      </c>
      <c r="P44" s="806">
        <v>9</v>
      </c>
      <c r="Q44" s="787" t="s">
        <v>8373</v>
      </c>
      <c r="R44" s="773">
        <f t="shared" ca="1" si="40"/>
        <v>11</v>
      </c>
      <c r="S44" s="773" t="str">
        <f t="shared" ca="1" si="31"/>
        <v>Phu quân</v>
      </c>
      <c r="T44" s="773" t="str">
        <f t="shared" ca="1" si="32"/>
        <v xml:space="preserve"> </v>
      </c>
      <c r="U44" s="806">
        <v>9</v>
      </c>
      <c r="V44" s="806" t="s">
        <v>7887</v>
      </c>
      <c r="W44" s="806">
        <v>9</v>
      </c>
      <c r="Y44" s="787" t="e">
        <f t="shared" ca="1" si="33"/>
        <v>#N/A</v>
      </c>
      <c r="AA44" s="787" t="b">
        <f t="shared" ca="1" si="34"/>
        <v>0</v>
      </c>
      <c r="AB44" s="787">
        <f t="shared" ca="1" si="35"/>
        <v>0</v>
      </c>
      <c r="AC44" s="787" t="e">
        <f t="shared" ca="1" si="36"/>
        <v>#N/A</v>
      </c>
      <c r="AE44" s="787" t="e">
        <f t="shared" ca="1" si="37"/>
        <v>#N/A</v>
      </c>
      <c r="AF44" s="787" t="b">
        <f t="shared" ca="1" si="38"/>
        <v>0</v>
      </c>
      <c r="AG44" s="787" t="str">
        <f t="shared" ca="1" si="39"/>
        <v xml:space="preserve"> </v>
      </c>
      <c r="AI44" s="773">
        <v>25</v>
      </c>
      <c r="AJ44" s="806" t="s">
        <v>7875</v>
      </c>
      <c r="AK44" s="855" t="s">
        <v>6548</v>
      </c>
      <c r="AL44" s="855" t="s">
        <v>7871</v>
      </c>
      <c r="AM44" s="855" t="s">
        <v>7883</v>
      </c>
      <c r="AN44" s="787" t="s">
        <v>7875</v>
      </c>
      <c r="AP44" s="773">
        <v>43</v>
      </c>
      <c r="AQ44" s="773" t="s">
        <v>7907</v>
      </c>
      <c r="AR44" s="773" t="s">
        <v>7874</v>
      </c>
      <c r="AS44" s="773" t="s">
        <v>7873</v>
      </c>
      <c r="AT44" s="773">
        <v>43</v>
      </c>
      <c r="AU44" s="805" t="s">
        <v>6675</v>
      </c>
      <c r="BX44" s="773">
        <v>1942</v>
      </c>
      <c r="BY44" s="773" t="s">
        <v>7855</v>
      </c>
    </row>
    <row r="45" spans="1:77" s="787" customFormat="1" ht="12.95" customHeight="1">
      <c r="A45" s="810">
        <v>4</v>
      </c>
      <c r="B45" s="787" t="s">
        <v>8374</v>
      </c>
      <c r="C45" s="787" t="s">
        <v>8375</v>
      </c>
      <c r="D45" s="787" t="s">
        <v>8376</v>
      </c>
      <c r="E45" s="787" t="s">
        <v>8377</v>
      </c>
      <c r="F45" s="787" t="s">
        <v>8378</v>
      </c>
      <c r="G45" s="787" t="s">
        <v>8379</v>
      </c>
      <c r="H45" s="787" t="s">
        <v>8380</v>
      </c>
      <c r="I45" s="787" t="s">
        <v>8381</v>
      </c>
      <c r="J45" s="787" t="s">
        <v>8382</v>
      </c>
      <c r="K45" s="787" t="s">
        <v>8383</v>
      </c>
      <c r="L45" s="787" t="s">
        <v>8384</v>
      </c>
      <c r="M45" s="787" t="s">
        <v>8385</v>
      </c>
      <c r="N45" s="912" t="str">
        <f ca="1">VLOOKUP($Q$25,$AQ$2:AS62,2,0)</f>
        <v>thân</v>
      </c>
      <c r="O45" s="787" t="s">
        <v>8386</v>
      </c>
      <c r="P45" s="806">
        <v>10</v>
      </c>
      <c r="Q45" s="787" t="s">
        <v>8387</v>
      </c>
      <c r="R45" s="773">
        <f t="shared" ca="1" si="40"/>
        <v>12</v>
      </c>
      <c r="S45" s="773" t="str">
        <f t="shared" ca="1" si="31"/>
        <v>Huynh đệ</v>
      </c>
      <c r="T45" s="773" t="str">
        <f t="shared" ca="1" si="32"/>
        <v xml:space="preserve"> </v>
      </c>
      <c r="U45" s="806">
        <v>10</v>
      </c>
      <c r="V45" s="806" t="s">
        <v>7886</v>
      </c>
      <c r="W45" s="806">
        <v>10</v>
      </c>
      <c r="Y45" s="787" t="str">
        <f t="shared" ca="1" si="33"/>
        <v>Phá Quân(H)</v>
      </c>
      <c r="AA45" s="787" t="b">
        <f t="shared" ca="1" si="34"/>
        <v>1</v>
      </c>
      <c r="AB45" s="787">
        <f t="shared" ca="1" si="35"/>
        <v>1</v>
      </c>
      <c r="AC45" s="787" t="str">
        <f t="shared" ca="1" si="36"/>
        <v>Liêm Trinh(H)</v>
      </c>
      <c r="AE45" s="787">
        <f t="shared" ca="1" si="37"/>
        <v>1</v>
      </c>
      <c r="AF45" s="787" t="b">
        <f t="shared" ca="1" si="38"/>
        <v>1</v>
      </c>
      <c r="AG45" s="787">
        <f t="shared" ca="1" si="39"/>
        <v>1</v>
      </c>
      <c r="AI45" s="773">
        <v>26</v>
      </c>
      <c r="AJ45" s="806" t="s">
        <v>7874</v>
      </c>
      <c r="AK45" s="855" t="s">
        <v>7886</v>
      </c>
      <c r="AL45" s="855" t="s">
        <v>7880</v>
      </c>
      <c r="AM45" s="855" t="s">
        <v>7877</v>
      </c>
      <c r="AN45" s="787" t="s">
        <v>7880</v>
      </c>
      <c r="AP45" s="773">
        <v>44</v>
      </c>
      <c r="AQ45" s="773" t="s">
        <v>7908</v>
      </c>
      <c r="AR45" s="773" t="s">
        <v>7874</v>
      </c>
      <c r="AS45" s="773" t="s">
        <v>7873</v>
      </c>
      <c r="AT45" s="773">
        <v>44</v>
      </c>
      <c r="AU45" s="805" t="s">
        <v>6675</v>
      </c>
      <c r="BX45" s="773">
        <v>1943</v>
      </c>
      <c r="BY45" s="773" t="s">
        <v>7858</v>
      </c>
    </row>
    <row r="46" spans="1:77" s="787" customFormat="1" ht="12.95" customHeight="1">
      <c r="A46" s="810">
        <v>5</v>
      </c>
      <c r="B46" s="787" t="s">
        <v>8388</v>
      </c>
      <c r="C46" s="787" t="s">
        <v>8389</v>
      </c>
      <c r="D46" s="787" t="s">
        <v>8390</v>
      </c>
      <c r="E46" s="787" t="s">
        <v>8391</v>
      </c>
      <c r="F46" s="787" t="s">
        <v>8392</v>
      </c>
      <c r="G46" s="787" t="s">
        <v>8393</v>
      </c>
      <c r="H46" s="787" t="s">
        <v>8394</v>
      </c>
      <c r="I46" s="787" t="s">
        <v>8395</v>
      </c>
      <c r="J46" s="787" t="s">
        <v>8396</v>
      </c>
      <c r="K46" s="787" t="s">
        <v>8397</v>
      </c>
      <c r="L46" s="787" t="s">
        <v>8398</v>
      </c>
      <c r="M46" s="787" t="s">
        <v>8399</v>
      </c>
      <c r="N46" s="787" t="str">
        <f ca="1">R124</f>
        <v>Dần mão</v>
      </c>
      <c r="O46" s="787">
        <f ca="1">FIND(" ",N46)</f>
        <v>4</v>
      </c>
      <c r="P46" s="806">
        <v>11</v>
      </c>
      <c r="Q46" s="787" t="str">
        <f ca="1">IF(O36=1,"Thê thiếp","Phu quân")</f>
        <v>Phu quân</v>
      </c>
      <c r="R46" s="773">
        <f t="shared" ca="1" si="40"/>
        <v>1</v>
      </c>
      <c r="S46" s="773" t="str">
        <f t="shared" ca="1" si="31"/>
        <v>Mệnh</v>
      </c>
      <c r="T46" s="773" t="str">
        <f t="shared" ca="1" si="32"/>
        <v xml:space="preserve"> </v>
      </c>
      <c r="U46" s="806">
        <v>11</v>
      </c>
      <c r="V46" s="806" t="s">
        <v>7880</v>
      </c>
      <c r="W46" s="806">
        <v>11</v>
      </c>
      <c r="Y46" s="787" t="e">
        <f t="shared" ca="1" si="33"/>
        <v>#N/A</v>
      </c>
      <c r="AA46" s="787" t="b">
        <f t="shared" ca="1" si="34"/>
        <v>0</v>
      </c>
      <c r="AB46" s="787">
        <f t="shared" ca="1" si="35"/>
        <v>0</v>
      </c>
      <c r="AC46" s="787" t="e">
        <f t="shared" ca="1" si="36"/>
        <v>#N/A</v>
      </c>
      <c r="AE46" s="787" t="e">
        <f t="shared" ca="1" si="37"/>
        <v>#N/A</v>
      </c>
      <c r="AF46" s="787" t="b">
        <f t="shared" ca="1" si="38"/>
        <v>0</v>
      </c>
      <c r="AG46" s="787" t="str">
        <f t="shared" ca="1" si="39"/>
        <v xml:space="preserve"> </v>
      </c>
      <c r="AI46" s="773">
        <v>27</v>
      </c>
      <c r="AJ46" s="806" t="s">
        <v>7874</v>
      </c>
      <c r="AK46" s="855" t="s">
        <v>7880</v>
      </c>
      <c r="AL46" s="855" t="s">
        <v>7882</v>
      </c>
      <c r="AM46" s="855" t="s">
        <v>7872</v>
      </c>
      <c r="AN46" s="787" t="s">
        <v>7873</v>
      </c>
      <c r="AP46" s="773">
        <v>45</v>
      </c>
      <c r="AQ46" s="773" t="s">
        <v>7909</v>
      </c>
      <c r="AR46" s="773" t="s">
        <v>7874</v>
      </c>
      <c r="AS46" s="773" t="s">
        <v>7873</v>
      </c>
      <c r="AT46" s="773">
        <v>45</v>
      </c>
      <c r="AU46" s="805" t="s">
        <v>6625</v>
      </c>
      <c r="BX46" s="773">
        <v>1944</v>
      </c>
      <c r="BY46" s="773" t="s">
        <v>7862</v>
      </c>
    </row>
    <row r="47" spans="1:77" s="787" customFormat="1" ht="12.95" customHeight="1">
      <c r="A47" s="810">
        <v>6</v>
      </c>
      <c r="B47" s="787" t="s">
        <v>8400</v>
      </c>
      <c r="C47" s="787" t="s">
        <v>8401</v>
      </c>
      <c r="D47" s="787" t="s">
        <v>8402</v>
      </c>
      <c r="E47" s="787" t="s">
        <v>8403</v>
      </c>
      <c r="F47" s="787" t="s">
        <v>8404</v>
      </c>
      <c r="G47" s="787" t="s">
        <v>8405</v>
      </c>
      <c r="H47" s="787" t="s">
        <v>8406</v>
      </c>
      <c r="I47" s="787" t="s">
        <v>8407</v>
      </c>
      <c r="J47" s="787" t="s">
        <v>8408</v>
      </c>
      <c r="K47" s="787" t="s">
        <v>8409</v>
      </c>
      <c r="L47" s="787" t="s">
        <v>8410</v>
      </c>
      <c r="M47" s="787" t="s">
        <v>8411</v>
      </c>
      <c r="N47" s="787" t="s">
        <v>8412</v>
      </c>
      <c r="O47" s="915" t="str">
        <f ca="1">LEFT(N46,O46-1)</f>
        <v>Dần</v>
      </c>
      <c r="P47" s="806">
        <v>12</v>
      </c>
      <c r="Q47" s="787" t="s">
        <v>8413</v>
      </c>
      <c r="R47" s="773">
        <f t="shared" ca="1" si="40"/>
        <v>2</v>
      </c>
      <c r="S47" s="773" t="str">
        <f t="shared" ca="1" si="31"/>
        <v>Phụ mẫu</v>
      </c>
      <c r="T47" s="773" t="str">
        <f t="shared" ca="1" si="32"/>
        <v xml:space="preserve"> </v>
      </c>
      <c r="U47" s="806">
        <v>12</v>
      </c>
      <c r="V47" s="806" t="s">
        <v>7877</v>
      </c>
      <c r="W47" s="806">
        <v>12</v>
      </c>
      <c r="Y47" s="787" t="str">
        <f t="shared" ca="1" si="33"/>
        <v>Thiên Phủ(D)</v>
      </c>
      <c r="AA47" s="787" t="b">
        <f t="shared" ca="1" si="34"/>
        <v>1</v>
      </c>
      <c r="AB47" s="787">
        <f t="shared" ca="1" si="35"/>
        <v>1</v>
      </c>
      <c r="AC47" s="787" t="str">
        <f t="shared" ca="1" si="36"/>
        <v>Thiên Phủ(D)</v>
      </c>
      <c r="AE47" s="787">
        <f t="shared" ca="1" si="37"/>
        <v>0</v>
      </c>
      <c r="AF47" s="787" t="b">
        <f t="shared" ca="1" si="38"/>
        <v>1</v>
      </c>
      <c r="AG47" s="787">
        <f t="shared" ca="1" si="39"/>
        <v>0</v>
      </c>
      <c r="AI47" s="773">
        <v>28</v>
      </c>
      <c r="AJ47" s="806" t="s">
        <v>7873</v>
      </c>
      <c r="AK47" s="855" t="s">
        <v>7875</v>
      </c>
      <c r="AL47" s="855" t="s">
        <v>7887</v>
      </c>
      <c r="AM47" s="855" t="s">
        <v>7886</v>
      </c>
      <c r="AN47" s="787" t="s">
        <v>7887</v>
      </c>
      <c r="AP47" s="773">
        <v>46</v>
      </c>
      <c r="AQ47" s="773" t="s">
        <v>7910</v>
      </c>
      <c r="AR47" s="773" t="s">
        <v>7874</v>
      </c>
      <c r="AS47" s="773" t="s">
        <v>7873</v>
      </c>
      <c r="AT47" s="773">
        <v>46</v>
      </c>
      <c r="AU47" s="805" t="s">
        <v>6625</v>
      </c>
      <c r="BX47" s="773">
        <v>1945</v>
      </c>
      <c r="BY47" s="773" t="s">
        <v>7864</v>
      </c>
    </row>
    <row r="48" spans="1:77" s="787" customFormat="1" ht="12.95" customHeight="1">
      <c r="A48" s="810">
        <v>7</v>
      </c>
      <c r="B48" s="787" t="s">
        <v>8340</v>
      </c>
      <c r="C48" s="787" t="s">
        <v>8341</v>
      </c>
      <c r="D48" s="787" t="s">
        <v>8342</v>
      </c>
      <c r="E48" s="787" t="s">
        <v>8343</v>
      </c>
      <c r="F48" s="787" t="s">
        <v>8344</v>
      </c>
      <c r="G48" s="787" t="s">
        <v>8345</v>
      </c>
      <c r="H48" s="787" t="s">
        <v>8334</v>
      </c>
      <c r="I48" s="787" t="s">
        <v>8335</v>
      </c>
      <c r="J48" s="787" t="s">
        <v>8336</v>
      </c>
      <c r="K48" s="787" t="s">
        <v>8337</v>
      </c>
      <c r="L48" s="787" t="s">
        <v>8338</v>
      </c>
      <c r="M48" s="787" t="s">
        <v>8339</v>
      </c>
      <c r="O48" s="915" t="str">
        <f ca="1">RIGHT(N46,LEN(N46)-O46)</f>
        <v>mão</v>
      </c>
      <c r="Q48" s="773"/>
      <c r="R48" s="773"/>
      <c r="S48" s="773"/>
      <c r="T48" s="773" t="s">
        <v>7911</v>
      </c>
      <c r="AI48" s="773">
        <v>29</v>
      </c>
      <c r="AJ48" s="806" t="s">
        <v>7873</v>
      </c>
      <c r="AK48" s="855" t="s">
        <v>7880</v>
      </c>
      <c r="AL48" s="855" t="s">
        <v>7883</v>
      </c>
      <c r="AM48" s="855" t="s">
        <v>7883</v>
      </c>
      <c r="AN48" s="787" t="s">
        <v>7871</v>
      </c>
      <c r="AP48" s="773">
        <v>47</v>
      </c>
      <c r="AQ48" s="773" t="s">
        <v>7913</v>
      </c>
      <c r="AR48" s="773" t="s">
        <v>7874</v>
      </c>
      <c r="AS48" s="773" t="s">
        <v>7873</v>
      </c>
      <c r="AT48" s="773">
        <v>47</v>
      </c>
      <c r="AU48" s="805" t="s">
        <v>6666</v>
      </c>
      <c r="BX48" s="773">
        <v>1946</v>
      </c>
      <c r="BY48" s="773" t="s">
        <v>7866</v>
      </c>
    </row>
    <row r="49" spans="1:77" s="787" customFormat="1" ht="12.95" customHeight="1">
      <c r="A49" s="810">
        <v>8</v>
      </c>
      <c r="B49" s="787" t="s">
        <v>8353</v>
      </c>
      <c r="C49" s="787" t="s">
        <v>8354</v>
      </c>
      <c r="D49" s="787" t="s">
        <v>8355</v>
      </c>
      <c r="E49" s="787" t="s">
        <v>8356</v>
      </c>
      <c r="F49" s="787" t="s">
        <v>8357</v>
      </c>
      <c r="G49" s="787" t="s">
        <v>8358</v>
      </c>
      <c r="H49" s="787" t="s">
        <v>8347</v>
      </c>
      <c r="I49" s="787" t="s">
        <v>8348</v>
      </c>
      <c r="J49" s="787" t="s">
        <v>8349</v>
      </c>
      <c r="K49" s="787" t="s">
        <v>8350</v>
      </c>
      <c r="L49" s="787" t="s">
        <v>8351</v>
      </c>
      <c r="M49" s="787" t="s">
        <v>8352</v>
      </c>
      <c r="N49" s="806" t="s">
        <v>6548</v>
      </c>
      <c r="O49" s="806">
        <v>1</v>
      </c>
      <c r="P49" s="787" t="s">
        <v>6720</v>
      </c>
      <c r="Q49" s="773">
        <v>2</v>
      </c>
      <c r="R49" s="773">
        <f ca="1">VLOOKUP(Q36,S36:U47,3,0)</f>
        <v>11</v>
      </c>
      <c r="S49" s="773">
        <f ca="1">Q55</f>
        <v>4</v>
      </c>
      <c r="T49" s="834">
        <f t="shared" ref="T49:T60" ca="1" si="41">VLOOKUP(P36,$R$49:$S$60,2,0)</f>
        <v>24</v>
      </c>
      <c r="U49" s="787">
        <f ca="1">R49</f>
        <v>11</v>
      </c>
      <c r="V49" s="773">
        <f ca="1">S49</f>
        <v>4</v>
      </c>
      <c r="W49" s="834">
        <f t="shared" ref="W49:W60" ca="1" si="42">VLOOKUP(P36,$U$49:$V$60,2,0)</f>
        <v>104</v>
      </c>
      <c r="X49" s="787" t="s">
        <v>7912</v>
      </c>
      <c r="Y49" s="915">
        <f t="shared" ref="Y49:Y60" ca="1" si="43">IF($N$63=1,T49,W49)</f>
        <v>104</v>
      </c>
      <c r="Z49" s="834" t="str">
        <f t="shared" ref="Z49:Z60" ca="1" si="44">VLOOKUP(R77,$U$36:$V$47,2,0)</f>
        <v>tuất</v>
      </c>
      <c r="AA49" s="787" t="str">
        <f t="shared" ref="AA49:AA60" ca="1" si="45">CONCATENATE(Y49," ",Z49)</f>
        <v>104 tuất</v>
      </c>
      <c r="AI49" s="773">
        <v>30</v>
      </c>
      <c r="AJ49" s="806" t="s">
        <v>7872</v>
      </c>
      <c r="AK49" s="855" t="s">
        <v>7877</v>
      </c>
      <c r="AL49" s="855" t="s">
        <v>7877</v>
      </c>
      <c r="AM49" s="855" t="s">
        <v>7882</v>
      </c>
      <c r="AN49" s="787" t="s">
        <v>7883</v>
      </c>
      <c r="AP49" s="773">
        <v>48</v>
      </c>
      <c r="AQ49" s="773" t="s">
        <v>7914</v>
      </c>
      <c r="AR49" s="773" t="s">
        <v>7874</v>
      </c>
      <c r="AS49" s="773" t="s">
        <v>7873</v>
      </c>
      <c r="AT49" s="773">
        <v>48</v>
      </c>
      <c r="AU49" s="805" t="s">
        <v>6666</v>
      </c>
      <c r="BX49" s="773">
        <v>1947</v>
      </c>
      <c r="BY49" s="773" t="s">
        <v>7867</v>
      </c>
    </row>
    <row r="50" spans="1:77" s="787" customFormat="1" ht="12.95" customHeight="1">
      <c r="A50" s="810">
        <v>9</v>
      </c>
      <c r="B50" s="787" t="s">
        <v>8366</v>
      </c>
      <c r="C50" s="787" t="s">
        <v>8367</v>
      </c>
      <c r="D50" s="787" t="s">
        <v>8368</v>
      </c>
      <c r="E50" s="787" t="s">
        <v>8369</v>
      </c>
      <c r="F50" s="787" t="s">
        <v>8370</v>
      </c>
      <c r="G50" s="787" t="s">
        <v>8371</v>
      </c>
      <c r="H50" s="787" t="s">
        <v>8360</v>
      </c>
      <c r="I50" s="787" t="s">
        <v>8361</v>
      </c>
      <c r="J50" s="787" t="s">
        <v>8362</v>
      </c>
      <c r="K50" s="787" t="s">
        <v>8363</v>
      </c>
      <c r="L50" s="787" t="s">
        <v>8364</v>
      </c>
      <c r="M50" s="787" t="s">
        <v>8365</v>
      </c>
      <c r="N50" s="806" t="s">
        <v>7875</v>
      </c>
      <c r="O50" s="806">
        <v>2</v>
      </c>
      <c r="P50" s="787" t="s">
        <v>6719</v>
      </c>
      <c r="Q50" s="773">
        <v>3</v>
      </c>
      <c r="R50" s="773">
        <f t="shared" ref="R50:R60" ca="1" si="46">IF(R49&lt;12,R49+1,1)</f>
        <v>12</v>
      </c>
      <c r="S50" s="773">
        <f t="shared" ref="S50:S60" ca="1" si="47">S49+10</f>
        <v>14</v>
      </c>
      <c r="T50" s="773">
        <f t="shared" ca="1" si="41"/>
        <v>34</v>
      </c>
      <c r="U50" s="773">
        <f t="shared" ref="U50:U60" ca="1" si="48">IF(U49&gt;1,U49-1,12)</f>
        <v>10</v>
      </c>
      <c r="V50" s="773">
        <f t="shared" ref="V50:V60" ca="1" si="49">S50</f>
        <v>14</v>
      </c>
      <c r="W50" s="773">
        <f t="shared" ca="1" si="42"/>
        <v>94</v>
      </c>
      <c r="Y50" s="915">
        <f t="shared" ca="1" si="43"/>
        <v>94</v>
      </c>
      <c r="Z50" s="834" t="str">
        <f t="shared" ca="1" si="44"/>
        <v>dậu</v>
      </c>
      <c r="AA50" s="787" t="str">
        <f t="shared" ca="1" si="45"/>
        <v>94 dậu</v>
      </c>
      <c r="AP50" s="773">
        <v>49</v>
      </c>
      <c r="AQ50" s="773" t="s">
        <v>7915</v>
      </c>
      <c r="AR50" s="773" t="s">
        <v>7874</v>
      </c>
      <c r="AS50" s="773" t="s">
        <v>7873</v>
      </c>
      <c r="AT50" s="773">
        <v>49</v>
      </c>
      <c r="AU50" s="805" t="s">
        <v>6667</v>
      </c>
      <c r="BX50" s="773">
        <v>1948</v>
      </c>
      <c r="BY50" s="773" t="s">
        <v>7869</v>
      </c>
    </row>
    <row r="51" spans="1:77" s="787" customFormat="1" ht="12.95" customHeight="1">
      <c r="A51" s="810">
        <v>10</v>
      </c>
      <c r="B51" s="787" t="s">
        <v>8380</v>
      </c>
      <c r="C51" s="787" t="s">
        <v>8381</v>
      </c>
      <c r="D51" s="787" t="s">
        <v>8382</v>
      </c>
      <c r="E51" s="787" t="s">
        <v>8383</v>
      </c>
      <c r="F51" s="787" t="s">
        <v>8384</v>
      </c>
      <c r="G51" s="787" t="s">
        <v>8385</v>
      </c>
      <c r="H51" s="787" t="s">
        <v>8374</v>
      </c>
      <c r="I51" s="787" t="s">
        <v>8375</v>
      </c>
      <c r="J51" s="787" t="s">
        <v>8376</v>
      </c>
      <c r="K51" s="787" t="s">
        <v>8377</v>
      </c>
      <c r="L51" s="787" t="s">
        <v>8378</v>
      </c>
      <c r="M51" s="787" t="s">
        <v>8379</v>
      </c>
      <c r="N51" s="806" t="s">
        <v>7874</v>
      </c>
      <c r="O51" s="806">
        <v>3</v>
      </c>
      <c r="P51" s="787" t="s">
        <v>6718</v>
      </c>
      <c r="Q51" s="773">
        <v>4</v>
      </c>
      <c r="R51" s="773">
        <f t="shared" ca="1" si="46"/>
        <v>1</v>
      </c>
      <c r="S51" s="773">
        <f t="shared" ca="1" si="47"/>
        <v>24</v>
      </c>
      <c r="T51" s="773">
        <f t="shared" ca="1" si="41"/>
        <v>44</v>
      </c>
      <c r="U51" s="773">
        <f t="shared" ca="1" si="48"/>
        <v>9</v>
      </c>
      <c r="V51" s="773">
        <f t="shared" ca="1" si="49"/>
        <v>24</v>
      </c>
      <c r="W51" s="773">
        <f t="shared" ca="1" si="42"/>
        <v>84</v>
      </c>
      <c r="Y51" s="915">
        <f t="shared" ca="1" si="43"/>
        <v>84</v>
      </c>
      <c r="Z51" s="834" t="str">
        <f t="shared" ca="1" si="44"/>
        <v>thân</v>
      </c>
      <c r="AA51" s="787" t="str">
        <f t="shared" ca="1" si="45"/>
        <v>84 thân</v>
      </c>
      <c r="AP51" s="773">
        <v>50</v>
      </c>
      <c r="AQ51" s="773" t="s">
        <v>7916</v>
      </c>
      <c r="AR51" s="773" t="s">
        <v>7874</v>
      </c>
      <c r="AS51" s="773" t="s">
        <v>7873</v>
      </c>
      <c r="AT51" s="773">
        <v>50</v>
      </c>
      <c r="AU51" s="805" t="s">
        <v>6667</v>
      </c>
      <c r="BX51" s="773">
        <v>1949</v>
      </c>
      <c r="BY51" s="773" t="s">
        <v>7878</v>
      </c>
    </row>
    <row r="52" spans="1:77" s="787" customFormat="1" ht="12.95" customHeight="1">
      <c r="A52" s="810">
        <v>11</v>
      </c>
      <c r="B52" s="787" t="s">
        <v>8394</v>
      </c>
      <c r="C52" s="787" t="s">
        <v>8395</v>
      </c>
      <c r="D52" s="787" t="s">
        <v>8396</v>
      </c>
      <c r="E52" s="787" t="s">
        <v>8397</v>
      </c>
      <c r="F52" s="787" t="s">
        <v>8398</v>
      </c>
      <c r="G52" s="787" t="s">
        <v>8399</v>
      </c>
      <c r="H52" s="787" t="s">
        <v>8388</v>
      </c>
      <c r="I52" s="787" t="s">
        <v>8389</v>
      </c>
      <c r="J52" s="787" t="s">
        <v>8390</v>
      </c>
      <c r="K52" s="787" t="s">
        <v>8391</v>
      </c>
      <c r="L52" s="787" t="s">
        <v>8392</v>
      </c>
      <c r="M52" s="787" t="s">
        <v>8393</v>
      </c>
      <c r="N52" s="806" t="s">
        <v>7873</v>
      </c>
      <c r="O52" s="806">
        <v>4</v>
      </c>
      <c r="P52" s="787" t="s">
        <v>6717</v>
      </c>
      <c r="Q52" s="773">
        <v>5</v>
      </c>
      <c r="R52" s="773">
        <f t="shared" ca="1" si="46"/>
        <v>2</v>
      </c>
      <c r="S52" s="773">
        <f t="shared" ca="1" si="47"/>
        <v>34</v>
      </c>
      <c r="T52" s="773">
        <f t="shared" ca="1" si="41"/>
        <v>54</v>
      </c>
      <c r="U52" s="773">
        <f t="shared" ca="1" si="48"/>
        <v>8</v>
      </c>
      <c r="V52" s="773">
        <f t="shared" ca="1" si="49"/>
        <v>34</v>
      </c>
      <c r="W52" s="773">
        <f t="shared" ca="1" si="42"/>
        <v>74</v>
      </c>
      <c r="Y52" s="915">
        <f t="shared" ca="1" si="43"/>
        <v>74</v>
      </c>
      <c r="Z52" s="834" t="str">
        <f t="shared" ca="1" si="44"/>
        <v>mùi</v>
      </c>
      <c r="AA52" s="787" t="str">
        <f t="shared" ca="1" si="45"/>
        <v>74 mùi</v>
      </c>
      <c r="AP52" s="773">
        <v>51</v>
      </c>
      <c r="AQ52" s="773" t="s">
        <v>7917</v>
      </c>
      <c r="AR52" s="806" t="s">
        <v>6548</v>
      </c>
      <c r="AS52" s="773" t="s">
        <v>7875</v>
      </c>
      <c r="AT52" s="773">
        <v>51</v>
      </c>
      <c r="AU52" s="805" t="s">
        <v>6675</v>
      </c>
      <c r="BX52" s="773">
        <v>1950</v>
      </c>
      <c r="BY52" s="773" t="s">
        <v>7881</v>
      </c>
    </row>
    <row r="53" spans="1:77" ht="12.95" customHeight="1">
      <c r="A53" s="810">
        <v>12</v>
      </c>
      <c r="B53" s="787" t="s">
        <v>8406</v>
      </c>
      <c r="C53" s="787" t="s">
        <v>8407</v>
      </c>
      <c r="D53" s="787" t="s">
        <v>8408</v>
      </c>
      <c r="E53" s="787" t="s">
        <v>8409</v>
      </c>
      <c r="F53" s="787" t="s">
        <v>8410</v>
      </c>
      <c r="G53" s="787" t="s">
        <v>8411</v>
      </c>
      <c r="H53" s="787" t="s">
        <v>8400</v>
      </c>
      <c r="I53" s="787" t="s">
        <v>8401</v>
      </c>
      <c r="J53" s="787" t="s">
        <v>8402</v>
      </c>
      <c r="K53" s="787" t="s">
        <v>8403</v>
      </c>
      <c r="L53" s="787" t="s">
        <v>8404</v>
      </c>
      <c r="M53" s="787" t="s">
        <v>8405</v>
      </c>
      <c r="N53" s="806" t="s">
        <v>7872</v>
      </c>
      <c r="O53" s="806">
        <v>5</v>
      </c>
      <c r="P53" s="787" t="s">
        <v>6711</v>
      </c>
      <c r="Q53" s="773">
        <v>6</v>
      </c>
      <c r="R53" s="773">
        <f t="shared" ca="1" si="46"/>
        <v>3</v>
      </c>
      <c r="S53" s="773">
        <f t="shared" ca="1" si="47"/>
        <v>44</v>
      </c>
      <c r="T53" s="773">
        <f t="shared" ca="1" si="41"/>
        <v>64</v>
      </c>
      <c r="U53" s="773">
        <f t="shared" ca="1" si="48"/>
        <v>7</v>
      </c>
      <c r="V53" s="773">
        <f t="shared" ca="1" si="49"/>
        <v>44</v>
      </c>
      <c r="W53" s="773">
        <f t="shared" ca="1" si="42"/>
        <v>64</v>
      </c>
      <c r="Y53" s="915">
        <f t="shared" ca="1" si="43"/>
        <v>64</v>
      </c>
      <c r="Z53" s="834" t="str">
        <f t="shared" ca="1" si="44"/>
        <v>ngọ</v>
      </c>
      <c r="AA53" s="787" t="str">
        <f t="shared" ca="1" si="45"/>
        <v>64 ngọ</v>
      </c>
      <c r="AP53" s="773">
        <v>52</v>
      </c>
      <c r="AQ53" s="773" t="s">
        <v>7918</v>
      </c>
      <c r="AR53" s="806" t="s">
        <v>6548</v>
      </c>
      <c r="AS53" s="773" t="s">
        <v>7875</v>
      </c>
      <c r="AT53" s="773">
        <v>52</v>
      </c>
      <c r="AU53" s="805" t="s">
        <v>6675</v>
      </c>
      <c r="BX53" s="773">
        <v>1951</v>
      </c>
      <c r="BY53" s="773" t="s">
        <v>7884</v>
      </c>
    </row>
    <row r="54" spans="1:77" ht="12.95" customHeight="1">
      <c r="A54" s="807" t="s">
        <v>8414</v>
      </c>
      <c r="B54" s="806" t="s">
        <v>6548</v>
      </c>
      <c r="C54" s="818" t="s">
        <v>7875</v>
      </c>
      <c r="D54" s="818" t="s">
        <v>7874</v>
      </c>
      <c r="E54" s="806" t="s">
        <v>7873</v>
      </c>
      <c r="F54" s="806" t="s">
        <v>7872</v>
      </c>
      <c r="G54" s="806" t="s">
        <v>7871</v>
      </c>
      <c r="H54" s="806" t="s">
        <v>7883</v>
      </c>
      <c r="I54" s="806" t="s">
        <v>7882</v>
      </c>
      <c r="J54" s="818" t="s">
        <v>7887</v>
      </c>
      <c r="K54" s="806" t="s">
        <v>7886</v>
      </c>
      <c r="L54" s="806" t="s">
        <v>7880</v>
      </c>
      <c r="M54" s="806" t="s">
        <v>7877</v>
      </c>
      <c r="N54" s="806" t="s">
        <v>7871</v>
      </c>
      <c r="O54" s="806">
        <v>6</v>
      </c>
      <c r="R54" s="773">
        <f t="shared" ca="1" si="46"/>
        <v>4</v>
      </c>
      <c r="S54" s="773">
        <f t="shared" ca="1" si="47"/>
        <v>54</v>
      </c>
      <c r="T54" s="773">
        <f t="shared" ca="1" si="41"/>
        <v>74</v>
      </c>
      <c r="U54" s="773">
        <f t="shared" ca="1" si="48"/>
        <v>6</v>
      </c>
      <c r="V54" s="773">
        <f t="shared" ca="1" si="49"/>
        <v>54</v>
      </c>
      <c r="W54" s="773">
        <f t="shared" ca="1" si="42"/>
        <v>54</v>
      </c>
      <c r="Y54" s="915">
        <f t="shared" ca="1" si="43"/>
        <v>54</v>
      </c>
      <c r="Z54" s="834" t="str">
        <f t="shared" ca="1" si="44"/>
        <v>tỵ</v>
      </c>
      <c r="AA54" s="787" t="str">
        <f t="shared" ca="1" si="45"/>
        <v>54 tỵ</v>
      </c>
      <c r="AP54" s="773">
        <v>53</v>
      </c>
      <c r="AQ54" s="773" t="s">
        <v>7919</v>
      </c>
      <c r="AR54" s="806" t="s">
        <v>6548</v>
      </c>
      <c r="AS54" s="773" t="s">
        <v>7875</v>
      </c>
      <c r="AT54" s="773">
        <v>53</v>
      </c>
      <c r="AU54" s="805" t="s">
        <v>6625</v>
      </c>
      <c r="BX54" s="773">
        <v>1952</v>
      </c>
      <c r="BY54" s="773" t="s">
        <v>7888</v>
      </c>
    </row>
    <row r="55" spans="1:77" ht="12.95" customHeight="1">
      <c r="A55" s="806" t="s">
        <v>7844</v>
      </c>
      <c r="B55" s="787" t="s">
        <v>6720</v>
      </c>
      <c r="C55" s="787" t="s">
        <v>6720</v>
      </c>
      <c r="D55" s="787" t="s">
        <v>6711</v>
      </c>
      <c r="E55" s="787" t="s">
        <v>6711</v>
      </c>
      <c r="F55" s="787" t="s">
        <v>6719</v>
      </c>
      <c r="G55" s="787" t="s">
        <v>6719</v>
      </c>
      <c r="H55" s="787" t="s">
        <v>6717</v>
      </c>
      <c r="I55" s="787" t="s">
        <v>6717</v>
      </c>
      <c r="J55" s="787" t="s">
        <v>6718</v>
      </c>
      <c r="K55" s="787" t="s">
        <v>6718</v>
      </c>
      <c r="L55" s="787" t="s">
        <v>6711</v>
      </c>
      <c r="M55" s="787" t="s">
        <v>6711</v>
      </c>
      <c r="N55" s="806" t="s">
        <v>7883</v>
      </c>
      <c r="O55" s="806">
        <v>7</v>
      </c>
      <c r="Q55" s="929">
        <f ca="1">VLOOKUP(N42,P49:Q53,2,0)</f>
        <v>4</v>
      </c>
      <c r="R55" s="773">
        <f t="shared" ca="1" si="46"/>
        <v>5</v>
      </c>
      <c r="S55" s="773">
        <f t="shared" ca="1" si="47"/>
        <v>64</v>
      </c>
      <c r="T55" s="773">
        <f t="shared" ca="1" si="41"/>
        <v>84</v>
      </c>
      <c r="U55" s="773">
        <f t="shared" ca="1" si="48"/>
        <v>5</v>
      </c>
      <c r="V55" s="773">
        <f t="shared" ca="1" si="49"/>
        <v>64</v>
      </c>
      <c r="W55" s="773">
        <f t="shared" ca="1" si="42"/>
        <v>44</v>
      </c>
      <c r="Y55" s="915">
        <f t="shared" ca="1" si="43"/>
        <v>44</v>
      </c>
      <c r="Z55" s="834" t="str">
        <f t="shared" ca="1" si="44"/>
        <v>thìn</v>
      </c>
      <c r="AA55" s="787" t="str">
        <f t="shared" ca="1" si="45"/>
        <v>44 thìn</v>
      </c>
      <c r="AP55" s="773">
        <v>54</v>
      </c>
      <c r="AQ55" s="773" t="s">
        <v>7920</v>
      </c>
      <c r="AR55" s="806" t="s">
        <v>6548</v>
      </c>
      <c r="AS55" s="773" t="s">
        <v>7875</v>
      </c>
      <c r="AT55" s="773">
        <v>54</v>
      </c>
      <c r="AU55" s="805" t="s">
        <v>6625</v>
      </c>
      <c r="BX55" s="773">
        <v>1953</v>
      </c>
      <c r="BY55" s="773" t="s">
        <v>7889</v>
      </c>
    </row>
    <row r="56" spans="1:77" ht="12.95" customHeight="1">
      <c r="A56" s="806" t="s">
        <v>7847</v>
      </c>
      <c r="B56" s="787" t="s">
        <v>6711</v>
      </c>
      <c r="C56" s="787" t="s">
        <v>6711</v>
      </c>
      <c r="D56" s="787" t="s">
        <v>6717</v>
      </c>
      <c r="E56" s="787" t="s">
        <v>6717</v>
      </c>
      <c r="F56" s="787" t="s">
        <v>6718</v>
      </c>
      <c r="G56" s="787" t="s">
        <v>6718</v>
      </c>
      <c r="H56" s="787" t="s">
        <v>6719</v>
      </c>
      <c r="I56" s="787" t="s">
        <v>6719</v>
      </c>
      <c r="J56" s="787" t="s">
        <v>6720</v>
      </c>
      <c r="K56" s="787" t="s">
        <v>6720</v>
      </c>
      <c r="L56" s="787" t="s">
        <v>6717</v>
      </c>
      <c r="M56" s="787" t="s">
        <v>6717</v>
      </c>
      <c r="N56" s="806" t="s">
        <v>7882</v>
      </c>
      <c r="O56" s="806">
        <v>8</v>
      </c>
      <c r="R56" s="773">
        <f t="shared" ca="1" si="46"/>
        <v>6</v>
      </c>
      <c r="S56" s="773">
        <f t="shared" ca="1" si="47"/>
        <v>74</v>
      </c>
      <c r="T56" s="773">
        <f t="shared" ca="1" si="41"/>
        <v>94</v>
      </c>
      <c r="U56" s="773">
        <f t="shared" ca="1" si="48"/>
        <v>4</v>
      </c>
      <c r="V56" s="773">
        <f t="shared" ca="1" si="49"/>
        <v>74</v>
      </c>
      <c r="W56" s="773">
        <f t="shared" ca="1" si="42"/>
        <v>34</v>
      </c>
      <c r="Y56" s="915">
        <f t="shared" ca="1" si="43"/>
        <v>34</v>
      </c>
      <c r="Z56" s="834" t="str">
        <f t="shared" ca="1" si="44"/>
        <v>mão</v>
      </c>
      <c r="AA56" s="787" t="str">
        <f t="shared" ca="1" si="45"/>
        <v>34 mão</v>
      </c>
      <c r="AP56" s="773">
        <v>55</v>
      </c>
      <c r="AQ56" s="773" t="s">
        <v>7922</v>
      </c>
      <c r="AR56" s="806" t="s">
        <v>6548</v>
      </c>
      <c r="AS56" s="773" t="s">
        <v>7875</v>
      </c>
      <c r="AT56" s="773">
        <v>55</v>
      </c>
      <c r="AU56" s="805" t="s">
        <v>6622</v>
      </c>
      <c r="BX56" s="773">
        <v>1954</v>
      </c>
      <c r="BY56" s="773" t="s">
        <v>7890</v>
      </c>
    </row>
    <row r="57" spans="1:77" ht="12.95" customHeight="1">
      <c r="A57" s="806" t="s">
        <v>7849</v>
      </c>
      <c r="B57" s="787" t="s">
        <v>6717</v>
      </c>
      <c r="C57" s="787" t="s">
        <v>6717</v>
      </c>
      <c r="D57" s="787" t="s">
        <v>6719</v>
      </c>
      <c r="E57" s="787" t="s">
        <v>6719</v>
      </c>
      <c r="F57" s="787" t="s">
        <v>6720</v>
      </c>
      <c r="G57" s="787" t="s">
        <v>6720</v>
      </c>
      <c r="H57" s="787" t="s">
        <v>6718</v>
      </c>
      <c r="I57" s="787" t="s">
        <v>6718</v>
      </c>
      <c r="J57" s="787" t="s">
        <v>6711</v>
      </c>
      <c r="K57" s="787" t="s">
        <v>6711</v>
      </c>
      <c r="L57" s="787" t="s">
        <v>6719</v>
      </c>
      <c r="M57" s="787" t="s">
        <v>6719</v>
      </c>
      <c r="N57" s="806" t="s">
        <v>7887</v>
      </c>
      <c r="O57" s="806">
        <v>9</v>
      </c>
      <c r="R57" s="773">
        <f t="shared" ca="1" si="46"/>
        <v>7</v>
      </c>
      <c r="S57" s="773">
        <f t="shared" ca="1" si="47"/>
        <v>84</v>
      </c>
      <c r="T57" s="773">
        <f t="shared" ca="1" si="41"/>
        <v>104</v>
      </c>
      <c r="U57" s="773">
        <f t="shared" ca="1" si="48"/>
        <v>3</v>
      </c>
      <c r="V57" s="773">
        <f t="shared" ca="1" si="49"/>
        <v>84</v>
      </c>
      <c r="W57" s="773">
        <f t="shared" ca="1" si="42"/>
        <v>24</v>
      </c>
      <c r="Y57" s="915">
        <f t="shared" ca="1" si="43"/>
        <v>24</v>
      </c>
      <c r="Z57" s="834" t="str">
        <f t="shared" ca="1" si="44"/>
        <v>dần</v>
      </c>
      <c r="AA57" s="787" t="str">
        <f t="shared" ca="1" si="45"/>
        <v>24 dần</v>
      </c>
      <c r="AP57" s="773">
        <v>56</v>
      </c>
      <c r="AQ57" s="773" t="s">
        <v>7923</v>
      </c>
      <c r="AR57" s="806" t="s">
        <v>6548</v>
      </c>
      <c r="AS57" s="773" t="s">
        <v>7875</v>
      </c>
      <c r="AT57" s="773">
        <v>56</v>
      </c>
      <c r="AU57" s="805" t="s">
        <v>6622</v>
      </c>
      <c r="BX57" s="773">
        <v>1955</v>
      </c>
      <c r="BY57" s="773" t="s">
        <v>7891</v>
      </c>
    </row>
    <row r="58" spans="1:77" ht="12.95" customHeight="1">
      <c r="A58" s="806" t="s">
        <v>7851</v>
      </c>
      <c r="B58" s="787" t="s">
        <v>6719</v>
      </c>
      <c r="C58" s="787" t="s">
        <v>6719</v>
      </c>
      <c r="D58" s="787" t="s">
        <v>6718</v>
      </c>
      <c r="E58" s="787" t="s">
        <v>6718</v>
      </c>
      <c r="F58" s="787" t="s">
        <v>6711</v>
      </c>
      <c r="G58" s="787" t="s">
        <v>6711</v>
      </c>
      <c r="H58" s="787" t="s">
        <v>6720</v>
      </c>
      <c r="I58" s="787" t="s">
        <v>6720</v>
      </c>
      <c r="J58" s="787" t="s">
        <v>6717</v>
      </c>
      <c r="K58" s="787" t="s">
        <v>6717</v>
      </c>
      <c r="L58" s="787" t="s">
        <v>6718</v>
      </c>
      <c r="M58" s="787" t="s">
        <v>6718</v>
      </c>
      <c r="N58" s="806" t="s">
        <v>7886</v>
      </c>
      <c r="O58" s="806">
        <v>10</v>
      </c>
      <c r="R58" s="773">
        <f t="shared" ca="1" si="46"/>
        <v>8</v>
      </c>
      <c r="S58" s="773">
        <f t="shared" ca="1" si="47"/>
        <v>94</v>
      </c>
      <c r="T58" s="773">
        <f t="shared" ca="1" si="41"/>
        <v>114</v>
      </c>
      <c r="U58" s="773">
        <f t="shared" ca="1" si="48"/>
        <v>2</v>
      </c>
      <c r="V58" s="773">
        <f t="shared" ca="1" si="49"/>
        <v>94</v>
      </c>
      <c r="W58" s="773">
        <f t="shared" ca="1" si="42"/>
        <v>14</v>
      </c>
      <c r="Y58" s="915">
        <f t="shared" ca="1" si="43"/>
        <v>14</v>
      </c>
      <c r="Z58" s="834" t="str">
        <f t="shared" ca="1" si="44"/>
        <v>sửu</v>
      </c>
      <c r="AA58" s="787" t="str">
        <f t="shared" ca="1" si="45"/>
        <v>14 sửu</v>
      </c>
      <c r="AP58" s="773">
        <v>57</v>
      </c>
      <c r="AQ58" s="773" t="s">
        <v>7924</v>
      </c>
      <c r="AR58" s="806" t="s">
        <v>6548</v>
      </c>
      <c r="AS58" s="773" t="s">
        <v>7875</v>
      </c>
      <c r="AT58" s="773">
        <v>57</v>
      </c>
      <c r="AU58" s="805" t="s">
        <v>6667</v>
      </c>
      <c r="BX58" s="773">
        <v>1956</v>
      </c>
      <c r="BY58" s="773" t="s">
        <v>7892</v>
      </c>
    </row>
    <row r="59" spans="1:77" ht="14.25">
      <c r="A59" s="806" t="s">
        <v>6549</v>
      </c>
      <c r="B59" s="787" t="s">
        <v>6718</v>
      </c>
      <c r="C59" s="787" t="s">
        <v>6718</v>
      </c>
      <c r="D59" s="787" t="s">
        <v>6720</v>
      </c>
      <c r="E59" s="787" t="s">
        <v>6720</v>
      </c>
      <c r="F59" s="787" t="s">
        <v>6717</v>
      </c>
      <c r="G59" s="787" t="s">
        <v>6717</v>
      </c>
      <c r="H59" s="787" t="s">
        <v>6711</v>
      </c>
      <c r="I59" s="787" t="s">
        <v>6711</v>
      </c>
      <c r="J59" s="787" t="s">
        <v>6719</v>
      </c>
      <c r="K59" s="787" t="s">
        <v>6719</v>
      </c>
      <c r="L59" s="787" t="s">
        <v>6720</v>
      </c>
      <c r="M59" s="787" t="s">
        <v>6720</v>
      </c>
      <c r="N59" s="806" t="s">
        <v>7880</v>
      </c>
      <c r="O59" s="806">
        <v>11</v>
      </c>
      <c r="R59" s="773">
        <f t="shared" ca="1" si="46"/>
        <v>9</v>
      </c>
      <c r="S59" s="773">
        <f t="shared" ca="1" si="47"/>
        <v>104</v>
      </c>
      <c r="T59" s="773">
        <f t="shared" ca="1" si="41"/>
        <v>4</v>
      </c>
      <c r="U59" s="773">
        <f t="shared" ca="1" si="48"/>
        <v>1</v>
      </c>
      <c r="V59" s="773">
        <f t="shared" ca="1" si="49"/>
        <v>104</v>
      </c>
      <c r="W59" s="773">
        <f t="shared" ca="1" si="42"/>
        <v>4</v>
      </c>
      <c r="Y59" s="915">
        <f t="shared" ca="1" si="43"/>
        <v>4</v>
      </c>
      <c r="Z59" s="834" t="str">
        <f t="shared" ca="1" si="44"/>
        <v>tý</v>
      </c>
      <c r="AA59" s="787" t="str">
        <f t="shared" ca="1" si="45"/>
        <v>4 tý</v>
      </c>
      <c r="AP59" s="773">
        <v>58</v>
      </c>
      <c r="AQ59" s="773" t="s">
        <v>7925</v>
      </c>
      <c r="AR59" s="806" t="s">
        <v>6548</v>
      </c>
      <c r="AS59" s="773" t="s">
        <v>7875</v>
      </c>
      <c r="AT59" s="773">
        <v>58</v>
      </c>
      <c r="AU59" s="805" t="s">
        <v>6667</v>
      </c>
      <c r="BX59" s="773">
        <v>1957</v>
      </c>
      <c r="BY59" s="773" t="s">
        <v>7893</v>
      </c>
    </row>
    <row r="60" spans="1:77" ht="14.25">
      <c r="A60" s="806" t="s">
        <v>7856</v>
      </c>
      <c r="B60" s="787" t="s">
        <v>6720</v>
      </c>
      <c r="C60" s="787" t="s">
        <v>6720</v>
      </c>
      <c r="D60" s="787" t="s">
        <v>6711</v>
      </c>
      <c r="E60" s="787" t="s">
        <v>6711</v>
      </c>
      <c r="F60" s="787" t="s">
        <v>6719</v>
      </c>
      <c r="G60" s="787" t="s">
        <v>6719</v>
      </c>
      <c r="H60" s="787" t="s">
        <v>6717</v>
      </c>
      <c r="I60" s="787" t="s">
        <v>6717</v>
      </c>
      <c r="J60" s="787" t="s">
        <v>6718</v>
      </c>
      <c r="K60" s="787" t="s">
        <v>6718</v>
      </c>
      <c r="L60" s="787" t="s">
        <v>6711</v>
      </c>
      <c r="M60" s="787" t="s">
        <v>6711</v>
      </c>
      <c r="N60" s="806" t="s">
        <v>7877</v>
      </c>
      <c r="O60" s="806">
        <v>12</v>
      </c>
      <c r="R60" s="773">
        <f t="shared" ca="1" si="46"/>
        <v>10</v>
      </c>
      <c r="S60" s="773">
        <f t="shared" ca="1" si="47"/>
        <v>114</v>
      </c>
      <c r="T60" s="834">
        <f t="shared" ca="1" si="41"/>
        <v>14</v>
      </c>
      <c r="U60" s="773">
        <f t="shared" ca="1" si="48"/>
        <v>12</v>
      </c>
      <c r="V60" s="773">
        <f t="shared" ca="1" si="49"/>
        <v>114</v>
      </c>
      <c r="W60" s="834">
        <f t="shared" ca="1" si="42"/>
        <v>114</v>
      </c>
      <c r="Y60" s="915">
        <f t="shared" ca="1" si="43"/>
        <v>114</v>
      </c>
      <c r="Z60" s="834" t="str">
        <f t="shared" ca="1" si="44"/>
        <v>hợi</v>
      </c>
      <c r="AA60" s="787" t="str">
        <f t="shared" ca="1" si="45"/>
        <v>114 hợi</v>
      </c>
      <c r="AP60" s="773">
        <v>59</v>
      </c>
      <c r="AQ60" s="773" t="s">
        <v>7927</v>
      </c>
      <c r="AR60" s="806" t="s">
        <v>6548</v>
      </c>
      <c r="AS60" s="773" t="s">
        <v>7875</v>
      </c>
      <c r="AT60" s="773">
        <v>59</v>
      </c>
      <c r="AU60" s="805" t="s">
        <v>6675</v>
      </c>
      <c r="BX60" s="773">
        <v>1958</v>
      </c>
      <c r="BY60" s="773" t="s">
        <v>7895</v>
      </c>
    </row>
    <row r="61" spans="1:77" ht="14.25">
      <c r="A61" s="806" t="s">
        <v>7860</v>
      </c>
      <c r="B61" s="787" t="s">
        <v>6711</v>
      </c>
      <c r="C61" s="787" t="s">
        <v>6711</v>
      </c>
      <c r="D61" s="787" t="s">
        <v>6717</v>
      </c>
      <c r="E61" s="787" t="s">
        <v>6717</v>
      </c>
      <c r="F61" s="787" t="s">
        <v>6718</v>
      </c>
      <c r="G61" s="787" t="s">
        <v>6718</v>
      </c>
      <c r="H61" s="787" t="s">
        <v>6719</v>
      </c>
      <c r="I61" s="787" t="s">
        <v>6719</v>
      </c>
      <c r="J61" s="787" t="s">
        <v>6720</v>
      </c>
      <c r="K61" s="787" t="s">
        <v>6720</v>
      </c>
      <c r="L61" s="787" t="s">
        <v>6717</v>
      </c>
      <c r="M61" s="787" t="s">
        <v>6717</v>
      </c>
      <c r="Q61" s="773" t="s">
        <v>8415</v>
      </c>
      <c r="R61" s="773" t="str">
        <f>VLOOKUP(G23,BX1:BY145,2,0)</f>
        <v>tân mão</v>
      </c>
      <c r="AP61" s="773">
        <v>60</v>
      </c>
      <c r="AQ61" s="773" t="s">
        <v>7928</v>
      </c>
      <c r="AR61" s="806" t="s">
        <v>6548</v>
      </c>
      <c r="AS61" s="773" t="s">
        <v>7875</v>
      </c>
      <c r="AT61" s="773">
        <v>60</v>
      </c>
      <c r="AU61" s="805" t="s">
        <v>6675</v>
      </c>
      <c r="BX61" s="773">
        <v>1959</v>
      </c>
      <c r="BY61" s="773" t="s">
        <v>7897</v>
      </c>
    </row>
    <row r="62" spans="1:77">
      <c r="A62" s="806" t="s">
        <v>6562</v>
      </c>
      <c r="B62" s="787" t="s">
        <v>6717</v>
      </c>
      <c r="C62" s="787" t="s">
        <v>6717</v>
      </c>
      <c r="D62" s="787" t="s">
        <v>6719</v>
      </c>
      <c r="E62" s="787" t="s">
        <v>6719</v>
      </c>
      <c r="F62" s="787" t="s">
        <v>6720</v>
      </c>
      <c r="G62" s="787" t="s">
        <v>6720</v>
      </c>
      <c r="H62" s="787" t="s">
        <v>6718</v>
      </c>
      <c r="I62" s="787" t="s">
        <v>6718</v>
      </c>
      <c r="J62" s="787" t="s">
        <v>6711</v>
      </c>
      <c r="K62" s="787" t="s">
        <v>6711</v>
      </c>
      <c r="L62" s="787" t="s">
        <v>6719</v>
      </c>
      <c r="M62" s="787" t="s">
        <v>6719</v>
      </c>
      <c r="N62" s="773">
        <f ca="1">IF(OR(F17="Canh",F17="Giáp",F17="Bính",F17="Mậu",F17="Nhâm"),1,0)</f>
        <v>1</v>
      </c>
      <c r="O62" s="773" t="s">
        <v>7874</v>
      </c>
      <c r="P62" s="787" t="s">
        <v>7872</v>
      </c>
      <c r="Q62" s="787" t="str">
        <f>LEFT(R61,R62-1)</f>
        <v>tân</v>
      </c>
      <c r="R62" s="773">
        <f>FIND(" ",R61)</f>
        <v>4</v>
      </c>
      <c r="V62" s="912">
        <v>1</v>
      </c>
      <c r="Y62" s="912">
        <v>2</v>
      </c>
      <c r="AB62" s="773">
        <v>3</v>
      </c>
      <c r="AE62" s="773">
        <v>4</v>
      </c>
      <c r="AH62" s="773">
        <v>5</v>
      </c>
      <c r="AK62" s="773">
        <v>6</v>
      </c>
      <c r="AN62" s="773">
        <v>7</v>
      </c>
      <c r="AQ62" s="773">
        <v>8</v>
      </c>
      <c r="AT62" s="773">
        <v>9</v>
      </c>
      <c r="AW62" s="773">
        <v>10</v>
      </c>
      <c r="AZ62" s="773">
        <v>11</v>
      </c>
      <c r="BC62" s="773">
        <v>12</v>
      </c>
      <c r="BX62" s="773">
        <v>1960</v>
      </c>
      <c r="BY62" s="773" t="s">
        <v>7899</v>
      </c>
    </row>
    <row r="63" spans="1:77">
      <c r="A63" s="806" t="s">
        <v>7865</v>
      </c>
      <c r="B63" s="787" t="s">
        <v>6719</v>
      </c>
      <c r="C63" s="787" t="s">
        <v>6719</v>
      </c>
      <c r="D63" s="787" t="s">
        <v>6718</v>
      </c>
      <c r="E63" s="787" t="s">
        <v>6718</v>
      </c>
      <c r="F63" s="787" t="s">
        <v>6711</v>
      </c>
      <c r="G63" s="787" t="s">
        <v>6711</v>
      </c>
      <c r="H63" s="787" t="s">
        <v>6720</v>
      </c>
      <c r="I63" s="787" t="s">
        <v>6720</v>
      </c>
      <c r="J63" s="787" t="s">
        <v>6717</v>
      </c>
      <c r="K63" s="787" t="s">
        <v>6717</v>
      </c>
      <c r="L63" s="787" t="s">
        <v>6718</v>
      </c>
      <c r="M63" s="787" t="s">
        <v>6718</v>
      </c>
      <c r="N63" s="930">
        <f ca="1">IF(AND(O36=1,N62=1),1,IF(AND(O36=0,N62=0),1,0))</f>
        <v>0</v>
      </c>
      <c r="O63" s="773" t="s">
        <v>7883</v>
      </c>
      <c r="P63" s="787" t="s">
        <v>7872</v>
      </c>
      <c r="Q63" s="787" t="str">
        <f>RIGHT(R61,LEN(R61)-R62)</f>
        <v>mão</v>
      </c>
      <c r="S63" s="773" t="str">
        <f ca="1">H92</f>
        <v>tuất</v>
      </c>
      <c r="T63" s="787">
        <v>1</v>
      </c>
      <c r="U63" s="773" t="s">
        <v>8416</v>
      </c>
      <c r="V63" s="773">
        <f t="shared" ref="V63:V115" ca="1" si="50">IF($N$49=S63,1,0)</f>
        <v>0</v>
      </c>
      <c r="W63" s="773">
        <f ca="1">IF(V63=1,1,0)</f>
        <v>0</v>
      </c>
      <c r="X63" s="773">
        <f t="shared" ref="X63:X115" ca="1" si="51">IF(V63=1,W63,0)</f>
        <v>0</v>
      </c>
      <c r="Y63" s="773">
        <f t="shared" ref="Y63:Y115" ca="1" si="52">IF($N$50=S63,1,0)</f>
        <v>0</v>
      </c>
      <c r="Z63" s="773">
        <f ca="1">IF(Y63=1,1,0)</f>
        <v>0</v>
      </c>
      <c r="AA63" s="773">
        <f t="shared" ref="AA63:AA115" ca="1" si="53">IF(Y63=1,Z63,0)</f>
        <v>0</v>
      </c>
      <c r="AB63" s="773">
        <f t="shared" ref="AB63:AB115" ca="1" si="54">IF($N$51=S63,1,0)</f>
        <v>0</v>
      </c>
      <c r="AC63" s="773">
        <f ca="1">IF(AB63=1,1,0)</f>
        <v>0</v>
      </c>
      <c r="AD63" s="773">
        <f t="shared" ref="AD63:AD115" ca="1" si="55">IF(AB63=1,AC63,0)</f>
        <v>0</v>
      </c>
      <c r="AE63" s="773">
        <f t="shared" ref="AE63:AE115" ca="1" si="56">IF($N$52=S63,1,0)</f>
        <v>0</v>
      </c>
      <c r="AF63" s="773">
        <f ca="1">IF(AE63=1,1,0)</f>
        <v>0</v>
      </c>
      <c r="AG63" s="773">
        <f t="shared" ref="AG63:AG115" ca="1" si="57">IF(AE63=1,AF63,0)</f>
        <v>0</v>
      </c>
      <c r="AH63" s="773">
        <f t="shared" ref="AH63:AH115" ca="1" si="58">IF($N$53=S63,1,0)</f>
        <v>0</v>
      </c>
      <c r="AI63" s="773">
        <f ca="1">IF(AH63=1,1,0)</f>
        <v>0</v>
      </c>
      <c r="AJ63" s="773">
        <f t="shared" ref="AJ63:AJ115" ca="1" si="59">IF(AH63=1,AI63,0)</f>
        <v>0</v>
      </c>
      <c r="AK63" s="773">
        <f t="shared" ref="AK63:AK115" ca="1" si="60">IF($N$54=S63,1,0)</f>
        <v>0</v>
      </c>
      <c r="AL63" s="773">
        <f ca="1">IF(AK63=1,1,0)</f>
        <v>0</v>
      </c>
      <c r="AM63" s="773">
        <f t="shared" ref="AM63:AM115" ca="1" si="61">IF(AK63=1,AL63,0)</f>
        <v>0</v>
      </c>
      <c r="AN63" s="773">
        <f t="shared" ref="AN63:AN115" ca="1" si="62">IF($N$55=S63,1,0)</f>
        <v>0</v>
      </c>
      <c r="AO63" s="773">
        <f ca="1">IF(AN63=1,1,0)</f>
        <v>0</v>
      </c>
      <c r="AP63" s="773">
        <f t="shared" ref="AP63:AP115" ca="1" si="63">IF(AN63=1,AO63,0)</f>
        <v>0</v>
      </c>
      <c r="AQ63" s="773">
        <f t="shared" ref="AQ63:AQ115" ca="1" si="64">IF($N$56=S63,1,0)</f>
        <v>0</v>
      </c>
      <c r="AR63" s="773">
        <f ca="1">IF(AQ63=1,1,0)</f>
        <v>0</v>
      </c>
      <c r="AS63" s="773">
        <f t="shared" ref="AS63:AS115" ca="1" si="65">IF(AQ63=1,AR63,0)</f>
        <v>0</v>
      </c>
      <c r="AT63" s="773">
        <f t="shared" ref="AT63:AT115" ca="1" si="66">IF($N$57=S63,1,0)</f>
        <v>0</v>
      </c>
      <c r="AU63" s="773">
        <f ca="1">IF(AT63=1,1,0)</f>
        <v>0</v>
      </c>
      <c r="AV63" s="773">
        <f t="shared" ref="AV63:AV115" ca="1" si="67">IF(AT63=1,AU63,0)</f>
        <v>0</v>
      </c>
      <c r="AW63" s="773">
        <f t="shared" ref="AW63:AW115" ca="1" si="68">IF($N$58=S63,1,0)</f>
        <v>0</v>
      </c>
      <c r="AX63" s="773">
        <f ca="1">IF(AW63=1,1,0)</f>
        <v>0</v>
      </c>
      <c r="AY63" s="773">
        <f t="shared" ref="AY63:AY115" ca="1" si="69">IF(AW63=1,AX63,0)</f>
        <v>0</v>
      </c>
      <c r="AZ63" s="773">
        <f t="shared" ref="AZ63:AZ115" ca="1" si="70">IF($N$59=S63,1,0)</f>
        <v>1</v>
      </c>
      <c r="BA63" s="773">
        <f ca="1">IF(AZ63=1,1,0)</f>
        <v>1</v>
      </c>
      <c r="BB63" s="773">
        <f t="shared" ref="BB63:BB115" ca="1" si="71">IF(AZ63=1,BA63,0)</f>
        <v>1</v>
      </c>
      <c r="BC63" s="773">
        <f t="shared" ref="BC63:BC115" ca="1" si="72">IF($N$60=S63,1,0)</f>
        <v>0</v>
      </c>
      <c r="BD63" s="773">
        <f ca="1">IF(BC63=1,1,0)</f>
        <v>0</v>
      </c>
      <c r="BE63" s="773">
        <f t="shared" ref="BE63:BE115" ca="1" si="73">IF(BC63=1,BD63,0)</f>
        <v>0</v>
      </c>
      <c r="BF63" s="773" t="s">
        <v>8417</v>
      </c>
      <c r="BX63" s="773">
        <v>1961</v>
      </c>
      <c r="BY63" s="773" t="s">
        <v>7901</v>
      </c>
    </row>
    <row r="64" spans="1:77">
      <c r="A64" s="806" t="s">
        <v>6567</v>
      </c>
      <c r="B64" s="787" t="s">
        <v>6718</v>
      </c>
      <c r="C64" s="787" t="s">
        <v>6718</v>
      </c>
      <c r="D64" s="787" t="s">
        <v>6720</v>
      </c>
      <c r="E64" s="787" t="s">
        <v>6720</v>
      </c>
      <c r="F64" s="787" t="s">
        <v>6717</v>
      </c>
      <c r="G64" s="787" t="s">
        <v>6717</v>
      </c>
      <c r="H64" s="787" t="s">
        <v>6711</v>
      </c>
      <c r="I64" s="787" t="s">
        <v>6711</v>
      </c>
      <c r="J64" s="787" t="s">
        <v>6719</v>
      </c>
      <c r="K64" s="787" t="s">
        <v>6719</v>
      </c>
      <c r="L64" s="787" t="s">
        <v>6720</v>
      </c>
      <c r="M64" s="787" t="s">
        <v>6720</v>
      </c>
      <c r="O64" s="773" t="s">
        <v>7880</v>
      </c>
      <c r="P64" s="787" t="s">
        <v>7872</v>
      </c>
      <c r="Q64" s="787" t="s">
        <v>8418</v>
      </c>
      <c r="R64" s="929" t="str">
        <f>Q63</f>
        <v>mão</v>
      </c>
      <c r="S64" s="773" t="str">
        <f ca="1">H93</f>
        <v>thìn</v>
      </c>
      <c r="T64" s="787">
        <v>2</v>
      </c>
      <c r="U64" s="773" t="s">
        <v>8419</v>
      </c>
      <c r="V64" s="773">
        <f t="shared" ca="1" si="50"/>
        <v>0</v>
      </c>
      <c r="W64" s="773">
        <f t="shared" ref="W64:W115" ca="1" si="74">IF(V64=1,W63+1,W63)</f>
        <v>0</v>
      </c>
      <c r="X64" s="773">
        <f t="shared" ca="1" si="51"/>
        <v>0</v>
      </c>
      <c r="Y64" s="773">
        <f t="shared" ca="1" si="52"/>
        <v>0</v>
      </c>
      <c r="Z64" s="773">
        <f t="shared" ref="Z64:Z115" ca="1" si="75">IF(Y64=1,Z63+1,Z63)</f>
        <v>0</v>
      </c>
      <c r="AA64" s="773">
        <f t="shared" ca="1" si="53"/>
        <v>0</v>
      </c>
      <c r="AB64" s="773">
        <f t="shared" ca="1" si="54"/>
        <v>0</v>
      </c>
      <c r="AC64" s="773">
        <f t="shared" ref="AC64:AC115" ca="1" si="76">IF(AB64=1,AC63+1,AC63)</f>
        <v>0</v>
      </c>
      <c r="AD64" s="773">
        <f t="shared" ca="1" si="55"/>
        <v>0</v>
      </c>
      <c r="AE64" s="773">
        <f t="shared" ca="1" si="56"/>
        <v>0</v>
      </c>
      <c r="AF64" s="773">
        <f t="shared" ref="AF64:AF115" ca="1" si="77">IF(AE64=1,AF63+1,AF63)</f>
        <v>0</v>
      </c>
      <c r="AG64" s="773">
        <f t="shared" ca="1" si="57"/>
        <v>0</v>
      </c>
      <c r="AH64" s="773">
        <f t="shared" ca="1" si="58"/>
        <v>1</v>
      </c>
      <c r="AI64" s="773">
        <f t="shared" ref="AI64:AI115" ca="1" si="78">IF(AH64=1,AI63+1,AI63)</f>
        <v>1</v>
      </c>
      <c r="AJ64" s="773">
        <f t="shared" ca="1" si="59"/>
        <v>1</v>
      </c>
      <c r="AK64" s="773">
        <f t="shared" ca="1" si="60"/>
        <v>0</v>
      </c>
      <c r="AL64" s="773">
        <f t="shared" ref="AL64:AL115" ca="1" si="79">IF(AK64=1,AL63+1,AL63)</f>
        <v>0</v>
      </c>
      <c r="AM64" s="773">
        <f t="shared" ca="1" si="61"/>
        <v>0</v>
      </c>
      <c r="AN64" s="773">
        <f t="shared" ca="1" si="62"/>
        <v>0</v>
      </c>
      <c r="AO64" s="773">
        <f t="shared" ref="AO64:AO115" ca="1" si="80">IF(AN64=1,AO63+1,AO63)</f>
        <v>0</v>
      </c>
      <c r="AP64" s="773">
        <f t="shared" ca="1" si="63"/>
        <v>0</v>
      </c>
      <c r="AQ64" s="773">
        <f t="shared" ca="1" si="64"/>
        <v>0</v>
      </c>
      <c r="AR64" s="773">
        <f t="shared" ref="AR64:AR115" ca="1" si="81">IF(AQ64=1,AR63+1,AR63)</f>
        <v>0</v>
      </c>
      <c r="AS64" s="773">
        <f t="shared" ca="1" si="65"/>
        <v>0</v>
      </c>
      <c r="AT64" s="773">
        <f t="shared" ca="1" si="66"/>
        <v>0</v>
      </c>
      <c r="AU64" s="773">
        <f t="shared" ref="AU64:AU115" ca="1" si="82">IF(AT64=1,AU63+1,AU63)</f>
        <v>0</v>
      </c>
      <c r="AV64" s="773">
        <f t="shared" ca="1" si="67"/>
        <v>0</v>
      </c>
      <c r="AW64" s="773">
        <f t="shared" ca="1" si="68"/>
        <v>0</v>
      </c>
      <c r="AX64" s="773">
        <f t="shared" ref="AX64:AX115" ca="1" si="83">IF(AW64=1,AX63+1,AX63)</f>
        <v>0</v>
      </c>
      <c r="AY64" s="773">
        <f t="shared" ca="1" si="69"/>
        <v>0</v>
      </c>
      <c r="AZ64" s="773">
        <f t="shared" ca="1" si="70"/>
        <v>0</v>
      </c>
      <c r="BA64" s="773">
        <f t="shared" ref="BA64:BA115" ca="1" si="84">IF(AZ64=1,BA63+1,BA63)</f>
        <v>1</v>
      </c>
      <c r="BB64" s="773">
        <f t="shared" ca="1" si="71"/>
        <v>0</v>
      </c>
      <c r="BC64" s="773">
        <f t="shared" ca="1" si="72"/>
        <v>0</v>
      </c>
      <c r="BD64" s="773">
        <f t="shared" ref="BD64:BD115" ca="1" si="85">IF(BC64=1,BD63+1,BD63)</f>
        <v>0</v>
      </c>
      <c r="BE64" s="773">
        <f t="shared" ca="1" si="73"/>
        <v>0</v>
      </c>
      <c r="BF64" s="773" t="str">
        <f t="shared" ref="BF64:BF111" si="86">PROPER(U64)</f>
        <v>Thiên Quý</v>
      </c>
      <c r="BX64" s="773">
        <v>1962</v>
      </c>
      <c r="BY64" s="773" t="s">
        <v>7903</v>
      </c>
    </row>
    <row r="65" spans="1:77" ht="15.75">
      <c r="A65" s="931" t="s">
        <v>8420</v>
      </c>
      <c r="N65" s="787"/>
      <c r="O65" s="773" t="s">
        <v>7887</v>
      </c>
      <c r="P65" s="773" t="s">
        <v>7880</v>
      </c>
      <c r="Q65" s="787" t="s">
        <v>8421</v>
      </c>
      <c r="R65" s="929" t="str">
        <f>VLOOKUP($Q$62,$A$111:$D$122,2,0)</f>
        <v>Dậu</v>
      </c>
      <c r="S65" s="773" t="str">
        <f ca="1">G124</f>
        <v>Mão</v>
      </c>
      <c r="T65" s="787">
        <v>3</v>
      </c>
      <c r="U65" s="773" t="s">
        <v>8422</v>
      </c>
      <c r="V65" s="773">
        <f t="shared" ca="1" si="50"/>
        <v>0</v>
      </c>
      <c r="W65" s="773">
        <f t="shared" ca="1" si="74"/>
        <v>0</v>
      </c>
      <c r="X65" s="773">
        <f t="shared" ca="1" si="51"/>
        <v>0</v>
      </c>
      <c r="Y65" s="773">
        <f t="shared" ca="1" si="52"/>
        <v>0</v>
      </c>
      <c r="Z65" s="773">
        <f t="shared" ca="1" si="75"/>
        <v>0</v>
      </c>
      <c r="AA65" s="773">
        <f t="shared" ca="1" si="53"/>
        <v>0</v>
      </c>
      <c r="AB65" s="773">
        <f t="shared" ca="1" si="54"/>
        <v>0</v>
      </c>
      <c r="AC65" s="773">
        <f t="shared" ca="1" si="76"/>
        <v>0</v>
      </c>
      <c r="AD65" s="773">
        <f t="shared" ca="1" si="55"/>
        <v>0</v>
      </c>
      <c r="AE65" s="773">
        <f t="shared" ca="1" si="56"/>
        <v>1</v>
      </c>
      <c r="AF65" s="773">
        <f t="shared" ca="1" si="77"/>
        <v>1</v>
      </c>
      <c r="AG65" s="773">
        <f t="shared" ca="1" si="57"/>
        <v>1</v>
      </c>
      <c r="AH65" s="773">
        <f t="shared" ca="1" si="58"/>
        <v>0</v>
      </c>
      <c r="AI65" s="773">
        <f t="shared" ca="1" si="78"/>
        <v>1</v>
      </c>
      <c r="AJ65" s="773">
        <f t="shared" ca="1" si="59"/>
        <v>0</v>
      </c>
      <c r="AK65" s="773">
        <f t="shared" ca="1" si="60"/>
        <v>0</v>
      </c>
      <c r="AL65" s="773">
        <f t="shared" ca="1" si="79"/>
        <v>0</v>
      </c>
      <c r="AM65" s="773">
        <f t="shared" ca="1" si="61"/>
        <v>0</v>
      </c>
      <c r="AN65" s="773">
        <f t="shared" ca="1" si="62"/>
        <v>0</v>
      </c>
      <c r="AO65" s="773">
        <f t="shared" ca="1" si="80"/>
        <v>0</v>
      </c>
      <c r="AP65" s="773">
        <f t="shared" ca="1" si="63"/>
        <v>0</v>
      </c>
      <c r="AQ65" s="773">
        <f t="shared" ca="1" si="64"/>
        <v>0</v>
      </c>
      <c r="AR65" s="773">
        <f t="shared" ca="1" si="81"/>
        <v>0</v>
      </c>
      <c r="AS65" s="773">
        <f t="shared" ca="1" si="65"/>
        <v>0</v>
      </c>
      <c r="AT65" s="773">
        <f t="shared" ca="1" si="66"/>
        <v>0</v>
      </c>
      <c r="AU65" s="773">
        <f t="shared" ca="1" si="82"/>
        <v>0</v>
      </c>
      <c r="AV65" s="773">
        <f t="shared" ca="1" si="67"/>
        <v>0</v>
      </c>
      <c r="AW65" s="773">
        <f t="shared" ca="1" si="68"/>
        <v>0</v>
      </c>
      <c r="AX65" s="773">
        <f t="shared" ca="1" si="83"/>
        <v>0</v>
      </c>
      <c r="AY65" s="773">
        <f t="shared" ca="1" si="69"/>
        <v>0</v>
      </c>
      <c r="AZ65" s="773">
        <f t="shared" ca="1" si="70"/>
        <v>0</v>
      </c>
      <c r="BA65" s="773">
        <f t="shared" ca="1" si="84"/>
        <v>1</v>
      </c>
      <c r="BB65" s="773">
        <f t="shared" ca="1" si="71"/>
        <v>0</v>
      </c>
      <c r="BC65" s="773">
        <f t="shared" ca="1" si="72"/>
        <v>0</v>
      </c>
      <c r="BD65" s="773">
        <f t="shared" ca="1" si="85"/>
        <v>0</v>
      </c>
      <c r="BE65" s="773">
        <f t="shared" ca="1" si="73"/>
        <v>0</v>
      </c>
      <c r="BF65" s="773" t="str">
        <f t="shared" si="86"/>
        <v>Thiên Khôi</v>
      </c>
      <c r="BX65" s="773">
        <v>1963</v>
      </c>
      <c r="BY65" s="773" t="s">
        <v>7904</v>
      </c>
    </row>
    <row r="66" spans="1:77" ht="30">
      <c r="A66" s="855" t="s">
        <v>6657</v>
      </c>
      <c r="B66" s="855" t="s">
        <v>8309</v>
      </c>
      <c r="C66" s="855" t="s">
        <v>8310</v>
      </c>
      <c r="D66" s="855" t="s">
        <v>8311</v>
      </c>
      <c r="E66" s="855" t="s">
        <v>5944</v>
      </c>
      <c r="F66" s="855" t="s">
        <v>8310</v>
      </c>
      <c r="G66" s="855" t="s">
        <v>8310</v>
      </c>
      <c r="H66" s="855" t="s">
        <v>5944</v>
      </c>
      <c r="I66" s="855" t="s">
        <v>8312</v>
      </c>
      <c r="J66" s="855" t="s">
        <v>8313</v>
      </c>
      <c r="K66" s="855" t="s">
        <v>8310</v>
      </c>
      <c r="L66" s="1028" t="s">
        <v>8314</v>
      </c>
      <c r="M66" s="855" t="s">
        <v>8315</v>
      </c>
      <c r="N66" s="855" t="s">
        <v>8316</v>
      </c>
      <c r="O66" s="773" t="s">
        <v>6548</v>
      </c>
      <c r="P66" s="773" t="s">
        <v>7880</v>
      </c>
      <c r="Q66" s="787" t="s">
        <v>8423</v>
      </c>
      <c r="R66" s="929" t="str">
        <f>VLOOKUP($Q$62,$A$111:$D$122,3,0)</f>
        <v>Tuất</v>
      </c>
      <c r="S66" s="773" t="str">
        <f ca="1">H124</f>
        <v>tỵ</v>
      </c>
      <c r="T66" s="787">
        <v>4</v>
      </c>
      <c r="U66" s="773" t="s">
        <v>8424</v>
      </c>
      <c r="V66" s="773">
        <f t="shared" ca="1" si="50"/>
        <v>0</v>
      </c>
      <c r="W66" s="773">
        <f t="shared" ca="1" si="74"/>
        <v>0</v>
      </c>
      <c r="X66" s="773">
        <f t="shared" ca="1" si="51"/>
        <v>0</v>
      </c>
      <c r="Y66" s="773">
        <f t="shared" ca="1" si="52"/>
        <v>0</v>
      </c>
      <c r="Z66" s="773">
        <f t="shared" ca="1" si="75"/>
        <v>0</v>
      </c>
      <c r="AA66" s="773">
        <f t="shared" ca="1" si="53"/>
        <v>0</v>
      </c>
      <c r="AB66" s="773">
        <f t="shared" ca="1" si="54"/>
        <v>0</v>
      </c>
      <c r="AC66" s="773">
        <f t="shared" ca="1" si="76"/>
        <v>0</v>
      </c>
      <c r="AD66" s="773">
        <f t="shared" ca="1" si="55"/>
        <v>0</v>
      </c>
      <c r="AE66" s="773">
        <f t="shared" ca="1" si="56"/>
        <v>0</v>
      </c>
      <c r="AF66" s="773">
        <f t="shared" ca="1" si="77"/>
        <v>1</v>
      </c>
      <c r="AG66" s="773">
        <f t="shared" ca="1" si="57"/>
        <v>0</v>
      </c>
      <c r="AH66" s="773">
        <f t="shared" ca="1" si="58"/>
        <v>0</v>
      </c>
      <c r="AI66" s="773">
        <f t="shared" ca="1" si="78"/>
        <v>1</v>
      </c>
      <c r="AJ66" s="773">
        <f t="shared" ca="1" si="59"/>
        <v>0</v>
      </c>
      <c r="AK66" s="773">
        <f t="shared" ca="1" si="60"/>
        <v>1</v>
      </c>
      <c r="AL66" s="773">
        <f t="shared" ca="1" si="79"/>
        <v>1</v>
      </c>
      <c r="AM66" s="773">
        <f t="shared" ca="1" si="61"/>
        <v>1</v>
      </c>
      <c r="AN66" s="773">
        <f t="shared" ca="1" si="62"/>
        <v>0</v>
      </c>
      <c r="AO66" s="773">
        <f t="shared" ca="1" si="80"/>
        <v>0</v>
      </c>
      <c r="AP66" s="773">
        <f t="shared" ca="1" si="63"/>
        <v>0</v>
      </c>
      <c r="AQ66" s="773">
        <f t="shared" ca="1" si="64"/>
        <v>0</v>
      </c>
      <c r="AR66" s="773">
        <f t="shared" ca="1" si="81"/>
        <v>0</v>
      </c>
      <c r="AS66" s="773">
        <f t="shared" ca="1" si="65"/>
        <v>0</v>
      </c>
      <c r="AT66" s="773">
        <f t="shared" ca="1" si="66"/>
        <v>0</v>
      </c>
      <c r="AU66" s="773">
        <f t="shared" ca="1" si="82"/>
        <v>0</v>
      </c>
      <c r="AV66" s="773">
        <f t="shared" ca="1" si="67"/>
        <v>0</v>
      </c>
      <c r="AW66" s="773">
        <f t="shared" ca="1" si="68"/>
        <v>0</v>
      </c>
      <c r="AX66" s="773">
        <f t="shared" ca="1" si="83"/>
        <v>0</v>
      </c>
      <c r="AY66" s="773">
        <f t="shared" ca="1" si="69"/>
        <v>0</v>
      </c>
      <c r="AZ66" s="773">
        <f t="shared" ca="1" si="70"/>
        <v>0</v>
      </c>
      <c r="BA66" s="773">
        <f t="shared" ca="1" si="84"/>
        <v>1</v>
      </c>
      <c r="BB66" s="773">
        <f t="shared" ca="1" si="71"/>
        <v>0</v>
      </c>
      <c r="BC66" s="773">
        <f t="shared" ca="1" si="72"/>
        <v>0</v>
      </c>
      <c r="BD66" s="773">
        <f t="shared" ca="1" si="85"/>
        <v>0</v>
      </c>
      <c r="BE66" s="773">
        <f t="shared" ca="1" si="73"/>
        <v>0</v>
      </c>
      <c r="BF66" s="773" t="str">
        <f t="shared" si="86"/>
        <v>Thiên Việt</v>
      </c>
      <c r="BX66" s="773">
        <v>1964</v>
      </c>
      <c r="BY66" s="773" t="s">
        <v>7905</v>
      </c>
    </row>
    <row r="67" spans="1:77" ht="30">
      <c r="A67" s="855" t="s">
        <v>8425</v>
      </c>
      <c r="B67" s="855" t="s">
        <v>8317</v>
      </c>
      <c r="C67" s="855" t="s">
        <v>8318</v>
      </c>
      <c r="D67" s="855" t="s">
        <v>8319</v>
      </c>
      <c r="E67" s="855" t="s">
        <v>8320</v>
      </c>
      <c r="F67" s="855" t="s">
        <v>8321</v>
      </c>
      <c r="G67" s="855" t="s">
        <v>8322</v>
      </c>
      <c r="H67" s="855" t="s">
        <v>4213</v>
      </c>
      <c r="I67" s="855" t="s">
        <v>8323</v>
      </c>
      <c r="J67" s="855" t="s">
        <v>8324</v>
      </c>
      <c r="K67" s="855" t="s">
        <v>8325</v>
      </c>
      <c r="L67" s="1028"/>
      <c r="M67" s="855" t="s">
        <v>6672</v>
      </c>
      <c r="N67" s="855" t="s">
        <v>8326</v>
      </c>
      <c r="O67" s="773" t="s">
        <v>7872</v>
      </c>
      <c r="P67" s="773" t="s">
        <v>7880</v>
      </c>
      <c r="Q67" s="787" t="s">
        <v>8426</v>
      </c>
      <c r="R67" s="929" t="str">
        <f>VLOOKUP($Q$62,$A$111:$D$122,4,0)</f>
        <v>Thân</v>
      </c>
      <c r="S67" s="773" t="str">
        <f ca="1">H81</f>
        <v>Ngọ</v>
      </c>
      <c r="T67" s="787">
        <v>5</v>
      </c>
      <c r="U67" s="773" t="s">
        <v>6570</v>
      </c>
      <c r="V67" s="773">
        <f t="shared" ca="1" si="50"/>
        <v>0</v>
      </c>
      <c r="W67" s="773">
        <f t="shared" ca="1" si="74"/>
        <v>0</v>
      </c>
      <c r="X67" s="773">
        <f t="shared" ca="1" si="51"/>
        <v>0</v>
      </c>
      <c r="Y67" s="773">
        <f t="shared" ca="1" si="52"/>
        <v>0</v>
      </c>
      <c r="Z67" s="773">
        <f t="shared" ca="1" si="75"/>
        <v>0</v>
      </c>
      <c r="AA67" s="773">
        <f t="shared" ca="1" si="53"/>
        <v>0</v>
      </c>
      <c r="AB67" s="773">
        <f t="shared" ca="1" si="54"/>
        <v>0</v>
      </c>
      <c r="AC67" s="773">
        <f t="shared" ca="1" si="76"/>
        <v>0</v>
      </c>
      <c r="AD67" s="773">
        <f t="shared" ca="1" si="55"/>
        <v>0</v>
      </c>
      <c r="AE67" s="773">
        <f t="shared" ca="1" si="56"/>
        <v>0</v>
      </c>
      <c r="AF67" s="773">
        <f t="shared" ca="1" si="77"/>
        <v>1</v>
      </c>
      <c r="AG67" s="773">
        <f t="shared" ca="1" si="57"/>
        <v>0</v>
      </c>
      <c r="AH67" s="773">
        <f t="shared" ca="1" si="58"/>
        <v>0</v>
      </c>
      <c r="AI67" s="773">
        <f t="shared" ca="1" si="78"/>
        <v>1</v>
      </c>
      <c r="AJ67" s="773">
        <f t="shared" ca="1" si="59"/>
        <v>0</v>
      </c>
      <c r="AK67" s="773">
        <f t="shared" ca="1" si="60"/>
        <v>0</v>
      </c>
      <c r="AL67" s="773">
        <f t="shared" ca="1" si="79"/>
        <v>1</v>
      </c>
      <c r="AM67" s="773">
        <f t="shared" ca="1" si="61"/>
        <v>0</v>
      </c>
      <c r="AN67" s="773">
        <f t="shared" ca="1" si="62"/>
        <v>1</v>
      </c>
      <c r="AO67" s="773">
        <f t="shared" ca="1" si="80"/>
        <v>1</v>
      </c>
      <c r="AP67" s="773">
        <f t="shared" ca="1" si="63"/>
        <v>1</v>
      </c>
      <c r="AQ67" s="773">
        <f t="shared" ca="1" si="64"/>
        <v>0</v>
      </c>
      <c r="AR67" s="773">
        <f t="shared" ca="1" si="81"/>
        <v>0</v>
      </c>
      <c r="AS67" s="773">
        <f t="shared" ca="1" si="65"/>
        <v>0</v>
      </c>
      <c r="AT67" s="773">
        <f t="shared" ca="1" si="66"/>
        <v>0</v>
      </c>
      <c r="AU67" s="773">
        <f t="shared" ca="1" si="82"/>
        <v>0</v>
      </c>
      <c r="AV67" s="773">
        <f t="shared" ca="1" si="67"/>
        <v>0</v>
      </c>
      <c r="AW67" s="773">
        <f t="shared" ca="1" si="68"/>
        <v>0</v>
      </c>
      <c r="AX67" s="773">
        <f t="shared" ca="1" si="83"/>
        <v>0</v>
      </c>
      <c r="AY67" s="773">
        <f t="shared" ca="1" si="69"/>
        <v>0</v>
      </c>
      <c r="AZ67" s="773">
        <f t="shared" ca="1" si="70"/>
        <v>0</v>
      </c>
      <c r="BA67" s="773">
        <f t="shared" ca="1" si="84"/>
        <v>1</v>
      </c>
      <c r="BB67" s="773">
        <f t="shared" ca="1" si="71"/>
        <v>0</v>
      </c>
      <c r="BC67" s="773">
        <f t="shared" ca="1" si="72"/>
        <v>0</v>
      </c>
      <c r="BD67" s="773">
        <f t="shared" ca="1" si="85"/>
        <v>0</v>
      </c>
      <c r="BE67" s="773">
        <f t="shared" ca="1" si="73"/>
        <v>0</v>
      </c>
      <c r="BF67" s="773" t="str">
        <f t="shared" si="86"/>
        <v>Văn Xương</v>
      </c>
      <c r="BX67" s="773">
        <v>1965</v>
      </c>
      <c r="BY67" s="773" t="s">
        <v>7906</v>
      </c>
    </row>
    <row r="68" spans="1:77" ht="30">
      <c r="A68" s="806" t="s">
        <v>6548</v>
      </c>
      <c r="B68" s="855" t="s">
        <v>505</v>
      </c>
      <c r="C68" s="855" t="s">
        <v>507</v>
      </c>
      <c r="D68" s="855" t="s">
        <v>9297</v>
      </c>
      <c r="E68" s="855" t="s">
        <v>9298</v>
      </c>
      <c r="F68" s="855" t="s">
        <v>9300</v>
      </c>
      <c r="G68" s="855" t="s">
        <v>505</v>
      </c>
      <c r="H68" s="855" t="s">
        <v>9011</v>
      </c>
      <c r="I68" s="855" t="s">
        <v>506</v>
      </c>
      <c r="J68" s="855" t="s">
        <v>507</v>
      </c>
      <c r="K68" s="855" t="s">
        <v>9297</v>
      </c>
      <c r="L68" s="855" t="s">
        <v>9298</v>
      </c>
      <c r="M68" s="855" t="s">
        <v>9299</v>
      </c>
      <c r="N68" s="855" t="s">
        <v>353</v>
      </c>
      <c r="O68" s="773" t="s">
        <v>7877</v>
      </c>
      <c r="P68" s="773" t="s">
        <v>7875</v>
      </c>
      <c r="Q68" s="787" t="s">
        <v>8427</v>
      </c>
      <c r="R68" s="929" t="str">
        <f>VLOOKUP($Q$63,$A$128:$N$140,5,0)</f>
        <v>Mão</v>
      </c>
      <c r="S68" s="773" t="str">
        <f ca="1">H82</f>
        <v>Thân</v>
      </c>
      <c r="T68" s="787">
        <v>6</v>
      </c>
      <c r="U68" s="773" t="s">
        <v>8290</v>
      </c>
      <c r="V68" s="773">
        <f t="shared" ca="1" si="50"/>
        <v>0</v>
      </c>
      <c r="W68" s="773">
        <f t="shared" ca="1" si="74"/>
        <v>0</v>
      </c>
      <c r="X68" s="773">
        <f t="shared" ca="1" si="51"/>
        <v>0</v>
      </c>
      <c r="Y68" s="773">
        <f t="shared" ca="1" si="52"/>
        <v>0</v>
      </c>
      <c r="Z68" s="773">
        <f t="shared" ca="1" si="75"/>
        <v>0</v>
      </c>
      <c r="AA68" s="773">
        <f t="shared" ca="1" si="53"/>
        <v>0</v>
      </c>
      <c r="AB68" s="773">
        <f t="shared" ca="1" si="54"/>
        <v>0</v>
      </c>
      <c r="AC68" s="773">
        <f t="shared" ca="1" si="76"/>
        <v>0</v>
      </c>
      <c r="AD68" s="773">
        <f t="shared" ca="1" si="55"/>
        <v>0</v>
      </c>
      <c r="AE68" s="773">
        <f t="shared" ca="1" si="56"/>
        <v>0</v>
      </c>
      <c r="AF68" s="773">
        <f t="shared" ca="1" si="77"/>
        <v>1</v>
      </c>
      <c r="AG68" s="773">
        <f t="shared" ca="1" si="57"/>
        <v>0</v>
      </c>
      <c r="AH68" s="773">
        <f t="shared" ca="1" si="58"/>
        <v>0</v>
      </c>
      <c r="AI68" s="773">
        <f t="shared" ca="1" si="78"/>
        <v>1</v>
      </c>
      <c r="AJ68" s="773">
        <f t="shared" ca="1" si="59"/>
        <v>0</v>
      </c>
      <c r="AK68" s="773">
        <f t="shared" ca="1" si="60"/>
        <v>0</v>
      </c>
      <c r="AL68" s="773">
        <f t="shared" ca="1" si="79"/>
        <v>1</v>
      </c>
      <c r="AM68" s="773">
        <f t="shared" ca="1" si="61"/>
        <v>0</v>
      </c>
      <c r="AN68" s="773">
        <f t="shared" ca="1" si="62"/>
        <v>0</v>
      </c>
      <c r="AO68" s="773">
        <f t="shared" ca="1" si="80"/>
        <v>1</v>
      </c>
      <c r="AP68" s="773">
        <f t="shared" ca="1" si="63"/>
        <v>0</v>
      </c>
      <c r="AQ68" s="773">
        <f t="shared" ca="1" si="64"/>
        <v>0</v>
      </c>
      <c r="AR68" s="773">
        <f t="shared" ca="1" si="81"/>
        <v>0</v>
      </c>
      <c r="AS68" s="773">
        <f t="shared" ca="1" si="65"/>
        <v>0</v>
      </c>
      <c r="AT68" s="773">
        <f t="shared" ca="1" si="66"/>
        <v>1</v>
      </c>
      <c r="AU68" s="773">
        <f t="shared" ca="1" si="82"/>
        <v>1</v>
      </c>
      <c r="AV68" s="773">
        <f t="shared" ca="1" si="67"/>
        <v>1</v>
      </c>
      <c r="AW68" s="773">
        <f t="shared" ca="1" si="68"/>
        <v>0</v>
      </c>
      <c r="AX68" s="773">
        <f t="shared" ca="1" si="83"/>
        <v>0</v>
      </c>
      <c r="AY68" s="773">
        <f t="shared" ca="1" si="69"/>
        <v>0</v>
      </c>
      <c r="AZ68" s="773">
        <f t="shared" ca="1" si="70"/>
        <v>0</v>
      </c>
      <c r="BA68" s="773">
        <f t="shared" ca="1" si="84"/>
        <v>1</v>
      </c>
      <c r="BB68" s="773">
        <f t="shared" ca="1" si="71"/>
        <v>0</v>
      </c>
      <c r="BC68" s="773">
        <f t="shared" ca="1" si="72"/>
        <v>0</v>
      </c>
      <c r="BD68" s="773">
        <f t="shared" ca="1" si="85"/>
        <v>0</v>
      </c>
      <c r="BE68" s="773">
        <f t="shared" ca="1" si="73"/>
        <v>0</v>
      </c>
      <c r="BF68" s="773" t="str">
        <f t="shared" si="86"/>
        <v>Văn Khúc</v>
      </c>
      <c r="BX68" s="773">
        <v>1966</v>
      </c>
      <c r="BY68" s="773" t="s">
        <v>7907</v>
      </c>
    </row>
    <row r="69" spans="1:77" ht="15">
      <c r="A69" s="806" t="s">
        <v>7875</v>
      </c>
      <c r="B69" s="855" t="s">
        <v>9011</v>
      </c>
      <c r="C69" s="855" t="s">
        <v>9297</v>
      </c>
      <c r="D69" s="855" t="s">
        <v>9298</v>
      </c>
      <c r="E69" s="855" t="s">
        <v>9299</v>
      </c>
      <c r="F69" s="855" t="s">
        <v>1402</v>
      </c>
      <c r="G69" s="855" t="s">
        <v>1399</v>
      </c>
      <c r="H69" s="855" t="s">
        <v>505</v>
      </c>
      <c r="I69" s="855" t="s">
        <v>9011</v>
      </c>
      <c r="J69" s="855" t="s">
        <v>506</v>
      </c>
      <c r="K69" s="855" t="s">
        <v>507</v>
      </c>
      <c r="L69" s="855" t="s">
        <v>9297</v>
      </c>
      <c r="M69" s="855" t="s">
        <v>9298</v>
      </c>
      <c r="N69" s="855" t="s">
        <v>9301</v>
      </c>
      <c r="O69" s="773" t="s">
        <v>7873</v>
      </c>
      <c r="P69" s="773" t="s">
        <v>7875</v>
      </c>
      <c r="Q69" s="787" t="s">
        <v>8428</v>
      </c>
      <c r="R69" s="929" t="str">
        <f>VLOOKUP($Q$63,$A$128:$N$140,6,0)</f>
        <v>Dậu</v>
      </c>
      <c r="S69" s="773" t="str">
        <f ca="1">B124</f>
        <v>Hợi</v>
      </c>
      <c r="T69" s="787">
        <v>7</v>
      </c>
      <c r="U69" s="773" t="s">
        <v>8429</v>
      </c>
      <c r="V69" s="773">
        <f t="shared" ca="1" si="50"/>
        <v>0</v>
      </c>
      <c r="W69" s="773">
        <f t="shared" ca="1" si="74"/>
        <v>0</v>
      </c>
      <c r="X69" s="773">
        <f t="shared" ca="1" si="51"/>
        <v>0</v>
      </c>
      <c r="Y69" s="773">
        <f t="shared" ca="1" si="52"/>
        <v>0</v>
      </c>
      <c r="Z69" s="773">
        <f t="shared" ca="1" si="75"/>
        <v>0</v>
      </c>
      <c r="AA69" s="773">
        <f t="shared" ca="1" si="53"/>
        <v>0</v>
      </c>
      <c r="AB69" s="773">
        <f t="shared" ca="1" si="54"/>
        <v>0</v>
      </c>
      <c r="AC69" s="773">
        <f t="shared" ca="1" si="76"/>
        <v>0</v>
      </c>
      <c r="AD69" s="773">
        <f t="shared" ca="1" si="55"/>
        <v>0</v>
      </c>
      <c r="AE69" s="773">
        <f t="shared" ca="1" si="56"/>
        <v>0</v>
      </c>
      <c r="AF69" s="773">
        <f t="shared" ca="1" si="77"/>
        <v>1</v>
      </c>
      <c r="AG69" s="773">
        <f t="shared" ca="1" si="57"/>
        <v>0</v>
      </c>
      <c r="AH69" s="773">
        <f t="shared" ca="1" si="58"/>
        <v>0</v>
      </c>
      <c r="AI69" s="773">
        <f t="shared" ca="1" si="78"/>
        <v>1</v>
      </c>
      <c r="AJ69" s="773">
        <f t="shared" ca="1" si="59"/>
        <v>0</v>
      </c>
      <c r="AK69" s="773">
        <f t="shared" ca="1" si="60"/>
        <v>0</v>
      </c>
      <c r="AL69" s="773">
        <f t="shared" ca="1" si="79"/>
        <v>1</v>
      </c>
      <c r="AM69" s="773">
        <f t="shared" ca="1" si="61"/>
        <v>0</v>
      </c>
      <c r="AN69" s="773">
        <f t="shared" ca="1" si="62"/>
        <v>0</v>
      </c>
      <c r="AO69" s="773">
        <f t="shared" ca="1" si="80"/>
        <v>1</v>
      </c>
      <c r="AP69" s="773">
        <f t="shared" ca="1" si="63"/>
        <v>0</v>
      </c>
      <c r="AQ69" s="773">
        <f t="shared" ca="1" si="64"/>
        <v>0</v>
      </c>
      <c r="AR69" s="773">
        <f t="shared" ca="1" si="81"/>
        <v>0</v>
      </c>
      <c r="AS69" s="773">
        <f t="shared" ca="1" si="65"/>
        <v>0</v>
      </c>
      <c r="AT69" s="773">
        <f t="shared" ca="1" si="66"/>
        <v>0</v>
      </c>
      <c r="AU69" s="773">
        <f t="shared" ca="1" si="82"/>
        <v>1</v>
      </c>
      <c r="AV69" s="773">
        <f t="shared" ca="1" si="67"/>
        <v>0</v>
      </c>
      <c r="AW69" s="773">
        <f t="shared" ca="1" si="68"/>
        <v>0</v>
      </c>
      <c r="AX69" s="773">
        <f t="shared" ca="1" si="83"/>
        <v>0</v>
      </c>
      <c r="AY69" s="773">
        <f t="shared" ca="1" si="69"/>
        <v>0</v>
      </c>
      <c r="AZ69" s="773">
        <f t="shared" ca="1" si="70"/>
        <v>0</v>
      </c>
      <c r="BA69" s="773">
        <f t="shared" ca="1" si="84"/>
        <v>1</v>
      </c>
      <c r="BB69" s="773">
        <f t="shared" ca="1" si="71"/>
        <v>0</v>
      </c>
      <c r="BC69" s="773">
        <f t="shared" ca="1" si="72"/>
        <v>1</v>
      </c>
      <c r="BD69" s="773">
        <f t="shared" ca="1" si="85"/>
        <v>1</v>
      </c>
      <c r="BE69" s="773">
        <f t="shared" ca="1" si="73"/>
        <v>1</v>
      </c>
      <c r="BF69" s="773" t="str">
        <f t="shared" si="86"/>
        <v>Lộc Tồn</v>
      </c>
      <c r="BX69" s="773">
        <v>1967</v>
      </c>
      <c r="BY69" s="773" t="s">
        <v>7908</v>
      </c>
    </row>
    <row r="70" spans="1:77" ht="15">
      <c r="A70" s="806" t="s">
        <v>7874</v>
      </c>
      <c r="B70" s="855" t="s">
        <v>506</v>
      </c>
      <c r="C70" s="855" t="s">
        <v>9298</v>
      </c>
      <c r="D70" s="855" t="s">
        <v>9299</v>
      </c>
      <c r="E70" s="855" t="s">
        <v>9300</v>
      </c>
      <c r="F70" s="855" t="s">
        <v>9301</v>
      </c>
      <c r="G70" s="855" t="s">
        <v>353</v>
      </c>
      <c r="H70" s="855" t="s">
        <v>1399</v>
      </c>
      <c r="I70" s="855" t="s">
        <v>505</v>
      </c>
      <c r="J70" s="855" t="s">
        <v>9011</v>
      </c>
      <c r="K70" s="855" t="s">
        <v>506</v>
      </c>
      <c r="L70" s="855" t="s">
        <v>507</v>
      </c>
      <c r="M70" s="855" t="s">
        <v>9297</v>
      </c>
      <c r="N70" s="855" t="s">
        <v>1402</v>
      </c>
      <c r="O70" s="773" t="s">
        <v>7882</v>
      </c>
      <c r="P70" s="773" t="s">
        <v>7875</v>
      </c>
      <c r="Q70" s="787" t="s">
        <v>8430</v>
      </c>
      <c r="R70" s="929" t="str">
        <f>VLOOKUP($Q$63,$A$128:$N$140,14,0)</f>
        <v>tỵ</v>
      </c>
      <c r="S70" s="773" t="str">
        <f ca="1">N125</f>
        <v>Thìn</v>
      </c>
      <c r="T70" s="787">
        <v>8</v>
      </c>
      <c r="U70" s="773" t="s">
        <v>8431</v>
      </c>
      <c r="V70" s="773">
        <f t="shared" ca="1" si="50"/>
        <v>0</v>
      </c>
      <c r="W70" s="773">
        <f t="shared" ca="1" si="74"/>
        <v>0</v>
      </c>
      <c r="X70" s="773">
        <f t="shared" ca="1" si="51"/>
        <v>0</v>
      </c>
      <c r="Y70" s="773">
        <f t="shared" ca="1" si="52"/>
        <v>0</v>
      </c>
      <c r="Z70" s="773">
        <f t="shared" ca="1" si="75"/>
        <v>0</v>
      </c>
      <c r="AA70" s="773">
        <f t="shared" ca="1" si="53"/>
        <v>0</v>
      </c>
      <c r="AB70" s="773">
        <f t="shared" ca="1" si="54"/>
        <v>0</v>
      </c>
      <c r="AC70" s="773">
        <f t="shared" ca="1" si="76"/>
        <v>0</v>
      </c>
      <c r="AD70" s="773">
        <f t="shared" ca="1" si="55"/>
        <v>0</v>
      </c>
      <c r="AE70" s="773">
        <f t="shared" ca="1" si="56"/>
        <v>0</v>
      </c>
      <c r="AF70" s="773">
        <f t="shared" ca="1" si="77"/>
        <v>1</v>
      </c>
      <c r="AG70" s="773">
        <f t="shared" ca="1" si="57"/>
        <v>0</v>
      </c>
      <c r="AH70" s="773">
        <f t="shared" ca="1" si="58"/>
        <v>1</v>
      </c>
      <c r="AI70" s="773">
        <f t="shared" ca="1" si="78"/>
        <v>2</v>
      </c>
      <c r="AJ70" s="773">
        <f t="shared" ca="1" si="59"/>
        <v>2</v>
      </c>
      <c r="AK70" s="773">
        <f t="shared" ca="1" si="60"/>
        <v>0</v>
      </c>
      <c r="AL70" s="773">
        <f t="shared" ca="1" si="79"/>
        <v>1</v>
      </c>
      <c r="AM70" s="773">
        <f t="shared" ca="1" si="61"/>
        <v>0</v>
      </c>
      <c r="AN70" s="773">
        <f t="shared" ca="1" si="62"/>
        <v>0</v>
      </c>
      <c r="AO70" s="773">
        <f t="shared" ca="1" si="80"/>
        <v>1</v>
      </c>
      <c r="AP70" s="773">
        <f t="shared" ca="1" si="63"/>
        <v>0</v>
      </c>
      <c r="AQ70" s="773">
        <f t="shared" ca="1" si="64"/>
        <v>0</v>
      </c>
      <c r="AR70" s="773">
        <f t="shared" ca="1" si="81"/>
        <v>0</v>
      </c>
      <c r="AS70" s="773">
        <f t="shared" ca="1" si="65"/>
        <v>0</v>
      </c>
      <c r="AT70" s="773">
        <f t="shared" ca="1" si="66"/>
        <v>0</v>
      </c>
      <c r="AU70" s="773">
        <f t="shared" ca="1" si="82"/>
        <v>1</v>
      </c>
      <c r="AV70" s="773">
        <f t="shared" ca="1" si="67"/>
        <v>0</v>
      </c>
      <c r="AW70" s="773">
        <f t="shared" ca="1" si="68"/>
        <v>0</v>
      </c>
      <c r="AX70" s="773">
        <f t="shared" ca="1" si="83"/>
        <v>0</v>
      </c>
      <c r="AY70" s="773">
        <f t="shared" ca="1" si="69"/>
        <v>0</v>
      </c>
      <c r="AZ70" s="773">
        <f t="shared" ca="1" si="70"/>
        <v>0</v>
      </c>
      <c r="BA70" s="773">
        <f t="shared" ca="1" si="84"/>
        <v>1</v>
      </c>
      <c r="BB70" s="773">
        <f t="shared" ca="1" si="71"/>
        <v>0</v>
      </c>
      <c r="BC70" s="773">
        <f t="shared" ca="1" si="72"/>
        <v>0</v>
      </c>
      <c r="BD70" s="773">
        <f t="shared" ca="1" si="85"/>
        <v>1</v>
      </c>
      <c r="BE70" s="773">
        <f t="shared" ca="1" si="73"/>
        <v>0</v>
      </c>
      <c r="BF70" s="773" t="str">
        <f t="shared" si="86"/>
        <v>Hóa Lộc</v>
      </c>
      <c r="BX70" s="773">
        <v>1968</v>
      </c>
      <c r="BY70" s="773" t="s">
        <v>7909</v>
      </c>
    </row>
    <row r="71" spans="1:77" ht="15">
      <c r="A71" s="806" t="s">
        <v>7873</v>
      </c>
      <c r="B71" s="855" t="s">
        <v>507</v>
      </c>
      <c r="C71" s="855" t="s">
        <v>9299</v>
      </c>
      <c r="D71" s="855" t="s">
        <v>9300</v>
      </c>
      <c r="E71" s="855" t="s">
        <v>1402</v>
      </c>
      <c r="F71" s="855" t="s">
        <v>353</v>
      </c>
      <c r="G71" s="855" t="s">
        <v>9301</v>
      </c>
      <c r="H71" s="855" t="s">
        <v>353</v>
      </c>
      <c r="I71" s="855" t="s">
        <v>1399</v>
      </c>
      <c r="J71" s="855" t="s">
        <v>505</v>
      </c>
      <c r="K71" s="855" t="s">
        <v>9011</v>
      </c>
      <c r="L71" s="855" t="s">
        <v>506</v>
      </c>
      <c r="M71" s="855" t="s">
        <v>507</v>
      </c>
      <c r="N71" s="855" t="s">
        <v>9300</v>
      </c>
      <c r="O71" s="773" t="s">
        <v>7871</v>
      </c>
      <c r="P71" s="773" t="s">
        <v>7882</v>
      </c>
      <c r="Q71" s="787" t="s">
        <v>8432</v>
      </c>
      <c r="R71" s="929" t="str">
        <f>VLOOKUP($Q$63,$A$187:$J$200,4,0)</f>
        <v>tỵ</v>
      </c>
      <c r="S71" s="773" t="str">
        <f ca="1">B95</f>
        <v>Thìn</v>
      </c>
      <c r="T71" s="787">
        <v>9</v>
      </c>
      <c r="U71" s="773" t="s">
        <v>8292</v>
      </c>
      <c r="V71" s="773">
        <f t="shared" ca="1" si="50"/>
        <v>0</v>
      </c>
      <c r="W71" s="773">
        <f t="shared" ca="1" si="74"/>
        <v>0</v>
      </c>
      <c r="X71" s="773">
        <f t="shared" ca="1" si="51"/>
        <v>0</v>
      </c>
      <c r="Y71" s="773">
        <f t="shared" ca="1" si="52"/>
        <v>0</v>
      </c>
      <c r="Z71" s="773">
        <f t="shared" ca="1" si="75"/>
        <v>0</v>
      </c>
      <c r="AA71" s="773">
        <f t="shared" ca="1" si="53"/>
        <v>0</v>
      </c>
      <c r="AB71" s="773">
        <f t="shared" ca="1" si="54"/>
        <v>0</v>
      </c>
      <c r="AC71" s="773">
        <f t="shared" ca="1" si="76"/>
        <v>0</v>
      </c>
      <c r="AD71" s="773">
        <f t="shared" ca="1" si="55"/>
        <v>0</v>
      </c>
      <c r="AE71" s="773">
        <f t="shared" ca="1" si="56"/>
        <v>0</v>
      </c>
      <c r="AF71" s="773">
        <f t="shared" ca="1" si="77"/>
        <v>1</v>
      </c>
      <c r="AG71" s="773">
        <f t="shared" ca="1" si="57"/>
        <v>0</v>
      </c>
      <c r="AH71" s="773">
        <f t="shared" ca="1" si="58"/>
        <v>1</v>
      </c>
      <c r="AI71" s="773">
        <f t="shared" ca="1" si="78"/>
        <v>3</v>
      </c>
      <c r="AJ71" s="773">
        <f t="shared" ca="1" si="59"/>
        <v>3</v>
      </c>
      <c r="AK71" s="773">
        <f t="shared" ca="1" si="60"/>
        <v>0</v>
      </c>
      <c r="AL71" s="773">
        <f t="shared" ca="1" si="79"/>
        <v>1</v>
      </c>
      <c r="AM71" s="773">
        <f t="shared" ca="1" si="61"/>
        <v>0</v>
      </c>
      <c r="AN71" s="773">
        <f t="shared" ca="1" si="62"/>
        <v>0</v>
      </c>
      <c r="AO71" s="773">
        <f t="shared" ca="1" si="80"/>
        <v>1</v>
      </c>
      <c r="AP71" s="773">
        <f t="shared" ca="1" si="63"/>
        <v>0</v>
      </c>
      <c r="AQ71" s="773">
        <f t="shared" ca="1" si="64"/>
        <v>0</v>
      </c>
      <c r="AR71" s="773">
        <f t="shared" ca="1" si="81"/>
        <v>0</v>
      </c>
      <c r="AS71" s="773">
        <f t="shared" ca="1" si="65"/>
        <v>0</v>
      </c>
      <c r="AT71" s="773">
        <f t="shared" ca="1" si="66"/>
        <v>0</v>
      </c>
      <c r="AU71" s="773">
        <f t="shared" ca="1" si="82"/>
        <v>1</v>
      </c>
      <c r="AV71" s="773">
        <f t="shared" ca="1" si="67"/>
        <v>0</v>
      </c>
      <c r="AW71" s="773">
        <f t="shared" ca="1" si="68"/>
        <v>0</v>
      </c>
      <c r="AX71" s="773">
        <f t="shared" ca="1" si="83"/>
        <v>0</v>
      </c>
      <c r="AY71" s="773">
        <f t="shared" ca="1" si="69"/>
        <v>0</v>
      </c>
      <c r="AZ71" s="773">
        <f t="shared" ca="1" si="70"/>
        <v>0</v>
      </c>
      <c r="BA71" s="773">
        <f t="shared" ca="1" si="84"/>
        <v>1</v>
      </c>
      <c r="BB71" s="773">
        <f t="shared" ca="1" si="71"/>
        <v>0</v>
      </c>
      <c r="BC71" s="773">
        <f t="shared" ca="1" si="72"/>
        <v>0</v>
      </c>
      <c r="BD71" s="773">
        <f t="shared" ca="1" si="85"/>
        <v>1</v>
      </c>
      <c r="BE71" s="773">
        <f t="shared" ca="1" si="73"/>
        <v>0</v>
      </c>
      <c r="BF71" s="773" t="str">
        <f t="shared" si="86"/>
        <v>Tả Phù</v>
      </c>
      <c r="BX71" s="773">
        <v>1969</v>
      </c>
      <c r="BY71" s="773" t="s">
        <v>7910</v>
      </c>
    </row>
    <row r="72" spans="1:77" ht="30">
      <c r="A72" s="806" t="s">
        <v>7872</v>
      </c>
      <c r="B72" s="855" t="s">
        <v>9297</v>
      </c>
      <c r="C72" s="855" t="s">
        <v>9300</v>
      </c>
      <c r="D72" s="855" t="s">
        <v>1402</v>
      </c>
      <c r="E72" s="855" t="s">
        <v>9301</v>
      </c>
      <c r="F72" s="855" t="s">
        <v>1399</v>
      </c>
      <c r="G72" s="855" t="s">
        <v>1402</v>
      </c>
      <c r="H72" s="855" t="s">
        <v>9301</v>
      </c>
      <c r="I72" s="855" t="s">
        <v>353</v>
      </c>
      <c r="J72" s="855" t="s">
        <v>1399</v>
      </c>
      <c r="K72" s="855" t="s">
        <v>505</v>
      </c>
      <c r="L72" s="855" t="s">
        <v>9011</v>
      </c>
      <c r="M72" s="855" t="s">
        <v>506</v>
      </c>
      <c r="N72" s="855" t="s">
        <v>9299</v>
      </c>
      <c r="O72" s="773" t="s">
        <v>7886</v>
      </c>
      <c r="P72" s="773" t="s">
        <v>7882</v>
      </c>
      <c r="Q72" s="787" t="s">
        <v>8433</v>
      </c>
      <c r="R72" s="929" t="str">
        <f>VLOOKUP($Q$63,$A$187:$J$200,10,0)</f>
        <v>Hợi</v>
      </c>
      <c r="S72" s="773" t="str">
        <f ca="1">C95</f>
        <v>Tuất</v>
      </c>
      <c r="T72" s="787">
        <v>10</v>
      </c>
      <c r="U72" s="773" t="s">
        <v>8300</v>
      </c>
      <c r="V72" s="773">
        <f t="shared" ca="1" si="50"/>
        <v>0</v>
      </c>
      <c r="W72" s="773">
        <f t="shared" ca="1" si="74"/>
        <v>0</v>
      </c>
      <c r="X72" s="773">
        <f t="shared" ca="1" si="51"/>
        <v>0</v>
      </c>
      <c r="Y72" s="773">
        <f t="shared" ca="1" si="52"/>
        <v>0</v>
      </c>
      <c r="Z72" s="773">
        <f t="shared" ca="1" si="75"/>
        <v>0</v>
      </c>
      <c r="AA72" s="773">
        <f t="shared" ca="1" si="53"/>
        <v>0</v>
      </c>
      <c r="AB72" s="773">
        <f t="shared" ca="1" si="54"/>
        <v>0</v>
      </c>
      <c r="AC72" s="773">
        <f t="shared" ca="1" si="76"/>
        <v>0</v>
      </c>
      <c r="AD72" s="773">
        <f t="shared" ca="1" si="55"/>
        <v>0</v>
      </c>
      <c r="AE72" s="773">
        <f t="shared" ca="1" si="56"/>
        <v>0</v>
      </c>
      <c r="AF72" s="773">
        <f t="shared" ca="1" si="77"/>
        <v>1</v>
      </c>
      <c r="AG72" s="773">
        <f t="shared" ca="1" si="57"/>
        <v>0</v>
      </c>
      <c r="AH72" s="773">
        <f t="shared" ca="1" si="58"/>
        <v>0</v>
      </c>
      <c r="AI72" s="773">
        <f t="shared" ca="1" si="78"/>
        <v>3</v>
      </c>
      <c r="AJ72" s="773">
        <f t="shared" ca="1" si="59"/>
        <v>0</v>
      </c>
      <c r="AK72" s="773">
        <f t="shared" ca="1" si="60"/>
        <v>0</v>
      </c>
      <c r="AL72" s="773">
        <f t="shared" ca="1" si="79"/>
        <v>1</v>
      </c>
      <c r="AM72" s="773">
        <f t="shared" ca="1" si="61"/>
        <v>0</v>
      </c>
      <c r="AN72" s="773">
        <f t="shared" ca="1" si="62"/>
        <v>0</v>
      </c>
      <c r="AO72" s="773">
        <f t="shared" ca="1" si="80"/>
        <v>1</v>
      </c>
      <c r="AP72" s="773">
        <f t="shared" ca="1" si="63"/>
        <v>0</v>
      </c>
      <c r="AQ72" s="773">
        <f t="shared" ca="1" si="64"/>
        <v>0</v>
      </c>
      <c r="AR72" s="773">
        <f t="shared" ca="1" si="81"/>
        <v>0</v>
      </c>
      <c r="AS72" s="773">
        <f t="shared" ca="1" si="65"/>
        <v>0</v>
      </c>
      <c r="AT72" s="773">
        <f t="shared" ca="1" si="66"/>
        <v>0</v>
      </c>
      <c r="AU72" s="773">
        <f t="shared" ca="1" si="82"/>
        <v>1</v>
      </c>
      <c r="AV72" s="773">
        <f t="shared" ca="1" si="67"/>
        <v>0</v>
      </c>
      <c r="AW72" s="773">
        <f t="shared" ca="1" si="68"/>
        <v>0</v>
      </c>
      <c r="AX72" s="773">
        <f t="shared" ca="1" si="83"/>
        <v>0</v>
      </c>
      <c r="AY72" s="773">
        <f t="shared" ca="1" si="69"/>
        <v>0</v>
      </c>
      <c r="AZ72" s="773">
        <f t="shared" ca="1" si="70"/>
        <v>1</v>
      </c>
      <c r="BA72" s="773">
        <f t="shared" ca="1" si="84"/>
        <v>2</v>
      </c>
      <c r="BB72" s="773">
        <f t="shared" ca="1" si="71"/>
        <v>2</v>
      </c>
      <c r="BC72" s="773">
        <f t="shared" ca="1" si="72"/>
        <v>0</v>
      </c>
      <c r="BD72" s="773">
        <f t="shared" ca="1" si="85"/>
        <v>1</v>
      </c>
      <c r="BE72" s="773">
        <f t="shared" ca="1" si="73"/>
        <v>0</v>
      </c>
      <c r="BF72" s="773" t="str">
        <f t="shared" si="86"/>
        <v>Hữu Bật</v>
      </c>
      <c r="BX72" s="773">
        <v>1970</v>
      </c>
      <c r="BY72" s="773" t="s">
        <v>7913</v>
      </c>
    </row>
    <row r="73" spans="1:77" ht="15">
      <c r="A73" s="806" t="s">
        <v>7871</v>
      </c>
      <c r="B73" s="855" t="s">
        <v>9298</v>
      </c>
      <c r="C73" s="855" t="s">
        <v>1402</v>
      </c>
      <c r="D73" s="855" t="s">
        <v>9301</v>
      </c>
      <c r="E73" s="855" t="s">
        <v>353</v>
      </c>
      <c r="F73" s="855" t="s">
        <v>505</v>
      </c>
      <c r="G73" s="855" t="s">
        <v>9300</v>
      </c>
      <c r="H73" s="855" t="s">
        <v>1402</v>
      </c>
      <c r="I73" s="855" t="s">
        <v>9301</v>
      </c>
      <c r="J73" s="855" t="s">
        <v>353</v>
      </c>
      <c r="K73" s="855" t="s">
        <v>1399</v>
      </c>
      <c r="L73" s="855" t="s">
        <v>505</v>
      </c>
      <c r="M73" s="855" t="s">
        <v>9011</v>
      </c>
      <c r="N73" s="855" t="s">
        <v>9298</v>
      </c>
      <c r="O73" s="773" t="s">
        <v>7875</v>
      </c>
      <c r="P73" s="773" t="s">
        <v>7882</v>
      </c>
      <c r="S73" s="773" t="str">
        <f ca="1">O125</f>
        <v>tỵ</v>
      </c>
      <c r="T73" s="787">
        <v>11</v>
      </c>
      <c r="U73" s="773" t="s">
        <v>8434</v>
      </c>
      <c r="V73" s="773">
        <f t="shared" ca="1" si="50"/>
        <v>0</v>
      </c>
      <c r="W73" s="773">
        <f t="shared" ca="1" si="74"/>
        <v>0</v>
      </c>
      <c r="X73" s="773">
        <f t="shared" ca="1" si="51"/>
        <v>0</v>
      </c>
      <c r="Y73" s="773">
        <f t="shared" ca="1" si="52"/>
        <v>0</v>
      </c>
      <c r="Z73" s="773">
        <f t="shared" ca="1" si="75"/>
        <v>0</v>
      </c>
      <c r="AA73" s="773">
        <f t="shared" ca="1" si="53"/>
        <v>0</v>
      </c>
      <c r="AB73" s="773">
        <f t="shared" ca="1" si="54"/>
        <v>0</v>
      </c>
      <c r="AC73" s="773">
        <f t="shared" ca="1" si="76"/>
        <v>0</v>
      </c>
      <c r="AD73" s="773">
        <f t="shared" ca="1" si="55"/>
        <v>0</v>
      </c>
      <c r="AE73" s="773">
        <f t="shared" ca="1" si="56"/>
        <v>0</v>
      </c>
      <c r="AF73" s="773">
        <f t="shared" ca="1" si="77"/>
        <v>1</v>
      </c>
      <c r="AG73" s="773">
        <f t="shared" ca="1" si="57"/>
        <v>0</v>
      </c>
      <c r="AH73" s="773">
        <f t="shared" ca="1" si="58"/>
        <v>0</v>
      </c>
      <c r="AI73" s="773">
        <f t="shared" ca="1" si="78"/>
        <v>3</v>
      </c>
      <c r="AJ73" s="773">
        <f t="shared" ca="1" si="59"/>
        <v>0</v>
      </c>
      <c r="AK73" s="773">
        <f t="shared" ca="1" si="60"/>
        <v>1</v>
      </c>
      <c r="AL73" s="773">
        <f t="shared" ca="1" si="79"/>
        <v>2</v>
      </c>
      <c r="AM73" s="773">
        <f t="shared" ca="1" si="61"/>
        <v>2</v>
      </c>
      <c r="AN73" s="773">
        <f t="shared" ca="1" si="62"/>
        <v>0</v>
      </c>
      <c r="AO73" s="773">
        <f t="shared" ca="1" si="80"/>
        <v>1</v>
      </c>
      <c r="AP73" s="773">
        <f t="shared" ca="1" si="63"/>
        <v>0</v>
      </c>
      <c r="AQ73" s="773">
        <f t="shared" ca="1" si="64"/>
        <v>0</v>
      </c>
      <c r="AR73" s="773">
        <f t="shared" ca="1" si="81"/>
        <v>0</v>
      </c>
      <c r="AS73" s="773">
        <f t="shared" ca="1" si="65"/>
        <v>0</v>
      </c>
      <c r="AT73" s="773">
        <f t="shared" ca="1" si="66"/>
        <v>0</v>
      </c>
      <c r="AU73" s="773">
        <f t="shared" ca="1" si="82"/>
        <v>1</v>
      </c>
      <c r="AV73" s="773">
        <f t="shared" ca="1" si="67"/>
        <v>0</v>
      </c>
      <c r="AW73" s="773">
        <f t="shared" ca="1" si="68"/>
        <v>0</v>
      </c>
      <c r="AX73" s="773">
        <f t="shared" ca="1" si="83"/>
        <v>0</v>
      </c>
      <c r="AY73" s="773">
        <f t="shared" ca="1" si="69"/>
        <v>0</v>
      </c>
      <c r="AZ73" s="773">
        <f t="shared" ca="1" si="70"/>
        <v>0</v>
      </c>
      <c r="BA73" s="773">
        <f t="shared" ca="1" si="84"/>
        <v>2</v>
      </c>
      <c r="BB73" s="773">
        <f t="shared" ca="1" si="71"/>
        <v>0</v>
      </c>
      <c r="BC73" s="773">
        <f t="shared" ca="1" si="72"/>
        <v>0</v>
      </c>
      <c r="BD73" s="773">
        <f t="shared" ca="1" si="85"/>
        <v>1</v>
      </c>
      <c r="BE73" s="773">
        <f t="shared" ca="1" si="73"/>
        <v>0</v>
      </c>
      <c r="BF73" s="773" t="str">
        <f t="shared" si="86"/>
        <v>Hóa Quyền</v>
      </c>
      <c r="BX73" s="773">
        <v>1971</v>
      </c>
      <c r="BY73" s="773" t="s">
        <v>7914</v>
      </c>
    </row>
    <row r="74" spans="1:77" ht="15">
      <c r="A74" s="806" t="s">
        <v>7883</v>
      </c>
      <c r="B74" s="855" t="s">
        <v>9299</v>
      </c>
      <c r="C74" s="855" t="s">
        <v>9301</v>
      </c>
      <c r="D74" s="855" t="s">
        <v>353</v>
      </c>
      <c r="E74" s="855" t="s">
        <v>1399</v>
      </c>
      <c r="F74" s="855" t="s">
        <v>9011</v>
      </c>
      <c r="G74" s="855" t="s">
        <v>9299</v>
      </c>
      <c r="H74" s="855" t="s">
        <v>9300</v>
      </c>
      <c r="I74" s="855" t="s">
        <v>1402</v>
      </c>
      <c r="J74" s="855" t="s">
        <v>9301</v>
      </c>
      <c r="K74" s="855" t="s">
        <v>353</v>
      </c>
      <c r="L74" s="855" t="s">
        <v>1399</v>
      </c>
      <c r="M74" s="855" t="s">
        <v>505</v>
      </c>
      <c r="N74" s="855" t="s">
        <v>9297</v>
      </c>
      <c r="S74" s="773" t="str">
        <f ca="1">P125</f>
        <v>Thìn</v>
      </c>
      <c r="T74" s="787">
        <v>12</v>
      </c>
      <c r="U74" s="773" t="s">
        <v>8435</v>
      </c>
      <c r="V74" s="773">
        <f t="shared" ca="1" si="50"/>
        <v>0</v>
      </c>
      <c r="W74" s="773">
        <f t="shared" ca="1" si="74"/>
        <v>0</v>
      </c>
      <c r="X74" s="773">
        <f t="shared" ca="1" si="51"/>
        <v>0</v>
      </c>
      <c r="Y74" s="773">
        <f t="shared" ca="1" si="52"/>
        <v>0</v>
      </c>
      <c r="Z74" s="773">
        <f t="shared" ca="1" si="75"/>
        <v>0</v>
      </c>
      <c r="AA74" s="773">
        <f t="shared" ca="1" si="53"/>
        <v>0</v>
      </c>
      <c r="AB74" s="773">
        <f t="shared" ca="1" si="54"/>
        <v>0</v>
      </c>
      <c r="AC74" s="773">
        <f t="shared" ca="1" si="76"/>
        <v>0</v>
      </c>
      <c r="AD74" s="773">
        <f t="shared" ca="1" si="55"/>
        <v>0</v>
      </c>
      <c r="AE74" s="773">
        <f t="shared" ca="1" si="56"/>
        <v>0</v>
      </c>
      <c r="AF74" s="773">
        <f t="shared" ca="1" si="77"/>
        <v>1</v>
      </c>
      <c r="AG74" s="773">
        <f t="shared" ca="1" si="57"/>
        <v>0</v>
      </c>
      <c r="AH74" s="773">
        <f t="shared" ca="1" si="58"/>
        <v>1</v>
      </c>
      <c r="AI74" s="773">
        <f t="shared" ca="1" si="78"/>
        <v>4</v>
      </c>
      <c r="AJ74" s="773">
        <f t="shared" ca="1" si="59"/>
        <v>4</v>
      </c>
      <c r="AK74" s="773">
        <f t="shared" ca="1" si="60"/>
        <v>0</v>
      </c>
      <c r="AL74" s="773">
        <f t="shared" ca="1" si="79"/>
        <v>2</v>
      </c>
      <c r="AM74" s="773">
        <f t="shared" ca="1" si="61"/>
        <v>0</v>
      </c>
      <c r="AN74" s="773">
        <f t="shared" ca="1" si="62"/>
        <v>0</v>
      </c>
      <c r="AO74" s="773">
        <f t="shared" ca="1" si="80"/>
        <v>1</v>
      </c>
      <c r="AP74" s="773">
        <f t="shared" ca="1" si="63"/>
        <v>0</v>
      </c>
      <c r="AQ74" s="773">
        <f t="shared" ca="1" si="64"/>
        <v>0</v>
      </c>
      <c r="AR74" s="773">
        <f t="shared" ca="1" si="81"/>
        <v>0</v>
      </c>
      <c r="AS74" s="773">
        <f t="shared" ca="1" si="65"/>
        <v>0</v>
      </c>
      <c r="AT74" s="773">
        <f t="shared" ca="1" si="66"/>
        <v>0</v>
      </c>
      <c r="AU74" s="773">
        <f t="shared" ca="1" si="82"/>
        <v>1</v>
      </c>
      <c r="AV74" s="773">
        <f t="shared" ca="1" si="67"/>
        <v>0</v>
      </c>
      <c r="AW74" s="773">
        <f t="shared" ca="1" si="68"/>
        <v>0</v>
      </c>
      <c r="AX74" s="773">
        <f t="shared" ca="1" si="83"/>
        <v>0</v>
      </c>
      <c r="AY74" s="773">
        <f t="shared" ca="1" si="69"/>
        <v>0</v>
      </c>
      <c r="AZ74" s="773">
        <f t="shared" ca="1" si="70"/>
        <v>0</v>
      </c>
      <c r="BA74" s="773">
        <f t="shared" ca="1" si="84"/>
        <v>2</v>
      </c>
      <c r="BB74" s="773">
        <f t="shared" ca="1" si="71"/>
        <v>0</v>
      </c>
      <c r="BC74" s="773">
        <f t="shared" ca="1" si="72"/>
        <v>0</v>
      </c>
      <c r="BD74" s="773">
        <f t="shared" ca="1" si="85"/>
        <v>1</v>
      </c>
      <c r="BE74" s="773">
        <f t="shared" ca="1" si="73"/>
        <v>0</v>
      </c>
      <c r="BF74" s="773" t="str">
        <f t="shared" si="86"/>
        <v>Hóa Khoa</v>
      </c>
      <c r="BX74" s="773">
        <v>1972</v>
      </c>
      <c r="BY74" s="773" t="s">
        <v>7915</v>
      </c>
    </row>
    <row r="75" spans="1:77" ht="15">
      <c r="A75" s="806" t="s">
        <v>7882</v>
      </c>
      <c r="B75" s="855" t="s">
        <v>9300</v>
      </c>
      <c r="C75" s="855" t="s">
        <v>353</v>
      </c>
      <c r="D75" s="855" t="s">
        <v>1399</v>
      </c>
      <c r="E75" s="855" t="s">
        <v>505</v>
      </c>
      <c r="F75" s="855" t="s">
        <v>506</v>
      </c>
      <c r="G75" s="855" t="s">
        <v>9298</v>
      </c>
      <c r="H75" s="855" t="s">
        <v>9299</v>
      </c>
      <c r="I75" s="855" t="s">
        <v>9300</v>
      </c>
      <c r="J75" s="855" t="s">
        <v>1402</v>
      </c>
      <c r="K75" s="855" t="s">
        <v>9301</v>
      </c>
      <c r="L75" s="855" t="s">
        <v>353</v>
      </c>
      <c r="M75" s="855" t="s">
        <v>1399</v>
      </c>
      <c r="N75" s="855" t="s">
        <v>507</v>
      </c>
      <c r="O75" s="929" t="str">
        <f ca="1">VLOOKUP(G17,O62:P73,2,0)</f>
        <v>thìn</v>
      </c>
      <c r="S75" s="773" t="str">
        <f ca="1">B142</f>
        <v>Tuất</v>
      </c>
      <c r="T75" s="787">
        <v>13</v>
      </c>
      <c r="U75" s="773" t="s">
        <v>8436</v>
      </c>
      <c r="V75" s="773">
        <f t="shared" ca="1" si="50"/>
        <v>0</v>
      </c>
      <c r="W75" s="773">
        <f t="shared" ca="1" si="74"/>
        <v>0</v>
      </c>
      <c r="X75" s="773">
        <f t="shared" ca="1" si="51"/>
        <v>0</v>
      </c>
      <c r="Y75" s="773">
        <f t="shared" ca="1" si="52"/>
        <v>0</v>
      </c>
      <c r="Z75" s="773">
        <f t="shared" ca="1" si="75"/>
        <v>0</v>
      </c>
      <c r="AA75" s="773">
        <f t="shared" ca="1" si="53"/>
        <v>0</v>
      </c>
      <c r="AB75" s="773">
        <f t="shared" ca="1" si="54"/>
        <v>0</v>
      </c>
      <c r="AC75" s="773">
        <f t="shared" ca="1" si="76"/>
        <v>0</v>
      </c>
      <c r="AD75" s="773">
        <f t="shared" ca="1" si="55"/>
        <v>0</v>
      </c>
      <c r="AE75" s="773">
        <f t="shared" ca="1" si="56"/>
        <v>0</v>
      </c>
      <c r="AF75" s="773">
        <f t="shared" ca="1" si="77"/>
        <v>1</v>
      </c>
      <c r="AG75" s="773">
        <f t="shared" ca="1" si="57"/>
        <v>0</v>
      </c>
      <c r="AH75" s="773">
        <f t="shared" ca="1" si="58"/>
        <v>0</v>
      </c>
      <c r="AI75" s="773">
        <f t="shared" ca="1" si="78"/>
        <v>4</v>
      </c>
      <c r="AJ75" s="773">
        <f t="shared" ca="1" si="59"/>
        <v>0</v>
      </c>
      <c r="AK75" s="773">
        <f t="shared" ca="1" si="60"/>
        <v>0</v>
      </c>
      <c r="AL75" s="773">
        <f t="shared" ca="1" si="79"/>
        <v>2</v>
      </c>
      <c r="AM75" s="773">
        <f t="shared" ca="1" si="61"/>
        <v>0</v>
      </c>
      <c r="AN75" s="773">
        <f t="shared" ca="1" si="62"/>
        <v>0</v>
      </c>
      <c r="AO75" s="773">
        <f t="shared" ca="1" si="80"/>
        <v>1</v>
      </c>
      <c r="AP75" s="773">
        <f t="shared" ca="1" si="63"/>
        <v>0</v>
      </c>
      <c r="AQ75" s="773">
        <f t="shared" ca="1" si="64"/>
        <v>0</v>
      </c>
      <c r="AR75" s="773">
        <f t="shared" ca="1" si="81"/>
        <v>0</v>
      </c>
      <c r="AS75" s="773">
        <f t="shared" ca="1" si="65"/>
        <v>0</v>
      </c>
      <c r="AT75" s="773">
        <f t="shared" ca="1" si="66"/>
        <v>0</v>
      </c>
      <c r="AU75" s="773">
        <f t="shared" ca="1" si="82"/>
        <v>1</v>
      </c>
      <c r="AV75" s="773">
        <f t="shared" ca="1" si="67"/>
        <v>0</v>
      </c>
      <c r="AW75" s="773">
        <f t="shared" ca="1" si="68"/>
        <v>0</v>
      </c>
      <c r="AX75" s="773">
        <f t="shared" ca="1" si="83"/>
        <v>0</v>
      </c>
      <c r="AY75" s="773">
        <f t="shared" ca="1" si="69"/>
        <v>0</v>
      </c>
      <c r="AZ75" s="773">
        <f t="shared" ca="1" si="70"/>
        <v>1</v>
      </c>
      <c r="BA75" s="773">
        <f t="shared" ca="1" si="84"/>
        <v>3</v>
      </c>
      <c r="BB75" s="773">
        <f t="shared" ca="1" si="71"/>
        <v>3</v>
      </c>
      <c r="BC75" s="773">
        <f t="shared" ca="1" si="72"/>
        <v>0</v>
      </c>
      <c r="BD75" s="773">
        <f t="shared" ca="1" si="85"/>
        <v>1</v>
      </c>
      <c r="BE75" s="773">
        <f t="shared" ca="1" si="73"/>
        <v>0</v>
      </c>
      <c r="BF75" s="773" t="str">
        <f t="shared" si="86"/>
        <v>Long Trì</v>
      </c>
      <c r="BX75" s="773">
        <v>1973</v>
      </c>
      <c r="BY75" s="773" t="s">
        <v>7916</v>
      </c>
    </row>
    <row r="76" spans="1:77" ht="13.5" customHeight="1">
      <c r="A76" s="806" t="s">
        <v>7887</v>
      </c>
      <c r="B76" s="855" t="s">
        <v>1402</v>
      </c>
      <c r="C76" s="855" t="s">
        <v>1399</v>
      </c>
      <c r="D76" s="855" t="s">
        <v>505</v>
      </c>
      <c r="E76" s="855" t="s">
        <v>9011</v>
      </c>
      <c r="F76" s="855" t="s">
        <v>507</v>
      </c>
      <c r="G76" s="855" t="s">
        <v>9297</v>
      </c>
      <c r="H76" s="855" t="s">
        <v>9298</v>
      </c>
      <c r="I76" s="855" t="s">
        <v>9299</v>
      </c>
      <c r="J76" s="855" t="s">
        <v>9300</v>
      </c>
      <c r="K76" s="855" t="s">
        <v>1402</v>
      </c>
      <c r="L76" s="855" t="s">
        <v>9301</v>
      </c>
      <c r="M76" s="855" t="s">
        <v>353</v>
      </c>
      <c r="N76" s="855" t="s">
        <v>506</v>
      </c>
      <c r="O76" s="929">
        <f ca="1">VLOOKUP(G17,$N$49:$O$60,2,0)</f>
        <v>7</v>
      </c>
      <c r="S76" s="773" t="str">
        <f ca="1">C142</f>
        <v>Thìn</v>
      </c>
      <c r="T76" s="787">
        <v>14</v>
      </c>
      <c r="U76" s="856" t="s">
        <v>8437</v>
      </c>
      <c r="V76" s="773">
        <f t="shared" ca="1" si="50"/>
        <v>0</v>
      </c>
      <c r="W76" s="773">
        <f t="shared" ca="1" si="74"/>
        <v>0</v>
      </c>
      <c r="X76" s="773">
        <f t="shared" ca="1" si="51"/>
        <v>0</v>
      </c>
      <c r="Y76" s="773">
        <f t="shared" ca="1" si="52"/>
        <v>0</v>
      </c>
      <c r="Z76" s="773">
        <f t="shared" ca="1" si="75"/>
        <v>0</v>
      </c>
      <c r="AA76" s="773">
        <f t="shared" ca="1" si="53"/>
        <v>0</v>
      </c>
      <c r="AB76" s="773">
        <f t="shared" ca="1" si="54"/>
        <v>0</v>
      </c>
      <c r="AC76" s="773">
        <f t="shared" ca="1" si="76"/>
        <v>0</v>
      </c>
      <c r="AD76" s="773">
        <f t="shared" ca="1" si="55"/>
        <v>0</v>
      </c>
      <c r="AE76" s="773">
        <f t="shared" ca="1" si="56"/>
        <v>0</v>
      </c>
      <c r="AF76" s="773">
        <f t="shared" ca="1" si="77"/>
        <v>1</v>
      </c>
      <c r="AG76" s="773">
        <f t="shared" ca="1" si="57"/>
        <v>0</v>
      </c>
      <c r="AH76" s="773">
        <f t="shared" ca="1" si="58"/>
        <v>1</v>
      </c>
      <c r="AI76" s="773">
        <f t="shared" ca="1" si="78"/>
        <v>5</v>
      </c>
      <c r="AJ76" s="773">
        <f t="shared" ca="1" si="59"/>
        <v>5</v>
      </c>
      <c r="AK76" s="773">
        <f t="shared" ca="1" si="60"/>
        <v>0</v>
      </c>
      <c r="AL76" s="773">
        <f t="shared" ca="1" si="79"/>
        <v>2</v>
      </c>
      <c r="AM76" s="773">
        <f t="shared" ca="1" si="61"/>
        <v>0</v>
      </c>
      <c r="AN76" s="773">
        <f t="shared" ca="1" si="62"/>
        <v>0</v>
      </c>
      <c r="AO76" s="773">
        <f t="shared" ca="1" si="80"/>
        <v>1</v>
      </c>
      <c r="AP76" s="773">
        <f t="shared" ca="1" si="63"/>
        <v>0</v>
      </c>
      <c r="AQ76" s="773">
        <f t="shared" ca="1" si="64"/>
        <v>0</v>
      </c>
      <c r="AR76" s="773">
        <f t="shared" ca="1" si="81"/>
        <v>0</v>
      </c>
      <c r="AS76" s="773">
        <f t="shared" ca="1" si="65"/>
        <v>0</v>
      </c>
      <c r="AT76" s="773">
        <f t="shared" ca="1" si="66"/>
        <v>0</v>
      </c>
      <c r="AU76" s="773">
        <f t="shared" ca="1" si="82"/>
        <v>1</v>
      </c>
      <c r="AV76" s="773">
        <f t="shared" ca="1" si="67"/>
        <v>0</v>
      </c>
      <c r="AW76" s="773">
        <f t="shared" ca="1" si="68"/>
        <v>0</v>
      </c>
      <c r="AX76" s="773">
        <f t="shared" ca="1" si="83"/>
        <v>0</v>
      </c>
      <c r="AY76" s="773">
        <f t="shared" ca="1" si="69"/>
        <v>0</v>
      </c>
      <c r="AZ76" s="773">
        <f t="shared" ca="1" si="70"/>
        <v>0</v>
      </c>
      <c r="BA76" s="773">
        <f t="shared" ca="1" si="84"/>
        <v>3</v>
      </c>
      <c r="BB76" s="773">
        <f t="shared" ca="1" si="71"/>
        <v>0</v>
      </c>
      <c r="BC76" s="773">
        <f t="shared" ca="1" si="72"/>
        <v>0</v>
      </c>
      <c r="BD76" s="773">
        <f t="shared" ca="1" si="85"/>
        <v>1</v>
      </c>
      <c r="BE76" s="773">
        <f t="shared" ca="1" si="73"/>
        <v>0</v>
      </c>
      <c r="BF76" s="773" t="str">
        <f t="shared" si="86"/>
        <v>Phượng Các</v>
      </c>
      <c r="BX76" s="773">
        <v>1974</v>
      </c>
      <c r="BY76" s="773" t="s">
        <v>7917</v>
      </c>
    </row>
    <row r="77" spans="1:77" ht="15">
      <c r="A77" s="806" t="s">
        <v>7886</v>
      </c>
      <c r="B77" s="855" t="s">
        <v>9301</v>
      </c>
      <c r="C77" s="855" t="s">
        <v>505</v>
      </c>
      <c r="D77" s="855" t="s">
        <v>9011</v>
      </c>
      <c r="E77" s="855" t="s">
        <v>506</v>
      </c>
      <c r="F77" s="855" t="s">
        <v>9297</v>
      </c>
      <c r="G77" s="855" t="s">
        <v>507</v>
      </c>
      <c r="H77" s="855" t="s">
        <v>9297</v>
      </c>
      <c r="I77" s="855" t="s">
        <v>9298</v>
      </c>
      <c r="J77" s="855" t="s">
        <v>9299</v>
      </c>
      <c r="K77" s="855" t="s">
        <v>9300</v>
      </c>
      <c r="L77" s="855" t="s">
        <v>1402</v>
      </c>
      <c r="M77" s="855" t="s">
        <v>9301</v>
      </c>
      <c r="N77" s="855" t="s">
        <v>9011</v>
      </c>
      <c r="O77" s="929">
        <f ca="1">VLOOKUP(O75,$N$49:$O$60,2,0)</f>
        <v>5</v>
      </c>
      <c r="P77" s="773">
        <f ca="1">O76</f>
        <v>7</v>
      </c>
      <c r="Q77" s="834">
        <f t="shared" ref="Q77:Q88" ca="1" si="87">VLOOKUP(P36,$O$77:$P$88,2,0)</f>
        <v>3</v>
      </c>
      <c r="R77" s="915">
        <f t="shared" ref="R77:R88" ca="1" si="88">IF($F$14="nam",Q77,R90)</f>
        <v>11</v>
      </c>
      <c r="S77" s="773" t="str">
        <f ca="1">M142</f>
        <v>Mão</v>
      </c>
      <c r="T77" s="787">
        <v>15</v>
      </c>
      <c r="U77" s="856" t="s">
        <v>6597</v>
      </c>
      <c r="V77" s="773">
        <f t="shared" ca="1" si="50"/>
        <v>0</v>
      </c>
      <c r="W77" s="773">
        <f t="shared" ca="1" si="74"/>
        <v>0</v>
      </c>
      <c r="X77" s="773">
        <f t="shared" ca="1" si="51"/>
        <v>0</v>
      </c>
      <c r="Y77" s="773">
        <f t="shared" ca="1" si="52"/>
        <v>0</v>
      </c>
      <c r="Z77" s="773">
        <f t="shared" ca="1" si="75"/>
        <v>0</v>
      </c>
      <c r="AA77" s="773">
        <f t="shared" ca="1" si="53"/>
        <v>0</v>
      </c>
      <c r="AB77" s="773">
        <f t="shared" ca="1" si="54"/>
        <v>0</v>
      </c>
      <c r="AC77" s="773">
        <f t="shared" ca="1" si="76"/>
        <v>0</v>
      </c>
      <c r="AD77" s="773">
        <f t="shared" ca="1" si="55"/>
        <v>0</v>
      </c>
      <c r="AE77" s="773">
        <f t="shared" ca="1" si="56"/>
        <v>1</v>
      </c>
      <c r="AF77" s="773">
        <f t="shared" ca="1" si="77"/>
        <v>2</v>
      </c>
      <c r="AG77" s="773">
        <f t="shared" ca="1" si="57"/>
        <v>2</v>
      </c>
      <c r="AH77" s="773">
        <f t="shared" ca="1" si="58"/>
        <v>0</v>
      </c>
      <c r="AI77" s="773">
        <f t="shared" ca="1" si="78"/>
        <v>5</v>
      </c>
      <c r="AJ77" s="773">
        <f t="shared" ca="1" si="59"/>
        <v>0</v>
      </c>
      <c r="AK77" s="773">
        <f t="shared" ca="1" si="60"/>
        <v>0</v>
      </c>
      <c r="AL77" s="773">
        <f t="shared" ca="1" si="79"/>
        <v>2</v>
      </c>
      <c r="AM77" s="773">
        <f t="shared" ca="1" si="61"/>
        <v>0</v>
      </c>
      <c r="AN77" s="773">
        <f t="shared" ca="1" si="62"/>
        <v>0</v>
      </c>
      <c r="AO77" s="773">
        <f t="shared" ca="1" si="80"/>
        <v>1</v>
      </c>
      <c r="AP77" s="773">
        <f t="shared" ca="1" si="63"/>
        <v>0</v>
      </c>
      <c r="AQ77" s="773">
        <f t="shared" ca="1" si="64"/>
        <v>0</v>
      </c>
      <c r="AR77" s="773">
        <f t="shared" ca="1" si="81"/>
        <v>0</v>
      </c>
      <c r="AS77" s="773">
        <f t="shared" ca="1" si="65"/>
        <v>0</v>
      </c>
      <c r="AT77" s="773">
        <f t="shared" ca="1" si="66"/>
        <v>0</v>
      </c>
      <c r="AU77" s="773">
        <f t="shared" ca="1" si="82"/>
        <v>1</v>
      </c>
      <c r="AV77" s="773">
        <f t="shared" ca="1" si="67"/>
        <v>0</v>
      </c>
      <c r="AW77" s="773">
        <f t="shared" ca="1" si="68"/>
        <v>0</v>
      </c>
      <c r="AX77" s="773">
        <f t="shared" ca="1" si="83"/>
        <v>0</v>
      </c>
      <c r="AY77" s="773">
        <f t="shared" ca="1" si="69"/>
        <v>0</v>
      </c>
      <c r="AZ77" s="773">
        <f t="shared" ca="1" si="70"/>
        <v>0</v>
      </c>
      <c r="BA77" s="773">
        <f t="shared" ca="1" si="84"/>
        <v>3</v>
      </c>
      <c r="BB77" s="773">
        <f t="shared" ca="1" si="71"/>
        <v>0</v>
      </c>
      <c r="BC77" s="773">
        <f t="shared" ca="1" si="72"/>
        <v>0</v>
      </c>
      <c r="BD77" s="773">
        <f t="shared" ca="1" si="85"/>
        <v>1</v>
      </c>
      <c r="BE77" s="773">
        <f t="shared" ca="1" si="73"/>
        <v>0</v>
      </c>
      <c r="BF77" s="773" t="str">
        <f t="shared" si="86"/>
        <v>Đào Hoa</v>
      </c>
      <c r="BX77" s="773">
        <v>1975</v>
      </c>
      <c r="BY77" s="773" t="s">
        <v>7918</v>
      </c>
    </row>
    <row r="78" spans="1:77" ht="15">
      <c r="A78" s="806" t="s">
        <v>7880</v>
      </c>
      <c r="B78" s="855" t="s">
        <v>353</v>
      </c>
      <c r="C78" s="855" t="s">
        <v>9011</v>
      </c>
      <c r="D78" s="855" t="s">
        <v>506</v>
      </c>
      <c r="E78" s="855" t="s">
        <v>507</v>
      </c>
      <c r="F78" s="855" t="s">
        <v>9298</v>
      </c>
      <c r="G78" s="855" t="s">
        <v>506</v>
      </c>
      <c r="H78" s="855" t="s">
        <v>507</v>
      </c>
      <c r="I78" s="855" t="s">
        <v>9297</v>
      </c>
      <c r="J78" s="855" t="s">
        <v>9298</v>
      </c>
      <c r="K78" s="855" t="s">
        <v>9299</v>
      </c>
      <c r="L78" s="855" t="s">
        <v>9300</v>
      </c>
      <c r="M78" s="855" t="s">
        <v>1402</v>
      </c>
      <c r="N78" s="855" t="s">
        <v>505</v>
      </c>
      <c r="O78" s="773">
        <f t="shared" ref="O78:P88" ca="1" si="89">IF(O77&lt;12,O77+1,1)</f>
        <v>6</v>
      </c>
      <c r="P78" s="773">
        <f t="shared" ca="1" si="89"/>
        <v>8</v>
      </c>
      <c r="Q78" s="834">
        <f t="shared" ca="1" si="87"/>
        <v>4</v>
      </c>
      <c r="R78" s="915">
        <f t="shared" ca="1" si="88"/>
        <v>10</v>
      </c>
      <c r="S78" s="773" t="str">
        <f ca="1">I142</f>
        <v>Dậu</v>
      </c>
      <c r="T78" s="787">
        <v>16</v>
      </c>
      <c r="U78" s="856" t="s">
        <v>8438</v>
      </c>
      <c r="V78" s="773">
        <f t="shared" ca="1" si="50"/>
        <v>0</v>
      </c>
      <c r="W78" s="773">
        <f t="shared" ca="1" si="74"/>
        <v>0</v>
      </c>
      <c r="X78" s="773">
        <f t="shared" ca="1" si="51"/>
        <v>0</v>
      </c>
      <c r="Y78" s="773">
        <f t="shared" ca="1" si="52"/>
        <v>0</v>
      </c>
      <c r="Z78" s="773">
        <f t="shared" ca="1" si="75"/>
        <v>0</v>
      </c>
      <c r="AA78" s="773">
        <f t="shared" ca="1" si="53"/>
        <v>0</v>
      </c>
      <c r="AB78" s="773">
        <f t="shared" ca="1" si="54"/>
        <v>0</v>
      </c>
      <c r="AC78" s="773">
        <f t="shared" ca="1" si="76"/>
        <v>0</v>
      </c>
      <c r="AD78" s="773">
        <f t="shared" ca="1" si="55"/>
        <v>0</v>
      </c>
      <c r="AE78" s="773">
        <f t="shared" ca="1" si="56"/>
        <v>0</v>
      </c>
      <c r="AF78" s="773">
        <f t="shared" ca="1" si="77"/>
        <v>2</v>
      </c>
      <c r="AG78" s="773">
        <f t="shared" ca="1" si="57"/>
        <v>0</v>
      </c>
      <c r="AH78" s="773">
        <f t="shared" ca="1" si="58"/>
        <v>0</v>
      </c>
      <c r="AI78" s="773">
        <f t="shared" ca="1" si="78"/>
        <v>5</v>
      </c>
      <c r="AJ78" s="773">
        <f t="shared" ca="1" si="59"/>
        <v>0</v>
      </c>
      <c r="AK78" s="773">
        <f t="shared" ca="1" si="60"/>
        <v>0</v>
      </c>
      <c r="AL78" s="773">
        <f t="shared" ca="1" si="79"/>
        <v>2</v>
      </c>
      <c r="AM78" s="773">
        <f t="shared" ca="1" si="61"/>
        <v>0</v>
      </c>
      <c r="AN78" s="773">
        <f t="shared" ca="1" si="62"/>
        <v>0</v>
      </c>
      <c r="AO78" s="773">
        <f t="shared" ca="1" si="80"/>
        <v>1</v>
      </c>
      <c r="AP78" s="773">
        <f t="shared" ca="1" si="63"/>
        <v>0</v>
      </c>
      <c r="AQ78" s="773">
        <f t="shared" ca="1" si="64"/>
        <v>0</v>
      </c>
      <c r="AR78" s="773">
        <f t="shared" ca="1" si="81"/>
        <v>0</v>
      </c>
      <c r="AS78" s="773">
        <f t="shared" ca="1" si="65"/>
        <v>0</v>
      </c>
      <c r="AT78" s="773">
        <f t="shared" ca="1" si="66"/>
        <v>0</v>
      </c>
      <c r="AU78" s="773">
        <f t="shared" ca="1" si="82"/>
        <v>1</v>
      </c>
      <c r="AV78" s="773">
        <f t="shared" ca="1" si="67"/>
        <v>0</v>
      </c>
      <c r="AW78" s="773">
        <f t="shared" ca="1" si="68"/>
        <v>1</v>
      </c>
      <c r="AX78" s="773">
        <f t="shared" ca="1" si="83"/>
        <v>1</v>
      </c>
      <c r="AY78" s="773">
        <f t="shared" ca="1" si="69"/>
        <v>1</v>
      </c>
      <c r="AZ78" s="773">
        <f t="shared" ca="1" si="70"/>
        <v>0</v>
      </c>
      <c r="BA78" s="773">
        <f t="shared" ca="1" si="84"/>
        <v>3</v>
      </c>
      <c r="BB78" s="773">
        <f t="shared" ca="1" si="71"/>
        <v>0</v>
      </c>
      <c r="BC78" s="773">
        <f t="shared" ca="1" si="72"/>
        <v>0</v>
      </c>
      <c r="BD78" s="773">
        <f t="shared" ca="1" si="85"/>
        <v>1</v>
      </c>
      <c r="BE78" s="773">
        <f t="shared" ca="1" si="73"/>
        <v>0</v>
      </c>
      <c r="BF78" s="773" t="str">
        <f t="shared" si="86"/>
        <v>Hồng Loan</v>
      </c>
      <c r="BX78" s="773">
        <v>1976</v>
      </c>
      <c r="BY78" s="773" t="s">
        <v>7919</v>
      </c>
    </row>
    <row r="79" spans="1:77" ht="15">
      <c r="A79" s="806" t="s">
        <v>7877</v>
      </c>
      <c r="B79" s="855" t="s">
        <v>1399</v>
      </c>
      <c r="C79" s="855" t="s">
        <v>506</v>
      </c>
      <c r="D79" s="855" t="s">
        <v>507</v>
      </c>
      <c r="E79" s="855" t="s">
        <v>9297</v>
      </c>
      <c r="F79" s="855" t="s">
        <v>9299</v>
      </c>
      <c r="G79" s="855" t="s">
        <v>9011</v>
      </c>
      <c r="H79" s="855" t="s">
        <v>506</v>
      </c>
      <c r="I79" s="855" t="s">
        <v>507</v>
      </c>
      <c r="J79" s="855" t="s">
        <v>9297</v>
      </c>
      <c r="K79" s="855" t="s">
        <v>9298</v>
      </c>
      <c r="L79" s="855" t="s">
        <v>9299</v>
      </c>
      <c r="M79" s="855" t="s">
        <v>9300</v>
      </c>
      <c r="N79" s="855" t="s">
        <v>1399</v>
      </c>
      <c r="O79" s="773">
        <f t="shared" ca="1" si="89"/>
        <v>7</v>
      </c>
      <c r="P79" s="773">
        <f t="shared" ca="1" si="89"/>
        <v>9</v>
      </c>
      <c r="Q79" s="834">
        <f t="shared" ca="1" si="87"/>
        <v>5</v>
      </c>
      <c r="R79" s="915">
        <f t="shared" ca="1" si="88"/>
        <v>9</v>
      </c>
      <c r="S79" s="773" t="str">
        <f ca="1">I101</f>
        <v>dậu</v>
      </c>
      <c r="T79" s="787">
        <v>17</v>
      </c>
      <c r="U79" s="856" t="s">
        <v>8439</v>
      </c>
      <c r="V79" s="773">
        <f t="shared" ca="1" si="50"/>
        <v>0</v>
      </c>
      <c r="W79" s="773">
        <f t="shared" ca="1" si="74"/>
        <v>0</v>
      </c>
      <c r="X79" s="773">
        <f t="shared" ca="1" si="51"/>
        <v>0</v>
      </c>
      <c r="Y79" s="773">
        <f t="shared" ca="1" si="52"/>
        <v>0</v>
      </c>
      <c r="Z79" s="773">
        <f t="shared" ca="1" si="75"/>
        <v>0</v>
      </c>
      <c r="AA79" s="773">
        <f t="shared" ca="1" si="53"/>
        <v>0</v>
      </c>
      <c r="AB79" s="773">
        <f t="shared" ca="1" si="54"/>
        <v>0</v>
      </c>
      <c r="AC79" s="773">
        <f t="shared" ca="1" si="76"/>
        <v>0</v>
      </c>
      <c r="AD79" s="773">
        <f t="shared" ca="1" si="55"/>
        <v>0</v>
      </c>
      <c r="AE79" s="773">
        <f t="shared" ca="1" si="56"/>
        <v>0</v>
      </c>
      <c r="AF79" s="773">
        <f t="shared" ca="1" si="77"/>
        <v>2</v>
      </c>
      <c r="AG79" s="773">
        <f t="shared" ca="1" si="57"/>
        <v>0</v>
      </c>
      <c r="AH79" s="773">
        <f t="shared" ca="1" si="58"/>
        <v>0</v>
      </c>
      <c r="AI79" s="773">
        <f t="shared" ca="1" si="78"/>
        <v>5</v>
      </c>
      <c r="AJ79" s="773">
        <f t="shared" ca="1" si="59"/>
        <v>0</v>
      </c>
      <c r="AK79" s="773">
        <f t="shared" ca="1" si="60"/>
        <v>0</v>
      </c>
      <c r="AL79" s="773">
        <f t="shared" ca="1" si="79"/>
        <v>2</v>
      </c>
      <c r="AM79" s="773">
        <f t="shared" ca="1" si="61"/>
        <v>0</v>
      </c>
      <c r="AN79" s="773">
        <f t="shared" ca="1" si="62"/>
        <v>0</v>
      </c>
      <c r="AO79" s="773">
        <f t="shared" ca="1" si="80"/>
        <v>1</v>
      </c>
      <c r="AP79" s="773">
        <f t="shared" ca="1" si="63"/>
        <v>0</v>
      </c>
      <c r="AQ79" s="773">
        <f t="shared" ca="1" si="64"/>
        <v>0</v>
      </c>
      <c r="AR79" s="773">
        <f t="shared" ca="1" si="81"/>
        <v>0</v>
      </c>
      <c r="AS79" s="773">
        <f t="shared" ca="1" si="65"/>
        <v>0</v>
      </c>
      <c r="AT79" s="773">
        <f t="shared" ca="1" si="66"/>
        <v>0</v>
      </c>
      <c r="AU79" s="773">
        <f t="shared" ca="1" si="82"/>
        <v>1</v>
      </c>
      <c r="AV79" s="773">
        <f t="shared" ca="1" si="67"/>
        <v>0</v>
      </c>
      <c r="AW79" s="773">
        <f t="shared" ca="1" si="68"/>
        <v>1</v>
      </c>
      <c r="AX79" s="773">
        <f t="shared" ca="1" si="83"/>
        <v>2</v>
      </c>
      <c r="AY79" s="773">
        <f t="shared" ca="1" si="69"/>
        <v>2</v>
      </c>
      <c r="AZ79" s="773">
        <f t="shared" ca="1" si="70"/>
        <v>0</v>
      </c>
      <c r="BA79" s="773">
        <f t="shared" ca="1" si="84"/>
        <v>3</v>
      </c>
      <c r="BB79" s="773">
        <f t="shared" ca="1" si="71"/>
        <v>0</v>
      </c>
      <c r="BC79" s="773">
        <f t="shared" ca="1" si="72"/>
        <v>0</v>
      </c>
      <c r="BD79" s="773">
        <f t="shared" ca="1" si="85"/>
        <v>1</v>
      </c>
      <c r="BE79" s="773">
        <f t="shared" ca="1" si="73"/>
        <v>0</v>
      </c>
      <c r="BF79" s="773" t="str">
        <f t="shared" si="86"/>
        <v>Tam Thai</v>
      </c>
      <c r="BX79" s="773">
        <v>1977</v>
      </c>
      <c r="BY79" s="773" t="s">
        <v>7920</v>
      </c>
    </row>
    <row r="80" spans="1:77" ht="15.75">
      <c r="A80" s="932" t="s">
        <v>8440</v>
      </c>
      <c r="O80" s="773">
        <f t="shared" ca="1" si="89"/>
        <v>8</v>
      </c>
      <c r="P80" s="773">
        <f t="shared" ca="1" si="89"/>
        <v>10</v>
      </c>
      <c r="Q80" s="834">
        <f t="shared" ca="1" si="87"/>
        <v>6</v>
      </c>
      <c r="R80" s="915">
        <f t="shared" ca="1" si="88"/>
        <v>8</v>
      </c>
      <c r="S80" s="773" t="str">
        <f ca="1">J101</f>
        <v>tỵ</v>
      </c>
      <c r="T80" s="787">
        <v>18</v>
      </c>
      <c r="U80" s="856" t="s">
        <v>8441</v>
      </c>
      <c r="V80" s="773">
        <f t="shared" ca="1" si="50"/>
        <v>0</v>
      </c>
      <c r="W80" s="773">
        <f t="shared" ca="1" si="74"/>
        <v>0</v>
      </c>
      <c r="X80" s="773">
        <f t="shared" ca="1" si="51"/>
        <v>0</v>
      </c>
      <c r="Y80" s="773">
        <f t="shared" ca="1" si="52"/>
        <v>0</v>
      </c>
      <c r="Z80" s="773">
        <f t="shared" ca="1" si="75"/>
        <v>0</v>
      </c>
      <c r="AA80" s="773">
        <f t="shared" ca="1" si="53"/>
        <v>0</v>
      </c>
      <c r="AB80" s="773">
        <f t="shared" ca="1" si="54"/>
        <v>0</v>
      </c>
      <c r="AC80" s="773">
        <f t="shared" ca="1" si="76"/>
        <v>0</v>
      </c>
      <c r="AD80" s="773">
        <f t="shared" ca="1" si="55"/>
        <v>0</v>
      </c>
      <c r="AE80" s="773">
        <f t="shared" ca="1" si="56"/>
        <v>0</v>
      </c>
      <c r="AF80" s="773">
        <f t="shared" ca="1" si="77"/>
        <v>2</v>
      </c>
      <c r="AG80" s="773">
        <f t="shared" ca="1" si="57"/>
        <v>0</v>
      </c>
      <c r="AH80" s="773">
        <f t="shared" ca="1" si="58"/>
        <v>0</v>
      </c>
      <c r="AI80" s="773">
        <f t="shared" ca="1" si="78"/>
        <v>5</v>
      </c>
      <c r="AJ80" s="773">
        <f t="shared" ca="1" si="59"/>
        <v>0</v>
      </c>
      <c r="AK80" s="773">
        <f t="shared" ca="1" si="60"/>
        <v>1</v>
      </c>
      <c r="AL80" s="773">
        <f t="shared" ca="1" si="79"/>
        <v>3</v>
      </c>
      <c r="AM80" s="773">
        <f t="shared" ca="1" si="61"/>
        <v>3</v>
      </c>
      <c r="AN80" s="773">
        <f t="shared" ca="1" si="62"/>
        <v>0</v>
      </c>
      <c r="AO80" s="773">
        <f t="shared" ca="1" si="80"/>
        <v>1</v>
      </c>
      <c r="AP80" s="773">
        <f t="shared" ca="1" si="63"/>
        <v>0</v>
      </c>
      <c r="AQ80" s="773">
        <f t="shared" ca="1" si="64"/>
        <v>0</v>
      </c>
      <c r="AR80" s="773">
        <f t="shared" ca="1" si="81"/>
        <v>0</v>
      </c>
      <c r="AS80" s="773">
        <f t="shared" ca="1" si="65"/>
        <v>0</v>
      </c>
      <c r="AT80" s="773">
        <f t="shared" ca="1" si="66"/>
        <v>0</v>
      </c>
      <c r="AU80" s="773">
        <f t="shared" ca="1" si="82"/>
        <v>1</v>
      </c>
      <c r="AV80" s="773">
        <f t="shared" ca="1" si="67"/>
        <v>0</v>
      </c>
      <c r="AW80" s="773">
        <f t="shared" ca="1" si="68"/>
        <v>0</v>
      </c>
      <c r="AX80" s="773">
        <f t="shared" ca="1" si="83"/>
        <v>2</v>
      </c>
      <c r="AY80" s="773">
        <f t="shared" ca="1" si="69"/>
        <v>0</v>
      </c>
      <c r="AZ80" s="773">
        <f t="shared" ca="1" si="70"/>
        <v>0</v>
      </c>
      <c r="BA80" s="773">
        <f t="shared" ca="1" si="84"/>
        <v>3</v>
      </c>
      <c r="BB80" s="773">
        <f t="shared" ca="1" si="71"/>
        <v>0</v>
      </c>
      <c r="BC80" s="773">
        <f t="shared" ca="1" si="72"/>
        <v>0</v>
      </c>
      <c r="BD80" s="773">
        <f t="shared" ca="1" si="85"/>
        <v>1</v>
      </c>
      <c r="BE80" s="773">
        <f t="shared" ca="1" si="73"/>
        <v>0</v>
      </c>
      <c r="BF80" s="773" t="str">
        <f t="shared" si="86"/>
        <v>Bát Tọa</v>
      </c>
      <c r="BX80" s="773">
        <v>1978</v>
      </c>
      <c r="BY80" s="773" t="s">
        <v>7922</v>
      </c>
    </row>
    <row r="81" spans="1:77" ht="45">
      <c r="A81" s="855" t="s">
        <v>8442</v>
      </c>
      <c r="B81" s="855" t="s">
        <v>6569</v>
      </c>
      <c r="C81" s="855" t="s">
        <v>8443</v>
      </c>
      <c r="D81" s="855" t="s">
        <v>8444</v>
      </c>
      <c r="E81" s="855" t="s">
        <v>8445</v>
      </c>
      <c r="F81" s="855" t="s">
        <v>8446</v>
      </c>
      <c r="G81" s="855" t="s">
        <v>8447</v>
      </c>
      <c r="H81" s="912" t="str">
        <f t="shared" ref="H81:H86" ca="1" si="90">VLOOKUP($G$18,$A$81:$G$93,O50,0)</f>
        <v>Ngọ</v>
      </c>
      <c r="I81" s="915">
        <f ca="1">VLOOKUP(H81,$N$49:$O$60,2,0)</f>
        <v>7</v>
      </c>
      <c r="J81" s="855"/>
      <c r="O81" s="773">
        <f t="shared" ca="1" si="89"/>
        <v>9</v>
      </c>
      <c r="P81" s="773">
        <f t="shared" ca="1" si="89"/>
        <v>11</v>
      </c>
      <c r="Q81" s="834">
        <f t="shared" ca="1" si="87"/>
        <v>7</v>
      </c>
      <c r="R81" s="915">
        <f t="shared" ca="1" si="88"/>
        <v>7</v>
      </c>
      <c r="S81" s="773" t="str">
        <f ca="1">H83</f>
        <v>Tuất</v>
      </c>
      <c r="T81" s="787">
        <v>19</v>
      </c>
      <c r="U81" s="856" t="s">
        <v>8448</v>
      </c>
      <c r="V81" s="773">
        <f t="shared" ca="1" si="50"/>
        <v>0</v>
      </c>
      <c r="W81" s="773">
        <f t="shared" ca="1" si="74"/>
        <v>0</v>
      </c>
      <c r="X81" s="773">
        <f t="shared" ca="1" si="51"/>
        <v>0</v>
      </c>
      <c r="Y81" s="773">
        <f t="shared" ca="1" si="52"/>
        <v>0</v>
      </c>
      <c r="Z81" s="773">
        <f t="shared" ca="1" si="75"/>
        <v>0</v>
      </c>
      <c r="AA81" s="773">
        <f t="shared" ca="1" si="53"/>
        <v>0</v>
      </c>
      <c r="AB81" s="773">
        <f t="shared" ca="1" si="54"/>
        <v>0</v>
      </c>
      <c r="AC81" s="773">
        <f t="shared" ca="1" si="76"/>
        <v>0</v>
      </c>
      <c r="AD81" s="773">
        <f t="shared" ca="1" si="55"/>
        <v>0</v>
      </c>
      <c r="AE81" s="773">
        <f t="shared" ca="1" si="56"/>
        <v>0</v>
      </c>
      <c r="AF81" s="773">
        <f t="shared" ca="1" si="77"/>
        <v>2</v>
      </c>
      <c r="AG81" s="773">
        <f t="shared" ca="1" si="57"/>
        <v>0</v>
      </c>
      <c r="AH81" s="773">
        <f t="shared" ca="1" si="58"/>
        <v>0</v>
      </c>
      <c r="AI81" s="773">
        <f t="shared" ca="1" si="78"/>
        <v>5</v>
      </c>
      <c r="AJ81" s="773">
        <f t="shared" ca="1" si="59"/>
        <v>0</v>
      </c>
      <c r="AK81" s="773">
        <f t="shared" ca="1" si="60"/>
        <v>0</v>
      </c>
      <c r="AL81" s="773">
        <f t="shared" ca="1" si="79"/>
        <v>3</v>
      </c>
      <c r="AM81" s="773">
        <f t="shared" ca="1" si="61"/>
        <v>0</v>
      </c>
      <c r="AN81" s="773">
        <f t="shared" ca="1" si="62"/>
        <v>0</v>
      </c>
      <c r="AO81" s="773">
        <f t="shared" ca="1" si="80"/>
        <v>1</v>
      </c>
      <c r="AP81" s="773">
        <f t="shared" ca="1" si="63"/>
        <v>0</v>
      </c>
      <c r="AQ81" s="773">
        <f t="shared" ca="1" si="64"/>
        <v>0</v>
      </c>
      <c r="AR81" s="773">
        <f t="shared" ca="1" si="81"/>
        <v>0</v>
      </c>
      <c r="AS81" s="773">
        <f t="shared" ca="1" si="65"/>
        <v>0</v>
      </c>
      <c r="AT81" s="773">
        <f t="shared" ca="1" si="66"/>
        <v>0</v>
      </c>
      <c r="AU81" s="773">
        <f t="shared" ca="1" si="82"/>
        <v>1</v>
      </c>
      <c r="AV81" s="773">
        <f t="shared" ca="1" si="67"/>
        <v>0</v>
      </c>
      <c r="AW81" s="773">
        <f t="shared" ca="1" si="68"/>
        <v>0</v>
      </c>
      <c r="AX81" s="773">
        <f t="shared" ca="1" si="83"/>
        <v>2</v>
      </c>
      <c r="AY81" s="773">
        <f t="shared" ca="1" si="69"/>
        <v>0</v>
      </c>
      <c r="AZ81" s="773">
        <f t="shared" ca="1" si="70"/>
        <v>1</v>
      </c>
      <c r="BA81" s="773">
        <f t="shared" ca="1" si="84"/>
        <v>4</v>
      </c>
      <c r="BB81" s="773">
        <f t="shared" ca="1" si="71"/>
        <v>4</v>
      </c>
      <c r="BC81" s="773">
        <f t="shared" ca="1" si="72"/>
        <v>0</v>
      </c>
      <c r="BD81" s="773">
        <f t="shared" ca="1" si="85"/>
        <v>1</v>
      </c>
      <c r="BE81" s="773">
        <f t="shared" ca="1" si="73"/>
        <v>0</v>
      </c>
      <c r="BF81" s="773" t="str">
        <f t="shared" si="86"/>
        <v>Thai Phụ</v>
      </c>
      <c r="BX81" s="773">
        <v>1979</v>
      </c>
      <c r="BY81" s="773" t="s">
        <v>7923</v>
      </c>
    </row>
    <row r="82" spans="1:77" ht="25.5">
      <c r="A82" s="855" t="s">
        <v>1402</v>
      </c>
      <c r="B82" s="855" t="s">
        <v>9299</v>
      </c>
      <c r="C82" s="855" t="s">
        <v>505</v>
      </c>
      <c r="D82" s="855" t="s">
        <v>506</v>
      </c>
      <c r="E82" s="855" t="s">
        <v>353</v>
      </c>
      <c r="F82" s="855" t="s">
        <v>9300</v>
      </c>
      <c r="G82" s="855" t="s">
        <v>9300</v>
      </c>
      <c r="H82" s="912" t="str">
        <f t="shared" ca="1" si="90"/>
        <v>Thân</v>
      </c>
      <c r="I82" s="855" t="s">
        <v>8449</v>
      </c>
      <c r="K82" s="787" t="str">
        <f t="shared" ref="K82:K93" ca="1" si="91">IF(AB36=1,Y36," ")</f>
        <v>Thái Âm(V)</v>
      </c>
      <c r="L82" s="787"/>
      <c r="M82" s="787" t="str">
        <f t="shared" ref="M82:M93" ca="1" si="92">IF(AG36=1,AC36," ")</f>
        <v>Thiên Đồng(V)</v>
      </c>
      <c r="O82" s="773">
        <f t="shared" ca="1" si="89"/>
        <v>10</v>
      </c>
      <c r="P82" s="773">
        <f t="shared" ca="1" si="89"/>
        <v>12</v>
      </c>
      <c r="Q82" s="834">
        <f t="shared" ca="1" si="87"/>
        <v>8</v>
      </c>
      <c r="R82" s="915">
        <f t="shared" ca="1" si="88"/>
        <v>6</v>
      </c>
      <c r="S82" s="773" t="str">
        <f ca="1">H84</f>
        <v>Ngọ</v>
      </c>
      <c r="T82" s="787">
        <v>20</v>
      </c>
      <c r="U82" s="856" t="s">
        <v>8450</v>
      </c>
      <c r="V82" s="773">
        <f t="shared" ca="1" si="50"/>
        <v>0</v>
      </c>
      <c r="W82" s="773">
        <f t="shared" ca="1" si="74"/>
        <v>0</v>
      </c>
      <c r="X82" s="773">
        <f t="shared" ca="1" si="51"/>
        <v>0</v>
      </c>
      <c r="Y82" s="773">
        <f t="shared" ca="1" si="52"/>
        <v>0</v>
      </c>
      <c r="Z82" s="773">
        <f t="shared" ca="1" si="75"/>
        <v>0</v>
      </c>
      <c r="AA82" s="773">
        <f t="shared" ca="1" si="53"/>
        <v>0</v>
      </c>
      <c r="AB82" s="773">
        <f t="shared" ca="1" si="54"/>
        <v>0</v>
      </c>
      <c r="AC82" s="773">
        <f t="shared" ca="1" si="76"/>
        <v>0</v>
      </c>
      <c r="AD82" s="773">
        <f t="shared" ca="1" si="55"/>
        <v>0</v>
      </c>
      <c r="AE82" s="773">
        <f t="shared" ca="1" si="56"/>
        <v>0</v>
      </c>
      <c r="AF82" s="773">
        <f t="shared" ca="1" si="77"/>
        <v>2</v>
      </c>
      <c r="AG82" s="773">
        <f t="shared" ca="1" si="57"/>
        <v>0</v>
      </c>
      <c r="AH82" s="773">
        <f t="shared" ca="1" si="58"/>
        <v>0</v>
      </c>
      <c r="AI82" s="773">
        <f t="shared" ca="1" si="78"/>
        <v>5</v>
      </c>
      <c r="AJ82" s="773">
        <f t="shared" ca="1" si="59"/>
        <v>0</v>
      </c>
      <c r="AK82" s="773">
        <f t="shared" ca="1" si="60"/>
        <v>0</v>
      </c>
      <c r="AL82" s="773">
        <f t="shared" ca="1" si="79"/>
        <v>3</v>
      </c>
      <c r="AM82" s="773">
        <f t="shared" ca="1" si="61"/>
        <v>0</v>
      </c>
      <c r="AN82" s="773">
        <f t="shared" ca="1" si="62"/>
        <v>1</v>
      </c>
      <c r="AO82" s="773">
        <f t="shared" ca="1" si="80"/>
        <v>2</v>
      </c>
      <c r="AP82" s="773">
        <f t="shared" ca="1" si="63"/>
        <v>2</v>
      </c>
      <c r="AQ82" s="773">
        <f t="shared" ca="1" si="64"/>
        <v>0</v>
      </c>
      <c r="AR82" s="773">
        <f t="shared" ca="1" si="81"/>
        <v>0</v>
      </c>
      <c r="AS82" s="773">
        <f t="shared" ca="1" si="65"/>
        <v>0</v>
      </c>
      <c r="AT82" s="773">
        <f t="shared" ca="1" si="66"/>
        <v>0</v>
      </c>
      <c r="AU82" s="773">
        <f t="shared" ca="1" si="82"/>
        <v>1</v>
      </c>
      <c r="AV82" s="773">
        <f t="shared" ca="1" si="67"/>
        <v>0</v>
      </c>
      <c r="AW82" s="773">
        <f t="shared" ca="1" si="68"/>
        <v>0</v>
      </c>
      <c r="AX82" s="773">
        <f t="shared" ca="1" si="83"/>
        <v>2</v>
      </c>
      <c r="AY82" s="773">
        <f t="shared" ca="1" si="69"/>
        <v>0</v>
      </c>
      <c r="AZ82" s="773">
        <f t="shared" ca="1" si="70"/>
        <v>0</v>
      </c>
      <c r="BA82" s="773">
        <f t="shared" ca="1" si="84"/>
        <v>4</v>
      </c>
      <c r="BB82" s="773">
        <f t="shared" ca="1" si="71"/>
        <v>0</v>
      </c>
      <c r="BC82" s="773">
        <f t="shared" ca="1" si="72"/>
        <v>0</v>
      </c>
      <c r="BD82" s="773">
        <f t="shared" ca="1" si="85"/>
        <v>1</v>
      </c>
      <c r="BE82" s="773">
        <f t="shared" ca="1" si="73"/>
        <v>0</v>
      </c>
      <c r="BF82" s="773" t="str">
        <f t="shared" si="86"/>
        <v>Phong Cáo</v>
      </c>
      <c r="BX82" s="773">
        <v>1980</v>
      </c>
      <c r="BY82" s="773" t="s">
        <v>7924</v>
      </c>
    </row>
    <row r="83" spans="1:77" ht="15">
      <c r="A83" s="855" t="s">
        <v>9301</v>
      </c>
      <c r="B83" s="855" t="s">
        <v>9298</v>
      </c>
      <c r="C83" s="806" t="s">
        <v>7871</v>
      </c>
      <c r="D83" s="855" t="s">
        <v>507</v>
      </c>
      <c r="E83" s="855" t="s">
        <v>1399</v>
      </c>
      <c r="F83" s="855" t="s">
        <v>9299</v>
      </c>
      <c r="G83" s="855" t="s">
        <v>1402</v>
      </c>
      <c r="H83" s="912" t="str">
        <f t="shared" ca="1" si="90"/>
        <v>Tuất</v>
      </c>
      <c r="I83" s="773" t="str">
        <f ca="1">HLOOKUP(N42,AI19:AN49,F15+1,0)</f>
        <v>tỵ</v>
      </c>
      <c r="K83" s="787" t="str">
        <f t="shared" ca="1" si="91"/>
        <v>Vũ Khúc(M)</v>
      </c>
      <c r="L83" s="787"/>
      <c r="M83" s="787" t="str">
        <f t="shared" ca="1" si="92"/>
        <v>Tham Lang(M)</v>
      </c>
      <c r="O83" s="773">
        <f t="shared" ca="1" si="89"/>
        <v>11</v>
      </c>
      <c r="P83" s="773">
        <f t="shared" ca="1" si="89"/>
        <v>1</v>
      </c>
      <c r="Q83" s="834">
        <f t="shared" ca="1" si="87"/>
        <v>9</v>
      </c>
      <c r="R83" s="915">
        <f t="shared" ca="1" si="88"/>
        <v>5</v>
      </c>
      <c r="S83" s="773" t="str">
        <f ca="1">E124</f>
        <v>Mùi</v>
      </c>
      <c r="T83" s="787">
        <v>21</v>
      </c>
      <c r="U83" s="856" t="s">
        <v>6546</v>
      </c>
      <c r="V83" s="773">
        <f t="shared" ca="1" si="50"/>
        <v>0</v>
      </c>
      <c r="W83" s="773">
        <f t="shared" ca="1" si="74"/>
        <v>0</v>
      </c>
      <c r="X83" s="773">
        <f t="shared" ca="1" si="51"/>
        <v>0</v>
      </c>
      <c r="Y83" s="773">
        <f t="shared" ca="1" si="52"/>
        <v>0</v>
      </c>
      <c r="Z83" s="773">
        <f t="shared" ca="1" si="75"/>
        <v>0</v>
      </c>
      <c r="AA83" s="773">
        <f t="shared" ca="1" si="53"/>
        <v>0</v>
      </c>
      <c r="AB83" s="773">
        <f t="shared" ca="1" si="54"/>
        <v>0</v>
      </c>
      <c r="AC83" s="773">
        <f t="shared" ca="1" si="76"/>
        <v>0</v>
      </c>
      <c r="AD83" s="773">
        <f t="shared" ca="1" si="55"/>
        <v>0</v>
      </c>
      <c r="AE83" s="773">
        <f t="shared" ca="1" si="56"/>
        <v>0</v>
      </c>
      <c r="AF83" s="773">
        <f t="shared" ca="1" si="77"/>
        <v>2</v>
      </c>
      <c r="AG83" s="773">
        <f t="shared" ca="1" si="57"/>
        <v>0</v>
      </c>
      <c r="AH83" s="773">
        <f t="shared" ca="1" si="58"/>
        <v>0</v>
      </c>
      <c r="AI83" s="773">
        <f t="shared" ca="1" si="78"/>
        <v>5</v>
      </c>
      <c r="AJ83" s="773">
        <f t="shared" ca="1" si="59"/>
        <v>0</v>
      </c>
      <c r="AK83" s="773">
        <f t="shared" ca="1" si="60"/>
        <v>0</v>
      </c>
      <c r="AL83" s="773">
        <f t="shared" ca="1" si="79"/>
        <v>3</v>
      </c>
      <c r="AM83" s="773">
        <f t="shared" ca="1" si="61"/>
        <v>0</v>
      </c>
      <c r="AN83" s="773">
        <f t="shared" ca="1" si="62"/>
        <v>0</v>
      </c>
      <c r="AO83" s="773">
        <f t="shared" ca="1" si="80"/>
        <v>2</v>
      </c>
      <c r="AP83" s="773">
        <f t="shared" ca="1" si="63"/>
        <v>0</v>
      </c>
      <c r="AQ83" s="773">
        <f t="shared" ca="1" si="64"/>
        <v>1</v>
      </c>
      <c r="AR83" s="773">
        <f t="shared" ca="1" si="81"/>
        <v>1</v>
      </c>
      <c r="AS83" s="773">
        <f t="shared" ca="1" si="65"/>
        <v>1</v>
      </c>
      <c r="AT83" s="773">
        <f t="shared" ca="1" si="66"/>
        <v>0</v>
      </c>
      <c r="AU83" s="773">
        <f t="shared" ca="1" si="82"/>
        <v>1</v>
      </c>
      <c r="AV83" s="773">
        <f t="shared" ca="1" si="67"/>
        <v>0</v>
      </c>
      <c r="AW83" s="773">
        <f t="shared" ca="1" si="68"/>
        <v>0</v>
      </c>
      <c r="AX83" s="773">
        <f t="shared" ca="1" si="83"/>
        <v>2</v>
      </c>
      <c r="AY83" s="773">
        <f t="shared" ca="1" si="69"/>
        <v>0</v>
      </c>
      <c r="AZ83" s="773">
        <f t="shared" ca="1" si="70"/>
        <v>0</v>
      </c>
      <c r="BA83" s="773">
        <f t="shared" ca="1" si="84"/>
        <v>4</v>
      </c>
      <c r="BB83" s="773">
        <f t="shared" ca="1" si="71"/>
        <v>0</v>
      </c>
      <c r="BC83" s="773">
        <f t="shared" ca="1" si="72"/>
        <v>0</v>
      </c>
      <c r="BD83" s="773">
        <f t="shared" ca="1" si="85"/>
        <v>1</v>
      </c>
      <c r="BE83" s="773">
        <f t="shared" ca="1" si="73"/>
        <v>0</v>
      </c>
      <c r="BF83" s="773" t="str">
        <f t="shared" si="86"/>
        <v>Quốc Ấn</v>
      </c>
      <c r="BX83" s="773">
        <v>1981</v>
      </c>
      <c r="BY83" s="773" t="s">
        <v>7925</v>
      </c>
    </row>
    <row r="84" spans="1:77" ht="30">
      <c r="A84" s="855" t="s">
        <v>353</v>
      </c>
      <c r="B84" s="855" t="s">
        <v>9297</v>
      </c>
      <c r="C84" s="855" t="s">
        <v>506</v>
      </c>
      <c r="D84" s="855" t="s">
        <v>9297</v>
      </c>
      <c r="E84" s="855" t="s">
        <v>505</v>
      </c>
      <c r="F84" s="855" t="s">
        <v>9298</v>
      </c>
      <c r="G84" s="855" t="s">
        <v>9301</v>
      </c>
      <c r="H84" s="912" t="str">
        <f t="shared" ca="1" si="90"/>
        <v>Ngọ</v>
      </c>
      <c r="K84" s="787" t="str">
        <f t="shared" ca="1" si="91"/>
        <v>Thái Dương(V)</v>
      </c>
      <c r="L84" s="787"/>
      <c r="M84" s="787" t="str">
        <f t="shared" ca="1" si="92"/>
        <v>Cự Môn(V)</v>
      </c>
      <c r="O84" s="773">
        <f t="shared" ca="1" si="89"/>
        <v>12</v>
      </c>
      <c r="P84" s="773">
        <f t="shared" ca="1" si="89"/>
        <v>2</v>
      </c>
      <c r="Q84" s="834">
        <f t="shared" ca="1" si="87"/>
        <v>10</v>
      </c>
      <c r="R84" s="915">
        <f t="shared" ca="1" si="88"/>
        <v>4</v>
      </c>
      <c r="S84" s="773" t="str">
        <f ca="1">F124</f>
        <v>Thìn</v>
      </c>
      <c r="T84" s="787">
        <v>22</v>
      </c>
      <c r="U84" s="856" t="s">
        <v>8451</v>
      </c>
      <c r="V84" s="773">
        <f t="shared" ca="1" si="50"/>
        <v>0</v>
      </c>
      <c r="W84" s="773">
        <f t="shared" ca="1" si="74"/>
        <v>0</v>
      </c>
      <c r="X84" s="773">
        <f t="shared" ca="1" si="51"/>
        <v>0</v>
      </c>
      <c r="Y84" s="773">
        <f t="shared" ca="1" si="52"/>
        <v>0</v>
      </c>
      <c r="Z84" s="773">
        <f t="shared" ca="1" si="75"/>
        <v>0</v>
      </c>
      <c r="AA84" s="773">
        <f t="shared" ca="1" si="53"/>
        <v>0</v>
      </c>
      <c r="AB84" s="773">
        <f t="shared" ca="1" si="54"/>
        <v>0</v>
      </c>
      <c r="AC84" s="773">
        <f t="shared" ca="1" si="76"/>
        <v>0</v>
      </c>
      <c r="AD84" s="773">
        <f t="shared" ca="1" si="55"/>
        <v>0</v>
      </c>
      <c r="AE84" s="773">
        <f t="shared" ca="1" si="56"/>
        <v>0</v>
      </c>
      <c r="AF84" s="773">
        <f t="shared" ca="1" si="77"/>
        <v>2</v>
      </c>
      <c r="AG84" s="773">
        <f t="shared" ca="1" si="57"/>
        <v>0</v>
      </c>
      <c r="AH84" s="773">
        <f t="shared" ca="1" si="58"/>
        <v>1</v>
      </c>
      <c r="AI84" s="773">
        <f t="shared" ca="1" si="78"/>
        <v>6</v>
      </c>
      <c r="AJ84" s="773">
        <f t="shared" ca="1" si="59"/>
        <v>6</v>
      </c>
      <c r="AK84" s="773">
        <f t="shared" ca="1" si="60"/>
        <v>0</v>
      </c>
      <c r="AL84" s="773">
        <f t="shared" ca="1" si="79"/>
        <v>3</v>
      </c>
      <c r="AM84" s="773">
        <f t="shared" ca="1" si="61"/>
        <v>0</v>
      </c>
      <c r="AN84" s="773">
        <f t="shared" ca="1" si="62"/>
        <v>0</v>
      </c>
      <c r="AO84" s="773">
        <f t="shared" ca="1" si="80"/>
        <v>2</v>
      </c>
      <c r="AP84" s="773">
        <f t="shared" ca="1" si="63"/>
        <v>0</v>
      </c>
      <c r="AQ84" s="773">
        <f t="shared" ca="1" si="64"/>
        <v>0</v>
      </c>
      <c r="AR84" s="773">
        <f t="shared" ca="1" si="81"/>
        <v>1</v>
      </c>
      <c r="AS84" s="773">
        <f t="shared" ca="1" si="65"/>
        <v>0</v>
      </c>
      <c r="AT84" s="773">
        <f t="shared" ca="1" si="66"/>
        <v>0</v>
      </c>
      <c r="AU84" s="773">
        <f t="shared" ca="1" si="82"/>
        <v>1</v>
      </c>
      <c r="AV84" s="773">
        <f t="shared" ca="1" si="67"/>
        <v>0</v>
      </c>
      <c r="AW84" s="773">
        <f t="shared" ca="1" si="68"/>
        <v>0</v>
      </c>
      <c r="AX84" s="773">
        <f t="shared" ca="1" si="83"/>
        <v>2</v>
      </c>
      <c r="AY84" s="773">
        <f t="shared" ca="1" si="69"/>
        <v>0</v>
      </c>
      <c r="AZ84" s="773">
        <f t="shared" ca="1" si="70"/>
        <v>0</v>
      </c>
      <c r="BA84" s="773">
        <f t="shared" ca="1" si="84"/>
        <v>4</v>
      </c>
      <c r="BB84" s="773">
        <f t="shared" ca="1" si="71"/>
        <v>0</v>
      </c>
      <c r="BC84" s="773">
        <f t="shared" ca="1" si="72"/>
        <v>0</v>
      </c>
      <c r="BD84" s="773">
        <f t="shared" ca="1" si="85"/>
        <v>1</v>
      </c>
      <c r="BE84" s="773">
        <f t="shared" ca="1" si="73"/>
        <v>0</v>
      </c>
      <c r="BF84" s="773" t="str">
        <f t="shared" si="86"/>
        <v>Đường Phù</v>
      </c>
      <c r="BX84" s="773">
        <v>1982</v>
      </c>
      <c r="BY84" s="773" t="s">
        <v>7927</v>
      </c>
    </row>
    <row r="85" spans="1:77" ht="15">
      <c r="A85" s="855" t="s">
        <v>1399</v>
      </c>
      <c r="B85" s="855" t="s">
        <v>507</v>
      </c>
      <c r="C85" s="855" t="s">
        <v>507</v>
      </c>
      <c r="D85" s="855" t="s">
        <v>9298</v>
      </c>
      <c r="E85" s="806" t="s">
        <v>7871</v>
      </c>
      <c r="F85" s="855" t="s">
        <v>9297</v>
      </c>
      <c r="G85" s="855" t="s">
        <v>353</v>
      </c>
      <c r="H85" s="912" t="str">
        <f t="shared" ca="1" si="90"/>
        <v>Mùi</v>
      </c>
      <c r="K85" s="787" t="str">
        <f t="shared" ca="1" si="91"/>
        <v>Thiên Tướng(H)</v>
      </c>
      <c r="L85" s="787"/>
      <c r="M85" s="787" t="str">
        <f t="shared" ca="1" si="92"/>
        <v xml:space="preserve"> </v>
      </c>
      <c r="O85" s="773">
        <f t="shared" ca="1" si="89"/>
        <v>1</v>
      </c>
      <c r="P85" s="773">
        <f t="shared" ca="1" si="89"/>
        <v>3</v>
      </c>
      <c r="Q85" s="834">
        <f t="shared" ca="1" si="87"/>
        <v>11</v>
      </c>
      <c r="R85" s="915">
        <f t="shared" ca="1" si="88"/>
        <v>3</v>
      </c>
      <c r="S85" s="773" t="str">
        <f ca="1">G142</f>
        <v>Mão</v>
      </c>
      <c r="T85" s="787">
        <v>23</v>
      </c>
      <c r="U85" s="856" t="s">
        <v>6559</v>
      </c>
      <c r="V85" s="773">
        <f t="shared" ca="1" si="50"/>
        <v>0</v>
      </c>
      <c r="W85" s="773">
        <f t="shared" ca="1" si="74"/>
        <v>0</v>
      </c>
      <c r="X85" s="773">
        <f t="shared" ca="1" si="51"/>
        <v>0</v>
      </c>
      <c r="Y85" s="773">
        <f t="shared" ca="1" si="52"/>
        <v>0</v>
      </c>
      <c r="Z85" s="773">
        <f t="shared" ca="1" si="75"/>
        <v>0</v>
      </c>
      <c r="AA85" s="773">
        <f t="shared" ca="1" si="53"/>
        <v>0</v>
      </c>
      <c r="AB85" s="773">
        <f t="shared" ca="1" si="54"/>
        <v>0</v>
      </c>
      <c r="AC85" s="773">
        <f t="shared" ca="1" si="76"/>
        <v>0</v>
      </c>
      <c r="AD85" s="773">
        <f t="shared" ca="1" si="55"/>
        <v>0</v>
      </c>
      <c r="AE85" s="773">
        <f t="shared" ca="1" si="56"/>
        <v>1</v>
      </c>
      <c r="AF85" s="773">
        <f t="shared" ca="1" si="77"/>
        <v>3</v>
      </c>
      <c r="AG85" s="773">
        <f t="shared" ca="1" si="57"/>
        <v>3</v>
      </c>
      <c r="AH85" s="773">
        <f t="shared" ca="1" si="58"/>
        <v>0</v>
      </c>
      <c r="AI85" s="773">
        <f t="shared" ca="1" si="78"/>
        <v>6</v>
      </c>
      <c r="AJ85" s="773">
        <f t="shared" ca="1" si="59"/>
        <v>0</v>
      </c>
      <c r="AK85" s="773">
        <f t="shared" ca="1" si="60"/>
        <v>0</v>
      </c>
      <c r="AL85" s="773">
        <f t="shared" ca="1" si="79"/>
        <v>3</v>
      </c>
      <c r="AM85" s="773">
        <f t="shared" ca="1" si="61"/>
        <v>0</v>
      </c>
      <c r="AN85" s="773">
        <f t="shared" ca="1" si="62"/>
        <v>0</v>
      </c>
      <c r="AO85" s="773">
        <f t="shared" ca="1" si="80"/>
        <v>2</v>
      </c>
      <c r="AP85" s="773">
        <f t="shared" ca="1" si="63"/>
        <v>0</v>
      </c>
      <c r="AQ85" s="773">
        <f t="shared" ca="1" si="64"/>
        <v>0</v>
      </c>
      <c r="AR85" s="773">
        <f t="shared" ca="1" si="81"/>
        <v>1</v>
      </c>
      <c r="AS85" s="773">
        <f t="shared" ca="1" si="65"/>
        <v>0</v>
      </c>
      <c r="AT85" s="773">
        <f t="shared" ca="1" si="66"/>
        <v>0</v>
      </c>
      <c r="AU85" s="773">
        <f t="shared" ca="1" si="82"/>
        <v>1</v>
      </c>
      <c r="AV85" s="773">
        <f t="shared" ca="1" si="67"/>
        <v>0</v>
      </c>
      <c r="AW85" s="773">
        <f t="shared" ca="1" si="68"/>
        <v>0</v>
      </c>
      <c r="AX85" s="773">
        <f t="shared" ca="1" si="83"/>
        <v>2</v>
      </c>
      <c r="AY85" s="773">
        <f t="shared" ca="1" si="69"/>
        <v>0</v>
      </c>
      <c r="AZ85" s="773">
        <f t="shared" ca="1" si="70"/>
        <v>0</v>
      </c>
      <c r="BA85" s="773">
        <f t="shared" ca="1" si="84"/>
        <v>4</v>
      </c>
      <c r="BB85" s="773">
        <f t="shared" ca="1" si="71"/>
        <v>0</v>
      </c>
      <c r="BC85" s="773">
        <f t="shared" ca="1" si="72"/>
        <v>0</v>
      </c>
      <c r="BD85" s="773">
        <f t="shared" ca="1" si="85"/>
        <v>1</v>
      </c>
      <c r="BE85" s="773">
        <f t="shared" ca="1" si="73"/>
        <v>0</v>
      </c>
      <c r="BF85" s="773" t="str">
        <f t="shared" si="86"/>
        <v>Thiên Đức</v>
      </c>
      <c r="BX85" s="773">
        <v>1983</v>
      </c>
      <c r="BY85" s="773" t="s">
        <v>7928</v>
      </c>
    </row>
    <row r="86" spans="1:77" ht="25.5">
      <c r="A86" s="855" t="s">
        <v>505</v>
      </c>
      <c r="B86" s="855" t="s">
        <v>506</v>
      </c>
      <c r="C86" s="855" t="s">
        <v>9297</v>
      </c>
      <c r="D86" s="855" t="s">
        <v>9299</v>
      </c>
      <c r="E86" s="855" t="s">
        <v>506</v>
      </c>
      <c r="F86" s="855" t="s">
        <v>507</v>
      </c>
      <c r="G86" s="855" t="s">
        <v>1399</v>
      </c>
      <c r="H86" s="912" t="str">
        <f t="shared" ca="1" si="90"/>
        <v>Mão</v>
      </c>
      <c r="I86" s="915">
        <f ca="1">VLOOKUP(H82,$N$49:$O$60,2,0)</f>
        <v>9</v>
      </c>
      <c r="K86" s="787" t="str">
        <f t="shared" ca="1" si="91"/>
        <v>Thiên Cơ(M)</v>
      </c>
      <c r="L86" s="787"/>
      <c r="M86" s="787" t="str">
        <f t="shared" ca="1" si="92"/>
        <v>Thiên Lương(M)</v>
      </c>
      <c r="O86" s="773">
        <f t="shared" ca="1" si="89"/>
        <v>2</v>
      </c>
      <c r="P86" s="773">
        <f t="shared" ca="1" si="89"/>
        <v>4</v>
      </c>
      <c r="Q86" s="834">
        <f t="shared" ca="1" si="87"/>
        <v>12</v>
      </c>
      <c r="R86" s="915">
        <f t="shared" ca="1" si="88"/>
        <v>2</v>
      </c>
      <c r="S86" s="773" t="str">
        <f ca="1">H142</f>
        <v>Hợi</v>
      </c>
      <c r="T86" s="787">
        <v>24</v>
      </c>
      <c r="U86" s="856" t="s">
        <v>6560</v>
      </c>
      <c r="V86" s="773">
        <f t="shared" ca="1" si="50"/>
        <v>0</v>
      </c>
      <c r="W86" s="773">
        <f t="shared" ca="1" si="74"/>
        <v>0</v>
      </c>
      <c r="X86" s="773">
        <f t="shared" ca="1" si="51"/>
        <v>0</v>
      </c>
      <c r="Y86" s="773">
        <f t="shared" ca="1" si="52"/>
        <v>0</v>
      </c>
      <c r="Z86" s="773">
        <f t="shared" ca="1" si="75"/>
        <v>0</v>
      </c>
      <c r="AA86" s="773">
        <f t="shared" ca="1" si="53"/>
        <v>0</v>
      </c>
      <c r="AB86" s="773">
        <f t="shared" ca="1" si="54"/>
        <v>0</v>
      </c>
      <c r="AC86" s="773">
        <f t="shared" ca="1" si="76"/>
        <v>0</v>
      </c>
      <c r="AD86" s="773">
        <f t="shared" ca="1" si="55"/>
        <v>0</v>
      </c>
      <c r="AE86" s="773">
        <f t="shared" ca="1" si="56"/>
        <v>0</v>
      </c>
      <c r="AF86" s="773">
        <f t="shared" ca="1" si="77"/>
        <v>3</v>
      </c>
      <c r="AG86" s="773">
        <f t="shared" ca="1" si="57"/>
        <v>0</v>
      </c>
      <c r="AH86" s="773">
        <f t="shared" ca="1" si="58"/>
        <v>0</v>
      </c>
      <c r="AI86" s="773">
        <f t="shared" ca="1" si="78"/>
        <v>6</v>
      </c>
      <c r="AJ86" s="773">
        <f t="shared" ca="1" si="59"/>
        <v>0</v>
      </c>
      <c r="AK86" s="773">
        <f t="shared" ca="1" si="60"/>
        <v>0</v>
      </c>
      <c r="AL86" s="773">
        <f t="shared" ca="1" si="79"/>
        <v>3</v>
      </c>
      <c r="AM86" s="773">
        <f t="shared" ca="1" si="61"/>
        <v>0</v>
      </c>
      <c r="AN86" s="773">
        <f t="shared" ca="1" si="62"/>
        <v>0</v>
      </c>
      <c r="AO86" s="773">
        <f t="shared" ca="1" si="80"/>
        <v>2</v>
      </c>
      <c r="AP86" s="773">
        <f t="shared" ca="1" si="63"/>
        <v>0</v>
      </c>
      <c r="AQ86" s="773">
        <f t="shared" ca="1" si="64"/>
        <v>0</v>
      </c>
      <c r="AR86" s="773">
        <f t="shared" ca="1" si="81"/>
        <v>1</v>
      </c>
      <c r="AS86" s="773">
        <f t="shared" ca="1" si="65"/>
        <v>0</v>
      </c>
      <c r="AT86" s="773">
        <f t="shared" ca="1" si="66"/>
        <v>0</v>
      </c>
      <c r="AU86" s="773">
        <f t="shared" ca="1" si="82"/>
        <v>1</v>
      </c>
      <c r="AV86" s="773">
        <f t="shared" ca="1" si="67"/>
        <v>0</v>
      </c>
      <c r="AW86" s="773">
        <f t="shared" ca="1" si="68"/>
        <v>0</v>
      </c>
      <c r="AX86" s="773">
        <f t="shared" ca="1" si="83"/>
        <v>2</v>
      </c>
      <c r="AY86" s="773">
        <f t="shared" ca="1" si="69"/>
        <v>0</v>
      </c>
      <c r="AZ86" s="773">
        <f t="shared" ca="1" si="70"/>
        <v>0</v>
      </c>
      <c r="BA86" s="773">
        <f t="shared" ca="1" si="84"/>
        <v>4</v>
      </c>
      <c r="BB86" s="773">
        <f t="shared" ca="1" si="71"/>
        <v>0</v>
      </c>
      <c r="BC86" s="773">
        <f t="shared" ca="1" si="72"/>
        <v>1</v>
      </c>
      <c r="BD86" s="773">
        <f t="shared" ca="1" si="85"/>
        <v>2</v>
      </c>
      <c r="BE86" s="773">
        <f t="shared" ca="1" si="73"/>
        <v>2</v>
      </c>
      <c r="BF86" s="773" t="str">
        <f t="shared" si="86"/>
        <v>Nguyệt Đức</v>
      </c>
      <c r="BX86" s="773">
        <v>1984</v>
      </c>
      <c r="BY86" s="773" t="s">
        <v>7814</v>
      </c>
    </row>
    <row r="87" spans="1:77" ht="15">
      <c r="A87" s="806" t="s">
        <v>7871</v>
      </c>
      <c r="B87" s="806" t="s">
        <v>7871</v>
      </c>
      <c r="C87" s="855" t="s">
        <v>9298</v>
      </c>
      <c r="D87" s="855" t="s">
        <v>9300</v>
      </c>
      <c r="E87" s="855" t="s">
        <v>507</v>
      </c>
      <c r="F87" s="855" t="s">
        <v>506</v>
      </c>
      <c r="G87" s="855" t="s">
        <v>505</v>
      </c>
      <c r="I87" s="773">
        <f ca="1">36-F15+I86+2</f>
        <v>41</v>
      </c>
      <c r="K87" s="787" t="str">
        <f t="shared" ca="1" si="91"/>
        <v>Tử Vi (M)</v>
      </c>
      <c r="L87" s="787"/>
      <c r="M87" s="787" t="str">
        <f t="shared" ca="1" si="92"/>
        <v>Thất Sát(V)</v>
      </c>
      <c r="O87" s="773">
        <f t="shared" ca="1" si="89"/>
        <v>3</v>
      </c>
      <c r="P87" s="773">
        <f t="shared" ca="1" si="89"/>
        <v>5</v>
      </c>
      <c r="Q87" s="834">
        <f t="shared" ca="1" si="87"/>
        <v>1</v>
      </c>
      <c r="R87" s="915">
        <f t="shared" ca="1" si="88"/>
        <v>1</v>
      </c>
      <c r="S87" s="773" t="str">
        <f ca="1">K202</f>
        <v>Mão</v>
      </c>
      <c r="T87" s="787">
        <v>25</v>
      </c>
      <c r="U87" s="856" t="s">
        <v>8452</v>
      </c>
      <c r="V87" s="773">
        <f t="shared" ca="1" si="50"/>
        <v>0</v>
      </c>
      <c r="W87" s="773">
        <f t="shared" ca="1" si="74"/>
        <v>0</v>
      </c>
      <c r="X87" s="773">
        <f t="shared" ca="1" si="51"/>
        <v>0</v>
      </c>
      <c r="Y87" s="773">
        <f t="shared" ca="1" si="52"/>
        <v>0</v>
      </c>
      <c r="Z87" s="773">
        <f t="shared" ca="1" si="75"/>
        <v>0</v>
      </c>
      <c r="AA87" s="773">
        <f t="shared" ca="1" si="53"/>
        <v>0</v>
      </c>
      <c r="AB87" s="773">
        <f t="shared" ca="1" si="54"/>
        <v>0</v>
      </c>
      <c r="AC87" s="773">
        <f t="shared" ca="1" si="76"/>
        <v>0</v>
      </c>
      <c r="AD87" s="773">
        <f t="shared" ca="1" si="55"/>
        <v>0</v>
      </c>
      <c r="AE87" s="773">
        <f t="shared" ca="1" si="56"/>
        <v>1</v>
      </c>
      <c r="AF87" s="773">
        <f t="shared" ca="1" si="77"/>
        <v>4</v>
      </c>
      <c r="AG87" s="773">
        <f t="shared" ca="1" si="57"/>
        <v>4</v>
      </c>
      <c r="AH87" s="773">
        <f t="shared" ca="1" si="58"/>
        <v>0</v>
      </c>
      <c r="AI87" s="773">
        <f t="shared" ca="1" si="78"/>
        <v>6</v>
      </c>
      <c r="AJ87" s="773">
        <f t="shared" ca="1" si="59"/>
        <v>0</v>
      </c>
      <c r="AK87" s="773">
        <f t="shared" ca="1" si="60"/>
        <v>0</v>
      </c>
      <c r="AL87" s="773">
        <f t="shared" ca="1" si="79"/>
        <v>3</v>
      </c>
      <c r="AM87" s="773">
        <f t="shared" ca="1" si="61"/>
        <v>0</v>
      </c>
      <c r="AN87" s="773">
        <f t="shared" ca="1" si="62"/>
        <v>0</v>
      </c>
      <c r="AO87" s="773">
        <f t="shared" ca="1" si="80"/>
        <v>2</v>
      </c>
      <c r="AP87" s="773">
        <f t="shared" ca="1" si="63"/>
        <v>0</v>
      </c>
      <c r="AQ87" s="773">
        <f t="shared" ca="1" si="64"/>
        <v>0</v>
      </c>
      <c r="AR87" s="773">
        <f t="shared" ca="1" si="81"/>
        <v>1</v>
      </c>
      <c r="AS87" s="773">
        <f t="shared" ca="1" si="65"/>
        <v>0</v>
      </c>
      <c r="AT87" s="773">
        <f t="shared" ca="1" si="66"/>
        <v>0</v>
      </c>
      <c r="AU87" s="773">
        <f t="shared" ca="1" si="82"/>
        <v>1</v>
      </c>
      <c r="AV87" s="773">
        <f t="shared" ca="1" si="67"/>
        <v>0</v>
      </c>
      <c r="AW87" s="773">
        <f t="shared" ca="1" si="68"/>
        <v>0</v>
      </c>
      <c r="AX87" s="773">
        <f t="shared" ca="1" si="83"/>
        <v>2</v>
      </c>
      <c r="AY87" s="773">
        <f t="shared" ca="1" si="69"/>
        <v>0</v>
      </c>
      <c r="AZ87" s="773">
        <f t="shared" ca="1" si="70"/>
        <v>0</v>
      </c>
      <c r="BA87" s="773">
        <f t="shared" ca="1" si="84"/>
        <v>4</v>
      </c>
      <c r="BB87" s="773">
        <f t="shared" ca="1" si="71"/>
        <v>0</v>
      </c>
      <c r="BC87" s="773">
        <f t="shared" ca="1" si="72"/>
        <v>0</v>
      </c>
      <c r="BD87" s="773">
        <f t="shared" ca="1" si="85"/>
        <v>2</v>
      </c>
      <c r="BE87" s="773">
        <f t="shared" ca="1" si="73"/>
        <v>0</v>
      </c>
      <c r="BF87" s="773" t="str">
        <f t="shared" si="86"/>
        <v>Phúc Đức</v>
      </c>
      <c r="BX87" s="773">
        <v>1985</v>
      </c>
      <c r="BY87" s="773" t="s">
        <v>7818</v>
      </c>
    </row>
    <row r="88" spans="1:77" ht="15">
      <c r="A88" s="855" t="s">
        <v>506</v>
      </c>
      <c r="B88" s="855" t="s">
        <v>505</v>
      </c>
      <c r="C88" s="855" t="s">
        <v>9299</v>
      </c>
      <c r="D88" s="855" t="s">
        <v>1402</v>
      </c>
      <c r="E88" s="855" t="s">
        <v>9297</v>
      </c>
      <c r="F88" s="806" t="s">
        <v>7871</v>
      </c>
      <c r="G88" s="806" t="s">
        <v>7871</v>
      </c>
      <c r="H88" s="912">
        <f ca="1">$F$15+I81-2</f>
        <v>11</v>
      </c>
      <c r="I88" s="773">
        <f ca="1">MOD(I87,12)</f>
        <v>5</v>
      </c>
      <c r="K88" s="787" t="str">
        <f t="shared" ca="1" si="91"/>
        <v xml:space="preserve"> </v>
      </c>
      <c r="L88" s="787"/>
      <c r="M88" s="787" t="str">
        <f t="shared" ca="1" si="92"/>
        <v xml:space="preserve"> </v>
      </c>
      <c r="O88" s="773">
        <f t="shared" ca="1" si="89"/>
        <v>4</v>
      </c>
      <c r="P88" s="773">
        <f t="shared" ca="1" si="89"/>
        <v>6</v>
      </c>
      <c r="Q88" s="834">
        <f t="shared" ca="1" si="87"/>
        <v>2</v>
      </c>
      <c r="R88" s="915">
        <f t="shared" ca="1" si="88"/>
        <v>12</v>
      </c>
      <c r="S88" s="773" t="str">
        <f ca="1">I202</f>
        <v>Sửu</v>
      </c>
      <c r="T88" s="787">
        <v>26</v>
      </c>
      <c r="U88" s="856" t="s">
        <v>8453</v>
      </c>
      <c r="V88" s="773">
        <f t="shared" ca="1" si="50"/>
        <v>0</v>
      </c>
      <c r="W88" s="773">
        <f t="shared" ca="1" si="74"/>
        <v>0</v>
      </c>
      <c r="X88" s="773">
        <f t="shared" ca="1" si="51"/>
        <v>0</v>
      </c>
      <c r="Y88" s="773">
        <f t="shared" ca="1" si="52"/>
        <v>1</v>
      </c>
      <c r="Z88" s="773">
        <f t="shared" ca="1" si="75"/>
        <v>1</v>
      </c>
      <c r="AA88" s="773">
        <f t="shared" ca="1" si="53"/>
        <v>1</v>
      </c>
      <c r="AB88" s="773">
        <f t="shared" ca="1" si="54"/>
        <v>0</v>
      </c>
      <c r="AC88" s="773">
        <f t="shared" ca="1" si="76"/>
        <v>0</v>
      </c>
      <c r="AD88" s="773">
        <f t="shared" ca="1" si="55"/>
        <v>0</v>
      </c>
      <c r="AE88" s="773">
        <f t="shared" ca="1" si="56"/>
        <v>0</v>
      </c>
      <c r="AF88" s="773">
        <f t="shared" ca="1" si="77"/>
        <v>4</v>
      </c>
      <c r="AG88" s="773">
        <f t="shared" ca="1" si="57"/>
        <v>0</v>
      </c>
      <c r="AH88" s="773">
        <f t="shared" ca="1" si="58"/>
        <v>0</v>
      </c>
      <c r="AI88" s="773">
        <f t="shared" ca="1" si="78"/>
        <v>6</v>
      </c>
      <c r="AJ88" s="773">
        <f t="shared" ca="1" si="59"/>
        <v>0</v>
      </c>
      <c r="AK88" s="773">
        <f t="shared" ca="1" si="60"/>
        <v>0</v>
      </c>
      <c r="AL88" s="773">
        <f t="shared" ca="1" si="79"/>
        <v>3</v>
      </c>
      <c r="AM88" s="773">
        <f t="shared" ca="1" si="61"/>
        <v>0</v>
      </c>
      <c r="AN88" s="773">
        <f t="shared" ca="1" si="62"/>
        <v>0</v>
      </c>
      <c r="AO88" s="773">
        <f t="shared" ca="1" si="80"/>
        <v>2</v>
      </c>
      <c r="AP88" s="773">
        <f t="shared" ca="1" si="63"/>
        <v>0</v>
      </c>
      <c r="AQ88" s="773">
        <f t="shared" ca="1" si="64"/>
        <v>0</v>
      </c>
      <c r="AR88" s="773">
        <f t="shared" ca="1" si="81"/>
        <v>1</v>
      </c>
      <c r="AS88" s="773">
        <f t="shared" ca="1" si="65"/>
        <v>0</v>
      </c>
      <c r="AT88" s="773">
        <f t="shared" ca="1" si="66"/>
        <v>0</v>
      </c>
      <c r="AU88" s="773">
        <f t="shared" ca="1" si="82"/>
        <v>1</v>
      </c>
      <c r="AV88" s="773">
        <f t="shared" ca="1" si="67"/>
        <v>0</v>
      </c>
      <c r="AW88" s="773">
        <f t="shared" ca="1" si="68"/>
        <v>0</v>
      </c>
      <c r="AX88" s="773">
        <f t="shared" ca="1" si="83"/>
        <v>2</v>
      </c>
      <c r="AY88" s="773">
        <f t="shared" ca="1" si="69"/>
        <v>0</v>
      </c>
      <c r="AZ88" s="773">
        <f t="shared" ca="1" si="70"/>
        <v>0</v>
      </c>
      <c r="BA88" s="773">
        <f t="shared" ca="1" si="84"/>
        <v>4</v>
      </c>
      <c r="BB88" s="773">
        <f t="shared" ca="1" si="71"/>
        <v>0</v>
      </c>
      <c r="BC88" s="773">
        <f t="shared" ca="1" si="72"/>
        <v>0</v>
      </c>
      <c r="BD88" s="773">
        <f t="shared" ca="1" si="85"/>
        <v>2</v>
      </c>
      <c r="BE88" s="773">
        <f t="shared" ca="1" si="73"/>
        <v>0</v>
      </c>
      <c r="BF88" s="773" t="str">
        <f t="shared" si="86"/>
        <v>Long Đức</v>
      </c>
      <c r="BX88" s="773">
        <v>1986</v>
      </c>
      <c r="BY88" s="773" t="s">
        <v>7819</v>
      </c>
    </row>
    <row r="89" spans="1:77" ht="15">
      <c r="A89" s="855" t="s">
        <v>507</v>
      </c>
      <c r="B89" s="855" t="s">
        <v>1399</v>
      </c>
      <c r="C89" s="855" t="s">
        <v>9300</v>
      </c>
      <c r="D89" s="855" t="s">
        <v>9301</v>
      </c>
      <c r="E89" s="855" t="s">
        <v>9298</v>
      </c>
      <c r="F89" s="855" t="s">
        <v>505</v>
      </c>
      <c r="G89" s="855" t="s">
        <v>506</v>
      </c>
      <c r="H89" s="773">
        <f ca="1">MOD(H88,12)</f>
        <v>11</v>
      </c>
      <c r="K89" s="787" t="str">
        <f t="shared" ca="1" si="91"/>
        <v xml:space="preserve"> </v>
      </c>
      <c r="L89" s="787"/>
      <c r="M89" s="787" t="str">
        <f t="shared" ca="1" si="92"/>
        <v xml:space="preserve"> </v>
      </c>
      <c r="S89" s="773" t="str">
        <f ca="1">G95</f>
        <v>Thân</v>
      </c>
      <c r="T89" s="787">
        <v>27</v>
      </c>
      <c r="U89" s="856" t="s">
        <v>8454</v>
      </c>
      <c r="V89" s="773">
        <f t="shared" ca="1" si="50"/>
        <v>0</v>
      </c>
      <c r="W89" s="773">
        <f t="shared" ca="1" si="74"/>
        <v>0</v>
      </c>
      <c r="X89" s="773">
        <f t="shared" ca="1" si="51"/>
        <v>0</v>
      </c>
      <c r="Y89" s="773">
        <f t="shared" ca="1" si="52"/>
        <v>0</v>
      </c>
      <c r="Z89" s="773">
        <f t="shared" ca="1" si="75"/>
        <v>1</v>
      </c>
      <c r="AA89" s="773">
        <f t="shared" ca="1" si="53"/>
        <v>0</v>
      </c>
      <c r="AB89" s="773">
        <f t="shared" ca="1" si="54"/>
        <v>0</v>
      </c>
      <c r="AC89" s="773">
        <f t="shared" ca="1" si="76"/>
        <v>0</v>
      </c>
      <c r="AD89" s="773">
        <f t="shared" ca="1" si="55"/>
        <v>0</v>
      </c>
      <c r="AE89" s="773">
        <f t="shared" ca="1" si="56"/>
        <v>0</v>
      </c>
      <c r="AF89" s="773">
        <f t="shared" ca="1" si="77"/>
        <v>4</v>
      </c>
      <c r="AG89" s="773">
        <f t="shared" ca="1" si="57"/>
        <v>0</v>
      </c>
      <c r="AH89" s="773">
        <f t="shared" ca="1" si="58"/>
        <v>0</v>
      </c>
      <c r="AI89" s="773">
        <f t="shared" ca="1" si="78"/>
        <v>6</v>
      </c>
      <c r="AJ89" s="773">
        <f t="shared" ca="1" si="59"/>
        <v>0</v>
      </c>
      <c r="AK89" s="773">
        <f t="shared" ca="1" si="60"/>
        <v>0</v>
      </c>
      <c r="AL89" s="773">
        <f t="shared" ca="1" si="79"/>
        <v>3</v>
      </c>
      <c r="AM89" s="773">
        <f t="shared" ca="1" si="61"/>
        <v>0</v>
      </c>
      <c r="AN89" s="773">
        <f t="shared" ca="1" si="62"/>
        <v>0</v>
      </c>
      <c r="AO89" s="773">
        <f t="shared" ca="1" si="80"/>
        <v>2</v>
      </c>
      <c r="AP89" s="773">
        <f t="shared" ca="1" si="63"/>
        <v>0</v>
      </c>
      <c r="AQ89" s="773">
        <f t="shared" ca="1" si="64"/>
        <v>0</v>
      </c>
      <c r="AR89" s="773">
        <f t="shared" ca="1" si="81"/>
        <v>1</v>
      </c>
      <c r="AS89" s="773">
        <f t="shared" ca="1" si="65"/>
        <v>0</v>
      </c>
      <c r="AT89" s="773">
        <f t="shared" ca="1" si="66"/>
        <v>1</v>
      </c>
      <c r="AU89" s="773">
        <f t="shared" ca="1" si="82"/>
        <v>2</v>
      </c>
      <c r="AV89" s="773">
        <f t="shared" ca="1" si="67"/>
        <v>2</v>
      </c>
      <c r="AW89" s="773">
        <f t="shared" ca="1" si="68"/>
        <v>0</v>
      </c>
      <c r="AX89" s="773">
        <f t="shared" ca="1" si="83"/>
        <v>2</v>
      </c>
      <c r="AY89" s="773">
        <f t="shared" ca="1" si="69"/>
        <v>0</v>
      </c>
      <c r="AZ89" s="773">
        <f t="shared" ca="1" si="70"/>
        <v>0</v>
      </c>
      <c r="BA89" s="773">
        <f t="shared" ca="1" si="84"/>
        <v>4</v>
      </c>
      <c r="BB89" s="773">
        <f t="shared" ca="1" si="71"/>
        <v>0</v>
      </c>
      <c r="BC89" s="773">
        <f t="shared" ca="1" si="72"/>
        <v>0</v>
      </c>
      <c r="BD89" s="773">
        <f t="shared" ca="1" si="85"/>
        <v>2</v>
      </c>
      <c r="BE89" s="773">
        <f t="shared" ca="1" si="73"/>
        <v>0</v>
      </c>
      <c r="BF89" s="773" t="str">
        <f t="shared" si="86"/>
        <v>Thiên Giải</v>
      </c>
      <c r="BX89" s="773">
        <v>1987</v>
      </c>
      <c r="BY89" s="773" t="s">
        <v>7820</v>
      </c>
    </row>
    <row r="90" spans="1:77" ht="15">
      <c r="A90" s="855" t="s">
        <v>9297</v>
      </c>
      <c r="B90" s="855" t="s">
        <v>353</v>
      </c>
      <c r="C90" s="855" t="s">
        <v>1402</v>
      </c>
      <c r="D90" s="855" t="s">
        <v>353</v>
      </c>
      <c r="E90" s="855" t="s">
        <v>9299</v>
      </c>
      <c r="F90" s="855" t="s">
        <v>1399</v>
      </c>
      <c r="G90" s="855" t="s">
        <v>507</v>
      </c>
      <c r="H90" s="912">
        <f ca="1">IF(H89=0,12,H89)</f>
        <v>11</v>
      </c>
      <c r="I90" s="855" t="s">
        <v>8455</v>
      </c>
      <c r="K90" s="787" t="str">
        <f t="shared" ca="1" si="91"/>
        <v xml:space="preserve"> </v>
      </c>
      <c r="L90" s="787"/>
      <c r="M90" s="787" t="str">
        <f t="shared" ca="1" si="92"/>
        <v xml:space="preserve"> </v>
      </c>
      <c r="P90" s="773">
        <f ca="1">O77</f>
        <v>5</v>
      </c>
      <c r="Q90" s="773">
        <f ca="1">O76</f>
        <v>7</v>
      </c>
      <c r="R90" s="834">
        <f t="shared" ref="R90:R101" ca="1" si="93">VLOOKUP(P36,$P$90:$Q$101,2,0)</f>
        <v>11</v>
      </c>
      <c r="S90" s="773" t="str">
        <f ca="1">H95</f>
        <v>Mùi</v>
      </c>
      <c r="T90" s="787">
        <v>28</v>
      </c>
      <c r="U90" s="856" t="s">
        <v>8456</v>
      </c>
      <c r="V90" s="773">
        <f t="shared" ca="1" si="50"/>
        <v>0</v>
      </c>
      <c r="W90" s="773">
        <f t="shared" ca="1" si="74"/>
        <v>0</v>
      </c>
      <c r="X90" s="773">
        <f t="shared" ca="1" si="51"/>
        <v>0</v>
      </c>
      <c r="Y90" s="773">
        <f t="shared" ca="1" si="52"/>
        <v>0</v>
      </c>
      <c r="Z90" s="773">
        <f t="shared" ca="1" si="75"/>
        <v>1</v>
      </c>
      <c r="AA90" s="773">
        <f t="shared" ca="1" si="53"/>
        <v>0</v>
      </c>
      <c r="AB90" s="773">
        <f t="shared" ca="1" si="54"/>
        <v>0</v>
      </c>
      <c r="AC90" s="773">
        <f t="shared" ca="1" si="76"/>
        <v>0</v>
      </c>
      <c r="AD90" s="773">
        <f t="shared" ca="1" si="55"/>
        <v>0</v>
      </c>
      <c r="AE90" s="773">
        <f t="shared" ca="1" si="56"/>
        <v>0</v>
      </c>
      <c r="AF90" s="773">
        <f t="shared" ca="1" si="77"/>
        <v>4</v>
      </c>
      <c r="AG90" s="773">
        <f t="shared" ca="1" si="57"/>
        <v>0</v>
      </c>
      <c r="AH90" s="773">
        <f t="shared" ca="1" si="58"/>
        <v>0</v>
      </c>
      <c r="AI90" s="773">
        <f t="shared" ca="1" si="78"/>
        <v>6</v>
      </c>
      <c r="AJ90" s="773">
        <f t="shared" ca="1" si="59"/>
        <v>0</v>
      </c>
      <c r="AK90" s="773">
        <f t="shared" ca="1" si="60"/>
        <v>0</v>
      </c>
      <c r="AL90" s="773">
        <f t="shared" ca="1" si="79"/>
        <v>3</v>
      </c>
      <c r="AM90" s="773">
        <f t="shared" ca="1" si="61"/>
        <v>0</v>
      </c>
      <c r="AN90" s="773">
        <f t="shared" ca="1" si="62"/>
        <v>0</v>
      </c>
      <c r="AO90" s="773">
        <f t="shared" ca="1" si="80"/>
        <v>2</v>
      </c>
      <c r="AP90" s="773">
        <f t="shared" ca="1" si="63"/>
        <v>0</v>
      </c>
      <c r="AQ90" s="773">
        <f t="shared" ca="1" si="64"/>
        <v>1</v>
      </c>
      <c r="AR90" s="773">
        <f t="shared" ca="1" si="81"/>
        <v>2</v>
      </c>
      <c r="AS90" s="773">
        <f t="shared" ca="1" si="65"/>
        <v>2</v>
      </c>
      <c r="AT90" s="773">
        <f t="shared" ca="1" si="66"/>
        <v>0</v>
      </c>
      <c r="AU90" s="773">
        <f t="shared" ca="1" si="82"/>
        <v>2</v>
      </c>
      <c r="AV90" s="773">
        <f t="shared" ca="1" si="67"/>
        <v>0</v>
      </c>
      <c r="AW90" s="773">
        <f t="shared" ca="1" si="68"/>
        <v>0</v>
      </c>
      <c r="AX90" s="773">
        <f t="shared" ca="1" si="83"/>
        <v>2</v>
      </c>
      <c r="AY90" s="773">
        <f t="shared" ca="1" si="69"/>
        <v>0</v>
      </c>
      <c r="AZ90" s="773">
        <f t="shared" ca="1" si="70"/>
        <v>0</v>
      </c>
      <c r="BA90" s="773">
        <f t="shared" ca="1" si="84"/>
        <v>4</v>
      </c>
      <c r="BB90" s="773">
        <f t="shared" ca="1" si="71"/>
        <v>0</v>
      </c>
      <c r="BC90" s="773">
        <f t="shared" ca="1" si="72"/>
        <v>0</v>
      </c>
      <c r="BD90" s="773">
        <f t="shared" ca="1" si="85"/>
        <v>2</v>
      </c>
      <c r="BE90" s="773">
        <f t="shared" ca="1" si="73"/>
        <v>0</v>
      </c>
      <c r="BF90" s="773" t="str">
        <f t="shared" si="86"/>
        <v>Địa Giải</v>
      </c>
      <c r="BX90" s="773">
        <v>1988</v>
      </c>
      <c r="BY90" s="773" t="s">
        <v>7822</v>
      </c>
    </row>
    <row r="91" spans="1:77" ht="15">
      <c r="A91" s="855" t="s">
        <v>9298</v>
      </c>
      <c r="B91" s="855" t="s">
        <v>9301</v>
      </c>
      <c r="C91" s="855" t="s">
        <v>9301</v>
      </c>
      <c r="D91" s="855" t="s">
        <v>1399</v>
      </c>
      <c r="E91" s="855" t="s">
        <v>9300</v>
      </c>
      <c r="F91" s="855" t="s">
        <v>353</v>
      </c>
      <c r="G91" s="855" t="s">
        <v>9297</v>
      </c>
      <c r="H91" s="912">
        <f ca="1">IF(I88=0,12,I88)</f>
        <v>5</v>
      </c>
      <c r="I91" s="855" t="s">
        <v>8457</v>
      </c>
      <c r="K91" s="787" t="str">
        <f t="shared" ca="1" si="91"/>
        <v>Phá Quân(H)</v>
      </c>
      <c r="L91" s="787"/>
      <c r="M91" s="787" t="str">
        <f t="shared" ca="1" si="92"/>
        <v>Liêm Trinh(H)</v>
      </c>
      <c r="P91" s="773">
        <f t="shared" ref="P91:P101" ca="1" si="94">IF(P90&gt;1,P90-1,12)</f>
        <v>4</v>
      </c>
      <c r="Q91" s="773">
        <f t="shared" ref="Q91:Q101" ca="1" si="95">IF(Q90&lt;12,Q90+1,1)</f>
        <v>8</v>
      </c>
      <c r="R91" s="834">
        <f t="shared" ca="1" si="93"/>
        <v>10</v>
      </c>
      <c r="S91" s="773" t="str">
        <f ca="1">D142</f>
        <v>Thìn</v>
      </c>
      <c r="T91" s="787">
        <v>29</v>
      </c>
      <c r="U91" s="856" t="s">
        <v>8458</v>
      </c>
      <c r="V91" s="773">
        <f t="shared" ca="1" si="50"/>
        <v>0</v>
      </c>
      <c r="W91" s="773">
        <f t="shared" ca="1" si="74"/>
        <v>0</v>
      </c>
      <c r="X91" s="773">
        <f t="shared" ca="1" si="51"/>
        <v>0</v>
      </c>
      <c r="Y91" s="773">
        <f t="shared" ca="1" si="52"/>
        <v>0</v>
      </c>
      <c r="Z91" s="773">
        <f t="shared" ca="1" si="75"/>
        <v>1</v>
      </c>
      <c r="AA91" s="773">
        <f t="shared" ca="1" si="53"/>
        <v>0</v>
      </c>
      <c r="AB91" s="773">
        <f t="shared" ca="1" si="54"/>
        <v>0</v>
      </c>
      <c r="AC91" s="773">
        <f t="shared" ca="1" si="76"/>
        <v>0</v>
      </c>
      <c r="AD91" s="773">
        <f t="shared" ca="1" si="55"/>
        <v>0</v>
      </c>
      <c r="AE91" s="773">
        <f t="shared" ca="1" si="56"/>
        <v>0</v>
      </c>
      <c r="AF91" s="773">
        <f t="shared" ca="1" si="77"/>
        <v>4</v>
      </c>
      <c r="AG91" s="773">
        <f t="shared" ca="1" si="57"/>
        <v>0</v>
      </c>
      <c r="AH91" s="773">
        <f t="shared" ca="1" si="58"/>
        <v>1</v>
      </c>
      <c r="AI91" s="773">
        <f t="shared" ca="1" si="78"/>
        <v>7</v>
      </c>
      <c r="AJ91" s="773">
        <f t="shared" ca="1" si="59"/>
        <v>7</v>
      </c>
      <c r="AK91" s="773">
        <f t="shared" ca="1" si="60"/>
        <v>0</v>
      </c>
      <c r="AL91" s="773">
        <f t="shared" ca="1" si="79"/>
        <v>3</v>
      </c>
      <c r="AM91" s="773">
        <f t="shared" ca="1" si="61"/>
        <v>0</v>
      </c>
      <c r="AN91" s="773">
        <f t="shared" ca="1" si="62"/>
        <v>0</v>
      </c>
      <c r="AO91" s="773">
        <f t="shared" ca="1" si="80"/>
        <v>2</v>
      </c>
      <c r="AP91" s="773">
        <f t="shared" ca="1" si="63"/>
        <v>0</v>
      </c>
      <c r="AQ91" s="773">
        <f t="shared" ca="1" si="64"/>
        <v>0</v>
      </c>
      <c r="AR91" s="773">
        <f t="shared" ca="1" si="81"/>
        <v>2</v>
      </c>
      <c r="AS91" s="773">
        <f t="shared" ca="1" si="65"/>
        <v>0</v>
      </c>
      <c r="AT91" s="773">
        <f t="shared" ca="1" si="66"/>
        <v>0</v>
      </c>
      <c r="AU91" s="773">
        <f t="shared" ca="1" si="82"/>
        <v>2</v>
      </c>
      <c r="AV91" s="773">
        <f t="shared" ca="1" si="67"/>
        <v>0</v>
      </c>
      <c r="AW91" s="773">
        <f t="shared" ca="1" si="68"/>
        <v>0</v>
      </c>
      <c r="AX91" s="773">
        <f t="shared" ca="1" si="83"/>
        <v>2</v>
      </c>
      <c r="AY91" s="773">
        <f t="shared" ca="1" si="69"/>
        <v>0</v>
      </c>
      <c r="AZ91" s="773">
        <f t="shared" ca="1" si="70"/>
        <v>0</v>
      </c>
      <c r="BA91" s="773">
        <f t="shared" ca="1" si="84"/>
        <v>4</v>
      </c>
      <c r="BB91" s="773">
        <f t="shared" ca="1" si="71"/>
        <v>0</v>
      </c>
      <c r="BC91" s="773">
        <f t="shared" ca="1" si="72"/>
        <v>0</v>
      </c>
      <c r="BD91" s="773">
        <f t="shared" ca="1" si="85"/>
        <v>2</v>
      </c>
      <c r="BE91" s="773">
        <f t="shared" ca="1" si="73"/>
        <v>0</v>
      </c>
      <c r="BF91" s="773" t="str">
        <f t="shared" si="86"/>
        <v>Giải Thần</v>
      </c>
      <c r="BX91" s="773">
        <v>1989</v>
      </c>
      <c r="BY91" s="773" t="s">
        <v>7823</v>
      </c>
    </row>
    <row r="92" spans="1:77" ht="25.5">
      <c r="A92" s="855" t="s">
        <v>9299</v>
      </c>
      <c r="B92" s="855" t="s">
        <v>1402</v>
      </c>
      <c r="C92" s="855" t="s">
        <v>353</v>
      </c>
      <c r="D92" s="855" t="s">
        <v>505</v>
      </c>
      <c r="E92" s="855" t="s">
        <v>1402</v>
      </c>
      <c r="F92" s="855" t="s">
        <v>9301</v>
      </c>
      <c r="G92" s="855" t="s">
        <v>9298</v>
      </c>
      <c r="H92" s="915" t="str">
        <f ca="1">VLOOKUP(H90,$U$36:$V$47,2,0)</f>
        <v>tuất</v>
      </c>
      <c r="K92" s="787" t="str">
        <f t="shared" ca="1" si="91"/>
        <v xml:space="preserve"> </v>
      </c>
      <c r="L92" s="787"/>
      <c r="M92" s="787" t="str">
        <f t="shared" ca="1" si="92"/>
        <v xml:space="preserve"> </v>
      </c>
      <c r="P92" s="773">
        <f t="shared" ca="1" si="94"/>
        <v>3</v>
      </c>
      <c r="Q92" s="773">
        <f t="shared" ca="1" si="95"/>
        <v>9</v>
      </c>
      <c r="R92" s="834">
        <f t="shared" ca="1" si="93"/>
        <v>9</v>
      </c>
      <c r="S92" s="773" t="str">
        <f ca="1">I124</f>
        <v>Tuất</v>
      </c>
      <c r="T92" s="787">
        <v>30</v>
      </c>
      <c r="U92" s="856" t="s">
        <v>8459</v>
      </c>
      <c r="V92" s="773">
        <f t="shared" ca="1" si="50"/>
        <v>0</v>
      </c>
      <c r="W92" s="773">
        <f t="shared" ca="1" si="74"/>
        <v>0</v>
      </c>
      <c r="X92" s="773">
        <f t="shared" ca="1" si="51"/>
        <v>0</v>
      </c>
      <c r="Y92" s="773">
        <f t="shared" ca="1" si="52"/>
        <v>0</v>
      </c>
      <c r="Z92" s="773">
        <f t="shared" ca="1" si="75"/>
        <v>1</v>
      </c>
      <c r="AA92" s="773">
        <f t="shared" ca="1" si="53"/>
        <v>0</v>
      </c>
      <c r="AB92" s="773">
        <f t="shared" ca="1" si="54"/>
        <v>0</v>
      </c>
      <c r="AC92" s="773">
        <f t="shared" ca="1" si="76"/>
        <v>0</v>
      </c>
      <c r="AD92" s="773">
        <f t="shared" ca="1" si="55"/>
        <v>0</v>
      </c>
      <c r="AE92" s="773">
        <f t="shared" ca="1" si="56"/>
        <v>0</v>
      </c>
      <c r="AF92" s="773">
        <f t="shared" ca="1" si="77"/>
        <v>4</v>
      </c>
      <c r="AG92" s="773">
        <f t="shared" ca="1" si="57"/>
        <v>0</v>
      </c>
      <c r="AH92" s="773">
        <f t="shared" ca="1" si="58"/>
        <v>0</v>
      </c>
      <c r="AI92" s="773">
        <f t="shared" ca="1" si="78"/>
        <v>7</v>
      </c>
      <c r="AJ92" s="773">
        <f t="shared" ca="1" si="59"/>
        <v>0</v>
      </c>
      <c r="AK92" s="773">
        <f t="shared" ca="1" si="60"/>
        <v>0</v>
      </c>
      <c r="AL92" s="773">
        <f t="shared" ca="1" si="79"/>
        <v>3</v>
      </c>
      <c r="AM92" s="773">
        <f t="shared" ca="1" si="61"/>
        <v>0</v>
      </c>
      <c r="AN92" s="773">
        <f t="shared" ca="1" si="62"/>
        <v>0</v>
      </c>
      <c r="AO92" s="773">
        <f t="shared" ca="1" si="80"/>
        <v>2</v>
      </c>
      <c r="AP92" s="773">
        <f t="shared" ca="1" si="63"/>
        <v>0</v>
      </c>
      <c r="AQ92" s="773">
        <f t="shared" ca="1" si="64"/>
        <v>0</v>
      </c>
      <c r="AR92" s="773">
        <f t="shared" ca="1" si="81"/>
        <v>2</v>
      </c>
      <c r="AS92" s="773">
        <f t="shared" ca="1" si="65"/>
        <v>0</v>
      </c>
      <c r="AT92" s="773">
        <f t="shared" ca="1" si="66"/>
        <v>0</v>
      </c>
      <c r="AU92" s="773">
        <f t="shared" ca="1" si="82"/>
        <v>2</v>
      </c>
      <c r="AV92" s="773">
        <f t="shared" ca="1" si="67"/>
        <v>0</v>
      </c>
      <c r="AW92" s="773">
        <f t="shared" ca="1" si="68"/>
        <v>0</v>
      </c>
      <c r="AX92" s="773">
        <f t="shared" ca="1" si="83"/>
        <v>2</v>
      </c>
      <c r="AY92" s="773">
        <f t="shared" ca="1" si="69"/>
        <v>0</v>
      </c>
      <c r="AZ92" s="773">
        <f t="shared" ca="1" si="70"/>
        <v>1</v>
      </c>
      <c r="BA92" s="773">
        <f t="shared" ca="1" si="84"/>
        <v>5</v>
      </c>
      <c r="BB92" s="773">
        <f t="shared" ca="1" si="71"/>
        <v>5</v>
      </c>
      <c r="BC92" s="773">
        <f t="shared" ca="1" si="72"/>
        <v>0</v>
      </c>
      <c r="BD92" s="773">
        <f t="shared" ca="1" si="85"/>
        <v>2</v>
      </c>
      <c r="BE92" s="773">
        <f t="shared" ca="1" si="73"/>
        <v>0</v>
      </c>
      <c r="BF92" s="773" t="str">
        <f t="shared" si="86"/>
        <v>Thiên Quan</v>
      </c>
      <c r="BX92" s="773">
        <v>1990</v>
      </c>
      <c r="BY92" s="773" t="s">
        <v>7825</v>
      </c>
    </row>
    <row r="93" spans="1:77" ht="25.5">
      <c r="A93" s="855" t="s">
        <v>9300</v>
      </c>
      <c r="B93" s="855" t="s">
        <v>9300</v>
      </c>
      <c r="C93" s="855" t="s">
        <v>1399</v>
      </c>
      <c r="D93" s="806" t="s">
        <v>7871</v>
      </c>
      <c r="E93" s="855" t="s">
        <v>9301</v>
      </c>
      <c r="F93" s="855" t="s">
        <v>1402</v>
      </c>
      <c r="G93" s="855" t="s">
        <v>9299</v>
      </c>
      <c r="H93" s="915" t="str">
        <f ca="1">VLOOKUP(H91,$U$36:$V$47,2,0)</f>
        <v>thìn</v>
      </c>
      <c r="K93" s="787" t="str">
        <f t="shared" ca="1" si="91"/>
        <v>Thiên Phủ(D)</v>
      </c>
      <c r="L93" s="787"/>
      <c r="M93" s="787" t="str">
        <f t="shared" ca="1" si="92"/>
        <v xml:space="preserve"> </v>
      </c>
      <c r="P93" s="773">
        <f t="shared" ca="1" si="94"/>
        <v>2</v>
      </c>
      <c r="Q93" s="773">
        <f t="shared" ca="1" si="95"/>
        <v>10</v>
      </c>
      <c r="R93" s="834">
        <f t="shared" ca="1" si="93"/>
        <v>8</v>
      </c>
      <c r="S93" s="773" t="str">
        <f ca="1">J124</f>
        <v>Ngọ</v>
      </c>
      <c r="T93" s="787">
        <v>31</v>
      </c>
      <c r="U93" s="856" t="s">
        <v>8460</v>
      </c>
      <c r="V93" s="773">
        <f t="shared" ca="1" si="50"/>
        <v>0</v>
      </c>
      <c r="W93" s="773">
        <f t="shared" ca="1" si="74"/>
        <v>0</v>
      </c>
      <c r="X93" s="773">
        <f t="shared" ca="1" si="51"/>
        <v>0</v>
      </c>
      <c r="Y93" s="773">
        <f t="shared" ca="1" si="52"/>
        <v>0</v>
      </c>
      <c r="Z93" s="773">
        <f t="shared" ca="1" si="75"/>
        <v>1</v>
      </c>
      <c r="AA93" s="773">
        <f t="shared" ca="1" si="53"/>
        <v>0</v>
      </c>
      <c r="AB93" s="773">
        <f t="shared" ca="1" si="54"/>
        <v>0</v>
      </c>
      <c r="AC93" s="773">
        <f t="shared" ca="1" si="76"/>
        <v>0</v>
      </c>
      <c r="AD93" s="773">
        <f t="shared" ca="1" si="55"/>
        <v>0</v>
      </c>
      <c r="AE93" s="773">
        <f t="shared" ca="1" si="56"/>
        <v>0</v>
      </c>
      <c r="AF93" s="773">
        <f t="shared" ca="1" si="77"/>
        <v>4</v>
      </c>
      <c r="AG93" s="773">
        <f t="shared" ca="1" si="57"/>
        <v>0</v>
      </c>
      <c r="AH93" s="773">
        <f t="shared" ca="1" si="58"/>
        <v>0</v>
      </c>
      <c r="AI93" s="773">
        <f t="shared" ca="1" si="78"/>
        <v>7</v>
      </c>
      <c r="AJ93" s="773">
        <f t="shared" ca="1" si="59"/>
        <v>0</v>
      </c>
      <c r="AK93" s="773">
        <f t="shared" ca="1" si="60"/>
        <v>0</v>
      </c>
      <c r="AL93" s="773">
        <f t="shared" ca="1" si="79"/>
        <v>3</v>
      </c>
      <c r="AM93" s="773">
        <f t="shared" ca="1" si="61"/>
        <v>0</v>
      </c>
      <c r="AN93" s="773">
        <f t="shared" ca="1" si="62"/>
        <v>1</v>
      </c>
      <c r="AO93" s="773">
        <f t="shared" ca="1" si="80"/>
        <v>3</v>
      </c>
      <c r="AP93" s="773">
        <f t="shared" ca="1" si="63"/>
        <v>3</v>
      </c>
      <c r="AQ93" s="773">
        <f t="shared" ca="1" si="64"/>
        <v>0</v>
      </c>
      <c r="AR93" s="773">
        <f t="shared" ca="1" si="81"/>
        <v>2</v>
      </c>
      <c r="AS93" s="773">
        <f t="shared" ca="1" si="65"/>
        <v>0</v>
      </c>
      <c r="AT93" s="773">
        <f t="shared" ca="1" si="66"/>
        <v>0</v>
      </c>
      <c r="AU93" s="773">
        <f t="shared" ca="1" si="82"/>
        <v>2</v>
      </c>
      <c r="AV93" s="773">
        <f t="shared" ca="1" si="67"/>
        <v>0</v>
      </c>
      <c r="AW93" s="773">
        <f t="shared" ca="1" si="68"/>
        <v>0</v>
      </c>
      <c r="AX93" s="773">
        <f t="shared" ca="1" si="83"/>
        <v>2</v>
      </c>
      <c r="AY93" s="773">
        <f t="shared" ca="1" si="69"/>
        <v>0</v>
      </c>
      <c r="AZ93" s="773">
        <f t="shared" ca="1" si="70"/>
        <v>0</v>
      </c>
      <c r="BA93" s="773">
        <f t="shared" ca="1" si="84"/>
        <v>5</v>
      </c>
      <c r="BB93" s="773">
        <f t="shared" ca="1" si="71"/>
        <v>0</v>
      </c>
      <c r="BC93" s="773">
        <f t="shared" ca="1" si="72"/>
        <v>0</v>
      </c>
      <c r="BD93" s="773">
        <f t="shared" ca="1" si="85"/>
        <v>2</v>
      </c>
      <c r="BE93" s="773">
        <f t="shared" ca="1" si="73"/>
        <v>0</v>
      </c>
      <c r="BF93" s="773" t="str">
        <f t="shared" si="86"/>
        <v>Thiên Phúc</v>
      </c>
      <c r="BX93" s="773">
        <v>1991</v>
      </c>
      <c r="BY93" s="773" t="s">
        <v>7827</v>
      </c>
    </row>
    <row r="94" spans="1:77" ht="15.75">
      <c r="A94" s="932" t="s">
        <v>8461</v>
      </c>
      <c r="P94" s="773">
        <f t="shared" ca="1" si="94"/>
        <v>1</v>
      </c>
      <c r="Q94" s="773">
        <f t="shared" ca="1" si="95"/>
        <v>11</v>
      </c>
      <c r="R94" s="834">
        <f t="shared" ca="1" si="93"/>
        <v>7</v>
      </c>
      <c r="S94" s="773" t="str">
        <f ca="1">L124</f>
        <v>Dậu</v>
      </c>
      <c r="T94" s="787">
        <v>32</v>
      </c>
      <c r="U94" s="856" t="s">
        <v>8462</v>
      </c>
      <c r="V94" s="773">
        <f t="shared" ca="1" si="50"/>
        <v>0</v>
      </c>
      <c r="W94" s="773">
        <f t="shared" ca="1" si="74"/>
        <v>0</v>
      </c>
      <c r="X94" s="773">
        <f t="shared" ca="1" si="51"/>
        <v>0</v>
      </c>
      <c r="Y94" s="773">
        <f t="shared" ca="1" si="52"/>
        <v>0</v>
      </c>
      <c r="Z94" s="773">
        <f t="shared" ca="1" si="75"/>
        <v>1</v>
      </c>
      <c r="AA94" s="773">
        <f t="shared" ca="1" si="53"/>
        <v>0</v>
      </c>
      <c r="AB94" s="773">
        <f t="shared" ca="1" si="54"/>
        <v>0</v>
      </c>
      <c r="AC94" s="773">
        <f t="shared" ca="1" si="76"/>
        <v>0</v>
      </c>
      <c r="AD94" s="773">
        <f t="shared" ca="1" si="55"/>
        <v>0</v>
      </c>
      <c r="AE94" s="773">
        <f t="shared" ca="1" si="56"/>
        <v>0</v>
      </c>
      <c r="AF94" s="773">
        <f t="shared" ca="1" si="77"/>
        <v>4</v>
      </c>
      <c r="AG94" s="773">
        <f t="shared" ca="1" si="57"/>
        <v>0</v>
      </c>
      <c r="AH94" s="773">
        <f t="shared" ca="1" si="58"/>
        <v>0</v>
      </c>
      <c r="AI94" s="773">
        <f t="shared" ca="1" si="78"/>
        <v>7</v>
      </c>
      <c r="AJ94" s="773">
        <f t="shared" ca="1" si="59"/>
        <v>0</v>
      </c>
      <c r="AK94" s="773">
        <f t="shared" ca="1" si="60"/>
        <v>0</v>
      </c>
      <c r="AL94" s="773">
        <f t="shared" ca="1" si="79"/>
        <v>3</v>
      </c>
      <c r="AM94" s="773">
        <f t="shared" ca="1" si="61"/>
        <v>0</v>
      </c>
      <c r="AN94" s="773">
        <f t="shared" ca="1" si="62"/>
        <v>0</v>
      </c>
      <c r="AO94" s="773">
        <f t="shared" ca="1" si="80"/>
        <v>3</v>
      </c>
      <c r="AP94" s="773">
        <f t="shared" ca="1" si="63"/>
        <v>0</v>
      </c>
      <c r="AQ94" s="773">
        <f t="shared" ca="1" si="64"/>
        <v>0</v>
      </c>
      <c r="AR94" s="773">
        <f t="shared" ca="1" si="81"/>
        <v>2</v>
      </c>
      <c r="AS94" s="773">
        <f t="shared" ca="1" si="65"/>
        <v>0</v>
      </c>
      <c r="AT94" s="773">
        <f t="shared" ca="1" si="66"/>
        <v>0</v>
      </c>
      <c r="AU94" s="773">
        <f t="shared" ca="1" si="82"/>
        <v>2</v>
      </c>
      <c r="AV94" s="773">
        <f t="shared" ca="1" si="67"/>
        <v>0</v>
      </c>
      <c r="AW94" s="773">
        <f t="shared" ca="1" si="68"/>
        <v>1</v>
      </c>
      <c r="AX94" s="773">
        <f t="shared" ca="1" si="83"/>
        <v>3</v>
      </c>
      <c r="AY94" s="773">
        <f t="shared" ca="1" si="69"/>
        <v>3</v>
      </c>
      <c r="AZ94" s="773">
        <f t="shared" ca="1" si="70"/>
        <v>0</v>
      </c>
      <c r="BA94" s="773">
        <f t="shared" ca="1" si="84"/>
        <v>5</v>
      </c>
      <c r="BB94" s="773">
        <f t="shared" ca="1" si="71"/>
        <v>0</v>
      </c>
      <c r="BC94" s="773">
        <f t="shared" ca="1" si="72"/>
        <v>0</v>
      </c>
      <c r="BD94" s="773">
        <f t="shared" ca="1" si="85"/>
        <v>2</v>
      </c>
      <c r="BE94" s="773">
        <f t="shared" ca="1" si="73"/>
        <v>0</v>
      </c>
      <c r="BF94" s="773" t="str">
        <f t="shared" si="86"/>
        <v>Thiên Trù</v>
      </c>
      <c r="BX94" s="773">
        <v>1992</v>
      </c>
      <c r="BY94" s="773" t="s">
        <v>7829</v>
      </c>
    </row>
    <row r="95" spans="1:77">
      <c r="B95" s="912" t="str">
        <f t="shared" ref="B95:H95" ca="1" si="96">VLOOKUP($F$16,$A$97:$H$109,I95,0)</f>
        <v>Thìn</v>
      </c>
      <c r="C95" s="912" t="str">
        <f t="shared" ca="1" si="96"/>
        <v>Tuất</v>
      </c>
      <c r="D95" s="912" t="str">
        <f t="shared" ca="1" si="96"/>
        <v>Dậu</v>
      </c>
      <c r="E95" s="912" t="str">
        <f t="shared" ca="1" si="96"/>
        <v>Sửu</v>
      </c>
      <c r="F95" s="912" t="str">
        <f t="shared" ca="1" si="96"/>
        <v>Sửu</v>
      </c>
      <c r="G95" s="912" t="str">
        <f t="shared" ca="1" si="96"/>
        <v>Thân</v>
      </c>
      <c r="H95" s="912" t="str">
        <f t="shared" ca="1" si="96"/>
        <v>Mùi</v>
      </c>
      <c r="I95" s="773">
        <v>2</v>
      </c>
      <c r="J95" s="773">
        <v>3</v>
      </c>
      <c r="K95" s="773">
        <v>4</v>
      </c>
      <c r="L95" s="773">
        <v>5</v>
      </c>
      <c r="M95" s="773">
        <v>6</v>
      </c>
      <c r="N95" s="773">
        <v>7</v>
      </c>
      <c r="O95" s="773">
        <v>8</v>
      </c>
      <c r="P95" s="773">
        <f t="shared" ca="1" si="94"/>
        <v>12</v>
      </c>
      <c r="Q95" s="773">
        <f t="shared" ca="1" si="95"/>
        <v>12</v>
      </c>
      <c r="R95" s="834">
        <f t="shared" ca="1" si="93"/>
        <v>6</v>
      </c>
      <c r="S95" s="773" t="str">
        <f ca="1">J142</f>
        <v>Mão</v>
      </c>
      <c r="T95" s="787">
        <v>33</v>
      </c>
      <c r="U95" s="856" t="s">
        <v>8463</v>
      </c>
      <c r="V95" s="773">
        <f t="shared" ca="1" si="50"/>
        <v>0</v>
      </c>
      <c r="W95" s="773">
        <f t="shared" ca="1" si="74"/>
        <v>0</v>
      </c>
      <c r="X95" s="773">
        <f t="shared" ca="1" si="51"/>
        <v>0</v>
      </c>
      <c r="Y95" s="773">
        <f t="shared" ca="1" si="52"/>
        <v>0</v>
      </c>
      <c r="Z95" s="773">
        <f t="shared" ca="1" si="75"/>
        <v>1</v>
      </c>
      <c r="AA95" s="773">
        <f t="shared" ca="1" si="53"/>
        <v>0</v>
      </c>
      <c r="AB95" s="773">
        <f t="shared" ca="1" si="54"/>
        <v>0</v>
      </c>
      <c r="AC95" s="773">
        <f t="shared" ca="1" si="76"/>
        <v>0</v>
      </c>
      <c r="AD95" s="773">
        <f t="shared" ca="1" si="55"/>
        <v>0</v>
      </c>
      <c r="AE95" s="773">
        <f t="shared" ca="1" si="56"/>
        <v>1</v>
      </c>
      <c r="AF95" s="773">
        <f t="shared" ca="1" si="77"/>
        <v>5</v>
      </c>
      <c r="AG95" s="773">
        <f t="shared" ca="1" si="57"/>
        <v>5</v>
      </c>
      <c r="AH95" s="773">
        <f t="shared" ca="1" si="58"/>
        <v>0</v>
      </c>
      <c r="AI95" s="773">
        <f t="shared" ca="1" si="78"/>
        <v>7</v>
      </c>
      <c r="AJ95" s="773">
        <f t="shared" ca="1" si="59"/>
        <v>0</v>
      </c>
      <c r="AK95" s="773">
        <f t="shared" ca="1" si="60"/>
        <v>0</v>
      </c>
      <c r="AL95" s="773">
        <f t="shared" ca="1" si="79"/>
        <v>3</v>
      </c>
      <c r="AM95" s="773">
        <f t="shared" ca="1" si="61"/>
        <v>0</v>
      </c>
      <c r="AN95" s="773">
        <f t="shared" ca="1" si="62"/>
        <v>0</v>
      </c>
      <c r="AO95" s="773">
        <f t="shared" ca="1" si="80"/>
        <v>3</v>
      </c>
      <c r="AP95" s="773">
        <f t="shared" ca="1" si="63"/>
        <v>0</v>
      </c>
      <c r="AQ95" s="773">
        <f t="shared" ca="1" si="64"/>
        <v>0</v>
      </c>
      <c r="AR95" s="773">
        <f t="shared" ca="1" si="81"/>
        <v>2</v>
      </c>
      <c r="AS95" s="773">
        <f t="shared" ca="1" si="65"/>
        <v>0</v>
      </c>
      <c r="AT95" s="773">
        <f t="shared" ca="1" si="66"/>
        <v>0</v>
      </c>
      <c r="AU95" s="773">
        <f t="shared" ca="1" si="82"/>
        <v>2</v>
      </c>
      <c r="AV95" s="773">
        <f t="shared" ca="1" si="67"/>
        <v>0</v>
      </c>
      <c r="AW95" s="773">
        <f t="shared" ca="1" si="68"/>
        <v>0</v>
      </c>
      <c r="AX95" s="773">
        <f t="shared" ca="1" si="83"/>
        <v>3</v>
      </c>
      <c r="AY95" s="773">
        <f t="shared" ca="1" si="69"/>
        <v>0</v>
      </c>
      <c r="AZ95" s="773">
        <f t="shared" ca="1" si="70"/>
        <v>0</v>
      </c>
      <c r="BA95" s="773">
        <f t="shared" ca="1" si="84"/>
        <v>5</v>
      </c>
      <c r="BB95" s="773">
        <f t="shared" ca="1" si="71"/>
        <v>0</v>
      </c>
      <c r="BC95" s="773">
        <f t="shared" ca="1" si="72"/>
        <v>0</v>
      </c>
      <c r="BD95" s="773">
        <f t="shared" ca="1" si="85"/>
        <v>2</v>
      </c>
      <c r="BE95" s="773">
        <f t="shared" ca="1" si="73"/>
        <v>0</v>
      </c>
      <c r="BF95" s="773" t="str">
        <f t="shared" si="86"/>
        <v>Thiên Hỷ</v>
      </c>
      <c r="BX95" s="773">
        <v>1993</v>
      </c>
      <c r="BY95" s="773" t="s">
        <v>7831</v>
      </c>
    </row>
    <row r="96" spans="1:77" ht="15">
      <c r="A96" s="855" t="s">
        <v>352</v>
      </c>
      <c r="B96" s="855" t="s">
        <v>8464</v>
      </c>
      <c r="C96" s="855" t="s">
        <v>8465</v>
      </c>
      <c r="D96" s="855" t="s">
        <v>8310</v>
      </c>
      <c r="E96" s="855" t="s">
        <v>8310</v>
      </c>
      <c r="F96" s="855" t="s">
        <v>8310</v>
      </c>
      <c r="G96" s="855" t="s">
        <v>8310</v>
      </c>
      <c r="H96" s="855" t="s">
        <v>8466</v>
      </c>
      <c r="I96" s="915">
        <f ca="1">VLOOKUP(B95,$N$49:$O$60,2,0)</f>
        <v>5</v>
      </c>
      <c r="J96" s="915">
        <f ca="1">VLOOKUP(C95,$N$49:$O$60,2,0)</f>
        <v>11</v>
      </c>
      <c r="P96" s="773">
        <f t="shared" ca="1" si="94"/>
        <v>11</v>
      </c>
      <c r="Q96" s="773">
        <f t="shared" ca="1" si="95"/>
        <v>1</v>
      </c>
      <c r="R96" s="834">
        <f t="shared" ca="1" si="93"/>
        <v>5</v>
      </c>
      <c r="S96" s="773" t="str">
        <f ca="1">M124</f>
        <v>Dậu</v>
      </c>
      <c r="T96" s="787">
        <v>34</v>
      </c>
      <c r="U96" s="856" t="s">
        <v>6555</v>
      </c>
      <c r="V96" s="773">
        <f t="shared" ca="1" si="50"/>
        <v>0</v>
      </c>
      <c r="W96" s="773">
        <f t="shared" ca="1" si="74"/>
        <v>0</v>
      </c>
      <c r="X96" s="773">
        <f t="shared" ca="1" si="51"/>
        <v>0</v>
      </c>
      <c r="Y96" s="773">
        <f t="shared" ca="1" si="52"/>
        <v>0</v>
      </c>
      <c r="Z96" s="773">
        <f t="shared" ca="1" si="75"/>
        <v>1</v>
      </c>
      <c r="AA96" s="773">
        <f t="shared" ca="1" si="53"/>
        <v>0</v>
      </c>
      <c r="AB96" s="773">
        <f t="shared" ca="1" si="54"/>
        <v>0</v>
      </c>
      <c r="AC96" s="773">
        <f t="shared" ca="1" si="76"/>
        <v>0</v>
      </c>
      <c r="AD96" s="773">
        <f t="shared" ca="1" si="55"/>
        <v>0</v>
      </c>
      <c r="AE96" s="773">
        <f t="shared" ca="1" si="56"/>
        <v>0</v>
      </c>
      <c r="AF96" s="773">
        <f t="shared" ca="1" si="77"/>
        <v>5</v>
      </c>
      <c r="AG96" s="773">
        <f t="shared" ca="1" si="57"/>
        <v>0</v>
      </c>
      <c r="AH96" s="773">
        <f t="shared" ca="1" si="58"/>
        <v>0</v>
      </c>
      <c r="AI96" s="773">
        <f t="shared" ca="1" si="78"/>
        <v>7</v>
      </c>
      <c r="AJ96" s="773">
        <f t="shared" ca="1" si="59"/>
        <v>0</v>
      </c>
      <c r="AK96" s="773">
        <f t="shared" ca="1" si="60"/>
        <v>0</v>
      </c>
      <c r="AL96" s="773">
        <f t="shared" ca="1" si="79"/>
        <v>3</v>
      </c>
      <c r="AM96" s="773">
        <f t="shared" ca="1" si="61"/>
        <v>0</v>
      </c>
      <c r="AN96" s="773">
        <f t="shared" ca="1" si="62"/>
        <v>0</v>
      </c>
      <c r="AO96" s="773">
        <f t="shared" ca="1" si="80"/>
        <v>3</v>
      </c>
      <c r="AP96" s="773">
        <f t="shared" ca="1" si="63"/>
        <v>0</v>
      </c>
      <c r="AQ96" s="773">
        <f t="shared" ca="1" si="64"/>
        <v>0</v>
      </c>
      <c r="AR96" s="773">
        <f t="shared" ca="1" si="81"/>
        <v>2</v>
      </c>
      <c r="AS96" s="773">
        <f t="shared" ca="1" si="65"/>
        <v>0</v>
      </c>
      <c r="AT96" s="773">
        <f t="shared" ca="1" si="66"/>
        <v>0</v>
      </c>
      <c r="AU96" s="773">
        <f t="shared" ca="1" si="82"/>
        <v>2</v>
      </c>
      <c r="AV96" s="773">
        <f t="shared" ca="1" si="67"/>
        <v>0</v>
      </c>
      <c r="AW96" s="773">
        <f t="shared" ca="1" si="68"/>
        <v>1</v>
      </c>
      <c r="AX96" s="773">
        <f t="shared" ca="1" si="83"/>
        <v>4</v>
      </c>
      <c r="AY96" s="773">
        <f t="shared" ca="1" si="69"/>
        <v>4</v>
      </c>
      <c r="AZ96" s="773">
        <f t="shared" ca="1" si="70"/>
        <v>0</v>
      </c>
      <c r="BA96" s="773">
        <f t="shared" ca="1" si="84"/>
        <v>5</v>
      </c>
      <c r="BB96" s="773">
        <f t="shared" ca="1" si="71"/>
        <v>0</v>
      </c>
      <c r="BC96" s="773">
        <f t="shared" ca="1" si="72"/>
        <v>0</v>
      </c>
      <c r="BD96" s="773">
        <f t="shared" ca="1" si="85"/>
        <v>2</v>
      </c>
      <c r="BE96" s="773">
        <f t="shared" ca="1" si="73"/>
        <v>0</v>
      </c>
      <c r="BF96" s="773" t="str">
        <f t="shared" si="86"/>
        <v>Lưu Niên</v>
      </c>
      <c r="BX96" s="773">
        <v>1994</v>
      </c>
      <c r="BY96" s="773" t="s">
        <v>7835</v>
      </c>
    </row>
    <row r="97" spans="1:77" ht="15">
      <c r="A97" s="855" t="s">
        <v>8467</v>
      </c>
      <c r="B97" s="855" t="s">
        <v>8468</v>
      </c>
      <c r="C97" s="855" t="s">
        <v>8469</v>
      </c>
      <c r="D97" s="855" t="s">
        <v>8470</v>
      </c>
      <c r="E97" s="855" t="s">
        <v>8471</v>
      </c>
      <c r="F97" s="855" t="s">
        <v>8472</v>
      </c>
      <c r="G97" s="855" t="s">
        <v>1478</v>
      </c>
      <c r="H97" s="855" t="s">
        <v>1478</v>
      </c>
      <c r="I97" s="912">
        <f ca="1">$F$15+I96-1</f>
        <v>10</v>
      </c>
      <c r="J97" s="912">
        <f ca="1">36-$F$15+J96+1</f>
        <v>42</v>
      </c>
      <c r="P97" s="773">
        <f t="shared" ca="1" si="94"/>
        <v>10</v>
      </c>
      <c r="Q97" s="773">
        <f t="shared" ca="1" si="95"/>
        <v>2</v>
      </c>
      <c r="R97" s="834">
        <f t="shared" ca="1" si="93"/>
        <v>4</v>
      </c>
      <c r="S97" s="773" t="str">
        <f ca="1">N142</f>
        <v>Thân</v>
      </c>
      <c r="T97" s="787">
        <v>35</v>
      </c>
      <c r="U97" s="856" t="s">
        <v>6589</v>
      </c>
      <c r="V97" s="773">
        <f t="shared" ca="1" si="50"/>
        <v>0</v>
      </c>
      <c r="W97" s="773">
        <f t="shared" ca="1" si="74"/>
        <v>0</v>
      </c>
      <c r="X97" s="773">
        <f t="shared" ca="1" si="51"/>
        <v>0</v>
      </c>
      <c r="Y97" s="773">
        <f t="shared" ca="1" si="52"/>
        <v>0</v>
      </c>
      <c r="Z97" s="773">
        <f t="shared" ca="1" si="75"/>
        <v>1</v>
      </c>
      <c r="AA97" s="773">
        <f t="shared" ca="1" si="53"/>
        <v>0</v>
      </c>
      <c r="AB97" s="773">
        <f t="shared" ca="1" si="54"/>
        <v>0</v>
      </c>
      <c r="AC97" s="773">
        <f t="shared" ca="1" si="76"/>
        <v>0</v>
      </c>
      <c r="AD97" s="773">
        <f t="shared" ca="1" si="55"/>
        <v>0</v>
      </c>
      <c r="AE97" s="773">
        <f t="shared" ca="1" si="56"/>
        <v>0</v>
      </c>
      <c r="AF97" s="773">
        <f t="shared" ca="1" si="77"/>
        <v>5</v>
      </c>
      <c r="AG97" s="773">
        <f t="shared" ca="1" si="57"/>
        <v>0</v>
      </c>
      <c r="AH97" s="773">
        <f t="shared" ca="1" si="58"/>
        <v>0</v>
      </c>
      <c r="AI97" s="773">
        <f t="shared" ca="1" si="78"/>
        <v>7</v>
      </c>
      <c r="AJ97" s="773">
        <f t="shared" ca="1" si="59"/>
        <v>0</v>
      </c>
      <c r="AK97" s="773">
        <f t="shared" ca="1" si="60"/>
        <v>0</v>
      </c>
      <c r="AL97" s="773">
        <f t="shared" ca="1" si="79"/>
        <v>3</v>
      </c>
      <c r="AM97" s="773">
        <f t="shared" ca="1" si="61"/>
        <v>0</v>
      </c>
      <c r="AN97" s="773">
        <f t="shared" ca="1" si="62"/>
        <v>0</v>
      </c>
      <c r="AO97" s="773">
        <f t="shared" ca="1" si="80"/>
        <v>3</v>
      </c>
      <c r="AP97" s="773">
        <f t="shared" ca="1" si="63"/>
        <v>0</v>
      </c>
      <c r="AQ97" s="773">
        <f t="shared" ca="1" si="64"/>
        <v>0</v>
      </c>
      <c r="AR97" s="773">
        <f t="shared" ca="1" si="81"/>
        <v>2</v>
      </c>
      <c r="AS97" s="773">
        <f t="shared" ca="1" si="65"/>
        <v>0</v>
      </c>
      <c r="AT97" s="773">
        <f t="shared" ca="1" si="66"/>
        <v>1</v>
      </c>
      <c r="AU97" s="773">
        <f t="shared" ca="1" si="82"/>
        <v>3</v>
      </c>
      <c r="AV97" s="773">
        <f t="shared" ca="1" si="67"/>
        <v>3</v>
      </c>
      <c r="AW97" s="773">
        <f t="shared" ca="1" si="68"/>
        <v>0</v>
      </c>
      <c r="AX97" s="773">
        <f t="shared" ca="1" si="83"/>
        <v>4</v>
      </c>
      <c r="AY97" s="773">
        <f t="shared" ca="1" si="69"/>
        <v>0</v>
      </c>
      <c r="AZ97" s="773">
        <f t="shared" ca="1" si="70"/>
        <v>0</v>
      </c>
      <c r="BA97" s="773">
        <f t="shared" ca="1" si="84"/>
        <v>5</v>
      </c>
      <c r="BB97" s="773">
        <f t="shared" ca="1" si="71"/>
        <v>0</v>
      </c>
      <c r="BC97" s="773">
        <f t="shared" ca="1" si="72"/>
        <v>0</v>
      </c>
      <c r="BD97" s="773">
        <f t="shared" ca="1" si="85"/>
        <v>2</v>
      </c>
      <c r="BE97" s="773">
        <f t="shared" ca="1" si="73"/>
        <v>0</v>
      </c>
      <c r="BF97" s="773" t="str">
        <f t="shared" si="86"/>
        <v>Thiên Mã</v>
      </c>
      <c r="BX97" s="773">
        <v>1995</v>
      </c>
      <c r="BY97" s="773" t="s">
        <v>7838</v>
      </c>
    </row>
    <row r="98" spans="1:77" ht="15">
      <c r="A98" s="855">
        <v>1</v>
      </c>
      <c r="B98" s="855" t="s">
        <v>505</v>
      </c>
      <c r="C98" s="855" t="s">
        <v>9299</v>
      </c>
      <c r="D98" s="855" t="s">
        <v>9298</v>
      </c>
      <c r="E98" s="855" t="s">
        <v>9301</v>
      </c>
      <c r="F98" s="855" t="s">
        <v>9301</v>
      </c>
      <c r="G98" s="855" t="s">
        <v>9297</v>
      </c>
      <c r="H98" s="855" t="s">
        <v>507</v>
      </c>
      <c r="I98" s="773">
        <f ca="1">MOD(I97,12)</f>
        <v>10</v>
      </c>
      <c r="J98" s="773">
        <f ca="1">MOD(J97,12)</f>
        <v>6</v>
      </c>
      <c r="L98" s="773" t="s">
        <v>8333</v>
      </c>
      <c r="N98" s="806" t="s">
        <v>7875</v>
      </c>
      <c r="O98" s="773">
        <v>1</v>
      </c>
      <c r="P98" s="773">
        <f t="shared" ca="1" si="94"/>
        <v>9</v>
      </c>
      <c r="Q98" s="773">
        <f t="shared" ca="1" si="95"/>
        <v>3</v>
      </c>
      <c r="R98" s="834">
        <f t="shared" ca="1" si="93"/>
        <v>3</v>
      </c>
      <c r="S98" s="773" t="str">
        <f ca="1">P142</f>
        <v>Tuất</v>
      </c>
      <c r="T98" s="787">
        <v>36</v>
      </c>
      <c r="U98" s="856" t="s">
        <v>6595</v>
      </c>
      <c r="V98" s="773">
        <f t="shared" ca="1" si="50"/>
        <v>0</v>
      </c>
      <c r="W98" s="773">
        <f t="shared" ca="1" si="74"/>
        <v>0</v>
      </c>
      <c r="X98" s="773">
        <f t="shared" ca="1" si="51"/>
        <v>0</v>
      </c>
      <c r="Y98" s="773">
        <f t="shared" ca="1" si="52"/>
        <v>0</v>
      </c>
      <c r="Z98" s="773">
        <f t="shared" ca="1" si="75"/>
        <v>1</v>
      </c>
      <c r="AA98" s="773">
        <f t="shared" ca="1" si="53"/>
        <v>0</v>
      </c>
      <c r="AB98" s="773">
        <f t="shared" ca="1" si="54"/>
        <v>0</v>
      </c>
      <c r="AC98" s="773">
        <f t="shared" ca="1" si="76"/>
        <v>0</v>
      </c>
      <c r="AD98" s="773">
        <f t="shared" ca="1" si="55"/>
        <v>0</v>
      </c>
      <c r="AE98" s="773">
        <f t="shared" ca="1" si="56"/>
        <v>0</v>
      </c>
      <c r="AF98" s="773">
        <f t="shared" ca="1" si="77"/>
        <v>5</v>
      </c>
      <c r="AG98" s="773">
        <f t="shared" ca="1" si="57"/>
        <v>0</v>
      </c>
      <c r="AH98" s="773">
        <f t="shared" ca="1" si="58"/>
        <v>0</v>
      </c>
      <c r="AI98" s="773">
        <f t="shared" ca="1" si="78"/>
        <v>7</v>
      </c>
      <c r="AJ98" s="773">
        <f t="shared" ca="1" si="59"/>
        <v>0</v>
      </c>
      <c r="AK98" s="773">
        <f t="shared" ca="1" si="60"/>
        <v>0</v>
      </c>
      <c r="AL98" s="773">
        <f t="shared" ca="1" si="79"/>
        <v>3</v>
      </c>
      <c r="AM98" s="773">
        <f t="shared" ca="1" si="61"/>
        <v>0</v>
      </c>
      <c r="AN98" s="773">
        <f t="shared" ca="1" si="62"/>
        <v>0</v>
      </c>
      <c r="AO98" s="773">
        <f t="shared" ca="1" si="80"/>
        <v>3</v>
      </c>
      <c r="AP98" s="773">
        <f t="shared" ca="1" si="63"/>
        <v>0</v>
      </c>
      <c r="AQ98" s="773">
        <f t="shared" ca="1" si="64"/>
        <v>0</v>
      </c>
      <c r="AR98" s="773">
        <f t="shared" ca="1" si="81"/>
        <v>2</v>
      </c>
      <c r="AS98" s="773">
        <f t="shared" ca="1" si="65"/>
        <v>0</v>
      </c>
      <c r="AT98" s="773">
        <f t="shared" ca="1" si="66"/>
        <v>0</v>
      </c>
      <c r="AU98" s="773">
        <f t="shared" ca="1" si="82"/>
        <v>3</v>
      </c>
      <c r="AV98" s="773">
        <f t="shared" ca="1" si="67"/>
        <v>0</v>
      </c>
      <c r="AW98" s="773">
        <f t="shared" ca="1" si="68"/>
        <v>0</v>
      </c>
      <c r="AX98" s="773">
        <f t="shared" ca="1" si="83"/>
        <v>4</v>
      </c>
      <c r="AY98" s="773">
        <f t="shared" ca="1" si="69"/>
        <v>0</v>
      </c>
      <c r="AZ98" s="773">
        <f t="shared" ca="1" si="70"/>
        <v>1</v>
      </c>
      <c r="BA98" s="773">
        <f t="shared" ca="1" si="84"/>
        <v>6</v>
      </c>
      <c r="BB98" s="773">
        <f t="shared" ca="1" si="71"/>
        <v>6</v>
      </c>
      <c r="BC98" s="773">
        <f t="shared" ca="1" si="72"/>
        <v>0</v>
      </c>
      <c r="BD98" s="773">
        <f t="shared" ca="1" si="85"/>
        <v>2</v>
      </c>
      <c r="BE98" s="773">
        <f t="shared" ca="1" si="73"/>
        <v>0</v>
      </c>
      <c r="BF98" s="773" t="str">
        <f t="shared" si="86"/>
        <v>Hoa Cái</v>
      </c>
      <c r="BX98" s="773">
        <v>1996</v>
      </c>
      <c r="BY98" s="773" t="s">
        <v>7840</v>
      </c>
    </row>
    <row r="99" spans="1:77" ht="15">
      <c r="A99" s="855">
        <v>2</v>
      </c>
      <c r="B99" s="806" t="s">
        <v>7871</v>
      </c>
      <c r="C99" s="855" t="s">
        <v>9298</v>
      </c>
      <c r="D99" s="855" t="s">
        <v>9299</v>
      </c>
      <c r="E99" s="855" t="s">
        <v>353</v>
      </c>
      <c r="F99" s="855" t="s">
        <v>353</v>
      </c>
      <c r="G99" s="855" t="s">
        <v>9298</v>
      </c>
      <c r="H99" s="855" t="s">
        <v>9297</v>
      </c>
      <c r="I99" s="912">
        <f ca="1">IF(I98=0,12,I98)</f>
        <v>10</v>
      </c>
      <c r="J99" s="912">
        <f ca="1">IF(J98=0,12,J98)</f>
        <v>6</v>
      </c>
      <c r="L99" s="787" t="s">
        <v>8359</v>
      </c>
      <c r="M99" s="787"/>
      <c r="N99" s="806" t="s">
        <v>7873</v>
      </c>
      <c r="O99" s="773">
        <v>2</v>
      </c>
      <c r="P99" s="773">
        <f t="shared" ca="1" si="94"/>
        <v>8</v>
      </c>
      <c r="Q99" s="773">
        <f t="shared" ca="1" si="95"/>
        <v>4</v>
      </c>
      <c r="R99" s="834">
        <f t="shared" ca="1" si="93"/>
        <v>2</v>
      </c>
      <c r="S99" s="773" t="str">
        <f ca="1">IF($N$63=1,B153,B160)</f>
        <v>tỵ</v>
      </c>
      <c r="T99" s="787">
        <v>37</v>
      </c>
      <c r="U99" s="856" t="s">
        <v>8473</v>
      </c>
      <c r="V99" s="773">
        <f t="shared" ca="1" si="50"/>
        <v>0</v>
      </c>
      <c r="W99" s="773">
        <f t="shared" ca="1" si="74"/>
        <v>0</v>
      </c>
      <c r="X99" s="773">
        <f t="shared" ca="1" si="51"/>
        <v>0</v>
      </c>
      <c r="Y99" s="773">
        <f t="shared" ca="1" si="52"/>
        <v>0</v>
      </c>
      <c r="Z99" s="773">
        <f t="shared" ca="1" si="75"/>
        <v>1</v>
      </c>
      <c r="AA99" s="773">
        <f t="shared" ca="1" si="53"/>
        <v>0</v>
      </c>
      <c r="AB99" s="773">
        <f t="shared" ca="1" si="54"/>
        <v>0</v>
      </c>
      <c r="AC99" s="773">
        <f t="shared" ca="1" si="76"/>
        <v>0</v>
      </c>
      <c r="AD99" s="773">
        <f t="shared" ca="1" si="55"/>
        <v>0</v>
      </c>
      <c r="AE99" s="773">
        <f t="shared" ca="1" si="56"/>
        <v>0</v>
      </c>
      <c r="AF99" s="773">
        <f t="shared" ca="1" si="77"/>
        <v>5</v>
      </c>
      <c r="AG99" s="773">
        <f t="shared" ca="1" si="57"/>
        <v>0</v>
      </c>
      <c r="AH99" s="773">
        <f t="shared" ca="1" si="58"/>
        <v>0</v>
      </c>
      <c r="AI99" s="773">
        <f t="shared" ca="1" si="78"/>
        <v>7</v>
      </c>
      <c r="AJ99" s="773">
        <f t="shared" ca="1" si="59"/>
        <v>0</v>
      </c>
      <c r="AK99" s="773">
        <f t="shared" ca="1" si="60"/>
        <v>1</v>
      </c>
      <c r="AL99" s="773">
        <f t="shared" ca="1" si="79"/>
        <v>4</v>
      </c>
      <c r="AM99" s="773">
        <f t="shared" ca="1" si="61"/>
        <v>4</v>
      </c>
      <c r="AN99" s="773">
        <f t="shared" ca="1" si="62"/>
        <v>0</v>
      </c>
      <c r="AO99" s="773">
        <f t="shared" ca="1" si="80"/>
        <v>3</v>
      </c>
      <c r="AP99" s="773">
        <f t="shared" ca="1" si="63"/>
        <v>0</v>
      </c>
      <c r="AQ99" s="773">
        <f t="shared" ca="1" si="64"/>
        <v>0</v>
      </c>
      <c r="AR99" s="773">
        <f t="shared" ca="1" si="81"/>
        <v>2</v>
      </c>
      <c r="AS99" s="773">
        <f t="shared" ca="1" si="65"/>
        <v>0</v>
      </c>
      <c r="AT99" s="773">
        <f t="shared" ca="1" si="66"/>
        <v>0</v>
      </c>
      <c r="AU99" s="773">
        <f t="shared" ca="1" si="82"/>
        <v>3</v>
      </c>
      <c r="AV99" s="773">
        <f t="shared" ca="1" si="67"/>
        <v>0</v>
      </c>
      <c r="AW99" s="773">
        <f t="shared" ca="1" si="68"/>
        <v>0</v>
      </c>
      <c r="AX99" s="773">
        <f t="shared" ca="1" si="83"/>
        <v>4</v>
      </c>
      <c r="AY99" s="773">
        <f t="shared" ca="1" si="69"/>
        <v>0</v>
      </c>
      <c r="AZ99" s="773">
        <f t="shared" ca="1" si="70"/>
        <v>0</v>
      </c>
      <c r="BA99" s="773">
        <f t="shared" ca="1" si="84"/>
        <v>6</v>
      </c>
      <c r="BB99" s="773">
        <f t="shared" ca="1" si="71"/>
        <v>0</v>
      </c>
      <c r="BC99" s="773">
        <f t="shared" ca="1" si="72"/>
        <v>0</v>
      </c>
      <c r="BD99" s="773">
        <f t="shared" ca="1" si="85"/>
        <v>2</v>
      </c>
      <c r="BE99" s="773">
        <f t="shared" ca="1" si="73"/>
        <v>0</v>
      </c>
      <c r="BF99" s="773" t="str">
        <f t="shared" si="86"/>
        <v>Tràng Sinh</v>
      </c>
      <c r="BX99" s="773">
        <v>1997</v>
      </c>
      <c r="BY99" s="773" t="s">
        <v>7842</v>
      </c>
    </row>
    <row r="100" spans="1:77" ht="15">
      <c r="A100" s="855">
        <v>3</v>
      </c>
      <c r="B100" s="855" t="s">
        <v>506</v>
      </c>
      <c r="C100" s="855" t="s">
        <v>9297</v>
      </c>
      <c r="D100" s="855" t="s">
        <v>9300</v>
      </c>
      <c r="E100" s="855" t="s">
        <v>1399</v>
      </c>
      <c r="F100" s="855" t="s">
        <v>1399</v>
      </c>
      <c r="G100" s="855" t="s">
        <v>9299</v>
      </c>
      <c r="H100" s="855" t="s">
        <v>9298</v>
      </c>
      <c r="I100" s="855" t="s">
        <v>8474</v>
      </c>
      <c r="J100" s="855" t="s">
        <v>8475</v>
      </c>
      <c r="L100" s="912">
        <f ca="1">VLOOKUP(L98,$S$36:$U$47,3,0)</f>
        <v>4</v>
      </c>
      <c r="M100" s="855" t="s">
        <v>8476</v>
      </c>
      <c r="N100" s="806" t="s">
        <v>7871</v>
      </c>
      <c r="O100" s="773">
        <v>3</v>
      </c>
      <c r="P100" s="773">
        <f t="shared" ca="1" si="94"/>
        <v>7</v>
      </c>
      <c r="Q100" s="773">
        <f t="shared" ca="1" si="95"/>
        <v>5</v>
      </c>
      <c r="R100" s="834">
        <f t="shared" ca="1" si="93"/>
        <v>1</v>
      </c>
      <c r="S100" s="773" t="str">
        <f ca="1">IF($N$63=1,C153,C160)</f>
        <v>Thìn</v>
      </c>
      <c r="T100" s="787">
        <v>38</v>
      </c>
      <c r="U100" s="856" t="s">
        <v>8477</v>
      </c>
      <c r="V100" s="773">
        <f t="shared" ca="1" si="50"/>
        <v>0</v>
      </c>
      <c r="W100" s="773">
        <f t="shared" ca="1" si="74"/>
        <v>0</v>
      </c>
      <c r="X100" s="773">
        <f t="shared" ca="1" si="51"/>
        <v>0</v>
      </c>
      <c r="Y100" s="773">
        <f t="shared" ca="1" si="52"/>
        <v>0</v>
      </c>
      <c r="Z100" s="773">
        <f t="shared" ca="1" si="75"/>
        <v>1</v>
      </c>
      <c r="AA100" s="773">
        <f t="shared" ca="1" si="53"/>
        <v>0</v>
      </c>
      <c r="AB100" s="773">
        <f t="shared" ca="1" si="54"/>
        <v>0</v>
      </c>
      <c r="AC100" s="773">
        <f t="shared" ca="1" si="76"/>
        <v>0</v>
      </c>
      <c r="AD100" s="773">
        <f t="shared" ca="1" si="55"/>
        <v>0</v>
      </c>
      <c r="AE100" s="773">
        <f t="shared" ca="1" si="56"/>
        <v>0</v>
      </c>
      <c r="AF100" s="773">
        <f t="shared" ca="1" si="77"/>
        <v>5</v>
      </c>
      <c r="AG100" s="773">
        <f t="shared" ca="1" si="57"/>
        <v>0</v>
      </c>
      <c r="AH100" s="773">
        <f t="shared" ca="1" si="58"/>
        <v>1</v>
      </c>
      <c r="AI100" s="773">
        <f t="shared" ca="1" si="78"/>
        <v>8</v>
      </c>
      <c r="AJ100" s="773">
        <f t="shared" ca="1" si="59"/>
        <v>8</v>
      </c>
      <c r="AK100" s="773">
        <f t="shared" ca="1" si="60"/>
        <v>0</v>
      </c>
      <c r="AL100" s="773">
        <f t="shared" ca="1" si="79"/>
        <v>4</v>
      </c>
      <c r="AM100" s="773">
        <f t="shared" ca="1" si="61"/>
        <v>0</v>
      </c>
      <c r="AN100" s="773">
        <f t="shared" ca="1" si="62"/>
        <v>0</v>
      </c>
      <c r="AO100" s="773">
        <f t="shared" ca="1" si="80"/>
        <v>3</v>
      </c>
      <c r="AP100" s="773">
        <f t="shared" ca="1" si="63"/>
        <v>0</v>
      </c>
      <c r="AQ100" s="773">
        <f t="shared" ca="1" si="64"/>
        <v>0</v>
      </c>
      <c r="AR100" s="773">
        <f t="shared" ca="1" si="81"/>
        <v>2</v>
      </c>
      <c r="AS100" s="773">
        <f t="shared" ca="1" si="65"/>
        <v>0</v>
      </c>
      <c r="AT100" s="773">
        <f t="shared" ca="1" si="66"/>
        <v>0</v>
      </c>
      <c r="AU100" s="773">
        <f t="shared" ca="1" si="82"/>
        <v>3</v>
      </c>
      <c r="AV100" s="773">
        <f t="shared" ca="1" si="67"/>
        <v>0</v>
      </c>
      <c r="AW100" s="773">
        <f t="shared" ca="1" si="68"/>
        <v>0</v>
      </c>
      <c r="AX100" s="773">
        <f t="shared" ca="1" si="83"/>
        <v>4</v>
      </c>
      <c r="AY100" s="773">
        <f t="shared" ca="1" si="69"/>
        <v>0</v>
      </c>
      <c r="AZ100" s="773">
        <f t="shared" ca="1" si="70"/>
        <v>0</v>
      </c>
      <c r="BA100" s="773">
        <f t="shared" ca="1" si="84"/>
        <v>6</v>
      </c>
      <c r="BB100" s="773">
        <f t="shared" ca="1" si="71"/>
        <v>0</v>
      </c>
      <c r="BC100" s="773">
        <f t="shared" ca="1" si="72"/>
        <v>0</v>
      </c>
      <c r="BD100" s="773">
        <f t="shared" ca="1" si="85"/>
        <v>2</v>
      </c>
      <c r="BE100" s="773">
        <f t="shared" ca="1" si="73"/>
        <v>0</v>
      </c>
      <c r="BF100" s="773" t="str">
        <f t="shared" si="86"/>
        <v>Mộc Dục</v>
      </c>
      <c r="BX100" s="773">
        <v>1998</v>
      </c>
      <c r="BY100" s="773" t="s">
        <v>7846</v>
      </c>
    </row>
    <row r="101" spans="1:77" ht="15">
      <c r="A101" s="855">
        <v>4</v>
      </c>
      <c r="B101" s="855" t="s">
        <v>507</v>
      </c>
      <c r="C101" s="855" t="s">
        <v>507</v>
      </c>
      <c r="D101" s="855" t="s">
        <v>1402</v>
      </c>
      <c r="E101" s="855" t="s">
        <v>505</v>
      </c>
      <c r="F101" s="855" t="s">
        <v>505</v>
      </c>
      <c r="G101" s="855" t="s">
        <v>9300</v>
      </c>
      <c r="H101" s="855" t="s">
        <v>9299</v>
      </c>
      <c r="I101" s="915" t="str">
        <f ca="1">VLOOKUP(I99,$U$36:$V$47,2,0)</f>
        <v>dậu</v>
      </c>
      <c r="J101" s="915" t="str">
        <f ca="1">VLOOKUP(J99,$U$36:$V$47,2,0)</f>
        <v>tỵ</v>
      </c>
      <c r="L101" s="912">
        <f ca="1">VLOOKUP(L99,$S$36:$U$47,3,0)</f>
        <v>6</v>
      </c>
      <c r="M101" s="773" t="s">
        <v>8478</v>
      </c>
      <c r="N101" s="806" t="s">
        <v>7882</v>
      </c>
      <c r="O101" s="773">
        <v>4</v>
      </c>
      <c r="P101" s="773">
        <f t="shared" ca="1" si="94"/>
        <v>6</v>
      </c>
      <c r="Q101" s="773">
        <f t="shared" ca="1" si="95"/>
        <v>6</v>
      </c>
      <c r="R101" s="834">
        <f t="shared" ca="1" si="93"/>
        <v>12</v>
      </c>
      <c r="S101" s="773" t="str">
        <f ca="1">IF($N$63=1,D153,D160)</f>
        <v>Mão</v>
      </c>
      <c r="T101" s="787">
        <v>39</v>
      </c>
      <c r="U101" s="856" t="s">
        <v>8479</v>
      </c>
      <c r="V101" s="773">
        <f t="shared" ca="1" si="50"/>
        <v>0</v>
      </c>
      <c r="W101" s="773">
        <f t="shared" ca="1" si="74"/>
        <v>0</v>
      </c>
      <c r="X101" s="773">
        <f t="shared" ca="1" si="51"/>
        <v>0</v>
      </c>
      <c r="Y101" s="773">
        <f t="shared" ca="1" si="52"/>
        <v>0</v>
      </c>
      <c r="Z101" s="773">
        <f t="shared" ca="1" si="75"/>
        <v>1</v>
      </c>
      <c r="AA101" s="773">
        <f t="shared" ca="1" si="53"/>
        <v>0</v>
      </c>
      <c r="AB101" s="773">
        <f t="shared" ca="1" si="54"/>
        <v>0</v>
      </c>
      <c r="AC101" s="773">
        <f t="shared" ca="1" si="76"/>
        <v>0</v>
      </c>
      <c r="AD101" s="773">
        <f t="shared" ca="1" si="55"/>
        <v>0</v>
      </c>
      <c r="AE101" s="773">
        <f t="shared" ca="1" si="56"/>
        <v>1</v>
      </c>
      <c r="AF101" s="773">
        <f t="shared" ca="1" si="77"/>
        <v>6</v>
      </c>
      <c r="AG101" s="773">
        <f t="shared" ca="1" si="57"/>
        <v>6</v>
      </c>
      <c r="AH101" s="773">
        <f t="shared" ca="1" si="58"/>
        <v>0</v>
      </c>
      <c r="AI101" s="773">
        <f t="shared" ca="1" si="78"/>
        <v>8</v>
      </c>
      <c r="AJ101" s="773">
        <f t="shared" ca="1" si="59"/>
        <v>0</v>
      </c>
      <c r="AK101" s="773">
        <f t="shared" ca="1" si="60"/>
        <v>0</v>
      </c>
      <c r="AL101" s="773">
        <f t="shared" ca="1" si="79"/>
        <v>4</v>
      </c>
      <c r="AM101" s="773">
        <f t="shared" ca="1" si="61"/>
        <v>0</v>
      </c>
      <c r="AN101" s="773">
        <f t="shared" ca="1" si="62"/>
        <v>0</v>
      </c>
      <c r="AO101" s="773">
        <f t="shared" ca="1" si="80"/>
        <v>3</v>
      </c>
      <c r="AP101" s="773">
        <f t="shared" ca="1" si="63"/>
        <v>0</v>
      </c>
      <c r="AQ101" s="773">
        <f t="shared" ca="1" si="64"/>
        <v>0</v>
      </c>
      <c r="AR101" s="773">
        <f t="shared" ca="1" si="81"/>
        <v>2</v>
      </c>
      <c r="AS101" s="773">
        <f t="shared" ca="1" si="65"/>
        <v>0</v>
      </c>
      <c r="AT101" s="773">
        <f t="shared" ca="1" si="66"/>
        <v>0</v>
      </c>
      <c r="AU101" s="773">
        <f t="shared" ca="1" si="82"/>
        <v>3</v>
      </c>
      <c r="AV101" s="773">
        <f t="shared" ca="1" si="67"/>
        <v>0</v>
      </c>
      <c r="AW101" s="773">
        <f t="shared" ca="1" si="68"/>
        <v>0</v>
      </c>
      <c r="AX101" s="773">
        <f t="shared" ca="1" si="83"/>
        <v>4</v>
      </c>
      <c r="AY101" s="773">
        <f t="shared" ca="1" si="69"/>
        <v>0</v>
      </c>
      <c r="AZ101" s="773">
        <f t="shared" ca="1" si="70"/>
        <v>0</v>
      </c>
      <c r="BA101" s="773">
        <f t="shared" ca="1" si="84"/>
        <v>6</v>
      </c>
      <c r="BB101" s="773">
        <f t="shared" ca="1" si="71"/>
        <v>0</v>
      </c>
      <c r="BC101" s="773">
        <f t="shared" ca="1" si="72"/>
        <v>0</v>
      </c>
      <c r="BD101" s="773">
        <f t="shared" ca="1" si="85"/>
        <v>2</v>
      </c>
      <c r="BE101" s="773">
        <f t="shared" ca="1" si="73"/>
        <v>0</v>
      </c>
      <c r="BF101" s="773" t="str">
        <f t="shared" si="86"/>
        <v>Quan Đới</v>
      </c>
      <c r="BX101" s="773">
        <v>1999</v>
      </c>
      <c r="BY101" s="773" t="s">
        <v>7848</v>
      </c>
    </row>
    <row r="102" spans="1:77" ht="30">
      <c r="A102" s="855">
        <v>5</v>
      </c>
      <c r="B102" s="855" t="s">
        <v>9297</v>
      </c>
      <c r="C102" s="855" t="s">
        <v>506</v>
      </c>
      <c r="D102" s="855" t="s">
        <v>9301</v>
      </c>
      <c r="E102" s="806" t="s">
        <v>7871</v>
      </c>
      <c r="F102" s="806" t="s">
        <v>7871</v>
      </c>
      <c r="G102" s="855" t="s">
        <v>1402</v>
      </c>
      <c r="H102" s="855" t="s">
        <v>9300</v>
      </c>
      <c r="I102" s="787">
        <f ca="1">VLOOKUP(G17,$N$49:$O$60,2,0)</f>
        <v>7</v>
      </c>
      <c r="J102" s="773">
        <f ca="1">I102+12-F16</f>
        <v>18</v>
      </c>
      <c r="L102" s="915" t="str">
        <f ca="1">VLOOKUP(L100,$U$36:$V$47,2,0)</f>
        <v>mão</v>
      </c>
      <c r="N102" s="806" t="s">
        <v>7886</v>
      </c>
      <c r="O102" s="773">
        <v>5</v>
      </c>
      <c r="P102" s="773" t="str">
        <f ca="1">IF(AND($L$105=$N$105,LEFT(M105,1)="T"),CONCATENATE(O105,"-",M105),CONCATENATE(O105,M105))</f>
        <v xml:space="preserve">  </v>
      </c>
      <c r="Q102" s="933" t="str">
        <f ca="1">IF(OR(RIGHT(P102,1)="t",RIGHT(P102,2)="n "),P102,$R$104)</f>
        <v>———</v>
      </c>
      <c r="R102" s="1030" t="s">
        <v>569</v>
      </c>
      <c r="S102" s="773" t="str">
        <f ca="1">IF($N$63=1,E153,E160)</f>
        <v>Dần</v>
      </c>
      <c r="T102" s="787">
        <v>40</v>
      </c>
      <c r="U102" s="856" t="s">
        <v>8480</v>
      </c>
      <c r="V102" s="773">
        <f t="shared" ca="1" si="50"/>
        <v>0</v>
      </c>
      <c r="W102" s="773">
        <f t="shared" ca="1" si="74"/>
        <v>0</v>
      </c>
      <c r="X102" s="773">
        <f t="shared" ca="1" si="51"/>
        <v>0</v>
      </c>
      <c r="Y102" s="773">
        <f t="shared" ca="1" si="52"/>
        <v>0</v>
      </c>
      <c r="Z102" s="773">
        <f t="shared" ca="1" si="75"/>
        <v>1</v>
      </c>
      <c r="AA102" s="773">
        <f t="shared" ca="1" si="53"/>
        <v>0</v>
      </c>
      <c r="AB102" s="773">
        <f t="shared" ca="1" si="54"/>
        <v>1</v>
      </c>
      <c r="AC102" s="773">
        <f t="shared" ca="1" si="76"/>
        <v>1</v>
      </c>
      <c r="AD102" s="773">
        <f t="shared" ca="1" si="55"/>
        <v>1</v>
      </c>
      <c r="AE102" s="773">
        <f t="shared" ca="1" si="56"/>
        <v>0</v>
      </c>
      <c r="AF102" s="773">
        <f t="shared" ca="1" si="77"/>
        <v>6</v>
      </c>
      <c r="AG102" s="773">
        <f t="shared" ca="1" si="57"/>
        <v>0</v>
      </c>
      <c r="AH102" s="773">
        <f t="shared" ca="1" si="58"/>
        <v>0</v>
      </c>
      <c r="AI102" s="773">
        <f t="shared" ca="1" si="78"/>
        <v>8</v>
      </c>
      <c r="AJ102" s="773">
        <f t="shared" ca="1" si="59"/>
        <v>0</v>
      </c>
      <c r="AK102" s="773">
        <f t="shared" ca="1" si="60"/>
        <v>0</v>
      </c>
      <c r="AL102" s="773">
        <f t="shared" ca="1" si="79"/>
        <v>4</v>
      </c>
      <c r="AM102" s="773">
        <f t="shared" ca="1" si="61"/>
        <v>0</v>
      </c>
      <c r="AN102" s="773">
        <f t="shared" ca="1" si="62"/>
        <v>0</v>
      </c>
      <c r="AO102" s="773">
        <f t="shared" ca="1" si="80"/>
        <v>3</v>
      </c>
      <c r="AP102" s="773">
        <f t="shared" ca="1" si="63"/>
        <v>0</v>
      </c>
      <c r="AQ102" s="773">
        <f t="shared" ca="1" si="64"/>
        <v>0</v>
      </c>
      <c r="AR102" s="773">
        <f t="shared" ca="1" si="81"/>
        <v>2</v>
      </c>
      <c r="AS102" s="773">
        <f t="shared" ca="1" si="65"/>
        <v>0</v>
      </c>
      <c r="AT102" s="773">
        <f t="shared" ca="1" si="66"/>
        <v>0</v>
      </c>
      <c r="AU102" s="773">
        <f t="shared" ca="1" si="82"/>
        <v>3</v>
      </c>
      <c r="AV102" s="773">
        <f t="shared" ca="1" si="67"/>
        <v>0</v>
      </c>
      <c r="AW102" s="773">
        <f t="shared" ca="1" si="68"/>
        <v>0</v>
      </c>
      <c r="AX102" s="773">
        <f t="shared" ca="1" si="83"/>
        <v>4</v>
      </c>
      <c r="AY102" s="773">
        <f t="shared" ca="1" si="69"/>
        <v>0</v>
      </c>
      <c r="AZ102" s="773">
        <f t="shared" ca="1" si="70"/>
        <v>0</v>
      </c>
      <c r="BA102" s="773">
        <f t="shared" ca="1" si="84"/>
        <v>6</v>
      </c>
      <c r="BB102" s="773">
        <f t="shared" ca="1" si="71"/>
        <v>0</v>
      </c>
      <c r="BC102" s="773">
        <f t="shared" ca="1" si="72"/>
        <v>0</v>
      </c>
      <c r="BD102" s="773">
        <f t="shared" ca="1" si="85"/>
        <v>2</v>
      </c>
      <c r="BE102" s="773">
        <f t="shared" ca="1" si="73"/>
        <v>0</v>
      </c>
      <c r="BF102" s="773" t="str">
        <f t="shared" si="86"/>
        <v>Lâm Quan</v>
      </c>
      <c r="BX102" s="773">
        <v>2000</v>
      </c>
      <c r="BY102" s="773" t="s">
        <v>7850</v>
      </c>
    </row>
    <row r="103" spans="1:77" ht="15">
      <c r="A103" s="855">
        <v>6</v>
      </c>
      <c r="B103" s="855" t="s">
        <v>9298</v>
      </c>
      <c r="C103" s="806" t="s">
        <v>7871</v>
      </c>
      <c r="D103" s="855" t="s">
        <v>353</v>
      </c>
      <c r="E103" s="855" t="s">
        <v>506</v>
      </c>
      <c r="F103" s="855" t="s">
        <v>506</v>
      </c>
      <c r="G103" s="855" t="s">
        <v>9301</v>
      </c>
      <c r="H103" s="855" t="s">
        <v>1402</v>
      </c>
      <c r="I103" s="787">
        <f ca="1">VLOOKUP(G18,$N$49:$O$60,2,0)</f>
        <v>5</v>
      </c>
      <c r="J103" s="773">
        <f ca="1">J102+I103</f>
        <v>23</v>
      </c>
      <c r="L103" s="915" t="str">
        <f ca="1">VLOOKUP(L101,$U$36:$V$47,2,0)</f>
        <v>tỵ</v>
      </c>
      <c r="N103" s="806" t="s">
        <v>7877</v>
      </c>
      <c r="O103" s="773">
        <v>6</v>
      </c>
      <c r="Q103" s="961" t="s">
        <v>572</v>
      </c>
      <c r="R103" s="1031"/>
      <c r="S103" s="773" t="str">
        <f ca="1">IF($N$63=1,F153,F160)</f>
        <v>Sửu</v>
      </c>
      <c r="T103" s="787">
        <v>41</v>
      </c>
      <c r="U103" s="856" t="s">
        <v>8481</v>
      </c>
      <c r="V103" s="773">
        <f t="shared" ca="1" si="50"/>
        <v>0</v>
      </c>
      <c r="W103" s="773">
        <f t="shared" ca="1" si="74"/>
        <v>0</v>
      </c>
      <c r="X103" s="773">
        <f t="shared" ca="1" si="51"/>
        <v>0</v>
      </c>
      <c r="Y103" s="773">
        <f t="shared" ca="1" si="52"/>
        <v>1</v>
      </c>
      <c r="Z103" s="773">
        <f t="shared" ca="1" si="75"/>
        <v>2</v>
      </c>
      <c r="AA103" s="773">
        <f t="shared" ca="1" si="53"/>
        <v>2</v>
      </c>
      <c r="AB103" s="773">
        <f t="shared" ca="1" si="54"/>
        <v>0</v>
      </c>
      <c r="AC103" s="773">
        <f t="shared" ca="1" si="76"/>
        <v>1</v>
      </c>
      <c r="AD103" s="773">
        <f t="shared" ca="1" si="55"/>
        <v>0</v>
      </c>
      <c r="AE103" s="773">
        <f t="shared" ca="1" si="56"/>
        <v>0</v>
      </c>
      <c r="AF103" s="773">
        <f t="shared" ca="1" si="77"/>
        <v>6</v>
      </c>
      <c r="AG103" s="773">
        <f t="shared" ca="1" si="57"/>
        <v>0</v>
      </c>
      <c r="AH103" s="773">
        <f t="shared" ca="1" si="58"/>
        <v>0</v>
      </c>
      <c r="AI103" s="773">
        <f t="shared" ca="1" si="78"/>
        <v>8</v>
      </c>
      <c r="AJ103" s="773">
        <f t="shared" ca="1" si="59"/>
        <v>0</v>
      </c>
      <c r="AK103" s="773">
        <f t="shared" ca="1" si="60"/>
        <v>0</v>
      </c>
      <c r="AL103" s="773">
        <f t="shared" ca="1" si="79"/>
        <v>4</v>
      </c>
      <c r="AM103" s="773">
        <f t="shared" ca="1" si="61"/>
        <v>0</v>
      </c>
      <c r="AN103" s="773">
        <f t="shared" ca="1" si="62"/>
        <v>0</v>
      </c>
      <c r="AO103" s="773">
        <f t="shared" ca="1" si="80"/>
        <v>3</v>
      </c>
      <c r="AP103" s="773">
        <f t="shared" ca="1" si="63"/>
        <v>0</v>
      </c>
      <c r="AQ103" s="773">
        <f t="shared" ca="1" si="64"/>
        <v>0</v>
      </c>
      <c r="AR103" s="773">
        <f t="shared" ca="1" si="81"/>
        <v>2</v>
      </c>
      <c r="AS103" s="773">
        <f t="shared" ca="1" si="65"/>
        <v>0</v>
      </c>
      <c r="AT103" s="773">
        <f t="shared" ca="1" si="66"/>
        <v>0</v>
      </c>
      <c r="AU103" s="773">
        <f t="shared" ca="1" si="82"/>
        <v>3</v>
      </c>
      <c r="AV103" s="773">
        <f t="shared" ca="1" si="67"/>
        <v>0</v>
      </c>
      <c r="AW103" s="773">
        <f t="shared" ca="1" si="68"/>
        <v>0</v>
      </c>
      <c r="AX103" s="773">
        <f t="shared" ca="1" si="83"/>
        <v>4</v>
      </c>
      <c r="AY103" s="773">
        <f t="shared" ca="1" si="69"/>
        <v>0</v>
      </c>
      <c r="AZ103" s="773">
        <f t="shared" ca="1" si="70"/>
        <v>0</v>
      </c>
      <c r="BA103" s="773">
        <f t="shared" ca="1" si="84"/>
        <v>6</v>
      </c>
      <c r="BB103" s="773">
        <f t="shared" ca="1" si="71"/>
        <v>0</v>
      </c>
      <c r="BC103" s="773">
        <f t="shared" ca="1" si="72"/>
        <v>0</v>
      </c>
      <c r="BD103" s="773">
        <f t="shared" ca="1" si="85"/>
        <v>2</v>
      </c>
      <c r="BE103" s="773">
        <f t="shared" ca="1" si="73"/>
        <v>0</v>
      </c>
      <c r="BF103" s="773" t="str">
        <f t="shared" si="86"/>
        <v>Đế Vượng</v>
      </c>
      <c r="BX103" s="773">
        <v>2001</v>
      </c>
      <c r="BY103" s="773" t="s">
        <v>7852</v>
      </c>
    </row>
    <row r="104" spans="1:77" ht="15">
      <c r="A104" s="855">
        <v>7</v>
      </c>
      <c r="B104" s="855" t="s">
        <v>9299</v>
      </c>
      <c r="C104" s="855" t="s">
        <v>505</v>
      </c>
      <c r="D104" s="855" t="s">
        <v>1399</v>
      </c>
      <c r="E104" s="855" t="s">
        <v>507</v>
      </c>
      <c r="F104" s="855" t="s">
        <v>507</v>
      </c>
      <c r="G104" s="855" t="s">
        <v>353</v>
      </c>
      <c r="H104" s="855" t="s">
        <v>9301</v>
      </c>
      <c r="J104" s="773">
        <f ca="1">MOD(J103,12)</f>
        <v>11</v>
      </c>
      <c r="P104" s="960"/>
      <c r="Q104" s="865" t="s">
        <v>571</v>
      </c>
      <c r="R104" s="865" t="s">
        <v>9332</v>
      </c>
      <c r="S104" s="773" t="str">
        <f ca="1">IF($N$63=1,B162,B184)</f>
        <v>Hợi</v>
      </c>
      <c r="T104" s="787">
        <v>42</v>
      </c>
      <c r="U104" s="856" t="s">
        <v>8483</v>
      </c>
      <c r="V104" s="773">
        <f t="shared" ca="1" si="50"/>
        <v>0</v>
      </c>
      <c r="W104" s="773">
        <f t="shared" ca="1" si="74"/>
        <v>0</v>
      </c>
      <c r="X104" s="773">
        <f t="shared" ca="1" si="51"/>
        <v>0</v>
      </c>
      <c r="Y104" s="773">
        <f t="shared" ca="1" si="52"/>
        <v>0</v>
      </c>
      <c r="Z104" s="773">
        <f t="shared" ca="1" si="75"/>
        <v>2</v>
      </c>
      <c r="AA104" s="773">
        <f t="shared" ca="1" si="53"/>
        <v>0</v>
      </c>
      <c r="AB104" s="773">
        <f t="shared" ca="1" si="54"/>
        <v>0</v>
      </c>
      <c r="AC104" s="773">
        <f t="shared" ca="1" si="76"/>
        <v>1</v>
      </c>
      <c r="AD104" s="773">
        <f t="shared" ca="1" si="55"/>
        <v>0</v>
      </c>
      <c r="AE104" s="773">
        <f t="shared" ca="1" si="56"/>
        <v>0</v>
      </c>
      <c r="AF104" s="773">
        <f t="shared" ca="1" si="77"/>
        <v>6</v>
      </c>
      <c r="AG104" s="773">
        <f t="shared" ca="1" si="57"/>
        <v>0</v>
      </c>
      <c r="AH104" s="773">
        <f t="shared" ca="1" si="58"/>
        <v>0</v>
      </c>
      <c r="AI104" s="773">
        <f t="shared" ca="1" si="78"/>
        <v>8</v>
      </c>
      <c r="AJ104" s="773">
        <f t="shared" ca="1" si="59"/>
        <v>0</v>
      </c>
      <c r="AK104" s="773">
        <f t="shared" ca="1" si="60"/>
        <v>0</v>
      </c>
      <c r="AL104" s="773">
        <f t="shared" ca="1" si="79"/>
        <v>4</v>
      </c>
      <c r="AM104" s="773">
        <f t="shared" ca="1" si="61"/>
        <v>0</v>
      </c>
      <c r="AN104" s="773">
        <f t="shared" ca="1" si="62"/>
        <v>0</v>
      </c>
      <c r="AO104" s="773">
        <f t="shared" ca="1" si="80"/>
        <v>3</v>
      </c>
      <c r="AP104" s="773">
        <f t="shared" ca="1" si="63"/>
        <v>0</v>
      </c>
      <c r="AQ104" s="773">
        <f t="shared" ca="1" si="64"/>
        <v>0</v>
      </c>
      <c r="AR104" s="773">
        <f t="shared" ca="1" si="81"/>
        <v>2</v>
      </c>
      <c r="AS104" s="773">
        <f t="shared" ca="1" si="65"/>
        <v>0</v>
      </c>
      <c r="AT104" s="773">
        <f t="shared" ca="1" si="66"/>
        <v>0</v>
      </c>
      <c r="AU104" s="773">
        <f t="shared" ca="1" si="82"/>
        <v>3</v>
      </c>
      <c r="AV104" s="773">
        <f t="shared" ca="1" si="67"/>
        <v>0</v>
      </c>
      <c r="AW104" s="773">
        <f t="shared" ca="1" si="68"/>
        <v>0</v>
      </c>
      <c r="AX104" s="773">
        <f t="shared" ca="1" si="83"/>
        <v>4</v>
      </c>
      <c r="AY104" s="773">
        <f t="shared" ca="1" si="69"/>
        <v>0</v>
      </c>
      <c r="AZ104" s="773">
        <f t="shared" ca="1" si="70"/>
        <v>0</v>
      </c>
      <c r="BA104" s="773">
        <f t="shared" ca="1" si="84"/>
        <v>6</v>
      </c>
      <c r="BB104" s="773">
        <f t="shared" ca="1" si="71"/>
        <v>0</v>
      </c>
      <c r="BC104" s="773">
        <f t="shared" ca="1" si="72"/>
        <v>1</v>
      </c>
      <c r="BD104" s="773">
        <f t="shared" ca="1" si="85"/>
        <v>3</v>
      </c>
      <c r="BE104" s="773">
        <f t="shared" ca="1" si="73"/>
        <v>3</v>
      </c>
      <c r="BF104" s="773" t="str">
        <f t="shared" si="86"/>
        <v>Bác Sỹ</v>
      </c>
      <c r="BX104" s="773">
        <v>2002</v>
      </c>
      <c r="BY104" s="773" t="s">
        <v>7855</v>
      </c>
    </row>
    <row r="105" spans="1:77" ht="15">
      <c r="A105" s="855">
        <v>8</v>
      </c>
      <c r="B105" s="855" t="s">
        <v>9300</v>
      </c>
      <c r="C105" s="855" t="s">
        <v>1399</v>
      </c>
      <c r="D105" s="855" t="s">
        <v>505</v>
      </c>
      <c r="E105" s="855" t="s">
        <v>9297</v>
      </c>
      <c r="F105" s="855" t="s">
        <v>9297</v>
      </c>
      <c r="G105" s="855" t="s">
        <v>1399</v>
      </c>
      <c r="H105" s="855" t="s">
        <v>353</v>
      </c>
      <c r="I105" s="855" t="s">
        <v>8484</v>
      </c>
      <c r="J105" s="912">
        <f ca="1">IF(J104=0,12,J104)</f>
        <v>11</v>
      </c>
      <c r="K105" s="915" t="str">
        <f ca="1">VLOOKUP(J105,$U$36:$V$47,2,0)</f>
        <v>tuất</v>
      </c>
      <c r="L105" s="929">
        <f ca="1">VLOOKUP(O48,$N$98:$O$103,2,0)</f>
        <v>2</v>
      </c>
      <c r="M105" s="773" t="str">
        <f t="shared" ref="M105:M110" ca="1" si="97">IF(O98=$L$105,"TRIỆT"," ")</f>
        <v xml:space="preserve"> </v>
      </c>
      <c r="N105" s="929">
        <f ca="1">VLOOKUP(N44,$N$98:$O$103,2,0)</f>
        <v>5</v>
      </c>
      <c r="O105" s="773" t="str">
        <f t="shared" ref="O105:O110" ca="1" si="98">IF(O98=$N$105,"TUẦN"," ")</f>
        <v xml:space="preserve"> </v>
      </c>
      <c r="Q105" s="1034" t="str">
        <f ca="1">IF(OR(RIGHT(P106,1)="t",RIGHT(P106,2)="n "),P106,$R$104)</f>
        <v xml:space="preserve"> TRIỆT</v>
      </c>
      <c r="S105" s="773" t="str">
        <f ca="1">IF($N$63=1,C162,C184)</f>
        <v>Tuất</v>
      </c>
      <c r="T105" s="787">
        <v>43</v>
      </c>
      <c r="U105" s="773" t="s">
        <v>8485</v>
      </c>
      <c r="V105" s="773">
        <f t="shared" ca="1" si="50"/>
        <v>0</v>
      </c>
      <c r="W105" s="773">
        <f t="shared" ca="1" si="74"/>
        <v>0</v>
      </c>
      <c r="X105" s="773">
        <f t="shared" ca="1" si="51"/>
        <v>0</v>
      </c>
      <c r="Y105" s="773">
        <f t="shared" ca="1" si="52"/>
        <v>0</v>
      </c>
      <c r="Z105" s="773">
        <f t="shared" ca="1" si="75"/>
        <v>2</v>
      </c>
      <c r="AA105" s="773">
        <f t="shared" ca="1" si="53"/>
        <v>0</v>
      </c>
      <c r="AB105" s="773">
        <f t="shared" ca="1" si="54"/>
        <v>0</v>
      </c>
      <c r="AC105" s="773">
        <f t="shared" ca="1" si="76"/>
        <v>1</v>
      </c>
      <c r="AD105" s="773">
        <f t="shared" ca="1" si="55"/>
        <v>0</v>
      </c>
      <c r="AE105" s="773">
        <f t="shared" ca="1" si="56"/>
        <v>0</v>
      </c>
      <c r="AF105" s="773">
        <f t="shared" ca="1" si="77"/>
        <v>6</v>
      </c>
      <c r="AG105" s="773">
        <f t="shared" ca="1" si="57"/>
        <v>0</v>
      </c>
      <c r="AH105" s="773">
        <f t="shared" ca="1" si="58"/>
        <v>0</v>
      </c>
      <c r="AI105" s="773">
        <f t="shared" ca="1" si="78"/>
        <v>8</v>
      </c>
      <c r="AJ105" s="773">
        <f t="shared" ca="1" si="59"/>
        <v>0</v>
      </c>
      <c r="AK105" s="773">
        <f t="shared" ca="1" si="60"/>
        <v>0</v>
      </c>
      <c r="AL105" s="773">
        <f t="shared" ca="1" si="79"/>
        <v>4</v>
      </c>
      <c r="AM105" s="773">
        <f t="shared" ca="1" si="61"/>
        <v>0</v>
      </c>
      <c r="AN105" s="773">
        <f t="shared" ca="1" si="62"/>
        <v>0</v>
      </c>
      <c r="AO105" s="773">
        <f t="shared" ca="1" si="80"/>
        <v>3</v>
      </c>
      <c r="AP105" s="773">
        <f t="shared" ca="1" si="63"/>
        <v>0</v>
      </c>
      <c r="AQ105" s="773">
        <f t="shared" ca="1" si="64"/>
        <v>0</v>
      </c>
      <c r="AR105" s="773">
        <f t="shared" ca="1" si="81"/>
        <v>2</v>
      </c>
      <c r="AS105" s="773">
        <f t="shared" ca="1" si="65"/>
        <v>0</v>
      </c>
      <c r="AT105" s="773">
        <f t="shared" ca="1" si="66"/>
        <v>0</v>
      </c>
      <c r="AU105" s="773">
        <f t="shared" ca="1" si="82"/>
        <v>3</v>
      </c>
      <c r="AV105" s="773">
        <f t="shared" ca="1" si="67"/>
        <v>0</v>
      </c>
      <c r="AW105" s="773">
        <f t="shared" ca="1" si="68"/>
        <v>0</v>
      </c>
      <c r="AX105" s="773">
        <f t="shared" ca="1" si="83"/>
        <v>4</v>
      </c>
      <c r="AY105" s="773">
        <f t="shared" ca="1" si="69"/>
        <v>0</v>
      </c>
      <c r="AZ105" s="773">
        <f t="shared" ca="1" si="70"/>
        <v>1</v>
      </c>
      <c r="BA105" s="773">
        <f t="shared" ca="1" si="84"/>
        <v>7</v>
      </c>
      <c r="BB105" s="773">
        <f t="shared" ca="1" si="71"/>
        <v>7</v>
      </c>
      <c r="BC105" s="773">
        <f t="shared" ca="1" si="72"/>
        <v>0</v>
      </c>
      <c r="BD105" s="773">
        <f t="shared" ca="1" si="85"/>
        <v>3</v>
      </c>
      <c r="BE105" s="773">
        <f t="shared" ca="1" si="73"/>
        <v>0</v>
      </c>
      <c r="BF105" s="773" t="str">
        <f t="shared" si="86"/>
        <v>Lực Sỹ</v>
      </c>
      <c r="BX105" s="773">
        <v>2003</v>
      </c>
      <c r="BY105" s="773" t="s">
        <v>7858</v>
      </c>
    </row>
    <row r="106" spans="1:77" ht="15">
      <c r="A106" s="855">
        <v>9</v>
      </c>
      <c r="B106" s="855" t="s">
        <v>1402</v>
      </c>
      <c r="C106" s="855" t="s">
        <v>353</v>
      </c>
      <c r="D106" s="806" t="s">
        <v>7871</v>
      </c>
      <c r="E106" s="855" t="s">
        <v>9298</v>
      </c>
      <c r="F106" s="855" t="s">
        <v>9298</v>
      </c>
      <c r="G106" s="855" t="s">
        <v>505</v>
      </c>
      <c r="H106" s="855" t="s">
        <v>1399</v>
      </c>
      <c r="I106" s="773">
        <f ca="1">N41</f>
        <v>11</v>
      </c>
      <c r="J106" s="773">
        <f ca="1">I102+I106-1</f>
        <v>17</v>
      </c>
      <c r="M106" s="773" t="str">
        <f t="shared" ca="1" si="97"/>
        <v>TRIỆT</v>
      </c>
      <c r="O106" s="773" t="str">
        <f t="shared" ca="1" si="98"/>
        <v xml:space="preserve"> </v>
      </c>
      <c r="P106" s="773" t="str">
        <f ca="1">IF(AND($L$105=$N$105,LEFT(M106,1)="T"),R102,CONCATENATE(O106,M106))</f>
        <v xml:space="preserve"> TRIỆT</v>
      </c>
      <c r="Q106" s="1034"/>
      <c r="S106" s="773" t="str">
        <f ca="1">IF($N$63=1,D162,D184)</f>
        <v>Dậu</v>
      </c>
      <c r="T106" s="787">
        <v>44</v>
      </c>
      <c r="U106" s="773" t="s">
        <v>8486</v>
      </c>
      <c r="V106" s="773">
        <f t="shared" ca="1" si="50"/>
        <v>0</v>
      </c>
      <c r="W106" s="773">
        <f t="shared" ca="1" si="74"/>
        <v>0</v>
      </c>
      <c r="X106" s="773">
        <f t="shared" ca="1" si="51"/>
        <v>0</v>
      </c>
      <c r="Y106" s="773">
        <f t="shared" ca="1" si="52"/>
        <v>0</v>
      </c>
      <c r="Z106" s="773">
        <f t="shared" ca="1" si="75"/>
        <v>2</v>
      </c>
      <c r="AA106" s="773">
        <f t="shared" ca="1" si="53"/>
        <v>0</v>
      </c>
      <c r="AB106" s="773">
        <f t="shared" ca="1" si="54"/>
        <v>0</v>
      </c>
      <c r="AC106" s="773">
        <f t="shared" ca="1" si="76"/>
        <v>1</v>
      </c>
      <c r="AD106" s="773">
        <f t="shared" ca="1" si="55"/>
        <v>0</v>
      </c>
      <c r="AE106" s="773">
        <f t="shared" ca="1" si="56"/>
        <v>0</v>
      </c>
      <c r="AF106" s="773">
        <f t="shared" ca="1" si="77"/>
        <v>6</v>
      </c>
      <c r="AG106" s="773">
        <f t="shared" ca="1" si="57"/>
        <v>0</v>
      </c>
      <c r="AH106" s="773">
        <f t="shared" ca="1" si="58"/>
        <v>0</v>
      </c>
      <c r="AI106" s="773">
        <f t="shared" ca="1" si="78"/>
        <v>8</v>
      </c>
      <c r="AJ106" s="773">
        <f t="shared" ca="1" si="59"/>
        <v>0</v>
      </c>
      <c r="AK106" s="773">
        <f t="shared" ca="1" si="60"/>
        <v>0</v>
      </c>
      <c r="AL106" s="773">
        <f t="shared" ca="1" si="79"/>
        <v>4</v>
      </c>
      <c r="AM106" s="773">
        <f t="shared" ca="1" si="61"/>
        <v>0</v>
      </c>
      <c r="AN106" s="773">
        <f t="shared" ca="1" si="62"/>
        <v>0</v>
      </c>
      <c r="AO106" s="773">
        <f t="shared" ca="1" si="80"/>
        <v>3</v>
      </c>
      <c r="AP106" s="773">
        <f t="shared" ca="1" si="63"/>
        <v>0</v>
      </c>
      <c r="AQ106" s="773">
        <f t="shared" ca="1" si="64"/>
        <v>0</v>
      </c>
      <c r="AR106" s="773">
        <f t="shared" ca="1" si="81"/>
        <v>2</v>
      </c>
      <c r="AS106" s="773">
        <f t="shared" ca="1" si="65"/>
        <v>0</v>
      </c>
      <c r="AT106" s="773">
        <f t="shared" ca="1" si="66"/>
        <v>0</v>
      </c>
      <c r="AU106" s="773">
        <f t="shared" ca="1" si="82"/>
        <v>3</v>
      </c>
      <c r="AV106" s="773">
        <f t="shared" ca="1" si="67"/>
        <v>0</v>
      </c>
      <c r="AW106" s="773">
        <f t="shared" ca="1" si="68"/>
        <v>1</v>
      </c>
      <c r="AX106" s="773">
        <f t="shared" ca="1" si="83"/>
        <v>5</v>
      </c>
      <c r="AY106" s="773">
        <f t="shared" ca="1" si="69"/>
        <v>5</v>
      </c>
      <c r="AZ106" s="773">
        <f t="shared" ca="1" si="70"/>
        <v>0</v>
      </c>
      <c r="BA106" s="773">
        <f t="shared" ca="1" si="84"/>
        <v>7</v>
      </c>
      <c r="BB106" s="773">
        <f t="shared" ca="1" si="71"/>
        <v>0</v>
      </c>
      <c r="BC106" s="773">
        <f t="shared" ca="1" si="72"/>
        <v>0</v>
      </c>
      <c r="BD106" s="773">
        <f t="shared" ca="1" si="85"/>
        <v>3</v>
      </c>
      <c r="BE106" s="773">
        <f t="shared" ca="1" si="73"/>
        <v>0</v>
      </c>
      <c r="BF106" s="773" t="str">
        <f t="shared" si="86"/>
        <v>Thanh Long</v>
      </c>
      <c r="BX106" s="773">
        <v>2004</v>
      </c>
      <c r="BY106" s="773" t="s">
        <v>7862</v>
      </c>
    </row>
    <row r="107" spans="1:77" ht="15">
      <c r="A107" s="855">
        <v>10</v>
      </c>
      <c r="B107" s="855" t="s">
        <v>9301</v>
      </c>
      <c r="C107" s="855" t="s">
        <v>9301</v>
      </c>
      <c r="D107" s="855" t="s">
        <v>506</v>
      </c>
      <c r="E107" s="855" t="s">
        <v>9299</v>
      </c>
      <c r="F107" s="855" t="s">
        <v>9299</v>
      </c>
      <c r="G107" s="806" t="s">
        <v>7871</v>
      </c>
      <c r="H107" s="855" t="s">
        <v>505</v>
      </c>
      <c r="I107" s="773">
        <f ca="1">N40</f>
        <v>7</v>
      </c>
      <c r="J107" s="773">
        <f ca="1">MOD(J106,12)</f>
        <v>5</v>
      </c>
      <c r="M107" s="773" t="str">
        <f t="shared" ca="1" si="97"/>
        <v xml:space="preserve"> </v>
      </c>
      <c r="O107" s="773" t="str">
        <f t="shared" ca="1" si="98"/>
        <v xml:space="preserve"> </v>
      </c>
      <c r="P107" s="773" t="str">
        <f ca="1">IF(AND($L$105=$N$105,LEFT(M107,1)="T"),R102,CONCATENATE(O107,M107))</f>
        <v xml:space="preserve">  </v>
      </c>
      <c r="Q107" s="933" t="str">
        <f ca="1">IF(OR(RIGHT(P107,1)="t",RIGHT(P107,2)="n "),P107,$R$104)</f>
        <v>———</v>
      </c>
      <c r="S107" s="773" t="str">
        <f ca="1">IF($N$63=1,F162,F184)</f>
        <v>Mùi</v>
      </c>
      <c r="T107" s="787">
        <v>45</v>
      </c>
      <c r="U107" s="773" t="s">
        <v>8487</v>
      </c>
      <c r="V107" s="773">
        <f t="shared" ca="1" si="50"/>
        <v>0</v>
      </c>
      <c r="W107" s="773">
        <f t="shared" ca="1" si="74"/>
        <v>0</v>
      </c>
      <c r="X107" s="773">
        <f t="shared" ca="1" si="51"/>
        <v>0</v>
      </c>
      <c r="Y107" s="773">
        <f t="shared" ca="1" si="52"/>
        <v>0</v>
      </c>
      <c r="Z107" s="773">
        <f t="shared" ca="1" si="75"/>
        <v>2</v>
      </c>
      <c r="AA107" s="773">
        <f t="shared" ca="1" si="53"/>
        <v>0</v>
      </c>
      <c r="AB107" s="773">
        <f t="shared" ca="1" si="54"/>
        <v>0</v>
      </c>
      <c r="AC107" s="773">
        <f t="shared" ca="1" si="76"/>
        <v>1</v>
      </c>
      <c r="AD107" s="773">
        <f t="shared" ca="1" si="55"/>
        <v>0</v>
      </c>
      <c r="AE107" s="773">
        <f t="shared" ca="1" si="56"/>
        <v>0</v>
      </c>
      <c r="AF107" s="773">
        <f t="shared" ca="1" si="77"/>
        <v>6</v>
      </c>
      <c r="AG107" s="773">
        <f t="shared" ca="1" si="57"/>
        <v>0</v>
      </c>
      <c r="AH107" s="773">
        <f t="shared" ca="1" si="58"/>
        <v>0</v>
      </c>
      <c r="AI107" s="773">
        <f t="shared" ca="1" si="78"/>
        <v>8</v>
      </c>
      <c r="AJ107" s="773">
        <f t="shared" ca="1" si="59"/>
        <v>0</v>
      </c>
      <c r="AK107" s="773">
        <f t="shared" ca="1" si="60"/>
        <v>0</v>
      </c>
      <c r="AL107" s="773">
        <f t="shared" ca="1" si="79"/>
        <v>4</v>
      </c>
      <c r="AM107" s="773">
        <f t="shared" ca="1" si="61"/>
        <v>0</v>
      </c>
      <c r="AN107" s="773">
        <f t="shared" ca="1" si="62"/>
        <v>0</v>
      </c>
      <c r="AO107" s="773">
        <f t="shared" ca="1" si="80"/>
        <v>3</v>
      </c>
      <c r="AP107" s="773">
        <f t="shared" ca="1" si="63"/>
        <v>0</v>
      </c>
      <c r="AQ107" s="773">
        <f t="shared" ca="1" si="64"/>
        <v>1</v>
      </c>
      <c r="AR107" s="773">
        <f t="shared" ca="1" si="81"/>
        <v>3</v>
      </c>
      <c r="AS107" s="773">
        <f t="shared" ca="1" si="65"/>
        <v>3</v>
      </c>
      <c r="AT107" s="773">
        <f t="shared" ca="1" si="66"/>
        <v>0</v>
      </c>
      <c r="AU107" s="773">
        <f t="shared" ca="1" si="82"/>
        <v>3</v>
      </c>
      <c r="AV107" s="773">
        <f t="shared" ca="1" si="67"/>
        <v>0</v>
      </c>
      <c r="AW107" s="773">
        <f t="shared" ca="1" si="68"/>
        <v>0</v>
      </c>
      <c r="AX107" s="773">
        <f t="shared" ca="1" si="83"/>
        <v>5</v>
      </c>
      <c r="AY107" s="773">
        <f t="shared" ca="1" si="69"/>
        <v>0</v>
      </c>
      <c r="AZ107" s="773">
        <f t="shared" ca="1" si="70"/>
        <v>0</v>
      </c>
      <c r="BA107" s="773">
        <f t="shared" ca="1" si="84"/>
        <v>7</v>
      </c>
      <c r="BB107" s="773">
        <f t="shared" ca="1" si="71"/>
        <v>0</v>
      </c>
      <c r="BC107" s="773">
        <f t="shared" ca="1" si="72"/>
        <v>0</v>
      </c>
      <c r="BD107" s="773">
        <f t="shared" ca="1" si="85"/>
        <v>3</v>
      </c>
      <c r="BE107" s="773">
        <f t="shared" ca="1" si="73"/>
        <v>0</v>
      </c>
      <c r="BF107" s="773" t="str">
        <f t="shared" si="86"/>
        <v>Tướng Quân</v>
      </c>
      <c r="BX107" s="773">
        <v>2005</v>
      </c>
      <c r="BY107" s="773" t="s">
        <v>7864</v>
      </c>
    </row>
    <row r="108" spans="1:77" ht="15">
      <c r="A108" s="855">
        <v>11</v>
      </c>
      <c r="B108" s="855" t="s">
        <v>353</v>
      </c>
      <c r="C108" s="855" t="s">
        <v>1402</v>
      </c>
      <c r="D108" s="855" t="s">
        <v>507</v>
      </c>
      <c r="E108" s="855" t="s">
        <v>9300</v>
      </c>
      <c r="F108" s="855" t="s">
        <v>9300</v>
      </c>
      <c r="G108" s="855" t="s">
        <v>506</v>
      </c>
      <c r="H108" s="806" t="s">
        <v>7871</v>
      </c>
      <c r="I108" s="773">
        <f ca="1">I107+I102-1</f>
        <v>13</v>
      </c>
      <c r="J108" s="912">
        <f ca="1">IF(J107=0,12,J107)</f>
        <v>5</v>
      </c>
      <c r="M108" s="773" t="str">
        <f t="shared" ca="1" si="97"/>
        <v xml:space="preserve"> </v>
      </c>
      <c r="O108" s="773" t="str">
        <f t="shared" ca="1" si="98"/>
        <v xml:space="preserve"> </v>
      </c>
      <c r="P108" s="773" t="str">
        <f ca="1">IF(AND($L$105=$N$105,LEFT(M108,1)="T"),CONCATENATE(O108,"-",M108),CONCATENATE(O108,M108))</f>
        <v xml:space="preserve">  </v>
      </c>
      <c r="Q108" s="933" t="str">
        <f ca="1">IF(OR(RIGHT(P108,1)="t",RIGHT(P108,2)="n "),P108,$R$104)</f>
        <v>———</v>
      </c>
      <c r="S108" s="773" t="str">
        <f ca="1">IF($N$63=1,G162,G184)</f>
        <v>Ngọ</v>
      </c>
      <c r="T108" s="787">
        <v>46</v>
      </c>
      <c r="U108" s="773" t="s">
        <v>8488</v>
      </c>
      <c r="V108" s="773">
        <f t="shared" ca="1" si="50"/>
        <v>0</v>
      </c>
      <c r="W108" s="773">
        <f t="shared" ca="1" si="74"/>
        <v>0</v>
      </c>
      <c r="X108" s="773">
        <f t="shared" ca="1" si="51"/>
        <v>0</v>
      </c>
      <c r="Y108" s="773">
        <f t="shared" ca="1" si="52"/>
        <v>0</v>
      </c>
      <c r="Z108" s="773">
        <f t="shared" ca="1" si="75"/>
        <v>2</v>
      </c>
      <c r="AA108" s="773">
        <f t="shared" ca="1" si="53"/>
        <v>0</v>
      </c>
      <c r="AB108" s="773">
        <f t="shared" ca="1" si="54"/>
        <v>0</v>
      </c>
      <c r="AC108" s="773">
        <f t="shared" ca="1" si="76"/>
        <v>1</v>
      </c>
      <c r="AD108" s="773">
        <f t="shared" ca="1" si="55"/>
        <v>0</v>
      </c>
      <c r="AE108" s="773">
        <f t="shared" ca="1" si="56"/>
        <v>0</v>
      </c>
      <c r="AF108" s="773">
        <f t="shared" ca="1" si="77"/>
        <v>6</v>
      </c>
      <c r="AG108" s="773">
        <f t="shared" ca="1" si="57"/>
        <v>0</v>
      </c>
      <c r="AH108" s="773">
        <f t="shared" ca="1" si="58"/>
        <v>0</v>
      </c>
      <c r="AI108" s="773">
        <f t="shared" ca="1" si="78"/>
        <v>8</v>
      </c>
      <c r="AJ108" s="773">
        <f t="shared" ca="1" si="59"/>
        <v>0</v>
      </c>
      <c r="AK108" s="773">
        <f t="shared" ca="1" si="60"/>
        <v>0</v>
      </c>
      <c r="AL108" s="773">
        <f t="shared" ca="1" si="79"/>
        <v>4</v>
      </c>
      <c r="AM108" s="773">
        <f t="shared" ca="1" si="61"/>
        <v>0</v>
      </c>
      <c r="AN108" s="773">
        <f t="shared" ca="1" si="62"/>
        <v>1</v>
      </c>
      <c r="AO108" s="773">
        <f t="shared" ca="1" si="80"/>
        <v>4</v>
      </c>
      <c r="AP108" s="773">
        <f t="shared" ca="1" si="63"/>
        <v>4</v>
      </c>
      <c r="AQ108" s="773">
        <f t="shared" ca="1" si="64"/>
        <v>0</v>
      </c>
      <c r="AR108" s="773">
        <f t="shared" ca="1" si="81"/>
        <v>3</v>
      </c>
      <c r="AS108" s="773">
        <f t="shared" ca="1" si="65"/>
        <v>0</v>
      </c>
      <c r="AT108" s="773">
        <f t="shared" ca="1" si="66"/>
        <v>0</v>
      </c>
      <c r="AU108" s="773">
        <f t="shared" ca="1" si="82"/>
        <v>3</v>
      </c>
      <c r="AV108" s="773">
        <f t="shared" ca="1" si="67"/>
        <v>0</v>
      </c>
      <c r="AW108" s="773">
        <f t="shared" ca="1" si="68"/>
        <v>0</v>
      </c>
      <c r="AX108" s="773">
        <f t="shared" ca="1" si="83"/>
        <v>5</v>
      </c>
      <c r="AY108" s="773">
        <f t="shared" ca="1" si="69"/>
        <v>0</v>
      </c>
      <c r="AZ108" s="773">
        <f t="shared" ca="1" si="70"/>
        <v>0</v>
      </c>
      <c r="BA108" s="773">
        <f t="shared" ca="1" si="84"/>
        <v>7</v>
      </c>
      <c r="BB108" s="773">
        <f t="shared" ca="1" si="71"/>
        <v>0</v>
      </c>
      <c r="BC108" s="773">
        <f t="shared" ca="1" si="72"/>
        <v>0</v>
      </c>
      <c r="BD108" s="773">
        <f t="shared" ca="1" si="85"/>
        <v>3</v>
      </c>
      <c r="BE108" s="773">
        <f t="shared" ca="1" si="73"/>
        <v>0</v>
      </c>
      <c r="BF108" s="773" t="str">
        <f t="shared" si="86"/>
        <v>Tấu Thư</v>
      </c>
      <c r="BX108" s="773">
        <v>2006</v>
      </c>
      <c r="BY108" s="773" t="s">
        <v>7866</v>
      </c>
    </row>
    <row r="109" spans="1:77" ht="15">
      <c r="A109" s="855">
        <v>12</v>
      </c>
      <c r="B109" s="855" t="s">
        <v>1399</v>
      </c>
      <c r="C109" s="855" t="s">
        <v>9300</v>
      </c>
      <c r="D109" s="855" t="s">
        <v>9297</v>
      </c>
      <c r="E109" s="855" t="s">
        <v>1402</v>
      </c>
      <c r="F109" s="855" t="s">
        <v>1402</v>
      </c>
      <c r="G109" s="855" t="s">
        <v>507</v>
      </c>
      <c r="H109" s="855" t="s">
        <v>506</v>
      </c>
      <c r="I109" s="773">
        <f ca="1">MOD(I108,12)</f>
        <v>1</v>
      </c>
      <c r="J109" s="915" t="str">
        <f ca="1">VLOOKUP(J108,$U$36:$V$47,2,0)</f>
        <v>thìn</v>
      </c>
      <c r="K109" s="855" t="s">
        <v>8489</v>
      </c>
      <c r="M109" s="773" t="str">
        <f t="shared" ca="1" si="97"/>
        <v xml:space="preserve"> </v>
      </c>
      <c r="O109" s="773" t="str">
        <f t="shared" ca="1" si="98"/>
        <v>TUẦN</v>
      </c>
      <c r="P109" s="773" t="str">
        <f ca="1">IF(AND($L$105=$N$105,LEFT(M109,1)="T"),R102,CONCATENATE(O109,M109))</f>
        <v xml:space="preserve">TUẦN </v>
      </c>
      <c r="Q109" s="933" t="str">
        <f ca="1">IF(OR(RIGHT(P109,1)="t",RIGHT(P109,2)="n "),P109,$R$104)</f>
        <v xml:space="preserve">TUẦN </v>
      </c>
      <c r="S109" s="773" t="str">
        <f ca="1">IF($N$63=1,H162,H184)</f>
        <v>tỵ</v>
      </c>
      <c r="T109" s="787">
        <v>47</v>
      </c>
      <c r="U109" s="856" t="s">
        <v>8490</v>
      </c>
      <c r="V109" s="773">
        <f t="shared" ca="1" si="50"/>
        <v>0</v>
      </c>
      <c r="W109" s="773">
        <f t="shared" ca="1" si="74"/>
        <v>0</v>
      </c>
      <c r="X109" s="773">
        <f t="shared" ca="1" si="51"/>
        <v>0</v>
      </c>
      <c r="Y109" s="773">
        <f t="shared" ca="1" si="52"/>
        <v>0</v>
      </c>
      <c r="Z109" s="773">
        <f t="shared" ca="1" si="75"/>
        <v>2</v>
      </c>
      <c r="AA109" s="773">
        <f t="shared" ca="1" si="53"/>
        <v>0</v>
      </c>
      <c r="AB109" s="773">
        <f t="shared" ca="1" si="54"/>
        <v>0</v>
      </c>
      <c r="AC109" s="773">
        <f t="shared" ca="1" si="76"/>
        <v>1</v>
      </c>
      <c r="AD109" s="773">
        <f t="shared" ca="1" si="55"/>
        <v>0</v>
      </c>
      <c r="AE109" s="773">
        <f t="shared" ca="1" si="56"/>
        <v>0</v>
      </c>
      <c r="AF109" s="773">
        <f t="shared" ca="1" si="77"/>
        <v>6</v>
      </c>
      <c r="AG109" s="773">
        <f t="shared" ca="1" si="57"/>
        <v>0</v>
      </c>
      <c r="AH109" s="773">
        <f t="shared" ca="1" si="58"/>
        <v>0</v>
      </c>
      <c r="AI109" s="773">
        <f t="shared" ca="1" si="78"/>
        <v>8</v>
      </c>
      <c r="AJ109" s="773">
        <f t="shared" ca="1" si="59"/>
        <v>0</v>
      </c>
      <c r="AK109" s="773">
        <f t="shared" ca="1" si="60"/>
        <v>1</v>
      </c>
      <c r="AL109" s="773">
        <f t="shared" ca="1" si="79"/>
        <v>5</v>
      </c>
      <c r="AM109" s="773">
        <f t="shared" ca="1" si="61"/>
        <v>5</v>
      </c>
      <c r="AN109" s="773">
        <f t="shared" ca="1" si="62"/>
        <v>0</v>
      </c>
      <c r="AO109" s="773">
        <f t="shared" ca="1" si="80"/>
        <v>4</v>
      </c>
      <c r="AP109" s="773">
        <f t="shared" ca="1" si="63"/>
        <v>0</v>
      </c>
      <c r="AQ109" s="773">
        <f t="shared" ca="1" si="64"/>
        <v>0</v>
      </c>
      <c r="AR109" s="773">
        <f t="shared" ca="1" si="81"/>
        <v>3</v>
      </c>
      <c r="AS109" s="773">
        <f t="shared" ca="1" si="65"/>
        <v>0</v>
      </c>
      <c r="AT109" s="773">
        <f t="shared" ca="1" si="66"/>
        <v>0</v>
      </c>
      <c r="AU109" s="773">
        <f t="shared" ca="1" si="82"/>
        <v>3</v>
      </c>
      <c r="AV109" s="773">
        <f t="shared" ca="1" si="67"/>
        <v>0</v>
      </c>
      <c r="AW109" s="773">
        <f t="shared" ca="1" si="68"/>
        <v>0</v>
      </c>
      <c r="AX109" s="773">
        <f t="shared" ca="1" si="83"/>
        <v>5</v>
      </c>
      <c r="AY109" s="773">
        <f t="shared" ca="1" si="69"/>
        <v>0</v>
      </c>
      <c r="AZ109" s="773">
        <f t="shared" ca="1" si="70"/>
        <v>0</v>
      </c>
      <c r="BA109" s="773">
        <f t="shared" ca="1" si="84"/>
        <v>7</v>
      </c>
      <c r="BB109" s="773">
        <f t="shared" ca="1" si="71"/>
        <v>0</v>
      </c>
      <c r="BC109" s="773">
        <f t="shared" ca="1" si="72"/>
        <v>0</v>
      </c>
      <c r="BD109" s="773">
        <f t="shared" ca="1" si="85"/>
        <v>3</v>
      </c>
      <c r="BE109" s="773">
        <f t="shared" ca="1" si="73"/>
        <v>0</v>
      </c>
      <c r="BF109" s="773" t="str">
        <f t="shared" si="86"/>
        <v>Phi Liêm</v>
      </c>
      <c r="BX109" s="773">
        <v>2007</v>
      </c>
      <c r="BY109" s="773" t="s">
        <v>7867</v>
      </c>
    </row>
    <row r="110" spans="1:77" ht="15.75">
      <c r="A110" s="932" t="s">
        <v>8491</v>
      </c>
      <c r="I110" s="912">
        <f ca="1">IF(I109=0,12,I109)</f>
        <v>1</v>
      </c>
      <c r="J110" s="915" t="str">
        <f ca="1">VLOOKUP(I110,$U$36:$V$47,2,0)</f>
        <v>tý</v>
      </c>
      <c r="K110" s="773" t="s">
        <v>8492</v>
      </c>
      <c r="M110" s="773" t="str">
        <f t="shared" ca="1" si="97"/>
        <v xml:space="preserve"> </v>
      </c>
      <c r="O110" s="773" t="str">
        <f t="shared" ca="1" si="98"/>
        <v xml:space="preserve"> </v>
      </c>
      <c r="P110" s="773" t="str">
        <f ca="1">IF(AND($L$105=$N$105,LEFT(M110,1)="T"),CONCATENATE(O110,"-",M110),CONCATENATE(O110,M110))</f>
        <v xml:space="preserve">  </v>
      </c>
      <c r="Q110" s="933" t="str">
        <f ca="1">IF(OR(RIGHT(P110,1)="t",RIGHT(P110,2)="n "),P110,$Q$104)</f>
        <v>————</v>
      </c>
      <c r="R110" s="888" t="s">
        <v>8482</v>
      </c>
      <c r="S110" s="773" t="str">
        <f ca="1">IF($N$63=1,I162,I184)</f>
        <v>Thìn</v>
      </c>
      <c r="T110" s="787">
        <v>48</v>
      </c>
      <c r="U110" s="856" t="s">
        <v>8493</v>
      </c>
      <c r="V110" s="773">
        <f t="shared" ca="1" si="50"/>
        <v>0</v>
      </c>
      <c r="W110" s="773">
        <f t="shared" ca="1" si="74"/>
        <v>0</v>
      </c>
      <c r="X110" s="773">
        <f t="shared" ca="1" si="51"/>
        <v>0</v>
      </c>
      <c r="Y110" s="773">
        <f t="shared" ca="1" si="52"/>
        <v>0</v>
      </c>
      <c r="Z110" s="773">
        <f t="shared" ca="1" si="75"/>
        <v>2</v>
      </c>
      <c r="AA110" s="773">
        <f t="shared" ca="1" si="53"/>
        <v>0</v>
      </c>
      <c r="AB110" s="773">
        <f t="shared" ca="1" si="54"/>
        <v>0</v>
      </c>
      <c r="AC110" s="773">
        <f t="shared" ca="1" si="76"/>
        <v>1</v>
      </c>
      <c r="AD110" s="773">
        <f t="shared" ca="1" si="55"/>
        <v>0</v>
      </c>
      <c r="AE110" s="773">
        <f t="shared" ca="1" si="56"/>
        <v>0</v>
      </c>
      <c r="AF110" s="773">
        <f t="shared" ca="1" si="77"/>
        <v>6</v>
      </c>
      <c r="AG110" s="773">
        <f t="shared" ca="1" si="57"/>
        <v>0</v>
      </c>
      <c r="AH110" s="773">
        <f t="shared" ca="1" si="58"/>
        <v>1</v>
      </c>
      <c r="AI110" s="773">
        <f t="shared" ca="1" si="78"/>
        <v>9</v>
      </c>
      <c r="AJ110" s="773">
        <f t="shared" ca="1" si="59"/>
        <v>9</v>
      </c>
      <c r="AK110" s="773">
        <f t="shared" ca="1" si="60"/>
        <v>0</v>
      </c>
      <c r="AL110" s="773">
        <f t="shared" ca="1" si="79"/>
        <v>5</v>
      </c>
      <c r="AM110" s="773">
        <f t="shared" ca="1" si="61"/>
        <v>0</v>
      </c>
      <c r="AN110" s="773">
        <f t="shared" ca="1" si="62"/>
        <v>0</v>
      </c>
      <c r="AO110" s="773">
        <f t="shared" ca="1" si="80"/>
        <v>4</v>
      </c>
      <c r="AP110" s="773">
        <f t="shared" ca="1" si="63"/>
        <v>0</v>
      </c>
      <c r="AQ110" s="773">
        <f t="shared" ca="1" si="64"/>
        <v>0</v>
      </c>
      <c r="AR110" s="773">
        <f t="shared" ca="1" si="81"/>
        <v>3</v>
      </c>
      <c r="AS110" s="773">
        <f t="shared" ca="1" si="65"/>
        <v>0</v>
      </c>
      <c r="AT110" s="773">
        <f t="shared" ca="1" si="66"/>
        <v>0</v>
      </c>
      <c r="AU110" s="773">
        <f t="shared" ca="1" si="82"/>
        <v>3</v>
      </c>
      <c r="AV110" s="773">
        <f t="shared" ca="1" si="67"/>
        <v>0</v>
      </c>
      <c r="AW110" s="773">
        <f t="shared" ca="1" si="68"/>
        <v>0</v>
      </c>
      <c r="AX110" s="773">
        <f t="shared" ca="1" si="83"/>
        <v>5</v>
      </c>
      <c r="AY110" s="773">
        <f t="shared" ca="1" si="69"/>
        <v>0</v>
      </c>
      <c r="AZ110" s="773">
        <f t="shared" ca="1" si="70"/>
        <v>0</v>
      </c>
      <c r="BA110" s="773">
        <f t="shared" ca="1" si="84"/>
        <v>7</v>
      </c>
      <c r="BB110" s="773">
        <f t="shared" ca="1" si="71"/>
        <v>0</v>
      </c>
      <c r="BC110" s="773">
        <f t="shared" ca="1" si="72"/>
        <v>0</v>
      </c>
      <c r="BD110" s="773">
        <f t="shared" ca="1" si="85"/>
        <v>3</v>
      </c>
      <c r="BE110" s="773">
        <f t="shared" ca="1" si="73"/>
        <v>0</v>
      </c>
      <c r="BF110" s="773" t="str">
        <f t="shared" si="86"/>
        <v>Hỷ Thần</v>
      </c>
      <c r="BX110" s="773">
        <v>2008</v>
      </c>
      <c r="BY110" s="773" t="s">
        <v>7869</v>
      </c>
    </row>
    <row r="111" spans="1:77" ht="30">
      <c r="A111" s="855" t="s">
        <v>459</v>
      </c>
      <c r="B111" s="855" t="s">
        <v>6582</v>
      </c>
      <c r="C111" s="855" t="s">
        <v>8494</v>
      </c>
      <c r="D111" s="855" t="s">
        <v>8495</v>
      </c>
      <c r="E111" s="855" t="s">
        <v>8496</v>
      </c>
      <c r="F111" s="855" t="s">
        <v>8497</v>
      </c>
      <c r="G111" s="855" t="s">
        <v>8310</v>
      </c>
      <c r="H111" s="855" t="s">
        <v>8310</v>
      </c>
      <c r="I111" s="855" t="s">
        <v>8310</v>
      </c>
      <c r="J111" s="855" t="s">
        <v>8310</v>
      </c>
      <c r="K111" s="855" t="s">
        <v>8498</v>
      </c>
      <c r="L111" s="855" t="s">
        <v>8310</v>
      </c>
      <c r="M111" s="855" t="s">
        <v>8498</v>
      </c>
      <c r="N111" s="855" t="s">
        <v>8499</v>
      </c>
      <c r="O111" s="855" t="s">
        <v>8499</v>
      </c>
      <c r="P111" s="855" t="s">
        <v>8499</v>
      </c>
      <c r="Q111" s="855" t="s">
        <v>8499</v>
      </c>
      <c r="R111" s="855" t="s">
        <v>8500</v>
      </c>
      <c r="S111" s="773" t="str">
        <f ca="1">C202</f>
        <v>Mùi</v>
      </c>
      <c r="T111" s="787">
        <v>49</v>
      </c>
      <c r="U111" s="773" t="s">
        <v>8501</v>
      </c>
      <c r="V111" s="773">
        <f t="shared" ca="1" si="50"/>
        <v>0</v>
      </c>
      <c r="W111" s="773">
        <f t="shared" ca="1" si="74"/>
        <v>0</v>
      </c>
      <c r="X111" s="773">
        <f t="shared" ca="1" si="51"/>
        <v>0</v>
      </c>
      <c r="Y111" s="773">
        <f t="shared" ca="1" si="52"/>
        <v>0</v>
      </c>
      <c r="Z111" s="773">
        <f t="shared" ca="1" si="75"/>
        <v>2</v>
      </c>
      <c r="AA111" s="773">
        <f t="shared" ca="1" si="53"/>
        <v>0</v>
      </c>
      <c r="AB111" s="773">
        <f t="shared" ca="1" si="54"/>
        <v>0</v>
      </c>
      <c r="AC111" s="773">
        <f t="shared" ca="1" si="76"/>
        <v>1</v>
      </c>
      <c r="AD111" s="773">
        <f t="shared" ca="1" si="55"/>
        <v>0</v>
      </c>
      <c r="AE111" s="773">
        <f t="shared" ca="1" si="56"/>
        <v>0</v>
      </c>
      <c r="AF111" s="773">
        <f t="shared" ca="1" si="77"/>
        <v>6</v>
      </c>
      <c r="AG111" s="773">
        <f t="shared" ca="1" si="57"/>
        <v>0</v>
      </c>
      <c r="AH111" s="773">
        <f t="shared" ca="1" si="58"/>
        <v>0</v>
      </c>
      <c r="AI111" s="773">
        <f t="shared" ca="1" si="78"/>
        <v>9</v>
      </c>
      <c r="AJ111" s="773">
        <f t="shared" ca="1" si="59"/>
        <v>0</v>
      </c>
      <c r="AK111" s="773">
        <f t="shared" ca="1" si="60"/>
        <v>0</v>
      </c>
      <c r="AL111" s="773">
        <f t="shared" ca="1" si="79"/>
        <v>5</v>
      </c>
      <c r="AM111" s="773">
        <f t="shared" ca="1" si="61"/>
        <v>0</v>
      </c>
      <c r="AN111" s="773">
        <f t="shared" ca="1" si="62"/>
        <v>0</v>
      </c>
      <c r="AO111" s="773">
        <f t="shared" ca="1" si="80"/>
        <v>4</v>
      </c>
      <c r="AP111" s="773">
        <f t="shared" ca="1" si="63"/>
        <v>0</v>
      </c>
      <c r="AQ111" s="773">
        <f t="shared" ca="1" si="64"/>
        <v>1</v>
      </c>
      <c r="AR111" s="773">
        <f t="shared" ca="1" si="81"/>
        <v>4</v>
      </c>
      <c r="AS111" s="773">
        <f t="shared" ca="1" si="65"/>
        <v>4</v>
      </c>
      <c r="AT111" s="773">
        <f t="shared" ca="1" si="66"/>
        <v>0</v>
      </c>
      <c r="AU111" s="773">
        <f t="shared" ca="1" si="82"/>
        <v>3</v>
      </c>
      <c r="AV111" s="773">
        <f t="shared" ca="1" si="67"/>
        <v>0</v>
      </c>
      <c r="AW111" s="773">
        <f t="shared" ca="1" si="68"/>
        <v>0</v>
      </c>
      <c r="AX111" s="773">
        <f t="shared" ca="1" si="83"/>
        <v>5</v>
      </c>
      <c r="AY111" s="773">
        <f t="shared" ca="1" si="69"/>
        <v>0</v>
      </c>
      <c r="AZ111" s="773">
        <f t="shared" ca="1" si="70"/>
        <v>0</v>
      </c>
      <c r="BA111" s="773">
        <f t="shared" ca="1" si="84"/>
        <v>7</v>
      </c>
      <c r="BB111" s="773">
        <f t="shared" ca="1" si="71"/>
        <v>0</v>
      </c>
      <c r="BC111" s="773">
        <f t="shared" ca="1" si="72"/>
        <v>0</v>
      </c>
      <c r="BD111" s="773">
        <f t="shared" ca="1" si="85"/>
        <v>3</v>
      </c>
      <c r="BE111" s="773">
        <f t="shared" ca="1" si="73"/>
        <v>0</v>
      </c>
      <c r="BF111" s="773" t="str">
        <f t="shared" si="86"/>
        <v>Thiếu Dương</v>
      </c>
      <c r="BX111" s="773">
        <v>2009</v>
      </c>
      <c r="BY111" s="773" t="s">
        <v>7878</v>
      </c>
    </row>
    <row r="112" spans="1:77" ht="15">
      <c r="A112" s="855" t="s">
        <v>8467</v>
      </c>
      <c r="B112" s="855" t="s">
        <v>8502</v>
      </c>
      <c r="C112" s="855" t="s">
        <v>8320</v>
      </c>
      <c r="D112" s="855" t="s">
        <v>8503</v>
      </c>
      <c r="E112" s="855" t="s">
        <v>6674</v>
      </c>
      <c r="F112" s="855" t="s">
        <v>8504</v>
      </c>
      <c r="G112" s="855" t="s">
        <v>8505</v>
      </c>
      <c r="H112" s="855" t="s">
        <v>8506</v>
      </c>
      <c r="I112" s="855" t="s">
        <v>9333</v>
      </c>
      <c r="J112" s="855" t="s">
        <v>8507</v>
      </c>
      <c r="K112" s="855" t="s">
        <v>8508</v>
      </c>
      <c r="L112" s="855" t="s">
        <v>8509</v>
      </c>
      <c r="M112" s="855" t="s">
        <v>8510</v>
      </c>
      <c r="N112" s="855" t="s">
        <v>6582</v>
      </c>
      <c r="O112" s="855" t="s">
        <v>8511</v>
      </c>
      <c r="P112" s="855" t="s">
        <v>8512</v>
      </c>
      <c r="Q112" s="855" t="s">
        <v>8513</v>
      </c>
      <c r="R112" s="855"/>
      <c r="S112" s="773" t="str">
        <f ca="1">E202</f>
        <v>Dậu</v>
      </c>
      <c r="T112" s="787">
        <v>50</v>
      </c>
      <c r="U112" s="773" t="s">
        <v>8514</v>
      </c>
      <c r="V112" s="773">
        <f t="shared" ca="1" si="50"/>
        <v>0</v>
      </c>
      <c r="W112" s="773">
        <f t="shared" ca="1" si="74"/>
        <v>0</v>
      </c>
      <c r="X112" s="773">
        <f t="shared" ca="1" si="51"/>
        <v>0</v>
      </c>
      <c r="Y112" s="773">
        <f t="shared" ca="1" si="52"/>
        <v>0</v>
      </c>
      <c r="Z112" s="773">
        <f t="shared" ca="1" si="75"/>
        <v>2</v>
      </c>
      <c r="AA112" s="773">
        <f t="shared" ca="1" si="53"/>
        <v>0</v>
      </c>
      <c r="AB112" s="773">
        <f t="shared" ca="1" si="54"/>
        <v>0</v>
      </c>
      <c r="AC112" s="773">
        <f t="shared" ca="1" si="76"/>
        <v>1</v>
      </c>
      <c r="AD112" s="773">
        <f t="shared" ca="1" si="55"/>
        <v>0</v>
      </c>
      <c r="AE112" s="773">
        <f t="shared" ca="1" si="56"/>
        <v>0</v>
      </c>
      <c r="AF112" s="773">
        <f t="shared" ca="1" si="77"/>
        <v>6</v>
      </c>
      <c r="AG112" s="773">
        <f t="shared" ca="1" si="57"/>
        <v>0</v>
      </c>
      <c r="AH112" s="773">
        <f t="shared" ca="1" si="58"/>
        <v>0</v>
      </c>
      <c r="AI112" s="773">
        <f t="shared" ca="1" si="78"/>
        <v>9</v>
      </c>
      <c r="AJ112" s="773">
        <f t="shared" ca="1" si="59"/>
        <v>0</v>
      </c>
      <c r="AK112" s="773">
        <f t="shared" ca="1" si="60"/>
        <v>0</v>
      </c>
      <c r="AL112" s="773">
        <f t="shared" ca="1" si="79"/>
        <v>5</v>
      </c>
      <c r="AM112" s="773">
        <f t="shared" ca="1" si="61"/>
        <v>0</v>
      </c>
      <c r="AN112" s="773">
        <f t="shared" ca="1" si="62"/>
        <v>0</v>
      </c>
      <c r="AO112" s="773">
        <f t="shared" ca="1" si="80"/>
        <v>4</v>
      </c>
      <c r="AP112" s="773">
        <f t="shared" ca="1" si="63"/>
        <v>0</v>
      </c>
      <c r="AQ112" s="773">
        <f t="shared" ca="1" si="64"/>
        <v>0</v>
      </c>
      <c r="AR112" s="773">
        <f t="shared" ca="1" si="81"/>
        <v>4</v>
      </c>
      <c r="AS112" s="773">
        <f t="shared" ca="1" si="65"/>
        <v>0</v>
      </c>
      <c r="AT112" s="773">
        <f t="shared" ca="1" si="66"/>
        <v>0</v>
      </c>
      <c r="AU112" s="773">
        <f t="shared" ca="1" si="82"/>
        <v>3</v>
      </c>
      <c r="AV112" s="773">
        <f t="shared" ca="1" si="67"/>
        <v>0</v>
      </c>
      <c r="AW112" s="773">
        <f t="shared" ca="1" si="68"/>
        <v>1</v>
      </c>
      <c r="AX112" s="773">
        <f t="shared" ca="1" si="83"/>
        <v>6</v>
      </c>
      <c r="AY112" s="773">
        <f t="shared" ca="1" si="69"/>
        <v>6</v>
      </c>
      <c r="AZ112" s="773">
        <f t="shared" ca="1" si="70"/>
        <v>0</v>
      </c>
      <c r="BA112" s="773">
        <f t="shared" ca="1" si="84"/>
        <v>7</v>
      </c>
      <c r="BB112" s="773">
        <f t="shared" ca="1" si="71"/>
        <v>0</v>
      </c>
      <c r="BC112" s="773">
        <f t="shared" ca="1" si="72"/>
        <v>0</v>
      </c>
      <c r="BD112" s="773">
        <f t="shared" ca="1" si="85"/>
        <v>3</v>
      </c>
      <c r="BE112" s="773">
        <f t="shared" ca="1" si="73"/>
        <v>0</v>
      </c>
      <c r="BF112" s="773" t="s">
        <v>8515</v>
      </c>
      <c r="BX112" s="773">
        <v>2010</v>
      </c>
      <c r="BY112" s="773" t="s">
        <v>7881</v>
      </c>
    </row>
    <row r="113" spans="1:77" ht="15">
      <c r="A113" s="806" t="s">
        <v>7844</v>
      </c>
      <c r="B113" s="855" t="s">
        <v>353</v>
      </c>
      <c r="C113" s="855" t="s">
        <v>1399</v>
      </c>
      <c r="D113" s="855" t="s">
        <v>9301</v>
      </c>
      <c r="E113" s="855" t="s">
        <v>9299</v>
      </c>
      <c r="F113" s="855" t="s">
        <v>507</v>
      </c>
      <c r="G113" s="855" t="s">
        <v>9301</v>
      </c>
      <c r="H113" s="855" t="s">
        <v>507</v>
      </c>
      <c r="I113" s="855" t="s">
        <v>507</v>
      </c>
      <c r="J113" s="855" t="s">
        <v>9298</v>
      </c>
      <c r="K113" s="855" t="s">
        <v>9298</v>
      </c>
      <c r="L113" s="806" t="s">
        <v>7871</v>
      </c>
      <c r="M113" s="806" t="s">
        <v>7871</v>
      </c>
      <c r="N113" s="773" t="s">
        <v>8279</v>
      </c>
      <c r="O113" s="773" t="s">
        <v>8278</v>
      </c>
      <c r="P113" s="773" t="s">
        <v>8274</v>
      </c>
      <c r="Q113" s="773" t="s">
        <v>8287</v>
      </c>
      <c r="R113" s="855" t="s">
        <v>8516</v>
      </c>
      <c r="S113" s="773" t="str">
        <f ca="1">J109</f>
        <v>thìn</v>
      </c>
      <c r="T113" s="787">
        <v>51</v>
      </c>
      <c r="U113" s="773" t="s">
        <v>8517</v>
      </c>
      <c r="V113" s="773">
        <f t="shared" ca="1" si="50"/>
        <v>0</v>
      </c>
      <c r="W113" s="773">
        <f t="shared" ca="1" si="74"/>
        <v>0</v>
      </c>
      <c r="X113" s="773">
        <f t="shared" ca="1" si="51"/>
        <v>0</v>
      </c>
      <c r="Y113" s="773">
        <f t="shared" ca="1" si="52"/>
        <v>0</v>
      </c>
      <c r="Z113" s="773">
        <f t="shared" ca="1" si="75"/>
        <v>2</v>
      </c>
      <c r="AA113" s="773">
        <f t="shared" ca="1" si="53"/>
        <v>0</v>
      </c>
      <c r="AB113" s="773">
        <f t="shared" ca="1" si="54"/>
        <v>0</v>
      </c>
      <c r="AC113" s="773">
        <f t="shared" ca="1" si="76"/>
        <v>1</v>
      </c>
      <c r="AD113" s="773">
        <f t="shared" ca="1" si="55"/>
        <v>0</v>
      </c>
      <c r="AE113" s="773">
        <f t="shared" ca="1" si="56"/>
        <v>0</v>
      </c>
      <c r="AF113" s="773">
        <f t="shared" ca="1" si="77"/>
        <v>6</v>
      </c>
      <c r="AG113" s="773">
        <f t="shared" ca="1" si="57"/>
        <v>0</v>
      </c>
      <c r="AH113" s="773">
        <f t="shared" ca="1" si="58"/>
        <v>1</v>
      </c>
      <c r="AI113" s="773">
        <f t="shared" ca="1" si="78"/>
        <v>10</v>
      </c>
      <c r="AJ113" s="773">
        <f t="shared" ca="1" si="59"/>
        <v>10</v>
      </c>
      <c r="AK113" s="773">
        <f t="shared" ca="1" si="60"/>
        <v>0</v>
      </c>
      <c r="AL113" s="773">
        <f t="shared" ca="1" si="79"/>
        <v>5</v>
      </c>
      <c r="AM113" s="773">
        <f t="shared" ca="1" si="61"/>
        <v>0</v>
      </c>
      <c r="AN113" s="773">
        <f t="shared" ca="1" si="62"/>
        <v>0</v>
      </c>
      <c r="AO113" s="773">
        <f t="shared" ca="1" si="80"/>
        <v>4</v>
      </c>
      <c r="AP113" s="773">
        <f t="shared" ca="1" si="63"/>
        <v>0</v>
      </c>
      <c r="AQ113" s="773">
        <f t="shared" ca="1" si="64"/>
        <v>0</v>
      </c>
      <c r="AR113" s="773">
        <f t="shared" ca="1" si="81"/>
        <v>4</v>
      </c>
      <c r="AS113" s="773">
        <f t="shared" ca="1" si="65"/>
        <v>0</v>
      </c>
      <c r="AT113" s="773">
        <f t="shared" ca="1" si="66"/>
        <v>0</v>
      </c>
      <c r="AU113" s="773">
        <f t="shared" ca="1" si="82"/>
        <v>3</v>
      </c>
      <c r="AV113" s="773">
        <f t="shared" ca="1" si="67"/>
        <v>0</v>
      </c>
      <c r="AW113" s="773">
        <f t="shared" ca="1" si="68"/>
        <v>0</v>
      </c>
      <c r="AX113" s="773">
        <f t="shared" ca="1" si="83"/>
        <v>6</v>
      </c>
      <c r="AY113" s="773">
        <f t="shared" ca="1" si="69"/>
        <v>0</v>
      </c>
      <c r="AZ113" s="773">
        <f t="shared" ca="1" si="70"/>
        <v>0</v>
      </c>
      <c r="BA113" s="773">
        <f t="shared" ca="1" si="84"/>
        <v>7</v>
      </c>
      <c r="BB113" s="773">
        <f t="shared" ca="1" si="71"/>
        <v>0</v>
      </c>
      <c r="BC113" s="773">
        <f t="shared" ca="1" si="72"/>
        <v>0</v>
      </c>
      <c r="BD113" s="773">
        <f t="shared" ca="1" si="85"/>
        <v>3</v>
      </c>
      <c r="BE113" s="773">
        <f t="shared" ca="1" si="73"/>
        <v>0</v>
      </c>
      <c r="BF113" s="773" t="str">
        <f>PROPER(U113)</f>
        <v>Thiên Tài</v>
      </c>
      <c r="BX113" s="773">
        <v>2011</v>
      </c>
      <c r="BY113" s="773" t="s">
        <v>7884</v>
      </c>
    </row>
    <row r="114" spans="1:77" ht="15">
      <c r="A114" s="806" t="s">
        <v>7847</v>
      </c>
      <c r="B114" s="855" t="s">
        <v>1399</v>
      </c>
      <c r="C114" s="855" t="s">
        <v>505</v>
      </c>
      <c r="D114" s="855" t="s">
        <v>353</v>
      </c>
      <c r="E114" s="855" t="s">
        <v>9300</v>
      </c>
      <c r="F114" s="855" t="s">
        <v>9297</v>
      </c>
      <c r="G114" s="855" t="s">
        <v>1402</v>
      </c>
      <c r="H114" s="855" t="s">
        <v>9297</v>
      </c>
      <c r="I114" s="855" t="s">
        <v>505</v>
      </c>
      <c r="J114" s="855" t="s">
        <v>9297</v>
      </c>
      <c r="K114" s="855" t="s">
        <v>9299</v>
      </c>
      <c r="L114" s="855" t="s">
        <v>506</v>
      </c>
      <c r="M114" s="855" t="s">
        <v>506</v>
      </c>
      <c r="N114" s="773" t="s">
        <v>8283</v>
      </c>
      <c r="O114" s="773" t="s">
        <v>8286</v>
      </c>
      <c r="P114" s="773" t="s">
        <v>8268</v>
      </c>
      <c r="Q114" s="773" t="s">
        <v>8281</v>
      </c>
      <c r="R114" s="855" t="s">
        <v>8518</v>
      </c>
      <c r="S114" s="773" t="str">
        <f ca="1">IF($N$63=1,M153,M160)</f>
        <v>Ngọ</v>
      </c>
      <c r="T114" s="787">
        <v>52</v>
      </c>
      <c r="U114" s="773" t="s">
        <v>8519</v>
      </c>
      <c r="V114" s="773">
        <f t="shared" ca="1" si="50"/>
        <v>0</v>
      </c>
      <c r="W114" s="773">
        <f t="shared" ca="1" si="74"/>
        <v>0</v>
      </c>
      <c r="X114" s="773">
        <f t="shared" ca="1" si="51"/>
        <v>0</v>
      </c>
      <c r="Y114" s="773">
        <f t="shared" ca="1" si="52"/>
        <v>0</v>
      </c>
      <c r="Z114" s="773">
        <f t="shared" ca="1" si="75"/>
        <v>2</v>
      </c>
      <c r="AA114" s="773">
        <f t="shared" ca="1" si="53"/>
        <v>0</v>
      </c>
      <c r="AB114" s="773">
        <f t="shared" ca="1" si="54"/>
        <v>0</v>
      </c>
      <c r="AC114" s="773">
        <f t="shared" ca="1" si="76"/>
        <v>1</v>
      </c>
      <c r="AD114" s="773">
        <f t="shared" ca="1" si="55"/>
        <v>0</v>
      </c>
      <c r="AE114" s="773">
        <f t="shared" ca="1" si="56"/>
        <v>0</v>
      </c>
      <c r="AF114" s="773">
        <f t="shared" ca="1" si="77"/>
        <v>6</v>
      </c>
      <c r="AG114" s="773">
        <f t="shared" ca="1" si="57"/>
        <v>0</v>
      </c>
      <c r="AH114" s="773">
        <f t="shared" ca="1" si="58"/>
        <v>0</v>
      </c>
      <c r="AI114" s="773">
        <f t="shared" ca="1" si="78"/>
        <v>10</v>
      </c>
      <c r="AJ114" s="773">
        <f t="shared" ca="1" si="59"/>
        <v>0</v>
      </c>
      <c r="AK114" s="773">
        <f t="shared" ca="1" si="60"/>
        <v>0</v>
      </c>
      <c r="AL114" s="773">
        <f t="shared" ca="1" si="79"/>
        <v>5</v>
      </c>
      <c r="AM114" s="773">
        <f t="shared" ca="1" si="61"/>
        <v>0</v>
      </c>
      <c r="AN114" s="773">
        <f t="shared" ca="1" si="62"/>
        <v>1</v>
      </c>
      <c r="AO114" s="773">
        <f t="shared" ca="1" si="80"/>
        <v>5</v>
      </c>
      <c r="AP114" s="773">
        <f t="shared" ca="1" si="63"/>
        <v>5</v>
      </c>
      <c r="AQ114" s="773">
        <f t="shared" ca="1" si="64"/>
        <v>0</v>
      </c>
      <c r="AR114" s="773">
        <f t="shared" ca="1" si="81"/>
        <v>4</v>
      </c>
      <c r="AS114" s="773">
        <f t="shared" ca="1" si="65"/>
        <v>0</v>
      </c>
      <c r="AT114" s="773">
        <f t="shared" ca="1" si="66"/>
        <v>0</v>
      </c>
      <c r="AU114" s="773">
        <f t="shared" ca="1" si="82"/>
        <v>3</v>
      </c>
      <c r="AV114" s="773">
        <f t="shared" ca="1" si="67"/>
        <v>0</v>
      </c>
      <c r="AW114" s="773">
        <f t="shared" ca="1" si="68"/>
        <v>0</v>
      </c>
      <c r="AX114" s="773">
        <f t="shared" ca="1" si="83"/>
        <v>6</v>
      </c>
      <c r="AY114" s="773">
        <f t="shared" ca="1" si="69"/>
        <v>0</v>
      </c>
      <c r="AZ114" s="773">
        <f t="shared" ca="1" si="70"/>
        <v>0</v>
      </c>
      <c r="BA114" s="773">
        <f t="shared" ca="1" si="84"/>
        <v>7</v>
      </c>
      <c r="BB114" s="773">
        <f t="shared" ca="1" si="71"/>
        <v>0</v>
      </c>
      <c r="BC114" s="773">
        <f t="shared" ca="1" si="72"/>
        <v>0</v>
      </c>
      <c r="BD114" s="773">
        <f t="shared" ca="1" si="85"/>
        <v>3</v>
      </c>
      <c r="BE114" s="773">
        <f t="shared" ca="1" si="73"/>
        <v>0</v>
      </c>
      <c r="BF114" s="773" t="str">
        <f>PROPER(U114)</f>
        <v>Dưỡng</v>
      </c>
      <c r="BX114" s="773">
        <v>2012</v>
      </c>
      <c r="BY114" s="773" t="s">
        <v>7888</v>
      </c>
    </row>
    <row r="115" spans="1:77" ht="15">
      <c r="A115" s="806" t="s">
        <v>7849</v>
      </c>
      <c r="B115" s="806" t="s">
        <v>7871</v>
      </c>
      <c r="C115" s="855" t="s">
        <v>506</v>
      </c>
      <c r="D115" s="855" t="s">
        <v>505</v>
      </c>
      <c r="E115" s="855" t="s">
        <v>9301</v>
      </c>
      <c r="F115" s="855" t="s">
        <v>9299</v>
      </c>
      <c r="G115" s="855" t="s">
        <v>9300</v>
      </c>
      <c r="H115" s="855" t="s">
        <v>9298</v>
      </c>
      <c r="I115" s="806" t="s">
        <v>7871</v>
      </c>
      <c r="J115" s="855" t="s">
        <v>1402</v>
      </c>
      <c r="K115" s="855" t="s">
        <v>507</v>
      </c>
      <c r="L115" s="855" t="s">
        <v>1402</v>
      </c>
      <c r="M115" s="855" t="s">
        <v>9297</v>
      </c>
      <c r="N115" s="773" t="s">
        <v>8285</v>
      </c>
      <c r="O115" s="773" t="s">
        <v>8283</v>
      </c>
      <c r="P115" s="917" t="s">
        <v>6570</v>
      </c>
      <c r="Q115" s="773" t="s">
        <v>8279</v>
      </c>
      <c r="R115" s="855" t="s">
        <v>8520</v>
      </c>
      <c r="S115" s="912" t="str">
        <f ca="1">J110</f>
        <v>tý</v>
      </c>
      <c r="T115" s="915">
        <v>53</v>
      </c>
      <c r="U115" s="912" t="s">
        <v>8521</v>
      </c>
      <c r="V115" s="773">
        <f t="shared" ca="1" si="50"/>
        <v>1</v>
      </c>
      <c r="W115" s="773">
        <f t="shared" ca="1" si="74"/>
        <v>1</v>
      </c>
      <c r="X115" s="773">
        <f t="shared" ca="1" si="51"/>
        <v>1</v>
      </c>
      <c r="Y115" s="773">
        <f t="shared" ca="1" si="52"/>
        <v>0</v>
      </c>
      <c r="Z115" s="773">
        <f t="shared" ca="1" si="75"/>
        <v>2</v>
      </c>
      <c r="AA115" s="773">
        <f t="shared" ca="1" si="53"/>
        <v>0</v>
      </c>
      <c r="AB115" s="773">
        <f t="shared" ca="1" si="54"/>
        <v>0</v>
      </c>
      <c r="AC115" s="773">
        <f t="shared" ca="1" si="76"/>
        <v>1</v>
      </c>
      <c r="AD115" s="773">
        <f t="shared" ca="1" si="55"/>
        <v>0</v>
      </c>
      <c r="AE115" s="773">
        <f t="shared" ca="1" si="56"/>
        <v>0</v>
      </c>
      <c r="AF115" s="773">
        <f t="shared" ca="1" si="77"/>
        <v>6</v>
      </c>
      <c r="AG115" s="773">
        <f t="shared" ca="1" si="57"/>
        <v>0</v>
      </c>
      <c r="AH115" s="773">
        <f t="shared" ca="1" si="58"/>
        <v>0</v>
      </c>
      <c r="AI115" s="773">
        <f t="shared" ca="1" si="78"/>
        <v>10</v>
      </c>
      <c r="AJ115" s="773">
        <f t="shared" ca="1" si="59"/>
        <v>0</v>
      </c>
      <c r="AK115" s="773">
        <f t="shared" ca="1" si="60"/>
        <v>0</v>
      </c>
      <c r="AL115" s="773">
        <f t="shared" ca="1" si="79"/>
        <v>5</v>
      </c>
      <c r="AM115" s="773">
        <f t="shared" ca="1" si="61"/>
        <v>0</v>
      </c>
      <c r="AN115" s="773">
        <f t="shared" ca="1" si="62"/>
        <v>0</v>
      </c>
      <c r="AO115" s="773">
        <f t="shared" ca="1" si="80"/>
        <v>5</v>
      </c>
      <c r="AP115" s="773">
        <f t="shared" ca="1" si="63"/>
        <v>0</v>
      </c>
      <c r="AQ115" s="773">
        <f t="shared" ca="1" si="64"/>
        <v>0</v>
      </c>
      <c r="AR115" s="773">
        <f t="shared" ca="1" si="81"/>
        <v>4</v>
      </c>
      <c r="AS115" s="773">
        <f t="shared" ca="1" si="65"/>
        <v>0</v>
      </c>
      <c r="AT115" s="773">
        <f t="shared" ca="1" si="66"/>
        <v>0</v>
      </c>
      <c r="AU115" s="773">
        <f t="shared" ca="1" si="82"/>
        <v>3</v>
      </c>
      <c r="AV115" s="773">
        <f t="shared" ca="1" si="67"/>
        <v>0</v>
      </c>
      <c r="AW115" s="773">
        <f t="shared" ca="1" si="68"/>
        <v>0</v>
      </c>
      <c r="AX115" s="773">
        <f t="shared" ca="1" si="83"/>
        <v>6</v>
      </c>
      <c r="AY115" s="773">
        <f t="shared" ca="1" si="69"/>
        <v>0</v>
      </c>
      <c r="AZ115" s="773">
        <f t="shared" ca="1" si="70"/>
        <v>0</v>
      </c>
      <c r="BA115" s="773">
        <f t="shared" ca="1" si="84"/>
        <v>7</v>
      </c>
      <c r="BB115" s="773">
        <f t="shared" ca="1" si="71"/>
        <v>0</v>
      </c>
      <c r="BC115" s="773">
        <f t="shared" ca="1" si="72"/>
        <v>0</v>
      </c>
      <c r="BD115" s="773">
        <f t="shared" ca="1" si="85"/>
        <v>3</v>
      </c>
      <c r="BE115" s="773">
        <f t="shared" ca="1" si="73"/>
        <v>0</v>
      </c>
      <c r="BF115" s="773" t="str">
        <f>PROPER(U115)</f>
        <v>Thiên Thọ</v>
      </c>
      <c r="BX115" s="773">
        <v>2013</v>
      </c>
      <c r="BY115" s="773" t="s">
        <v>7889</v>
      </c>
    </row>
    <row r="116" spans="1:77" ht="15">
      <c r="A116" s="806" t="s">
        <v>7851</v>
      </c>
      <c r="B116" s="855" t="s">
        <v>506</v>
      </c>
      <c r="C116" s="855" t="s">
        <v>507</v>
      </c>
      <c r="D116" s="806" t="s">
        <v>7871</v>
      </c>
      <c r="E116" s="855" t="s">
        <v>353</v>
      </c>
      <c r="F116" s="855" t="s">
        <v>9300</v>
      </c>
      <c r="G116" s="855" t="s">
        <v>9300</v>
      </c>
      <c r="H116" s="855" t="s">
        <v>9298</v>
      </c>
      <c r="I116" s="855" t="s">
        <v>353</v>
      </c>
      <c r="J116" s="855" t="s">
        <v>9300</v>
      </c>
      <c r="K116" s="855" t="s">
        <v>7887</v>
      </c>
      <c r="L116" s="806" t="s">
        <v>7871</v>
      </c>
      <c r="M116" s="855" t="s">
        <v>9298</v>
      </c>
      <c r="N116" s="773" t="s">
        <v>8281</v>
      </c>
      <c r="O116" s="773" t="s">
        <v>8285</v>
      </c>
      <c r="P116" s="773" t="s">
        <v>8283</v>
      </c>
      <c r="Q116" s="773" t="s">
        <v>8288</v>
      </c>
      <c r="R116" s="855" t="s">
        <v>8522</v>
      </c>
      <c r="S116" s="773" t="s">
        <v>8523</v>
      </c>
      <c r="BX116" s="773">
        <v>2014</v>
      </c>
      <c r="BY116" s="773" t="s">
        <v>7890</v>
      </c>
    </row>
    <row r="117" spans="1:77" ht="15">
      <c r="A117" s="806" t="s">
        <v>6549</v>
      </c>
      <c r="B117" s="806" t="s">
        <v>7871</v>
      </c>
      <c r="C117" s="855" t="s">
        <v>506</v>
      </c>
      <c r="D117" s="855" t="s">
        <v>505</v>
      </c>
      <c r="E117" s="855" t="s">
        <v>9301</v>
      </c>
      <c r="F117" s="855" t="s">
        <v>9299</v>
      </c>
      <c r="G117" s="855" t="s">
        <v>9301</v>
      </c>
      <c r="H117" s="855" t="s">
        <v>507</v>
      </c>
      <c r="I117" s="855" t="s">
        <v>1399</v>
      </c>
      <c r="J117" s="855" t="s">
        <v>1399</v>
      </c>
      <c r="K117" s="855" t="s">
        <v>6548</v>
      </c>
      <c r="L117" s="855" t="s">
        <v>506</v>
      </c>
      <c r="M117" s="855" t="s">
        <v>9297</v>
      </c>
      <c r="N117" s="773" t="s">
        <v>8280</v>
      </c>
      <c r="O117" s="773" t="s">
        <v>8281</v>
      </c>
      <c r="P117" s="917" t="s">
        <v>8300</v>
      </c>
      <c r="Q117" s="773" t="s">
        <v>8283</v>
      </c>
      <c r="R117" s="855" t="s">
        <v>8524</v>
      </c>
      <c r="S117" s="773" t="s">
        <v>8273</v>
      </c>
      <c r="Y117" s="796"/>
      <c r="AD117" s="796"/>
      <c r="AI117" s="796"/>
      <c r="AM117" s="796"/>
      <c r="AQ117" s="796"/>
      <c r="AU117" s="796"/>
      <c r="AY117" s="796"/>
      <c r="BC117" s="796"/>
      <c r="BG117" s="796"/>
      <c r="BK117" s="796"/>
      <c r="BO117" s="796"/>
      <c r="BS117" s="796"/>
      <c r="BX117" s="773">
        <v>2015</v>
      </c>
      <c r="BY117" s="773" t="s">
        <v>7891</v>
      </c>
    </row>
    <row r="118" spans="1:77" ht="15">
      <c r="A118" s="806" t="s">
        <v>7856</v>
      </c>
      <c r="B118" s="855" t="s">
        <v>506</v>
      </c>
      <c r="C118" s="855" t="s">
        <v>507</v>
      </c>
      <c r="D118" s="806" t="s">
        <v>7871</v>
      </c>
      <c r="E118" s="855" t="s">
        <v>353</v>
      </c>
      <c r="F118" s="855" t="s">
        <v>9300</v>
      </c>
      <c r="G118" s="855" t="s">
        <v>1402</v>
      </c>
      <c r="H118" s="855" t="s">
        <v>9297</v>
      </c>
      <c r="I118" s="855" t="s">
        <v>9298</v>
      </c>
      <c r="J118" s="855" t="s">
        <v>353</v>
      </c>
      <c r="K118" s="855" t="s">
        <v>506</v>
      </c>
      <c r="L118" s="855" t="s">
        <v>9297</v>
      </c>
      <c r="M118" s="855" t="s">
        <v>9298</v>
      </c>
      <c r="N118" s="773" t="s">
        <v>8274</v>
      </c>
      <c r="O118" s="773" t="s">
        <v>8280</v>
      </c>
      <c r="P118" s="773" t="s">
        <v>8286</v>
      </c>
      <c r="Q118" s="773" t="s">
        <v>8290</v>
      </c>
      <c r="R118" s="855" t="s">
        <v>8516</v>
      </c>
      <c r="S118" s="773" t="s">
        <v>8274</v>
      </c>
      <c r="V118" s="773" t="str">
        <f t="shared" ref="V118:V128" ca="1" si="99">VLOOKUP(T63,$X$62:$BF$115,35,0)</f>
        <v>Thiên Thọ</v>
      </c>
      <c r="W118" s="773" t="b">
        <f t="shared" ref="W118:W128" ca="1" si="100">ISTEXT(V118)</f>
        <v>1</v>
      </c>
      <c r="X118" s="773">
        <f t="shared" ref="X118:X128" ca="1" si="101">IF(LEFT(W118,1)="T",1,0)</f>
        <v>1</v>
      </c>
      <c r="Y118" s="773" t="str">
        <f t="shared" ref="Y118:Y128" ca="1" si="102">IF(X118=1,V118," ")</f>
        <v>Thiên Thọ</v>
      </c>
      <c r="AA118" s="773" t="str">
        <f t="shared" ref="AA118:AA128" ca="1" si="103">VLOOKUP(T63,$AA$62:$BF$115,32,0)</f>
        <v>Long Đức</v>
      </c>
      <c r="AB118" s="773" t="b">
        <f t="shared" ref="AB118:AB128" ca="1" si="104">ISTEXT(AA118)</f>
        <v>1</v>
      </c>
      <c r="AC118" s="773">
        <f t="shared" ref="AC118:AC128" ca="1" si="105">IF(LEFT(AB118,1)="T",1,0)</f>
        <v>1</v>
      </c>
      <c r="AD118" s="773" t="str">
        <f t="shared" ref="AD118:AD128" ca="1" si="106">IF(AC118=1,AA118," ")</f>
        <v>Long Đức</v>
      </c>
      <c r="AF118" s="773" t="str">
        <f t="shared" ref="AF118:AF128" ca="1" si="107">VLOOKUP(T63,$AD$62:$BF$115,29,0)</f>
        <v>Lâm Quan</v>
      </c>
      <c r="AG118" s="773" t="b">
        <f t="shared" ref="AG118:AG128" ca="1" si="108">ISTEXT(AF118)</f>
        <v>1</v>
      </c>
      <c r="AH118" s="773">
        <f t="shared" ref="AH118:AH128" ca="1" si="109">IF(LEFT(AG118,1)="T",1,0)</f>
        <v>1</v>
      </c>
      <c r="AI118" s="773" t="str">
        <f t="shared" ref="AI118:AI128" ca="1" si="110">IF(AH118=1,AF118," ")</f>
        <v>Lâm Quan</v>
      </c>
      <c r="AJ118" s="773" t="str">
        <f t="shared" ref="AJ118:AJ128" ca="1" si="111">VLOOKUP(T63,$AG$62:$BF$115,26,0)</f>
        <v>Thiên Khôi</v>
      </c>
      <c r="AK118" s="773" t="b">
        <f t="shared" ref="AK118:AK128" ca="1" si="112">ISTEXT(AJ118)</f>
        <v>1</v>
      </c>
      <c r="AL118" s="773">
        <f t="shared" ref="AL118:AL128" ca="1" si="113">IF(LEFT(AK118,1)="T",1,0)</f>
        <v>1</v>
      </c>
      <c r="AM118" s="773" t="str">
        <f t="shared" ref="AM118:AM128" ca="1" si="114">IF(AL118=1,AJ118," ")</f>
        <v>Thiên Khôi</v>
      </c>
      <c r="AN118" s="773" t="str">
        <f t="shared" ref="AN118:AN128" ca="1" si="115">VLOOKUP(T63,$AJ$62:$BF$115,23,0)</f>
        <v>Thiên Quý</v>
      </c>
      <c r="AO118" s="773" t="b">
        <f t="shared" ref="AO118:AO128" ca="1" si="116">ISTEXT(AN118)</f>
        <v>1</v>
      </c>
      <c r="AP118" s="773">
        <f t="shared" ref="AP118:AP128" ca="1" si="117">IF(LEFT(AO118,1)="T",1,0)</f>
        <v>1</v>
      </c>
      <c r="AQ118" s="773" t="str">
        <f t="shared" ref="AQ118:AQ128" ca="1" si="118">IF(AP118=1,AN118," ")</f>
        <v>Thiên Quý</v>
      </c>
      <c r="AR118" s="773" t="str">
        <f t="shared" ref="AR118:AR128" ca="1" si="119">VLOOKUP(T63,$AM$62:$BF$115,20,0)</f>
        <v>Thiên Việt</v>
      </c>
      <c r="AS118" s="773" t="b">
        <f t="shared" ref="AS118:AS128" ca="1" si="120">ISTEXT(AR118)</f>
        <v>1</v>
      </c>
      <c r="AT118" s="773">
        <f t="shared" ref="AT118:AT128" ca="1" si="121">IF(LEFT(AS118,1)="T",1,0)</f>
        <v>1</v>
      </c>
      <c r="AU118" s="773" t="str">
        <f t="shared" ref="AU118:AU128" ca="1" si="122">IF(AT118=1,AR118," ")</f>
        <v>Thiên Việt</v>
      </c>
      <c r="AV118" s="773" t="str">
        <f t="shared" ref="AV118:AV128" ca="1" si="123">VLOOKUP(T63,$AP$62:$BF$115,17,0)</f>
        <v>Văn Xương</v>
      </c>
      <c r="AW118" s="773" t="b">
        <f t="shared" ref="AW118:AW128" ca="1" si="124">ISTEXT(AV118)</f>
        <v>1</v>
      </c>
      <c r="AX118" s="773">
        <f t="shared" ref="AX118:AX128" ca="1" si="125">IF(LEFT(AW118,1)="T",1,0)</f>
        <v>1</v>
      </c>
      <c r="AY118" s="773" t="str">
        <f t="shared" ref="AY118:AY128" ca="1" si="126">IF(AX118=1,AV118," ")</f>
        <v>Văn Xương</v>
      </c>
      <c r="AZ118" s="773" t="str">
        <f t="shared" ref="AZ118:AZ128" ca="1" si="127">VLOOKUP(T63,$AS$62:$BF$115,14,0)</f>
        <v>Quốc Ấn</v>
      </c>
      <c r="BA118" s="773" t="b">
        <f t="shared" ref="BA118:BA128" ca="1" si="128">ISTEXT(AZ118)</f>
        <v>1</v>
      </c>
      <c r="BB118" s="773">
        <f t="shared" ref="BB118:BB128" ca="1" si="129">IF(LEFT(BA118,1)="T",1,0)</f>
        <v>1</v>
      </c>
      <c r="BC118" s="773" t="str">
        <f t="shared" ref="BC118:BC128" ca="1" si="130">IF(BB118=1,AZ118," ")</f>
        <v>Quốc Ấn</v>
      </c>
      <c r="BD118" s="773" t="str">
        <f t="shared" ref="BD118:BD128" ca="1" si="131">VLOOKUP(T63,$AV$62:$BF$115,11,0)</f>
        <v>Văn Khúc</v>
      </c>
      <c r="BE118" s="773" t="b">
        <f t="shared" ref="BE118:BE128" ca="1" si="132">ISTEXT(BD118)</f>
        <v>1</v>
      </c>
      <c r="BF118" s="773">
        <f t="shared" ref="BF118:BF128" ca="1" si="133">IF(LEFT(BE118,1)="T",1,0)</f>
        <v>1</v>
      </c>
      <c r="BG118" s="773" t="str">
        <f t="shared" ref="BG118:BG128" ca="1" si="134">IF(BF118=1,BD118," ")</f>
        <v>Văn Khúc</v>
      </c>
      <c r="BH118" s="773" t="str">
        <f t="shared" ref="BH118:BH128" ca="1" si="135">VLOOKUP(T63,$AY$62:$BF$115,8,0)</f>
        <v>Hồng Loan</v>
      </c>
      <c r="BI118" s="773" t="b">
        <f t="shared" ref="BI118:BI128" ca="1" si="136">ISTEXT(BH118)</f>
        <v>1</v>
      </c>
      <c r="BJ118" s="773">
        <f t="shared" ref="BJ118:BJ128" ca="1" si="137">IF(LEFT(BI118,1)="T",1,0)</f>
        <v>1</v>
      </c>
      <c r="BK118" s="773" t="str">
        <f t="shared" ref="BK118:BK128" ca="1" si="138">IF(BJ118=1,BH118," ")</f>
        <v>Hồng Loan</v>
      </c>
      <c r="BL118" s="773" t="str">
        <f t="shared" ref="BL118:BL128" ca="1" si="139">VLOOKUP(T63,$BB$62:$BF$115,5,0)</f>
        <v>Ấn Quang</v>
      </c>
      <c r="BM118" s="773" t="b">
        <f t="shared" ref="BM118:BM128" ca="1" si="140">ISTEXT(BL118)</f>
        <v>1</v>
      </c>
      <c r="BN118" s="773">
        <f t="shared" ref="BN118:BN128" ca="1" si="141">IF(LEFT(BM118,1)="T",1,0)</f>
        <v>1</v>
      </c>
      <c r="BO118" s="773" t="str">
        <f t="shared" ref="BO118:BO128" ca="1" si="142">IF(BN118=1,BL118," ")</f>
        <v>Ấn Quang</v>
      </c>
      <c r="BP118" s="773" t="str">
        <f t="shared" ref="BP118:BP128" ca="1" si="143">VLOOKUP(T63,$BE$62:$BF$115,2,0)</f>
        <v>Lộc Tồn</v>
      </c>
      <c r="BQ118" s="773" t="b">
        <f t="shared" ref="BQ118:BQ128" ca="1" si="144">ISTEXT(BP118)</f>
        <v>1</v>
      </c>
      <c r="BR118" s="773">
        <f t="shared" ref="BR118:BR128" ca="1" si="145">IF(LEFT(BQ118,1)="T",1,0)</f>
        <v>1</v>
      </c>
      <c r="BS118" s="773" t="str">
        <f t="shared" ref="BS118:BS128" ca="1" si="146">IF(BR118=1,BP118," ")</f>
        <v>Lộc Tồn</v>
      </c>
      <c r="BX118" s="773">
        <v>2016</v>
      </c>
      <c r="BY118" s="773" t="s">
        <v>7892</v>
      </c>
    </row>
    <row r="119" spans="1:77" ht="30">
      <c r="A119" s="806" t="s">
        <v>7860</v>
      </c>
      <c r="B119" s="855" t="s">
        <v>9297</v>
      </c>
      <c r="C119" s="855" t="s">
        <v>9298</v>
      </c>
      <c r="D119" s="855" t="s">
        <v>507</v>
      </c>
      <c r="E119" s="855" t="s">
        <v>505</v>
      </c>
      <c r="F119" s="855" t="s">
        <v>9301</v>
      </c>
      <c r="G119" s="855" t="s">
        <v>506</v>
      </c>
      <c r="H119" s="855" t="s">
        <v>353</v>
      </c>
      <c r="I119" s="855" t="s">
        <v>9300</v>
      </c>
      <c r="J119" s="855" t="s">
        <v>506</v>
      </c>
      <c r="K119" s="855" t="s">
        <v>7873</v>
      </c>
      <c r="L119" s="855" t="s">
        <v>353</v>
      </c>
      <c r="M119" s="855" t="s">
        <v>9300</v>
      </c>
      <c r="N119" s="773" t="s">
        <v>8287</v>
      </c>
      <c r="O119" s="773" t="s">
        <v>8274</v>
      </c>
      <c r="P119" s="773" t="s">
        <v>8281</v>
      </c>
      <c r="Q119" s="773" t="s">
        <v>8285</v>
      </c>
      <c r="R119" s="855" t="s">
        <v>8518</v>
      </c>
      <c r="S119" s="773" t="s">
        <v>8276</v>
      </c>
      <c r="V119" s="773" t="e">
        <f t="shared" ca="1" si="99"/>
        <v>#N/A</v>
      </c>
      <c r="W119" s="773" t="b">
        <f t="shared" ca="1" si="100"/>
        <v>0</v>
      </c>
      <c r="X119" s="773">
        <f t="shared" ca="1" si="101"/>
        <v>0</v>
      </c>
      <c r="Y119" s="773" t="str">
        <f t="shared" ca="1" si="102"/>
        <v xml:space="preserve"> </v>
      </c>
      <c r="AA119" s="773" t="str">
        <f t="shared" ca="1" si="103"/>
        <v>Đế Vượng</v>
      </c>
      <c r="AB119" s="773" t="b">
        <f t="shared" ca="1" si="104"/>
        <v>1</v>
      </c>
      <c r="AC119" s="773">
        <f t="shared" ca="1" si="105"/>
        <v>1</v>
      </c>
      <c r="AD119" s="773" t="str">
        <f t="shared" ca="1" si="106"/>
        <v>Đế Vượng</v>
      </c>
      <c r="AF119" s="773" t="e">
        <f t="shared" ca="1" si="107"/>
        <v>#N/A</v>
      </c>
      <c r="AG119" s="773" t="b">
        <f t="shared" ca="1" si="108"/>
        <v>0</v>
      </c>
      <c r="AH119" s="773">
        <f t="shared" ca="1" si="109"/>
        <v>0</v>
      </c>
      <c r="AI119" s="773" t="str">
        <f t="shared" ca="1" si="110"/>
        <v xml:space="preserve"> </v>
      </c>
      <c r="AJ119" s="773" t="str">
        <f t="shared" ca="1" si="111"/>
        <v>Đào Hoa</v>
      </c>
      <c r="AK119" s="773" t="b">
        <f t="shared" ca="1" si="112"/>
        <v>1</v>
      </c>
      <c r="AL119" s="773">
        <f t="shared" ca="1" si="113"/>
        <v>1</v>
      </c>
      <c r="AM119" s="773" t="str">
        <f t="shared" ca="1" si="114"/>
        <v>Đào Hoa</v>
      </c>
      <c r="AN119" s="773" t="str">
        <f t="shared" ca="1" si="115"/>
        <v>Hóa Lộc</v>
      </c>
      <c r="AO119" s="773" t="b">
        <f t="shared" ca="1" si="116"/>
        <v>1</v>
      </c>
      <c r="AP119" s="773">
        <f t="shared" ca="1" si="117"/>
        <v>1</v>
      </c>
      <c r="AQ119" s="773" t="str">
        <f t="shared" ca="1" si="118"/>
        <v>Hóa Lộc</v>
      </c>
      <c r="AR119" s="773" t="str">
        <f t="shared" ca="1" si="119"/>
        <v>Hóa Quyền</v>
      </c>
      <c r="AS119" s="773" t="b">
        <f t="shared" ca="1" si="120"/>
        <v>1</v>
      </c>
      <c r="AT119" s="773">
        <f t="shared" ca="1" si="121"/>
        <v>1</v>
      </c>
      <c r="AU119" s="773" t="str">
        <f t="shared" ca="1" si="122"/>
        <v>Hóa Quyền</v>
      </c>
      <c r="AV119" s="773" t="str">
        <f t="shared" ca="1" si="123"/>
        <v>Phong Cáo</v>
      </c>
      <c r="AW119" s="773" t="b">
        <f t="shared" ca="1" si="124"/>
        <v>1</v>
      </c>
      <c r="AX119" s="773">
        <f t="shared" ca="1" si="125"/>
        <v>1</v>
      </c>
      <c r="AY119" s="773" t="str">
        <f t="shared" ca="1" si="126"/>
        <v>Phong Cáo</v>
      </c>
      <c r="AZ119" s="773" t="str">
        <f t="shared" ca="1" si="127"/>
        <v>Địa Giải</v>
      </c>
      <c r="BA119" s="773" t="b">
        <f t="shared" ca="1" si="128"/>
        <v>1</v>
      </c>
      <c r="BB119" s="773">
        <f t="shared" ca="1" si="129"/>
        <v>1</v>
      </c>
      <c r="BC119" s="773" t="str">
        <f t="shared" ca="1" si="130"/>
        <v>Địa Giải</v>
      </c>
      <c r="BD119" s="773" t="str">
        <f t="shared" ca="1" si="131"/>
        <v>Thiên Giải</v>
      </c>
      <c r="BE119" s="773" t="b">
        <f t="shared" ca="1" si="132"/>
        <v>1</v>
      </c>
      <c r="BF119" s="773">
        <f t="shared" ca="1" si="133"/>
        <v>1</v>
      </c>
      <c r="BG119" s="773" t="str">
        <f t="shared" ca="1" si="134"/>
        <v>Thiên Giải</v>
      </c>
      <c r="BH119" s="773" t="str">
        <f t="shared" ca="1" si="135"/>
        <v>Tam Thai</v>
      </c>
      <c r="BI119" s="773" t="b">
        <f t="shared" ca="1" si="136"/>
        <v>1</v>
      </c>
      <c r="BJ119" s="773">
        <f t="shared" ca="1" si="137"/>
        <v>1</v>
      </c>
      <c r="BK119" s="773" t="str">
        <f t="shared" ca="1" si="138"/>
        <v>Tam Thai</v>
      </c>
      <c r="BL119" s="773" t="str">
        <f t="shared" ca="1" si="139"/>
        <v>Hữu Bật</v>
      </c>
      <c r="BM119" s="773" t="b">
        <f t="shared" ca="1" si="140"/>
        <v>1</v>
      </c>
      <c r="BN119" s="773">
        <f t="shared" ca="1" si="141"/>
        <v>1</v>
      </c>
      <c r="BO119" s="773" t="str">
        <f t="shared" ca="1" si="142"/>
        <v>Hữu Bật</v>
      </c>
      <c r="BP119" s="773" t="str">
        <f t="shared" ca="1" si="143"/>
        <v>Nguyệt Đức</v>
      </c>
      <c r="BQ119" s="773" t="b">
        <f t="shared" ca="1" si="144"/>
        <v>1</v>
      </c>
      <c r="BR119" s="773">
        <f t="shared" ca="1" si="145"/>
        <v>1</v>
      </c>
      <c r="BS119" s="773" t="str">
        <f t="shared" ca="1" si="146"/>
        <v>Nguyệt Đức</v>
      </c>
      <c r="BX119" s="773">
        <v>2017</v>
      </c>
      <c r="BY119" s="773" t="s">
        <v>7893</v>
      </c>
    </row>
    <row r="120" spans="1:77" ht="15">
      <c r="A120" s="806" t="s">
        <v>6562</v>
      </c>
      <c r="B120" s="855" t="s">
        <v>9298</v>
      </c>
      <c r="C120" s="855" t="s">
        <v>9299</v>
      </c>
      <c r="D120" s="855" t="s">
        <v>9297</v>
      </c>
      <c r="E120" s="806" t="s">
        <v>7871</v>
      </c>
      <c r="F120" s="855" t="s">
        <v>353</v>
      </c>
      <c r="G120" s="855" t="s">
        <v>506</v>
      </c>
      <c r="H120" s="855" t="s">
        <v>353</v>
      </c>
      <c r="I120" s="855" t="s">
        <v>9298</v>
      </c>
      <c r="J120" s="806" t="s">
        <v>7871</v>
      </c>
      <c r="K120" s="855" t="s">
        <v>7872</v>
      </c>
      <c r="L120" s="855" t="s">
        <v>506</v>
      </c>
      <c r="M120" s="855" t="s">
        <v>1402</v>
      </c>
      <c r="N120" s="773" t="s">
        <v>8288</v>
      </c>
      <c r="O120" s="773" t="s">
        <v>8287</v>
      </c>
      <c r="P120" s="773" t="s">
        <v>8290</v>
      </c>
      <c r="Q120" s="773" t="s">
        <v>6570</v>
      </c>
      <c r="R120" s="855" t="s">
        <v>8520</v>
      </c>
      <c r="S120" s="773" t="s">
        <v>8277</v>
      </c>
      <c r="V120" s="773" t="e">
        <f t="shared" ca="1" si="99"/>
        <v>#N/A</v>
      </c>
      <c r="W120" s="773" t="b">
        <f t="shared" ca="1" si="100"/>
        <v>0</v>
      </c>
      <c r="X120" s="773">
        <f t="shared" ca="1" si="101"/>
        <v>0</v>
      </c>
      <c r="Y120" s="773" t="str">
        <f t="shared" ca="1" si="102"/>
        <v xml:space="preserve"> </v>
      </c>
      <c r="AA120" s="773" t="e">
        <f t="shared" ca="1" si="103"/>
        <v>#N/A</v>
      </c>
      <c r="AB120" s="773" t="b">
        <f t="shared" ca="1" si="104"/>
        <v>0</v>
      </c>
      <c r="AC120" s="773">
        <f t="shared" ca="1" si="105"/>
        <v>0</v>
      </c>
      <c r="AD120" s="773" t="str">
        <f t="shared" ca="1" si="106"/>
        <v xml:space="preserve"> </v>
      </c>
      <c r="AF120" s="773" t="e">
        <f t="shared" ca="1" si="107"/>
        <v>#N/A</v>
      </c>
      <c r="AG120" s="773" t="b">
        <f t="shared" ca="1" si="108"/>
        <v>0</v>
      </c>
      <c r="AH120" s="773">
        <f t="shared" ca="1" si="109"/>
        <v>0</v>
      </c>
      <c r="AI120" s="773" t="str">
        <f t="shared" ca="1" si="110"/>
        <v xml:space="preserve"> </v>
      </c>
      <c r="AJ120" s="773" t="str">
        <f t="shared" ca="1" si="111"/>
        <v>Thiên Đức</v>
      </c>
      <c r="AK120" s="773" t="b">
        <f t="shared" ca="1" si="112"/>
        <v>1</v>
      </c>
      <c r="AL120" s="773">
        <f t="shared" ca="1" si="113"/>
        <v>1</v>
      </c>
      <c r="AM120" s="773" t="str">
        <f t="shared" ca="1" si="114"/>
        <v>Thiên Đức</v>
      </c>
      <c r="AN120" s="773" t="str">
        <f t="shared" ca="1" si="115"/>
        <v>Tả Phù</v>
      </c>
      <c r="AO120" s="773" t="b">
        <f t="shared" ca="1" si="116"/>
        <v>1</v>
      </c>
      <c r="AP120" s="773">
        <f t="shared" ca="1" si="117"/>
        <v>1</v>
      </c>
      <c r="AQ120" s="773" t="str">
        <f t="shared" ca="1" si="118"/>
        <v>Tả Phù</v>
      </c>
      <c r="AR120" s="773" t="str">
        <f t="shared" ca="1" si="119"/>
        <v>Bát Tọa</v>
      </c>
      <c r="AS120" s="773" t="b">
        <f t="shared" ca="1" si="120"/>
        <v>1</v>
      </c>
      <c r="AT120" s="773">
        <f t="shared" ca="1" si="121"/>
        <v>1</v>
      </c>
      <c r="AU120" s="773" t="str">
        <f t="shared" ca="1" si="122"/>
        <v>Bát Tọa</v>
      </c>
      <c r="AV120" s="773" t="str">
        <f t="shared" ca="1" si="123"/>
        <v>Thiên Phúc</v>
      </c>
      <c r="AW120" s="773" t="b">
        <f t="shared" ca="1" si="124"/>
        <v>1</v>
      </c>
      <c r="AX120" s="773">
        <f t="shared" ca="1" si="125"/>
        <v>1</v>
      </c>
      <c r="AY120" s="773" t="str">
        <f t="shared" ca="1" si="126"/>
        <v>Thiên Phúc</v>
      </c>
      <c r="AZ120" s="773" t="str">
        <f t="shared" ca="1" si="127"/>
        <v>Tướng Quân</v>
      </c>
      <c r="BA120" s="773" t="b">
        <f t="shared" ca="1" si="128"/>
        <v>1</v>
      </c>
      <c r="BB120" s="773">
        <f t="shared" ca="1" si="129"/>
        <v>1</v>
      </c>
      <c r="BC120" s="773" t="str">
        <f t="shared" ca="1" si="130"/>
        <v>Tướng Quân</v>
      </c>
      <c r="BD120" s="773" t="str">
        <f t="shared" ca="1" si="131"/>
        <v>Thiên Mã</v>
      </c>
      <c r="BE120" s="773" t="b">
        <f t="shared" ca="1" si="132"/>
        <v>1</v>
      </c>
      <c r="BF120" s="773">
        <f t="shared" ca="1" si="133"/>
        <v>1</v>
      </c>
      <c r="BG120" s="773" t="str">
        <f t="shared" ca="1" si="134"/>
        <v>Thiên Mã</v>
      </c>
      <c r="BH120" s="773" t="str">
        <f t="shared" ca="1" si="135"/>
        <v>Thiên Trù</v>
      </c>
      <c r="BI120" s="773" t="b">
        <f t="shared" ca="1" si="136"/>
        <v>1</v>
      </c>
      <c r="BJ120" s="773">
        <f t="shared" ca="1" si="137"/>
        <v>1</v>
      </c>
      <c r="BK120" s="773" t="str">
        <f t="shared" ca="1" si="138"/>
        <v>Thiên Trù</v>
      </c>
      <c r="BL120" s="773" t="str">
        <f t="shared" ca="1" si="139"/>
        <v>Long Trì</v>
      </c>
      <c r="BM120" s="773" t="b">
        <f t="shared" ca="1" si="140"/>
        <v>1</v>
      </c>
      <c r="BN120" s="773">
        <f t="shared" ca="1" si="141"/>
        <v>1</v>
      </c>
      <c r="BO120" s="773" t="str">
        <f t="shared" ca="1" si="142"/>
        <v>Long Trì</v>
      </c>
      <c r="BP120" s="773" t="str">
        <f t="shared" ca="1" si="143"/>
        <v>Bác Sỹ</v>
      </c>
      <c r="BQ120" s="773" t="b">
        <f t="shared" ca="1" si="144"/>
        <v>1</v>
      </c>
      <c r="BR120" s="773">
        <f t="shared" ca="1" si="145"/>
        <v>1</v>
      </c>
      <c r="BS120" s="773" t="str">
        <f t="shared" ca="1" si="146"/>
        <v>Bác Sỹ</v>
      </c>
      <c r="BX120" s="773">
        <v>2018</v>
      </c>
      <c r="BY120" s="773" t="s">
        <v>7895</v>
      </c>
    </row>
    <row r="121" spans="1:77" ht="15">
      <c r="A121" s="806" t="s">
        <v>7865</v>
      </c>
      <c r="B121" s="855" t="s">
        <v>9300</v>
      </c>
      <c r="C121" s="855" t="s">
        <v>1402</v>
      </c>
      <c r="D121" s="855" t="s">
        <v>9299</v>
      </c>
      <c r="E121" s="855" t="s">
        <v>507</v>
      </c>
      <c r="F121" s="855" t="s">
        <v>505</v>
      </c>
      <c r="G121" s="855" t="s">
        <v>1399</v>
      </c>
      <c r="H121" s="806" t="s">
        <v>7871</v>
      </c>
      <c r="I121" s="855" t="s">
        <v>9299</v>
      </c>
      <c r="J121" s="855" t="s">
        <v>506</v>
      </c>
      <c r="K121" s="855" t="s">
        <v>9300</v>
      </c>
      <c r="L121" s="855" t="s">
        <v>9298</v>
      </c>
      <c r="M121" s="855" t="s">
        <v>9298</v>
      </c>
      <c r="N121" s="773" t="s">
        <v>8286</v>
      </c>
      <c r="O121" s="773" t="s">
        <v>8268</v>
      </c>
      <c r="P121" s="773" t="s">
        <v>8292</v>
      </c>
      <c r="Q121" s="773" t="s">
        <v>8274</v>
      </c>
      <c r="R121" s="855" t="s">
        <v>8522</v>
      </c>
      <c r="S121" s="773" t="s">
        <v>8278</v>
      </c>
      <c r="V121" s="773" t="e">
        <f t="shared" ca="1" si="99"/>
        <v>#N/A</v>
      </c>
      <c r="W121" s="773" t="b">
        <f t="shared" ca="1" si="100"/>
        <v>0</v>
      </c>
      <c r="X121" s="773">
        <f t="shared" ca="1" si="101"/>
        <v>0</v>
      </c>
      <c r="Y121" s="773" t="str">
        <f t="shared" ca="1" si="102"/>
        <v xml:space="preserve"> </v>
      </c>
      <c r="AA121" s="773" t="e">
        <f t="shared" ca="1" si="103"/>
        <v>#N/A</v>
      </c>
      <c r="AB121" s="773" t="b">
        <f t="shared" ca="1" si="104"/>
        <v>0</v>
      </c>
      <c r="AC121" s="773">
        <f t="shared" ca="1" si="105"/>
        <v>0</v>
      </c>
      <c r="AD121" s="773" t="str">
        <f t="shared" ca="1" si="106"/>
        <v xml:space="preserve"> </v>
      </c>
      <c r="AF121" s="773" t="e">
        <f t="shared" ca="1" si="107"/>
        <v>#N/A</v>
      </c>
      <c r="AG121" s="773" t="b">
        <f t="shared" ca="1" si="108"/>
        <v>0</v>
      </c>
      <c r="AH121" s="773">
        <f t="shared" ca="1" si="109"/>
        <v>0</v>
      </c>
      <c r="AI121" s="773" t="str">
        <f t="shared" ca="1" si="110"/>
        <v xml:space="preserve"> </v>
      </c>
      <c r="AJ121" s="773" t="str">
        <f t="shared" ca="1" si="111"/>
        <v>Phúc Đức</v>
      </c>
      <c r="AK121" s="773" t="b">
        <f t="shared" ca="1" si="112"/>
        <v>1</v>
      </c>
      <c r="AL121" s="773">
        <f t="shared" ca="1" si="113"/>
        <v>1</v>
      </c>
      <c r="AM121" s="773" t="str">
        <f t="shared" ca="1" si="114"/>
        <v>Phúc Đức</v>
      </c>
      <c r="AN121" s="773" t="str">
        <f t="shared" ca="1" si="115"/>
        <v>Hóa Khoa</v>
      </c>
      <c r="AO121" s="773" t="b">
        <f t="shared" ca="1" si="116"/>
        <v>1</v>
      </c>
      <c r="AP121" s="773">
        <f t="shared" ca="1" si="117"/>
        <v>1</v>
      </c>
      <c r="AQ121" s="773" t="str">
        <f t="shared" ca="1" si="118"/>
        <v>Hóa Khoa</v>
      </c>
      <c r="AR121" s="773" t="str">
        <f t="shared" ca="1" si="119"/>
        <v>Tràng Sinh</v>
      </c>
      <c r="AS121" s="773" t="b">
        <f t="shared" ca="1" si="120"/>
        <v>1</v>
      </c>
      <c r="AT121" s="773">
        <f t="shared" ca="1" si="121"/>
        <v>1</v>
      </c>
      <c r="AU121" s="773" t="str">
        <f t="shared" ca="1" si="122"/>
        <v>Tràng Sinh</v>
      </c>
      <c r="AV121" s="773" t="str">
        <f t="shared" ca="1" si="123"/>
        <v>Tấu Thư</v>
      </c>
      <c r="AW121" s="773" t="b">
        <f t="shared" ca="1" si="124"/>
        <v>1</v>
      </c>
      <c r="AX121" s="773">
        <f t="shared" ca="1" si="125"/>
        <v>1</v>
      </c>
      <c r="AY121" s="773" t="str">
        <f t="shared" ca="1" si="126"/>
        <v>Tấu Thư</v>
      </c>
      <c r="AZ121" s="773" t="str">
        <f t="shared" ca="1" si="127"/>
        <v>Thiếu Dương</v>
      </c>
      <c r="BA121" s="773" t="b">
        <f t="shared" ca="1" si="128"/>
        <v>1</v>
      </c>
      <c r="BB121" s="773">
        <f t="shared" ca="1" si="129"/>
        <v>1</v>
      </c>
      <c r="BC121" s="773" t="str">
        <f t="shared" ca="1" si="130"/>
        <v>Thiếu Dương</v>
      </c>
      <c r="BD121" s="773" t="e">
        <f t="shared" ca="1" si="131"/>
        <v>#N/A</v>
      </c>
      <c r="BE121" s="773" t="b">
        <f t="shared" ca="1" si="132"/>
        <v>0</v>
      </c>
      <c r="BF121" s="773">
        <f t="shared" ca="1" si="133"/>
        <v>0</v>
      </c>
      <c r="BG121" s="773" t="str">
        <f t="shared" ca="1" si="134"/>
        <v xml:space="preserve"> </v>
      </c>
      <c r="BH121" s="773" t="str">
        <f t="shared" ca="1" si="135"/>
        <v>Lưu Niên</v>
      </c>
      <c r="BI121" s="773" t="b">
        <f t="shared" ca="1" si="136"/>
        <v>1</v>
      </c>
      <c r="BJ121" s="773">
        <f t="shared" ca="1" si="137"/>
        <v>1</v>
      </c>
      <c r="BK121" s="773" t="str">
        <f t="shared" ca="1" si="138"/>
        <v>Lưu Niên</v>
      </c>
      <c r="BL121" s="773" t="str">
        <f t="shared" ca="1" si="139"/>
        <v>Thai Phụ</v>
      </c>
      <c r="BM121" s="773" t="b">
        <f t="shared" ca="1" si="140"/>
        <v>1</v>
      </c>
      <c r="BN121" s="773">
        <f t="shared" ca="1" si="141"/>
        <v>1</v>
      </c>
      <c r="BO121" s="773" t="str">
        <f t="shared" ca="1" si="142"/>
        <v>Thai Phụ</v>
      </c>
      <c r="BP121" s="773" t="e">
        <f t="shared" ca="1" si="143"/>
        <v>#N/A</v>
      </c>
      <c r="BQ121" s="773" t="b">
        <f t="shared" ca="1" si="144"/>
        <v>0</v>
      </c>
      <c r="BR121" s="773">
        <f t="shared" ca="1" si="145"/>
        <v>0</v>
      </c>
      <c r="BS121" s="773" t="str">
        <f t="shared" ca="1" si="146"/>
        <v xml:space="preserve"> </v>
      </c>
      <c r="BX121" s="773">
        <v>2019</v>
      </c>
      <c r="BY121" s="773" t="s">
        <v>7897</v>
      </c>
    </row>
    <row r="122" spans="1:77" ht="15">
      <c r="A122" s="806" t="s">
        <v>6567</v>
      </c>
      <c r="B122" s="855" t="s">
        <v>1402</v>
      </c>
      <c r="C122" s="855" t="s">
        <v>9301</v>
      </c>
      <c r="D122" s="855" t="s">
        <v>9300</v>
      </c>
      <c r="E122" s="855" t="s">
        <v>9297</v>
      </c>
      <c r="F122" s="806" t="s">
        <v>7871</v>
      </c>
      <c r="G122" s="855" t="s">
        <v>1399</v>
      </c>
      <c r="H122" s="806" t="s">
        <v>7871</v>
      </c>
      <c r="I122" s="855" t="s">
        <v>506</v>
      </c>
      <c r="J122" s="806" t="s">
        <v>7871</v>
      </c>
      <c r="K122" s="855" t="s">
        <v>353</v>
      </c>
      <c r="L122" s="855" t="s">
        <v>7877</v>
      </c>
      <c r="M122" s="855" t="s">
        <v>1399</v>
      </c>
      <c r="N122" s="773" t="s">
        <v>8278</v>
      </c>
      <c r="O122" s="773" t="s">
        <v>8288</v>
      </c>
      <c r="P122" s="773" t="s">
        <v>8281</v>
      </c>
      <c r="Q122" s="773" t="s">
        <v>8280</v>
      </c>
      <c r="R122" s="855" t="s">
        <v>8524</v>
      </c>
      <c r="S122" s="773" t="s">
        <v>8279</v>
      </c>
      <c r="V122" s="773" t="e">
        <f t="shared" ca="1" si="99"/>
        <v>#N/A</v>
      </c>
      <c r="W122" s="773" t="b">
        <f t="shared" ca="1" si="100"/>
        <v>0</v>
      </c>
      <c r="X122" s="773">
        <f t="shared" ca="1" si="101"/>
        <v>0</v>
      </c>
      <c r="Y122" s="773" t="str">
        <f t="shared" ca="1" si="102"/>
        <v xml:space="preserve"> </v>
      </c>
      <c r="AA122" s="773" t="e">
        <f t="shared" ca="1" si="103"/>
        <v>#N/A</v>
      </c>
      <c r="AB122" s="773" t="b">
        <f t="shared" ca="1" si="104"/>
        <v>0</v>
      </c>
      <c r="AC122" s="773">
        <f t="shared" ca="1" si="105"/>
        <v>0</v>
      </c>
      <c r="AD122" s="773" t="str">
        <f t="shared" ca="1" si="106"/>
        <v xml:space="preserve"> </v>
      </c>
      <c r="AF122" s="773" t="e">
        <f t="shared" ca="1" si="107"/>
        <v>#N/A</v>
      </c>
      <c r="AG122" s="773" t="b">
        <f t="shared" ca="1" si="108"/>
        <v>0</v>
      </c>
      <c r="AH122" s="773">
        <f t="shared" ca="1" si="109"/>
        <v>0</v>
      </c>
      <c r="AI122" s="773" t="str">
        <f t="shared" ca="1" si="110"/>
        <v xml:space="preserve"> </v>
      </c>
      <c r="AJ122" s="773" t="str">
        <f t="shared" ca="1" si="111"/>
        <v>Thiên Hỷ</v>
      </c>
      <c r="AK122" s="773" t="b">
        <f t="shared" ca="1" si="112"/>
        <v>1</v>
      </c>
      <c r="AL122" s="773">
        <f t="shared" ca="1" si="113"/>
        <v>1</v>
      </c>
      <c r="AM122" s="773" t="str">
        <f t="shared" ca="1" si="114"/>
        <v>Thiên Hỷ</v>
      </c>
      <c r="AN122" s="773" t="str">
        <f t="shared" ca="1" si="115"/>
        <v>Phượng Các</v>
      </c>
      <c r="AO122" s="773" t="b">
        <f t="shared" ca="1" si="116"/>
        <v>1</v>
      </c>
      <c r="AP122" s="773">
        <f t="shared" ca="1" si="117"/>
        <v>1</v>
      </c>
      <c r="AQ122" s="773" t="str">
        <f t="shared" ca="1" si="118"/>
        <v>Phượng Các</v>
      </c>
      <c r="AR122" s="773" t="str">
        <f t="shared" ca="1" si="119"/>
        <v>Phi Liêm</v>
      </c>
      <c r="AS122" s="773" t="b">
        <f t="shared" ca="1" si="120"/>
        <v>1</v>
      </c>
      <c r="AT122" s="773">
        <f t="shared" ca="1" si="121"/>
        <v>1</v>
      </c>
      <c r="AU122" s="773" t="str">
        <f t="shared" ca="1" si="122"/>
        <v>Phi Liêm</v>
      </c>
      <c r="AV122" s="773" t="str">
        <f t="shared" ca="1" si="123"/>
        <v>Dưỡng</v>
      </c>
      <c r="AW122" s="773" t="b">
        <f t="shared" ca="1" si="124"/>
        <v>1</v>
      </c>
      <c r="AX122" s="773">
        <f t="shared" ca="1" si="125"/>
        <v>1</v>
      </c>
      <c r="AY122" s="773" t="str">
        <f t="shared" ca="1" si="126"/>
        <v>Dưỡng</v>
      </c>
      <c r="AZ122" s="773" t="e">
        <f t="shared" ca="1" si="127"/>
        <v>#N/A</v>
      </c>
      <c r="BA122" s="773" t="b">
        <f t="shared" ca="1" si="128"/>
        <v>0</v>
      </c>
      <c r="BB122" s="773">
        <f t="shared" ca="1" si="129"/>
        <v>0</v>
      </c>
      <c r="BC122" s="773" t="str">
        <f t="shared" ca="1" si="130"/>
        <v xml:space="preserve"> </v>
      </c>
      <c r="BD122" s="773" t="e">
        <f t="shared" ca="1" si="131"/>
        <v>#N/A</v>
      </c>
      <c r="BE122" s="773" t="b">
        <f t="shared" ca="1" si="132"/>
        <v>0</v>
      </c>
      <c r="BF122" s="773">
        <f t="shared" ca="1" si="133"/>
        <v>0</v>
      </c>
      <c r="BG122" s="773" t="str">
        <f t="shared" ca="1" si="134"/>
        <v xml:space="preserve"> </v>
      </c>
      <c r="BH122" s="773" t="str">
        <f t="shared" ca="1" si="135"/>
        <v>Thanh Long</v>
      </c>
      <c r="BI122" s="773" t="b">
        <f t="shared" ca="1" si="136"/>
        <v>1</v>
      </c>
      <c r="BJ122" s="773">
        <f t="shared" ca="1" si="137"/>
        <v>1</v>
      </c>
      <c r="BK122" s="773" t="str">
        <f t="shared" ca="1" si="138"/>
        <v>Thanh Long</v>
      </c>
      <c r="BL122" s="773" t="str">
        <f t="shared" ca="1" si="139"/>
        <v>Thiên Quan</v>
      </c>
      <c r="BM122" s="773" t="b">
        <f t="shared" ca="1" si="140"/>
        <v>1</v>
      </c>
      <c r="BN122" s="773">
        <f t="shared" ca="1" si="141"/>
        <v>1</v>
      </c>
      <c r="BO122" s="773" t="str">
        <f t="shared" ca="1" si="142"/>
        <v>Thiên Quan</v>
      </c>
      <c r="BP122" s="773" t="e">
        <f t="shared" ca="1" si="143"/>
        <v>#N/A</v>
      </c>
      <c r="BQ122" s="773" t="b">
        <f t="shared" ca="1" si="144"/>
        <v>0</v>
      </c>
      <c r="BR122" s="773">
        <f t="shared" ca="1" si="145"/>
        <v>0</v>
      </c>
      <c r="BS122" s="773" t="str">
        <f t="shared" ca="1" si="146"/>
        <v xml:space="preserve"> </v>
      </c>
      <c r="BX122" s="773">
        <v>2020</v>
      </c>
      <c r="BY122" s="773" t="s">
        <v>7899</v>
      </c>
    </row>
    <row r="123" spans="1:77">
      <c r="A123" s="934"/>
      <c r="B123" s="773">
        <v>2</v>
      </c>
      <c r="C123" s="773">
        <v>3</v>
      </c>
      <c r="D123" s="773">
        <v>4</v>
      </c>
      <c r="E123" s="773">
        <v>5</v>
      </c>
      <c r="F123" s="773">
        <v>6</v>
      </c>
      <c r="G123" s="773">
        <v>7</v>
      </c>
      <c r="H123" s="773">
        <v>8</v>
      </c>
      <c r="I123" s="773">
        <v>9</v>
      </c>
      <c r="J123" s="773">
        <v>10</v>
      </c>
      <c r="K123" s="773">
        <v>11</v>
      </c>
      <c r="L123" s="773">
        <v>12</v>
      </c>
      <c r="M123" s="773">
        <v>13</v>
      </c>
      <c r="N123" s="773">
        <v>14</v>
      </c>
      <c r="O123" s="773">
        <v>15</v>
      </c>
      <c r="P123" s="773">
        <v>16</v>
      </c>
      <c r="Q123" s="773">
        <v>17</v>
      </c>
      <c r="R123" s="773">
        <v>18</v>
      </c>
      <c r="S123" s="773" t="s">
        <v>8280</v>
      </c>
      <c r="V123" s="773" t="e">
        <f t="shared" ca="1" si="99"/>
        <v>#N/A</v>
      </c>
      <c r="W123" s="773" t="b">
        <f t="shared" ca="1" si="100"/>
        <v>0</v>
      </c>
      <c r="X123" s="773">
        <f t="shared" ca="1" si="101"/>
        <v>0</v>
      </c>
      <c r="Y123" s="773" t="str">
        <f t="shared" ca="1" si="102"/>
        <v xml:space="preserve"> </v>
      </c>
      <c r="AA123" s="773" t="e">
        <f t="shared" ca="1" si="103"/>
        <v>#N/A</v>
      </c>
      <c r="AB123" s="773" t="b">
        <f t="shared" ca="1" si="104"/>
        <v>0</v>
      </c>
      <c r="AC123" s="773">
        <f t="shared" ca="1" si="105"/>
        <v>0</v>
      </c>
      <c r="AD123" s="773" t="str">
        <f t="shared" ca="1" si="106"/>
        <v xml:space="preserve"> </v>
      </c>
      <c r="AF123" s="773" t="e">
        <f t="shared" ca="1" si="107"/>
        <v>#N/A</v>
      </c>
      <c r="AG123" s="773" t="b">
        <f t="shared" ca="1" si="108"/>
        <v>0</v>
      </c>
      <c r="AH123" s="773">
        <f t="shared" ca="1" si="109"/>
        <v>0</v>
      </c>
      <c r="AI123" s="773" t="str">
        <f t="shared" ca="1" si="110"/>
        <v xml:space="preserve"> </v>
      </c>
      <c r="AJ123" s="773" t="str">
        <f t="shared" ca="1" si="111"/>
        <v>Quan Đới</v>
      </c>
      <c r="AK123" s="773" t="b">
        <f t="shared" ca="1" si="112"/>
        <v>1</v>
      </c>
      <c r="AL123" s="773">
        <f t="shared" ca="1" si="113"/>
        <v>1</v>
      </c>
      <c r="AM123" s="773" t="str">
        <f t="shared" ca="1" si="114"/>
        <v>Quan Đới</v>
      </c>
      <c r="AN123" s="773" t="str">
        <f t="shared" ca="1" si="115"/>
        <v>Đường Phù</v>
      </c>
      <c r="AO123" s="773" t="b">
        <f t="shared" ca="1" si="116"/>
        <v>1</v>
      </c>
      <c r="AP123" s="773">
        <f t="shared" ca="1" si="117"/>
        <v>1</v>
      </c>
      <c r="AQ123" s="773" t="str">
        <f t="shared" ca="1" si="118"/>
        <v>Đường Phù</v>
      </c>
      <c r="AR123" s="773" t="e">
        <f t="shared" ca="1" si="119"/>
        <v>#N/A</v>
      </c>
      <c r="AS123" s="773" t="b">
        <f t="shared" ca="1" si="120"/>
        <v>0</v>
      </c>
      <c r="AT123" s="773">
        <f t="shared" ca="1" si="121"/>
        <v>0</v>
      </c>
      <c r="AU123" s="773" t="str">
        <f t="shared" ca="1" si="122"/>
        <v xml:space="preserve"> </v>
      </c>
      <c r="AV123" s="773" t="e">
        <f t="shared" ca="1" si="123"/>
        <v>#N/A</v>
      </c>
      <c r="AW123" s="773" t="b">
        <f t="shared" ca="1" si="124"/>
        <v>0</v>
      </c>
      <c r="AX123" s="773">
        <f t="shared" ca="1" si="125"/>
        <v>0</v>
      </c>
      <c r="AY123" s="773" t="str">
        <f t="shared" ca="1" si="126"/>
        <v xml:space="preserve"> </v>
      </c>
      <c r="AZ123" s="773" t="e">
        <f t="shared" ca="1" si="127"/>
        <v>#N/A</v>
      </c>
      <c r="BA123" s="773" t="b">
        <f t="shared" ca="1" si="128"/>
        <v>0</v>
      </c>
      <c r="BB123" s="773">
        <f t="shared" ca="1" si="129"/>
        <v>0</v>
      </c>
      <c r="BC123" s="773" t="str">
        <f t="shared" ca="1" si="130"/>
        <v xml:space="preserve"> </v>
      </c>
      <c r="BD123" s="773" t="e">
        <f t="shared" ca="1" si="131"/>
        <v>#N/A</v>
      </c>
      <c r="BE123" s="773" t="b">
        <f t="shared" ca="1" si="132"/>
        <v>0</v>
      </c>
      <c r="BF123" s="773">
        <f t="shared" ca="1" si="133"/>
        <v>0</v>
      </c>
      <c r="BG123" s="773" t="str">
        <f t="shared" ca="1" si="134"/>
        <v xml:space="preserve"> </v>
      </c>
      <c r="BH123" s="773" t="str">
        <f t="shared" ca="1" si="135"/>
        <v>Thiếu âm</v>
      </c>
      <c r="BI123" s="773" t="b">
        <f t="shared" ca="1" si="136"/>
        <v>1</v>
      </c>
      <c r="BJ123" s="773">
        <f t="shared" ca="1" si="137"/>
        <v>1</v>
      </c>
      <c r="BK123" s="773" t="str">
        <f t="shared" ca="1" si="138"/>
        <v>Thiếu âm</v>
      </c>
      <c r="BL123" s="773" t="str">
        <f t="shared" ca="1" si="139"/>
        <v>Hoa Cái</v>
      </c>
      <c r="BM123" s="773" t="b">
        <f t="shared" ca="1" si="140"/>
        <v>1</v>
      </c>
      <c r="BN123" s="773">
        <f t="shared" ca="1" si="141"/>
        <v>1</v>
      </c>
      <c r="BO123" s="773" t="str">
        <f t="shared" ca="1" si="142"/>
        <v>Hoa Cái</v>
      </c>
      <c r="BP123" s="773" t="e">
        <f t="shared" ca="1" si="143"/>
        <v>#N/A</v>
      </c>
      <c r="BQ123" s="773" t="b">
        <f t="shared" ca="1" si="144"/>
        <v>0</v>
      </c>
      <c r="BR123" s="773">
        <f t="shared" ca="1" si="145"/>
        <v>0</v>
      </c>
      <c r="BS123" s="773" t="str">
        <f t="shared" ca="1" si="146"/>
        <v xml:space="preserve"> </v>
      </c>
      <c r="BX123" s="773">
        <v>2021</v>
      </c>
      <c r="BY123" s="773" t="s">
        <v>7901</v>
      </c>
    </row>
    <row r="124" spans="1:77" ht="15">
      <c r="A124" s="855"/>
      <c r="B124" s="912" t="str">
        <f t="shared" ref="B124:R124" ca="1" si="147">VLOOKUP($F$17,$A$111:$R$122,B123,0)</f>
        <v>Hợi</v>
      </c>
      <c r="C124" s="912" t="str">
        <f t="shared" ca="1" si="147"/>
        <v>Tý</v>
      </c>
      <c r="D124" s="912" t="str">
        <f t="shared" ca="1" si="147"/>
        <v>Tuất</v>
      </c>
      <c r="E124" s="912" t="str">
        <f t="shared" ca="1" si="147"/>
        <v>Mùi</v>
      </c>
      <c r="F124" s="912" t="str">
        <f t="shared" ca="1" si="147"/>
        <v>Thìn</v>
      </c>
      <c r="G124" s="912" t="str">
        <f t="shared" ca="1" si="147"/>
        <v>Mão</v>
      </c>
      <c r="H124" s="912" t="str">
        <f t="shared" ca="1" si="147"/>
        <v>tỵ</v>
      </c>
      <c r="I124" s="912" t="str">
        <f t="shared" ca="1" si="147"/>
        <v>Tuất</v>
      </c>
      <c r="J124" s="912" t="str">
        <f t="shared" ca="1" si="147"/>
        <v>Ngọ</v>
      </c>
      <c r="K124" s="912" t="str">
        <f t="shared" ca="1" si="147"/>
        <v>Hợi</v>
      </c>
      <c r="L124" s="912" t="str">
        <f t="shared" ca="1" si="147"/>
        <v>Dậu</v>
      </c>
      <c r="M124" s="912" t="str">
        <f t="shared" ca="1" si="147"/>
        <v>Dậu</v>
      </c>
      <c r="N124" s="912" t="str">
        <f t="shared" ca="1" si="147"/>
        <v>Thiên Lương</v>
      </c>
      <c r="O124" s="912" t="str">
        <f t="shared" ca="1" si="147"/>
        <v xml:space="preserve">Tử Vi </v>
      </c>
      <c r="P124" s="912" t="str">
        <f t="shared" ca="1" si="147"/>
        <v>tả phù</v>
      </c>
      <c r="Q124" s="912" t="str">
        <f t="shared" ca="1" si="147"/>
        <v>Vũ Khúc</v>
      </c>
      <c r="R124" s="912" t="str">
        <f t="shared" ca="1" si="147"/>
        <v>Dần mão</v>
      </c>
      <c r="S124" s="773" t="s">
        <v>8281</v>
      </c>
      <c r="V124" s="773" t="e">
        <f t="shared" ca="1" si="99"/>
        <v>#N/A</v>
      </c>
      <c r="W124" s="773" t="b">
        <f t="shared" ca="1" si="100"/>
        <v>0</v>
      </c>
      <c r="X124" s="773">
        <f t="shared" ca="1" si="101"/>
        <v>0</v>
      </c>
      <c r="Y124" s="773" t="str">
        <f t="shared" ca="1" si="102"/>
        <v xml:space="preserve"> </v>
      </c>
      <c r="AA124" s="773" t="e">
        <f t="shared" ca="1" si="103"/>
        <v>#N/A</v>
      </c>
      <c r="AB124" s="773" t="b">
        <f t="shared" ca="1" si="104"/>
        <v>0</v>
      </c>
      <c r="AC124" s="773">
        <f t="shared" ca="1" si="105"/>
        <v>0</v>
      </c>
      <c r="AD124" s="773" t="str">
        <f t="shared" ca="1" si="106"/>
        <v xml:space="preserve"> </v>
      </c>
      <c r="AF124" s="773" t="e">
        <f t="shared" ca="1" si="107"/>
        <v>#N/A</v>
      </c>
      <c r="AG124" s="773" t="b">
        <f t="shared" ca="1" si="108"/>
        <v>0</v>
      </c>
      <c r="AH124" s="773">
        <f t="shared" ca="1" si="109"/>
        <v>0</v>
      </c>
      <c r="AI124" s="773" t="str">
        <f t="shared" ca="1" si="110"/>
        <v xml:space="preserve"> </v>
      </c>
      <c r="AJ124" s="773" t="e">
        <f t="shared" ca="1" si="111"/>
        <v>#N/A</v>
      </c>
      <c r="AK124" s="773" t="b">
        <f t="shared" ca="1" si="112"/>
        <v>0</v>
      </c>
      <c r="AL124" s="773">
        <f t="shared" ca="1" si="113"/>
        <v>0</v>
      </c>
      <c r="AM124" s="773" t="str">
        <f t="shared" ca="1" si="114"/>
        <v xml:space="preserve"> </v>
      </c>
      <c r="AN124" s="773" t="str">
        <f t="shared" ca="1" si="115"/>
        <v>Giải Thần</v>
      </c>
      <c r="AO124" s="773" t="b">
        <f t="shared" ca="1" si="116"/>
        <v>1</v>
      </c>
      <c r="AP124" s="773">
        <f t="shared" ca="1" si="117"/>
        <v>1</v>
      </c>
      <c r="AQ124" s="773" t="str">
        <f t="shared" ca="1" si="118"/>
        <v>Giải Thần</v>
      </c>
      <c r="AR124" s="773" t="e">
        <f t="shared" ca="1" si="119"/>
        <v>#N/A</v>
      </c>
      <c r="AS124" s="773" t="b">
        <f t="shared" ca="1" si="120"/>
        <v>0</v>
      </c>
      <c r="AT124" s="773">
        <f t="shared" ca="1" si="121"/>
        <v>0</v>
      </c>
      <c r="AU124" s="773" t="str">
        <f t="shared" ca="1" si="122"/>
        <v xml:space="preserve"> </v>
      </c>
      <c r="AV124" s="773" t="e">
        <f t="shared" ca="1" si="123"/>
        <v>#N/A</v>
      </c>
      <c r="AW124" s="773" t="b">
        <f t="shared" ca="1" si="124"/>
        <v>0</v>
      </c>
      <c r="AX124" s="773">
        <f t="shared" ca="1" si="125"/>
        <v>0</v>
      </c>
      <c r="AY124" s="773" t="str">
        <f t="shared" ca="1" si="126"/>
        <v xml:space="preserve"> </v>
      </c>
      <c r="AZ124" s="773" t="e">
        <f t="shared" ca="1" si="127"/>
        <v>#N/A</v>
      </c>
      <c r="BA124" s="773" t="b">
        <f t="shared" ca="1" si="128"/>
        <v>0</v>
      </c>
      <c r="BB124" s="773">
        <f t="shared" ca="1" si="129"/>
        <v>0</v>
      </c>
      <c r="BC124" s="773" t="str">
        <f t="shared" ca="1" si="130"/>
        <v xml:space="preserve"> </v>
      </c>
      <c r="BD124" s="773" t="e">
        <f t="shared" ca="1" si="131"/>
        <v>#N/A</v>
      </c>
      <c r="BE124" s="773" t="b">
        <f t="shared" ca="1" si="132"/>
        <v>0</v>
      </c>
      <c r="BF124" s="773">
        <f t="shared" ca="1" si="133"/>
        <v>0</v>
      </c>
      <c r="BG124" s="773" t="str">
        <f t="shared" ca="1" si="134"/>
        <v xml:space="preserve"> </v>
      </c>
      <c r="BH124" s="773" t="e">
        <f t="shared" ca="1" si="135"/>
        <v>#N/A</v>
      </c>
      <c r="BI124" s="773" t="b">
        <f t="shared" ca="1" si="136"/>
        <v>0</v>
      </c>
      <c r="BJ124" s="773">
        <f t="shared" ca="1" si="137"/>
        <v>0</v>
      </c>
      <c r="BK124" s="773" t="str">
        <f t="shared" ca="1" si="138"/>
        <v xml:space="preserve"> </v>
      </c>
      <c r="BL124" s="773" t="str">
        <f t="shared" ca="1" si="139"/>
        <v>Lực Sỹ</v>
      </c>
      <c r="BM124" s="773" t="b">
        <f t="shared" ca="1" si="140"/>
        <v>1</v>
      </c>
      <c r="BN124" s="773">
        <f t="shared" ca="1" si="141"/>
        <v>1</v>
      </c>
      <c r="BO124" s="773" t="str">
        <f t="shared" ca="1" si="142"/>
        <v>Lực Sỹ</v>
      </c>
      <c r="BP124" s="773" t="e">
        <f t="shared" ca="1" si="143"/>
        <v>#N/A</v>
      </c>
      <c r="BQ124" s="773" t="b">
        <f t="shared" ca="1" si="144"/>
        <v>0</v>
      </c>
      <c r="BR124" s="773">
        <f t="shared" ca="1" si="145"/>
        <v>0</v>
      </c>
      <c r="BS124" s="773" t="str">
        <f t="shared" ca="1" si="146"/>
        <v xml:space="preserve"> </v>
      </c>
      <c r="BX124" s="773">
        <v>2022</v>
      </c>
      <c r="BY124" s="773" t="s">
        <v>7903</v>
      </c>
    </row>
    <row r="125" spans="1:77" ht="15">
      <c r="A125" s="855"/>
      <c r="N125" s="912" t="str">
        <f ca="1">VLOOKUP(N124,$Q$4:$AG$21,17,0)</f>
        <v>Thìn</v>
      </c>
      <c r="O125" s="912" t="str">
        <f ca="1">VLOOKUP(O124,$Q$4:$AG$21,17,0)</f>
        <v>tỵ</v>
      </c>
      <c r="P125" s="912" t="str">
        <f ca="1">VLOOKUP(P124,$Q$4:$AG$21,17,0)</f>
        <v>Thìn</v>
      </c>
      <c r="Q125" s="912" t="str">
        <f ca="1">VLOOKUP(Q124,$Q$4:$AG$21,17,0)</f>
        <v>Sửu</v>
      </c>
      <c r="S125" s="773" t="s">
        <v>8283</v>
      </c>
      <c r="V125" s="773" t="e">
        <f t="shared" ca="1" si="99"/>
        <v>#N/A</v>
      </c>
      <c r="W125" s="773" t="b">
        <f t="shared" ca="1" si="100"/>
        <v>0</v>
      </c>
      <c r="X125" s="773">
        <f t="shared" ca="1" si="101"/>
        <v>0</v>
      </c>
      <c r="Y125" s="773" t="str">
        <f t="shared" ca="1" si="102"/>
        <v xml:space="preserve"> </v>
      </c>
      <c r="AA125" s="773" t="e">
        <f t="shared" ca="1" si="103"/>
        <v>#N/A</v>
      </c>
      <c r="AB125" s="773" t="b">
        <f t="shared" ca="1" si="104"/>
        <v>0</v>
      </c>
      <c r="AC125" s="773">
        <f t="shared" ca="1" si="105"/>
        <v>0</v>
      </c>
      <c r="AD125" s="773" t="str">
        <f t="shared" ca="1" si="106"/>
        <v xml:space="preserve"> </v>
      </c>
      <c r="AF125" s="773" t="e">
        <f t="shared" ca="1" si="107"/>
        <v>#N/A</v>
      </c>
      <c r="AG125" s="773" t="b">
        <f t="shared" ca="1" si="108"/>
        <v>0</v>
      </c>
      <c r="AH125" s="773">
        <f t="shared" ca="1" si="109"/>
        <v>0</v>
      </c>
      <c r="AI125" s="773" t="str">
        <f t="shared" ca="1" si="110"/>
        <v xml:space="preserve"> </v>
      </c>
      <c r="AJ125" s="773" t="e">
        <f t="shared" ca="1" si="111"/>
        <v>#N/A</v>
      </c>
      <c r="AK125" s="773" t="b">
        <f t="shared" ca="1" si="112"/>
        <v>0</v>
      </c>
      <c r="AL125" s="773">
        <f t="shared" ca="1" si="113"/>
        <v>0</v>
      </c>
      <c r="AM125" s="773" t="str">
        <f t="shared" ca="1" si="114"/>
        <v xml:space="preserve"> </v>
      </c>
      <c r="AN125" s="773" t="str">
        <f t="shared" ca="1" si="115"/>
        <v>Mộc Dục</v>
      </c>
      <c r="AO125" s="773" t="b">
        <f t="shared" ca="1" si="116"/>
        <v>1</v>
      </c>
      <c r="AP125" s="773">
        <f t="shared" ca="1" si="117"/>
        <v>1</v>
      </c>
      <c r="AQ125" s="773" t="str">
        <f t="shared" ca="1" si="118"/>
        <v>Mộc Dục</v>
      </c>
      <c r="AR125" s="773" t="e">
        <f t="shared" ca="1" si="119"/>
        <v>#N/A</v>
      </c>
      <c r="AS125" s="773" t="b">
        <f t="shared" ca="1" si="120"/>
        <v>0</v>
      </c>
      <c r="AT125" s="773">
        <f t="shared" ca="1" si="121"/>
        <v>0</v>
      </c>
      <c r="AU125" s="773" t="str">
        <f t="shared" ca="1" si="122"/>
        <v xml:space="preserve"> </v>
      </c>
      <c r="AV125" s="773" t="e">
        <f t="shared" ca="1" si="123"/>
        <v>#N/A</v>
      </c>
      <c r="AW125" s="773" t="b">
        <f t="shared" ca="1" si="124"/>
        <v>0</v>
      </c>
      <c r="AX125" s="773">
        <f t="shared" ca="1" si="125"/>
        <v>0</v>
      </c>
      <c r="AY125" s="773" t="str">
        <f t="shared" ca="1" si="126"/>
        <v xml:space="preserve"> </v>
      </c>
      <c r="AZ125" s="773" t="e">
        <f t="shared" ca="1" si="127"/>
        <v>#N/A</v>
      </c>
      <c r="BA125" s="773" t="b">
        <f t="shared" ca="1" si="128"/>
        <v>0</v>
      </c>
      <c r="BB125" s="773">
        <f t="shared" ca="1" si="129"/>
        <v>0</v>
      </c>
      <c r="BC125" s="773" t="str">
        <f t="shared" ca="1" si="130"/>
        <v xml:space="preserve"> </v>
      </c>
      <c r="BD125" s="773" t="e">
        <f t="shared" ca="1" si="131"/>
        <v>#N/A</v>
      </c>
      <c r="BE125" s="773" t="b">
        <f t="shared" ca="1" si="132"/>
        <v>0</v>
      </c>
      <c r="BF125" s="773">
        <f t="shared" ca="1" si="133"/>
        <v>0</v>
      </c>
      <c r="BG125" s="773" t="str">
        <f t="shared" ca="1" si="134"/>
        <v xml:space="preserve"> </v>
      </c>
      <c r="BH125" s="773" t="e">
        <f t="shared" ca="1" si="135"/>
        <v>#N/A</v>
      </c>
      <c r="BI125" s="773" t="b">
        <f t="shared" ca="1" si="136"/>
        <v>0</v>
      </c>
      <c r="BJ125" s="773">
        <f t="shared" ca="1" si="137"/>
        <v>0</v>
      </c>
      <c r="BK125" s="773" t="str">
        <f t="shared" ca="1" si="138"/>
        <v xml:space="preserve"> </v>
      </c>
      <c r="BL125" s="773" t="e">
        <f t="shared" ca="1" si="139"/>
        <v>#N/A</v>
      </c>
      <c r="BM125" s="773" t="b">
        <f t="shared" ca="1" si="140"/>
        <v>0</v>
      </c>
      <c r="BN125" s="773">
        <f t="shared" ca="1" si="141"/>
        <v>0</v>
      </c>
      <c r="BO125" s="773" t="str">
        <f t="shared" ca="1" si="142"/>
        <v xml:space="preserve"> </v>
      </c>
      <c r="BP125" s="773" t="e">
        <f t="shared" ca="1" si="143"/>
        <v>#N/A</v>
      </c>
      <c r="BQ125" s="773" t="b">
        <f t="shared" ca="1" si="144"/>
        <v>0</v>
      </c>
      <c r="BR125" s="773">
        <f t="shared" ca="1" si="145"/>
        <v>0</v>
      </c>
      <c r="BS125" s="773" t="str">
        <f t="shared" ca="1" si="146"/>
        <v xml:space="preserve"> </v>
      </c>
      <c r="BX125" s="773">
        <v>2023</v>
      </c>
      <c r="BY125" s="773" t="s">
        <v>7904</v>
      </c>
    </row>
    <row r="126" spans="1:77">
      <c r="A126" s="934" t="s">
        <v>8525</v>
      </c>
      <c r="S126" s="773" t="s">
        <v>8285</v>
      </c>
      <c r="V126" s="773" t="e">
        <f t="shared" ca="1" si="99"/>
        <v>#N/A</v>
      </c>
      <c r="W126" s="773" t="b">
        <f t="shared" ca="1" si="100"/>
        <v>0</v>
      </c>
      <c r="X126" s="773">
        <f t="shared" ca="1" si="101"/>
        <v>0</v>
      </c>
      <c r="Y126" s="773" t="str">
        <f t="shared" ca="1" si="102"/>
        <v xml:space="preserve"> </v>
      </c>
      <c r="AA126" s="773" t="e">
        <f t="shared" ca="1" si="103"/>
        <v>#N/A</v>
      </c>
      <c r="AB126" s="773" t="b">
        <f t="shared" ca="1" si="104"/>
        <v>0</v>
      </c>
      <c r="AC126" s="773">
        <f t="shared" ca="1" si="105"/>
        <v>0</v>
      </c>
      <c r="AD126" s="773" t="str">
        <f t="shared" ca="1" si="106"/>
        <v xml:space="preserve"> </v>
      </c>
      <c r="AF126" s="773" t="e">
        <f t="shared" ca="1" si="107"/>
        <v>#N/A</v>
      </c>
      <c r="AG126" s="773" t="b">
        <f t="shared" ca="1" si="108"/>
        <v>0</v>
      </c>
      <c r="AH126" s="773">
        <f t="shared" ca="1" si="109"/>
        <v>0</v>
      </c>
      <c r="AI126" s="773" t="str">
        <f t="shared" ca="1" si="110"/>
        <v xml:space="preserve"> </v>
      </c>
      <c r="AJ126" s="773" t="e">
        <f t="shared" ca="1" si="111"/>
        <v>#N/A</v>
      </c>
      <c r="AK126" s="773" t="b">
        <f t="shared" ca="1" si="112"/>
        <v>0</v>
      </c>
      <c r="AL126" s="773">
        <f t="shared" ca="1" si="113"/>
        <v>0</v>
      </c>
      <c r="AM126" s="773" t="str">
        <f t="shared" ca="1" si="114"/>
        <v xml:space="preserve"> </v>
      </c>
      <c r="AN126" s="773" t="str">
        <f t="shared" ca="1" si="115"/>
        <v>Hỷ Thần</v>
      </c>
      <c r="AO126" s="773" t="b">
        <f t="shared" ca="1" si="116"/>
        <v>1</v>
      </c>
      <c r="AP126" s="773">
        <f t="shared" ca="1" si="117"/>
        <v>1</v>
      </c>
      <c r="AQ126" s="773" t="str">
        <f t="shared" ca="1" si="118"/>
        <v>Hỷ Thần</v>
      </c>
      <c r="AR126" s="773" t="e">
        <f t="shared" ca="1" si="119"/>
        <v>#N/A</v>
      </c>
      <c r="AS126" s="773" t="b">
        <f t="shared" ca="1" si="120"/>
        <v>0</v>
      </c>
      <c r="AT126" s="773">
        <f t="shared" ca="1" si="121"/>
        <v>0</v>
      </c>
      <c r="AU126" s="773" t="str">
        <f t="shared" ca="1" si="122"/>
        <v xml:space="preserve"> </v>
      </c>
      <c r="AV126" s="773" t="e">
        <f t="shared" ca="1" si="123"/>
        <v>#N/A</v>
      </c>
      <c r="AW126" s="773" t="b">
        <f t="shared" ca="1" si="124"/>
        <v>0</v>
      </c>
      <c r="AX126" s="773">
        <f t="shared" ca="1" si="125"/>
        <v>0</v>
      </c>
      <c r="AY126" s="773" t="str">
        <f t="shared" ca="1" si="126"/>
        <v xml:space="preserve"> </v>
      </c>
      <c r="AZ126" s="773" t="e">
        <f t="shared" ca="1" si="127"/>
        <v>#N/A</v>
      </c>
      <c r="BA126" s="773" t="b">
        <f t="shared" ca="1" si="128"/>
        <v>0</v>
      </c>
      <c r="BB126" s="773">
        <f t="shared" ca="1" si="129"/>
        <v>0</v>
      </c>
      <c r="BC126" s="773" t="str">
        <f t="shared" ca="1" si="130"/>
        <v xml:space="preserve"> </v>
      </c>
      <c r="BD126" s="773" t="e">
        <f t="shared" ca="1" si="131"/>
        <v>#N/A</v>
      </c>
      <c r="BE126" s="773" t="b">
        <f t="shared" ca="1" si="132"/>
        <v>0</v>
      </c>
      <c r="BF126" s="773">
        <f t="shared" ca="1" si="133"/>
        <v>0</v>
      </c>
      <c r="BG126" s="773" t="str">
        <f t="shared" ca="1" si="134"/>
        <v xml:space="preserve"> </v>
      </c>
      <c r="BH126" s="773" t="e">
        <f t="shared" ca="1" si="135"/>
        <v>#N/A</v>
      </c>
      <c r="BI126" s="773" t="b">
        <f t="shared" ca="1" si="136"/>
        <v>0</v>
      </c>
      <c r="BJ126" s="773">
        <f t="shared" ca="1" si="137"/>
        <v>0</v>
      </c>
      <c r="BK126" s="773" t="str">
        <f t="shared" ca="1" si="138"/>
        <v xml:space="preserve"> </v>
      </c>
      <c r="BL126" s="773" t="e">
        <f t="shared" ca="1" si="139"/>
        <v>#N/A</v>
      </c>
      <c r="BM126" s="773" t="b">
        <f t="shared" ca="1" si="140"/>
        <v>0</v>
      </c>
      <c r="BN126" s="773">
        <f t="shared" ca="1" si="141"/>
        <v>0</v>
      </c>
      <c r="BO126" s="773" t="str">
        <f t="shared" ca="1" si="142"/>
        <v xml:space="preserve"> </v>
      </c>
      <c r="BP126" s="773" t="e">
        <f t="shared" ca="1" si="143"/>
        <v>#N/A</v>
      </c>
      <c r="BQ126" s="773" t="b">
        <f t="shared" ca="1" si="144"/>
        <v>0</v>
      </c>
      <c r="BR126" s="773">
        <f t="shared" ca="1" si="145"/>
        <v>0</v>
      </c>
      <c r="BS126" s="773" t="str">
        <f t="shared" ca="1" si="146"/>
        <v xml:space="preserve"> </v>
      </c>
      <c r="BX126" s="773">
        <v>2024</v>
      </c>
      <c r="BY126" s="773" t="s">
        <v>7905</v>
      </c>
    </row>
    <row r="127" spans="1:77" ht="14.25" customHeight="1">
      <c r="A127" s="935" t="s">
        <v>459</v>
      </c>
      <c r="B127" s="935" t="s">
        <v>8526</v>
      </c>
      <c r="C127" s="935" t="s">
        <v>8527</v>
      </c>
      <c r="D127" s="935" t="s">
        <v>1478</v>
      </c>
      <c r="E127" s="935" t="s">
        <v>8310</v>
      </c>
      <c r="F127" s="935" t="s">
        <v>8310</v>
      </c>
      <c r="G127" s="935" t="s">
        <v>8310</v>
      </c>
      <c r="H127" s="935" t="s">
        <v>8528</v>
      </c>
      <c r="I127" s="935" t="s">
        <v>8529</v>
      </c>
      <c r="J127" s="935" t="s">
        <v>8310</v>
      </c>
      <c r="K127" s="935" t="s">
        <v>8530</v>
      </c>
      <c r="L127" s="935" t="s">
        <v>8531</v>
      </c>
      <c r="M127" s="935" t="s">
        <v>8532</v>
      </c>
      <c r="N127" s="935" t="s">
        <v>8310</v>
      </c>
      <c r="O127" s="935" t="s">
        <v>6668</v>
      </c>
      <c r="P127" s="935" t="s">
        <v>8533</v>
      </c>
      <c r="Q127" s="935" t="s">
        <v>8316</v>
      </c>
      <c r="R127" s="935" t="s">
        <v>8310</v>
      </c>
      <c r="S127" s="773" t="s">
        <v>8286</v>
      </c>
      <c r="V127" s="773" t="e">
        <f t="shared" ca="1" si="99"/>
        <v>#N/A</v>
      </c>
      <c r="W127" s="773" t="b">
        <f t="shared" ca="1" si="100"/>
        <v>0</v>
      </c>
      <c r="X127" s="773">
        <f t="shared" ca="1" si="101"/>
        <v>0</v>
      </c>
      <c r="Y127" s="773" t="str">
        <f t="shared" ca="1" si="102"/>
        <v xml:space="preserve"> </v>
      </c>
      <c r="AA127" s="773" t="e">
        <f t="shared" ca="1" si="103"/>
        <v>#N/A</v>
      </c>
      <c r="AB127" s="773" t="b">
        <f t="shared" ca="1" si="104"/>
        <v>0</v>
      </c>
      <c r="AC127" s="773">
        <f t="shared" ca="1" si="105"/>
        <v>0</v>
      </c>
      <c r="AD127" s="773" t="str">
        <f t="shared" ca="1" si="106"/>
        <v xml:space="preserve"> </v>
      </c>
      <c r="AF127" s="773" t="e">
        <f t="shared" ca="1" si="107"/>
        <v>#N/A</v>
      </c>
      <c r="AG127" s="773" t="b">
        <f t="shared" ca="1" si="108"/>
        <v>0</v>
      </c>
      <c r="AH127" s="773">
        <f t="shared" ca="1" si="109"/>
        <v>0</v>
      </c>
      <c r="AI127" s="773" t="str">
        <f t="shared" ca="1" si="110"/>
        <v xml:space="preserve"> </v>
      </c>
      <c r="AJ127" s="773" t="e">
        <f t="shared" ca="1" si="111"/>
        <v>#N/A</v>
      </c>
      <c r="AK127" s="773" t="b">
        <f t="shared" ca="1" si="112"/>
        <v>0</v>
      </c>
      <c r="AL127" s="773">
        <f t="shared" ca="1" si="113"/>
        <v>0</v>
      </c>
      <c r="AM127" s="773" t="str">
        <f t="shared" ca="1" si="114"/>
        <v xml:space="preserve"> </v>
      </c>
      <c r="AN127" s="773" t="str">
        <f t="shared" ca="1" si="115"/>
        <v>Thiên Tài</v>
      </c>
      <c r="AO127" s="773" t="b">
        <f t="shared" ca="1" si="116"/>
        <v>1</v>
      </c>
      <c r="AP127" s="773">
        <f t="shared" ca="1" si="117"/>
        <v>1</v>
      </c>
      <c r="AQ127" s="773" t="str">
        <f t="shared" ca="1" si="118"/>
        <v>Thiên Tài</v>
      </c>
      <c r="AR127" s="773" t="e">
        <f t="shared" ca="1" si="119"/>
        <v>#N/A</v>
      </c>
      <c r="AS127" s="773" t="b">
        <f t="shared" ca="1" si="120"/>
        <v>0</v>
      </c>
      <c r="AT127" s="773">
        <f t="shared" ca="1" si="121"/>
        <v>0</v>
      </c>
      <c r="AU127" s="773" t="str">
        <f t="shared" ca="1" si="122"/>
        <v xml:space="preserve"> </v>
      </c>
      <c r="AV127" s="773" t="e">
        <f t="shared" ca="1" si="123"/>
        <v>#N/A</v>
      </c>
      <c r="AW127" s="773" t="b">
        <f t="shared" ca="1" si="124"/>
        <v>0</v>
      </c>
      <c r="AX127" s="773">
        <f t="shared" ca="1" si="125"/>
        <v>0</v>
      </c>
      <c r="AY127" s="773" t="str">
        <f t="shared" ca="1" si="126"/>
        <v xml:space="preserve"> </v>
      </c>
      <c r="AZ127" s="773" t="e">
        <f t="shared" ca="1" si="127"/>
        <v>#N/A</v>
      </c>
      <c r="BA127" s="773" t="b">
        <f t="shared" ca="1" si="128"/>
        <v>0</v>
      </c>
      <c r="BB127" s="773">
        <f t="shared" ca="1" si="129"/>
        <v>0</v>
      </c>
      <c r="BC127" s="773" t="str">
        <f t="shared" ca="1" si="130"/>
        <v xml:space="preserve"> </v>
      </c>
      <c r="BD127" s="773" t="e">
        <f t="shared" ca="1" si="131"/>
        <v>#N/A</v>
      </c>
      <c r="BE127" s="773" t="b">
        <f t="shared" ca="1" si="132"/>
        <v>0</v>
      </c>
      <c r="BF127" s="773">
        <f t="shared" ca="1" si="133"/>
        <v>0</v>
      </c>
      <c r="BG127" s="773" t="str">
        <f t="shared" ca="1" si="134"/>
        <v xml:space="preserve"> </v>
      </c>
      <c r="BH127" s="773" t="e">
        <f t="shared" ca="1" si="135"/>
        <v>#N/A</v>
      </c>
      <c r="BI127" s="773" t="b">
        <f t="shared" ca="1" si="136"/>
        <v>0</v>
      </c>
      <c r="BJ127" s="773">
        <f t="shared" ca="1" si="137"/>
        <v>0</v>
      </c>
      <c r="BK127" s="773" t="str">
        <f t="shared" ca="1" si="138"/>
        <v xml:space="preserve"> </v>
      </c>
      <c r="BL127" s="773" t="e">
        <f t="shared" ca="1" si="139"/>
        <v>#N/A</v>
      </c>
      <c r="BM127" s="773" t="b">
        <f t="shared" ca="1" si="140"/>
        <v>0</v>
      </c>
      <c r="BN127" s="773">
        <f t="shared" ca="1" si="141"/>
        <v>0</v>
      </c>
      <c r="BO127" s="773" t="str">
        <f t="shared" ca="1" si="142"/>
        <v xml:space="preserve"> </v>
      </c>
      <c r="BP127" s="773" t="e">
        <f t="shared" ca="1" si="143"/>
        <v>#N/A</v>
      </c>
      <c r="BQ127" s="773" t="b">
        <f t="shared" ca="1" si="144"/>
        <v>0</v>
      </c>
      <c r="BR127" s="773">
        <f t="shared" ca="1" si="145"/>
        <v>0</v>
      </c>
      <c r="BS127" s="773" t="str">
        <f t="shared" ca="1" si="146"/>
        <v xml:space="preserve"> </v>
      </c>
      <c r="BX127" s="773">
        <v>2025</v>
      </c>
      <c r="BY127" s="773" t="s">
        <v>7906</v>
      </c>
    </row>
    <row r="128" spans="1:77" ht="14.25" customHeight="1">
      <c r="A128" s="935" t="s">
        <v>8467</v>
      </c>
      <c r="B128" s="935" t="s">
        <v>8534</v>
      </c>
      <c r="C128" s="935" t="s">
        <v>8535</v>
      </c>
      <c r="D128" s="935" t="s">
        <v>8536</v>
      </c>
      <c r="E128" s="935" t="s">
        <v>8537</v>
      </c>
      <c r="F128" s="935" t="s">
        <v>8538</v>
      </c>
      <c r="G128" s="935" t="s">
        <v>8539</v>
      </c>
      <c r="H128" s="935" t="s">
        <v>8539</v>
      </c>
      <c r="I128" s="935" t="s">
        <v>8540</v>
      </c>
      <c r="J128" s="935" t="s">
        <v>8541</v>
      </c>
      <c r="K128" s="935" t="s">
        <v>8536</v>
      </c>
      <c r="L128" s="935" t="s">
        <v>8542</v>
      </c>
      <c r="M128" s="935" t="s">
        <v>8533</v>
      </c>
      <c r="N128" s="935" t="s">
        <v>8543</v>
      </c>
      <c r="O128" s="935" t="s">
        <v>8544</v>
      </c>
      <c r="P128" s="935" t="s">
        <v>8545</v>
      </c>
      <c r="Q128" s="935" t="s">
        <v>8546</v>
      </c>
      <c r="R128" s="935" t="s">
        <v>8267</v>
      </c>
      <c r="S128" s="773" t="s">
        <v>8287</v>
      </c>
      <c r="V128" s="773" t="e">
        <f t="shared" ca="1" si="99"/>
        <v>#N/A</v>
      </c>
      <c r="W128" s="773" t="b">
        <f t="shared" ca="1" si="100"/>
        <v>0</v>
      </c>
      <c r="X128" s="773">
        <f t="shared" ca="1" si="101"/>
        <v>0</v>
      </c>
      <c r="Y128" s="773" t="str">
        <f t="shared" ca="1" si="102"/>
        <v xml:space="preserve"> </v>
      </c>
      <c r="AA128" s="773" t="e">
        <f t="shared" ca="1" si="103"/>
        <v>#N/A</v>
      </c>
      <c r="AB128" s="773" t="b">
        <f t="shared" ca="1" si="104"/>
        <v>0</v>
      </c>
      <c r="AC128" s="773">
        <f t="shared" ca="1" si="105"/>
        <v>0</v>
      </c>
      <c r="AD128" s="773" t="str">
        <f t="shared" ca="1" si="106"/>
        <v xml:space="preserve"> </v>
      </c>
      <c r="AF128" s="773" t="e">
        <f t="shared" ca="1" si="107"/>
        <v>#N/A</v>
      </c>
      <c r="AG128" s="773" t="b">
        <f t="shared" ca="1" si="108"/>
        <v>0</v>
      </c>
      <c r="AH128" s="773">
        <f t="shared" ca="1" si="109"/>
        <v>0</v>
      </c>
      <c r="AI128" s="773" t="str">
        <f t="shared" ca="1" si="110"/>
        <v xml:space="preserve"> </v>
      </c>
      <c r="AJ128" s="773" t="e">
        <f t="shared" ca="1" si="111"/>
        <v>#N/A</v>
      </c>
      <c r="AK128" s="773" t="b">
        <f t="shared" ca="1" si="112"/>
        <v>0</v>
      </c>
      <c r="AL128" s="773">
        <f t="shared" ca="1" si="113"/>
        <v>0</v>
      </c>
      <c r="AM128" s="773" t="str">
        <f t="shared" ca="1" si="114"/>
        <v xml:space="preserve"> </v>
      </c>
      <c r="AN128" s="773" t="e">
        <f t="shared" ca="1" si="115"/>
        <v>#N/A</v>
      </c>
      <c r="AO128" s="773" t="b">
        <f t="shared" ca="1" si="116"/>
        <v>0</v>
      </c>
      <c r="AP128" s="773">
        <f t="shared" ca="1" si="117"/>
        <v>0</v>
      </c>
      <c r="AQ128" s="773" t="str">
        <f t="shared" ca="1" si="118"/>
        <v xml:space="preserve"> </v>
      </c>
      <c r="AR128" s="773" t="e">
        <f t="shared" ca="1" si="119"/>
        <v>#N/A</v>
      </c>
      <c r="AS128" s="773" t="b">
        <f t="shared" ca="1" si="120"/>
        <v>0</v>
      </c>
      <c r="AT128" s="773">
        <f t="shared" ca="1" si="121"/>
        <v>0</v>
      </c>
      <c r="AU128" s="773" t="str">
        <f t="shared" ca="1" si="122"/>
        <v xml:space="preserve"> </v>
      </c>
      <c r="AV128" s="773" t="e">
        <f t="shared" ca="1" si="123"/>
        <v>#N/A</v>
      </c>
      <c r="AW128" s="773" t="b">
        <f t="shared" ca="1" si="124"/>
        <v>0</v>
      </c>
      <c r="AX128" s="773">
        <f t="shared" ca="1" si="125"/>
        <v>0</v>
      </c>
      <c r="AY128" s="773" t="str">
        <f t="shared" ca="1" si="126"/>
        <v xml:space="preserve"> </v>
      </c>
      <c r="AZ128" s="773" t="e">
        <f t="shared" ca="1" si="127"/>
        <v>#N/A</v>
      </c>
      <c r="BA128" s="773" t="b">
        <f t="shared" ca="1" si="128"/>
        <v>0</v>
      </c>
      <c r="BB128" s="773">
        <f t="shared" ca="1" si="129"/>
        <v>0</v>
      </c>
      <c r="BC128" s="773" t="str">
        <f t="shared" ca="1" si="130"/>
        <v xml:space="preserve"> </v>
      </c>
      <c r="BD128" s="773" t="e">
        <f t="shared" ca="1" si="131"/>
        <v>#N/A</v>
      </c>
      <c r="BE128" s="773" t="b">
        <f t="shared" ca="1" si="132"/>
        <v>0</v>
      </c>
      <c r="BF128" s="773">
        <f t="shared" ca="1" si="133"/>
        <v>0</v>
      </c>
      <c r="BG128" s="773" t="str">
        <f t="shared" ca="1" si="134"/>
        <v xml:space="preserve"> </v>
      </c>
      <c r="BH128" s="773" t="e">
        <f t="shared" ca="1" si="135"/>
        <v>#N/A</v>
      </c>
      <c r="BI128" s="773" t="b">
        <f t="shared" ca="1" si="136"/>
        <v>0</v>
      </c>
      <c r="BJ128" s="773">
        <f t="shared" ca="1" si="137"/>
        <v>0</v>
      </c>
      <c r="BK128" s="773" t="str">
        <f t="shared" ca="1" si="138"/>
        <v xml:space="preserve"> </v>
      </c>
      <c r="BL128" s="773" t="e">
        <f t="shared" ca="1" si="139"/>
        <v>#N/A</v>
      </c>
      <c r="BM128" s="773" t="b">
        <f t="shared" ca="1" si="140"/>
        <v>0</v>
      </c>
      <c r="BN128" s="773">
        <f t="shared" ca="1" si="141"/>
        <v>0</v>
      </c>
      <c r="BO128" s="773" t="str">
        <f t="shared" ca="1" si="142"/>
        <v xml:space="preserve"> </v>
      </c>
      <c r="BP128" s="773" t="e">
        <f t="shared" ca="1" si="143"/>
        <v>#N/A</v>
      </c>
      <c r="BQ128" s="773" t="b">
        <f t="shared" ca="1" si="144"/>
        <v>0</v>
      </c>
      <c r="BR128" s="773">
        <f t="shared" ca="1" si="145"/>
        <v>0</v>
      </c>
      <c r="BS128" s="773" t="str">
        <f t="shared" ca="1" si="146"/>
        <v xml:space="preserve"> </v>
      </c>
      <c r="BX128" s="773">
        <v>2026</v>
      </c>
      <c r="BY128" s="773" t="s">
        <v>7907</v>
      </c>
    </row>
    <row r="129" spans="1:77" ht="14.25" customHeight="1">
      <c r="A129" s="806" t="s">
        <v>6548</v>
      </c>
      <c r="B129" s="855" t="s">
        <v>505</v>
      </c>
      <c r="C129" s="855" t="s">
        <v>9299</v>
      </c>
      <c r="D129" s="855" t="s">
        <v>9299</v>
      </c>
      <c r="E129" s="855" t="s">
        <v>506</v>
      </c>
      <c r="F129" s="855" t="s">
        <v>506</v>
      </c>
      <c r="G129" s="855" t="s">
        <v>9298</v>
      </c>
      <c r="H129" s="806" t="s">
        <v>7871</v>
      </c>
      <c r="I129" s="855" t="s">
        <v>1399</v>
      </c>
      <c r="J129" s="855" t="s">
        <v>9298</v>
      </c>
      <c r="K129" s="855" t="s">
        <v>353</v>
      </c>
      <c r="L129" s="855" t="s">
        <v>9299</v>
      </c>
      <c r="M129" s="855" t="s">
        <v>9298</v>
      </c>
      <c r="N129" s="855" t="s">
        <v>353</v>
      </c>
      <c r="O129" s="806" t="s">
        <v>7871</v>
      </c>
      <c r="P129" s="855" t="s">
        <v>505</v>
      </c>
      <c r="Q129" s="806" t="s">
        <v>7871</v>
      </c>
      <c r="R129" s="855" t="s">
        <v>9301</v>
      </c>
      <c r="S129" s="773" t="s">
        <v>8288</v>
      </c>
      <c r="V129" s="912">
        <v>1</v>
      </c>
      <c r="Y129" s="912">
        <v>2</v>
      </c>
      <c r="AB129" s="773">
        <v>3</v>
      </c>
      <c r="AE129" s="773">
        <v>4</v>
      </c>
      <c r="AH129" s="773">
        <v>5</v>
      </c>
      <c r="AK129" s="773">
        <v>6</v>
      </c>
      <c r="AN129" s="773">
        <v>7</v>
      </c>
      <c r="AQ129" s="773">
        <v>8</v>
      </c>
      <c r="AT129" s="773">
        <v>9</v>
      </c>
      <c r="AW129" s="773">
        <v>10</v>
      </c>
      <c r="AZ129" s="773">
        <v>11</v>
      </c>
      <c r="BC129" s="773">
        <v>12</v>
      </c>
      <c r="BX129" s="773">
        <v>2027</v>
      </c>
      <c r="BY129" s="773" t="s">
        <v>7908</v>
      </c>
    </row>
    <row r="130" spans="1:77" ht="12.75" customHeight="1">
      <c r="A130" s="806" t="s">
        <v>7875</v>
      </c>
      <c r="B130" s="806" t="s">
        <v>7871</v>
      </c>
      <c r="C130" s="855" t="s">
        <v>9298</v>
      </c>
      <c r="D130" s="855" t="s">
        <v>9298</v>
      </c>
      <c r="E130" s="806" t="s">
        <v>7871</v>
      </c>
      <c r="F130" s="855" t="s">
        <v>507</v>
      </c>
      <c r="G130" s="855" t="s">
        <v>9299</v>
      </c>
      <c r="H130" s="855" t="s">
        <v>506</v>
      </c>
      <c r="I130" s="855" t="s">
        <v>353</v>
      </c>
      <c r="J130" s="855" t="s">
        <v>9297</v>
      </c>
      <c r="K130" s="855" t="s">
        <v>353</v>
      </c>
      <c r="L130" s="855" t="s">
        <v>9299</v>
      </c>
      <c r="M130" s="855" t="s">
        <v>506</v>
      </c>
      <c r="N130" s="855" t="s">
        <v>9300</v>
      </c>
      <c r="O130" s="855" t="s">
        <v>353</v>
      </c>
      <c r="P130" s="855" t="s">
        <v>9301</v>
      </c>
      <c r="Q130" s="855" t="s">
        <v>9301</v>
      </c>
      <c r="R130" s="855" t="s">
        <v>353</v>
      </c>
      <c r="V130" s="773">
        <f t="shared" ref="V130:V139" si="148">IF($N$49=R64,1,0)</f>
        <v>0</v>
      </c>
      <c r="W130" s="773">
        <f>IF(V130=1,1,0)</f>
        <v>0</v>
      </c>
      <c r="X130" s="773">
        <f t="shared" ref="X130:X139" si="149">IF(V130=1,W130,0)</f>
        <v>0</v>
      </c>
      <c r="Y130" s="773">
        <f t="shared" ref="Y130:Y139" si="150">IF($N$50=R64,1,0)</f>
        <v>0</v>
      </c>
      <c r="Z130" s="773">
        <f>IF(Y130=1,1,0)</f>
        <v>0</v>
      </c>
      <c r="AA130" s="773">
        <f t="shared" ref="AA130:AA139" si="151">IF(Y130=1,Z130,0)</f>
        <v>0</v>
      </c>
      <c r="AB130" s="773">
        <f t="shared" ref="AB130:AB139" si="152">IF($N$51=R64,1,0)</f>
        <v>0</v>
      </c>
      <c r="AC130" s="773">
        <f>IF(AB130=1,1,0)</f>
        <v>0</v>
      </c>
      <c r="AD130" s="773">
        <f t="shared" ref="AD130:AD139" si="153">IF(AB130=1,AC130,0)</f>
        <v>0</v>
      </c>
      <c r="AE130" s="773">
        <f t="shared" ref="AE130:AE139" si="154">IF($N$52=R64,1,0)</f>
        <v>1</v>
      </c>
      <c r="AF130" s="773">
        <f>IF(AE130=1,1,0)</f>
        <v>1</v>
      </c>
      <c r="AG130" s="773">
        <f t="shared" ref="AG130:AG139" si="155">IF(AE130=1,AF130,0)</f>
        <v>1</v>
      </c>
      <c r="AH130" s="773">
        <f t="shared" ref="AH130:AH139" si="156">IF($N$53=R64,1,0)</f>
        <v>0</v>
      </c>
      <c r="AI130" s="773">
        <f>IF(AH130=1,1,0)</f>
        <v>0</v>
      </c>
      <c r="AJ130" s="773">
        <f t="shared" ref="AJ130:AJ139" si="157">IF(AH130=1,AI130,0)</f>
        <v>0</v>
      </c>
      <c r="AK130" s="773">
        <f t="shared" ref="AK130:AK139" si="158">IF($N$54=R64,1,0)</f>
        <v>0</v>
      </c>
      <c r="AL130" s="773">
        <f>IF(AK130=1,1,0)</f>
        <v>0</v>
      </c>
      <c r="AM130" s="773">
        <f t="shared" ref="AM130:AM139" si="159">IF(AK130=1,AL130,0)</f>
        <v>0</v>
      </c>
      <c r="AN130" s="773">
        <f t="shared" ref="AN130:AN139" si="160">IF($N$55=R64,1,0)</f>
        <v>0</v>
      </c>
      <c r="AO130" s="773">
        <f>IF(AN130=1,1,0)</f>
        <v>0</v>
      </c>
      <c r="AP130" s="773">
        <f t="shared" ref="AP130:AP139" si="161">IF(AN130=1,AO130,0)</f>
        <v>0</v>
      </c>
      <c r="AQ130" s="773">
        <f t="shared" ref="AQ130:AQ139" si="162">IF($N$56=R64,1,0)</f>
        <v>0</v>
      </c>
      <c r="AR130" s="773">
        <f>IF(AQ130=1,1,0)</f>
        <v>0</v>
      </c>
      <c r="AS130" s="773">
        <f t="shared" ref="AS130:AS139" si="163">IF(AQ130=1,AR130,0)</f>
        <v>0</v>
      </c>
      <c r="AT130" s="773">
        <f t="shared" ref="AT130:AT139" si="164">IF($N$57=R64,1,0)</f>
        <v>0</v>
      </c>
      <c r="AU130" s="773">
        <f>IF(AT130=1,1,0)</f>
        <v>0</v>
      </c>
      <c r="AV130" s="773">
        <f t="shared" ref="AV130:AV139" si="165">IF(AT130=1,AU130,0)</f>
        <v>0</v>
      </c>
      <c r="AW130" s="773">
        <f t="shared" ref="AW130:AW139" si="166">IF($N$58=R64,1,0)</f>
        <v>0</v>
      </c>
      <c r="AX130" s="773">
        <f>IF(AW130=1,1,0)</f>
        <v>0</v>
      </c>
      <c r="AY130" s="773">
        <f t="shared" ref="AY130:AY139" si="167">IF(AW130=1,AX130,0)</f>
        <v>0</v>
      </c>
      <c r="AZ130" s="773">
        <f t="shared" ref="AZ130:AZ139" si="168">IF($N$59=R64,1,0)</f>
        <v>0</v>
      </c>
      <c r="BA130" s="773">
        <f>IF(AZ130=1,1,0)</f>
        <v>0</v>
      </c>
      <c r="BB130" s="773">
        <f t="shared" ref="BB130:BB139" si="169">IF(AZ130=1,BA130,0)</f>
        <v>0</v>
      </c>
      <c r="BC130" s="773">
        <f t="shared" ref="BC130:BC139" si="170">IF($N$60=R64,1,0)</f>
        <v>0</v>
      </c>
      <c r="BD130" s="773">
        <f>IF(BC130=1,1,0)</f>
        <v>0</v>
      </c>
      <c r="BE130" s="773">
        <f t="shared" ref="BE130:BE139" si="171">IF(BC130=1,BD130,0)</f>
        <v>0</v>
      </c>
      <c r="BF130" s="787" t="s">
        <v>8547</v>
      </c>
      <c r="BX130" s="773">
        <v>2028</v>
      </c>
      <c r="BY130" s="773" t="s">
        <v>7909</v>
      </c>
    </row>
    <row r="131" spans="1:77" ht="12.75" customHeight="1">
      <c r="A131" s="806" t="s">
        <v>7874</v>
      </c>
      <c r="B131" s="855" t="s">
        <v>506</v>
      </c>
      <c r="C131" s="855" t="s">
        <v>9297</v>
      </c>
      <c r="D131" s="855" t="s">
        <v>9297</v>
      </c>
      <c r="E131" s="855" t="s">
        <v>505</v>
      </c>
      <c r="F131" s="855" t="s">
        <v>9297</v>
      </c>
      <c r="G131" s="855" t="s">
        <v>9300</v>
      </c>
      <c r="H131" s="855" t="s">
        <v>507</v>
      </c>
      <c r="I131" s="855" t="s">
        <v>9301</v>
      </c>
      <c r="J131" s="855" t="s">
        <v>507</v>
      </c>
      <c r="K131" s="806" t="s">
        <v>7871</v>
      </c>
      <c r="L131" s="855" t="s">
        <v>9301</v>
      </c>
      <c r="M131" s="855" t="s">
        <v>1399</v>
      </c>
      <c r="N131" s="855" t="s">
        <v>9297</v>
      </c>
      <c r="O131" s="855" t="s">
        <v>9300</v>
      </c>
      <c r="P131" s="855" t="s">
        <v>9299</v>
      </c>
      <c r="Q131" s="855" t="s">
        <v>9298</v>
      </c>
      <c r="R131" s="855" t="s">
        <v>1399</v>
      </c>
      <c r="V131" s="773">
        <f t="shared" si="148"/>
        <v>0</v>
      </c>
      <c r="W131" s="773">
        <f t="shared" ref="W131:W139" si="172">IF(V131=1,W130+1,W130)</f>
        <v>0</v>
      </c>
      <c r="X131" s="773">
        <f t="shared" si="149"/>
        <v>0</v>
      </c>
      <c r="Y131" s="773">
        <f t="shared" si="150"/>
        <v>0</v>
      </c>
      <c r="Z131" s="773">
        <f t="shared" ref="Z131:Z139" si="173">IF(Y131=1,Z130+1,Z130)</f>
        <v>0</v>
      </c>
      <c r="AA131" s="773">
        <f t="shared" si="151"/>
        <v>0</v>
      </c>
      <c r="AB131" s="773">
        <f t="shared" si="152"/>
        <v>0</v>
      </c>
      <c r="AC131" s="773">
        <f t="shared" ref="AC131:AC139" si="174">IF(AB131=1,AC130+1,AC130)</f>
        <v>0</v>
      </c>
      <c r="AD131" s="773">
        <f t="shared" si="153"/>
        <v>0</v>
      </c>
      <c r="AE131" s="773">
        <f t="shared" si="154"/>
        <v>0</v>
      </c>
      <c r="AF131" s="773">
        <f t="shared" ref="AF131:AF139" si="175">IF(AE131=1,AF130+1,AF130)</f>
        <v>1</v>
      </c>
      <c r="AG131" s="773">
        <f t="shared" si="155"/>
        <v>0</v>
      </c>
      <c r="AH131" s="773">
        <f t="shared" si="156"/>
        <v>0</v>
      </c>
      <c r="AI131" s="773">
        <f t="shared" ref="AI131:AI139" si="176">IF(AH131=1,AI130+1,AI130)</f>
        <v>0</v>
      </c>
      <c r="AJ131" s="773">
        <f t="shared" si="157"/>
        <v>0</v>
      </c>
      <c r="AK131" s="773">
        <f t="shared" si="158"/>
        <v>0</v>
      </c>
      <c r="AL131" s="773">
        <f t="shared" ref="AL131:AL139" si="177">IF(AK131=1,AL130+1,AL130)</f>
        <v>0</v>
      </c>
      <c r="AM131" s="773">
        <f t="shared" si="159"/>
        <v>0</v>
      </c>
      <c r="AN131" s="773">
        <f t="shared" si="160"/>
        <v>0</v>
      </c>
      <c r="AO131" s="773">
        <f t="shared" ref="AO131:AO139" si="178">IF(AN131=1,AO130+1,AO130)</f>
        <v>0</v>
      </c>
      <c r="AP131" s="773">
        <f t="shared" si="161"/>
        <v>0</v>
      </c>
      <c r="AQ131" s="773">
        <f t="shared" si="162"/>
        <v>0</v>
      </c>
      <c r="AR131" s="773">
        <f t="shared" ref="AR131:AR139" si="179">IF(AQ131=1,AR130+1,AR130)</f>
        <v>0</v>
      </c>
      <c r="AS131" s="773">
        <f t="shared" si="163"/>
        <v>0</v>
      </c>
      <c r="AT131" s="773">
        <f t="shared" si="164"/>
        <v>0</v>
      </c>
      <c r="AU131" s="773">
        <f t="shared" ref="AU131:AU139" si="180">IF(AT131=1,AU130+1,AU130)</f>
        <v>0</v>
      </c>
      <c r="AV131" s="773">
        <f t="shared" si="165"/>
        <v>0</v>
      </c>
      <c r="AW131" s="773">
        <f t="shared" si="166"/>
        <v>1</v>
      </c>
      <c r="AX131" s="773">
        <f t="shared" ref="AX131:AX139" si="181">IF(AW131=1,AX130+1,AX130)</f>
        <v>1</v>
      </c>
      <c r="AY131" s="773">
        <f t="shared" si="167"/>
        <v>1</v>
      </c>
      <c r="AZ131" s="773">
        <f t="shared" si="168"/>
        <v>0</v>
      </c>
      <c r="BA131" s="773">
        <f t="shared" ref="BA131:BA139" si="182">IF(AZ131=1,BA130+1,BA130)</f>
        <v>0</v>
      </c>
      <c r="BB131" s="773">
        <f t="shared" si="169"/>
        <v>0</v>
      </c>
      <c r="BC131" s="773">
        <f t="shared" si="170"/>
        <v>0</v>
      </c>
      <c r="BD131" s="773">
        <f t="shared" ref="BD131:BD139" si="183">IF(BC131=1,BD130+1,BD130)</f>
        <v>0</v>
      </c>
      <c r="BE131" s="773">
        <f t="shared" si="171"/>
        <v>0</v>
      </c>
      <c r="BF131" s="787" t="s">
        <v>8548</v>
      </c>
      <c r="BX131" s="773">
        <v>2029</v>
      </c>
      <c r="BY131" s="773" t="s">
        <v>7910</v>
      </c>
    </row>
    <row r="132" spans="1:77" ht="12.75" customHeight="1">
      <c r="A132" s="806" t="s">
        <v>7873</v>
      </c>
      <c r="B132" s="855" t="s">
        <v>507</v>
      </c>
      <c r="C132" s="855" t="s">
        <v>507</v>
      </c>
      <c r="D132" s="855" t="s">
        <v>507</v>
      </c>
      <c r="E132" s="855" t="s">
        <v>1399</v>
      </c>
      <c r="F132" s="855" t="s">
        <v>9298</v>
      </c>
      <c r="G132" s="855" t="s">
        <v>1402</v>
      </c>
      <c r="H132" s="855" t="s">
        <v>9297</v>
      </c>
      <c r="I132" s="855" t="s">
        <v>1402</v>
      </c>
      <c r="J132" s="855" t="s">
        <v>506</v>
      </c>
      <c r="K132" s="806" t="s">
        <v>7871</v>
      </c>
      <c r="L132" s="855" t="s">
        <v>9301</v>
      </c>
      <c r="M132" s="855" t="s">
        <v>1402</v>
      </c>
      <c r="N132" s="806" t="s">
        <v>7871</v>
      </c>
      <c r="O132" s="855" t="s">
        <v>9297</v>
      </c>
      <c r="P132" s="855" t="s">
        <v>507</v>
      </c>
      <c r="Q132" s="806" t="s">
        <v>7871</v>
      </c>
      <c r="R132" s="855" t="s">
        <v>505</v>
      </c>
      <c r="V132" s="773">
        <f t="shared" si="148"/>
        <v>0</v>
      </c>
      <c r="W132" s="773">
        <f t="shared" si="172"/>
        <v>0</v>
      </c>
      <c r="X132" s="773">
        <f t="shared" si="149"/>
        <v>0</v>
      </c>
      <c r="Y132" s="773">
        <f t="shared" si="150"/>
        <v>0</v>
      </c>
      <c r="Z132" s="773">
        <f t="shared" si="173"/>
        <v>0</v>
      </c>
      <c r="AA132" s="773">
        <f t="shared" si="151"/>
        <v>0</v>
      </c>
      <c r="AB132" s="773">
        <f t="shared" si="152"/>
        <v>0</v>
      </c>
      <c r="AC132" s="773">
        <f t="shared" si="174"/>
        <v>0</v>
      </c>
      <c r="AD132" s="773">
        <f t="shared" si="153"/>
        <v>0</v>
      </c>
      <c r="AE132" s="773">
        <f t="shared" si="154"/>
        <v>0</v>
      </c>
      <c r="AF132" s="773">
        <f t="shared" si="175"/>
        <v>1</v>
      </c>
      <c r="AG132" s="773">
        <f t="shared" si="155"/>
        <v>0</v>
      </c>
      <c r="AH132" s="773">
        <f t="shared" si="156"/>
        <v>0</v>
      </c>
      <c r="AI132" s="773">
        <f t="shared" si="176"/>
        <v>0</v>
      </c>
      <c r="AJ132" s="773">
        <f t="shared" si="157"/>
        <v>0</v>
      </c>
      <c r="AK132" s="773">
        <f t="shared" si="158"/>
        <v>0</v>
      </c>
      <c r="AL132" s="773">
        <f t="shared" si="177"/>
        <v>0</v>
      </c>
      <c r="AM132" s="773">
        <f t="shared" si="159"/>
        <v>0</v>
      </c>
      <c r="AN132" s="773">
        <f t="shared" si="160"/>
        <v>0</v>
      </c>
      <c r="AO132" s="773">
        <f t="shared" si="178"/>
        <v>0</v>
      </c>
      <c r="AP132" s="773">
        <f t="shared" si="161"/>
        <v>0</v>
      </c>
      <c r="AQ132" s="773">
        <f t="shared" si="162"/>
        <v>0</v>
      </c>
      <c r="AR132" s="773">
        <f t="shared" si="179"/>
        <v>0</v>
      </c>
      <c r="AS132" s="773">
        <f t="shared" si="163"/>
        <v>0</v>
      </c>
      <c r="AT132" s="773">
        <f t="shared" si="164"/>
        <v>0</v>
      </c>
      <c r="AU132" s="773">
        <f t="shared" si="180"/>
        <v>0</v>
      </c>
      <c r="AV132" s="773">
        <f t="shared" si="165"/>
        <v>0</v>
      </c>
      <c r="AW132" s="773">
        <f t="shared" si="166"/>
        <v>0</v>
      </c>
      <c r="AX132" s="773">
        <f t="shared" si="181"/>
        <v>1</v>
      </c>
      <c r="AY132" s="773">
        <f t="shared" si="167"/>
        <v>0</v>
      </c>
      <c r="AZ132" s="773">
        <f t="shared" si="168"/>
        <v>1</v>
      </c>
      <c r="BA132" s="773">
        <f t="shared" si="182"/>
        <v>1</v>
      </c>
      <c r="BB132" s="773">
        <f t="shared" si="169"/>
        <v>1</v>
      </c>
      <c r="BC132" s="773">
        <f t="shared" si="170"/>
        <v>0</v>
      </c>
      <c r="BD132" s="773">
        <f t="shared" si="183"/>
        <v>0</v>
      </c>
      <c r="BE132" s="773">
        <f t="shared" si="171"/>
        <v>0</v>
      </c>
      <c r="BF132" s="787" t="s">
        <v>8549</v>
      </c>
      <c r="BX132" s="773">
        <v>2030</v>
      </c>
      <c r="BY132" s="773" t="s">
        <v>7913</v>
      </c>
    </row>
    <row r="133" spans="1:77" ht="12.75" customHeight="1">
      <c r="A133" s="806" t="s">
        <v>7872</v>
      </c>
      <c r="B133" s="855" t="s">
        <v>9297</v>
      </c>
      <c r="C133" s="855" t="s">
        <v>506</v>
      </c>
      <c r="D133" s="855" t="s">
        <v>506</v>
      </c>
      <c r="E133" s="855" t="s">
        <v>353</v>
      </c>
      <c r="F133" s="855" t="s">
        <v>9299</v>
      </c>
      <c r="G133" s="855" t="s">
        <v>9301</v>
      </c>
      <c r="H133" s="855" t="s">
        <v>9298</v>
      </c>
      <c r="I133" s="855" t="s">
        <v>9300</v>
      </c>
      <c r="J133" s="806" t="s">
        <v>7871</v>
      </c>
      <c r="K133" s="806" t="s">
        <v>7871</v>
      </c>
      <c r="L133" s="855" t="s">
        <v>9301</v>
      </c>
      <c r="M133" s="855" t="s">
        <v>9298</v>
      </c>
      <c r="N133" s="855" t="s">
        <v>353</v>
      </c>
      <c r="O133" s="806" t="s">
        <v>7871</v>
      </c>
      <c r="P133" s="855" t="s">
        <v>505</v>
      </c>
      <c r="Q133" s="855" t="s">
        <v>9301</v>
      </c>
      <c r="R133" s="806" t="s">
        <v>7871</v>
      </c>
      <c r="V133" s="773">
        <f t="shared" si="148"/>
        <v>0</v>
      </c>
      <c r="W133" s="773">
        <f t="shared" si="172"/>
        <v>0</v>
      </c>
      <c r="X133" s="773">
        <f t="shared" si="149"/>
        <v>0</v>
      </c>
      <c r="Y133" s="773">
        <f t="shared" si="150"/>
        <v>0</v>
      </c>
      <c r="Z133" s="773">
        <f t="shared" si="173"/>
        <v>0</v>
      </c>
      <c r="AA133" s="773">
        <f t="shared" si="151"/>
        <v>0</v>
      </c>
      <c r="AB133" s="773">
        <f t="shared" si="152"/>
        <v>0</v>
      </c>
      <c r="AC133" s="773">
        <f t="shared" si="174"/>
        <v>0</v>
      </c>
      <c r="AD133" s="773">
        <f t="shared" si="153"/>
        <v>0</v>
      </c>
      <c r="AE133" s="773">
        <f t="shared" si="154"/>
        <v>0</v>
      </c>
      <c r="AF133" s="773">
        <f t="shared" si="175"/>
        <v>1</v>
      </c>
      <c r="AG133" s="773">
        <f t="shared" si="155"/>
        <v>0</v>
      </c>
      <c r="AH133" s="773">
        <f t="shared" si="156"/>
        <v>0</v>
      </c>
      <c r="AI133" s="773">
        <f t="shared" si="176"/>
        <v>0</v>
      </c>
      <c r="AJ133" s="773">
        <f t="shared" si="157"/>
        <v>0</v>
      </c>
      <c r="AK133" s="773">
        <f t="shared" si="158"/>
        <v>0</v>
      </c>
      <c r="AL133" s="773">
        <f t="shared" si="177"/>
        <v>0</v>
      </c>
      <c r="AM133" s="773">
        <f t="shared" si="159"/>
        <v>0</v>
      </c>
      <c r="AN133" s="773">
        <f t="shared" si="160"/>
        <v>0</v>
      </c>
      <c r="AO133" s="773">
        <f t="shared" si="178"/>
        <v>0</v>
      </c>
      <c r="AP133" s="773">
        <f t="shared" si="161"/>
        <v>0</v>
      </c>
      <c r="AQ133" s="773">
        <f t="shared" si="162"/>
        <v>0</v>
      </c>
      <c r="AR133" s="773">
        <f t="shared" si="179"/>
        <v>0</v>
      </c>
      <c r="AS133" s="773">
        <f t="shared" si="163"/>
        <v>0</v>
      </c>
      <c r="AT133" s="773">
        <f t="shared" si="164"/>
        <v>1</v>
      </c>
      <c r="AU133" s="773">
        <f t="shared" si="180"/>
        <v>1</v>
      </c>
      <c r="AV133" s="773">
        <f t="shared" si="165"/>
        <v>1</v>
      </c>
      <c r="AW133" s="773">
        <f t="shared" si="166"/>
        <v>0</v>
      </c>
      <c r="AX133" s="773">
        <f t="shared" si="181"/>
        <v>1</v>
      </c>
      <c r="AY133" s="773">
        <f t="shared" si="167"/>
        <v>0</v>
      </c>
      <c r="AZ133" s="773">
        <f t="shared" si="168"/>
        <v>0</v>
      </c>
      <c r="BA133" s="773">
        <f t="shared" si="182"/>
        <v>1</v>
      </c>
      <c r="BB133" s="773">
        <f t="shared" si="169"/>
        <v>0</v>
      </c>
      <c r="BC133" s="773">
        <f t="shared" si="170"/>
        <v>0</v>
      </c>
      <c r="BD133" s="773">
        <f t="shared" si="183"/>
        <v>0</v>
      </c>
      <c r="BE133" s="773">
        <f t="shared" si="171"/>
        <v>0</v>
      </c>
      <c r="BF133" s="787" t="s">
        <v>8550</v>
      </c>
      <c r="BX133" s="773">
        <v>2031</v>
      </c>
      <c r="BY133" s="773" t="s">
        <v>7914</v>
      </c>
    </row>
    <row r="134" spans="1:77" ht="12.75" customHeight="1">
      <c r="A134" s="806" t="s">
        <v>7871</v>
      </c>
      <c r="B134" s="855" t="s">
        <v>9298</v>
      </c>
      <c r="C134" s="806" t="s">
        <v>7871</v>
      </c>
      <c r="D134" s="806" t="s">
        <v>7871</v>
      </c>
      <c r="E134" s="855" t="s">
        <v>9301</v>
      </c>
      <c r="F134" s="855" t="s">
        <v>9300</v>
      </c>
      <c r="G134" s="855" t="s">
        <v>353</v>
      </c>
      <c r="H134" s="855" t="s">
        <v>9299</v>
      </c>
      <c r="I134" s="855" t="s">
        <v>9299</v>
      </c>
      <c r="J134" s="855" t="s">
        <v>505</v>
      </c>
      <c r="K134" s="855" t="s">
        <v>9297</v>
      </c>
      <c r="L134" s="855" t="s">
        <v>505</v>
      </c>
      <c r="M134" s="855" t="s">
        <v>506</v>
      </c>
      <c r="N134" s="855" t="s">
        <v>9300</v>
      </c>
      <c r="O134" s="855" t="s">
        <v>353</v>
      </c>
      <c r="P134" s="855" t="s">
        <v>9301</v>
      </c>
      <c r="Q134" s="855" t="s">
        <v>9298</v>
      </c>
      <c r="R134" s="855" t="s">
        <v>506</v>
      </c>
      <c r="V134" s="773">
        <f t="shared" si="148"/>
        <v>0</v>
      </c>
      <c r="W134" s="773">
        <f t="shared" si="172"/>
        <v>0</v>
      </c>
      <c r="X134" s="773">
        <f t="shared" si="149"/>
        <v>0</v>
      </c>
      <c r="Y134" s="773">
        <f t="shared" si="150"/>
        <v>0</v>
      </c>
      <c r="Z134" s="773">
        <f t="shared" si="173"/>
        <v>0</v>
      </c>
      <c r="AA134" s="773">
        <f t="shared" si="151"/>
        <v>0</v>
      </c>
      <c r="AB134" s="773">
        <f t="shared" si="152"/>
        <v>0</v>
      </c>
      <c r="AC134" s="773">
        <f t="shared" si="174"/>
        <v>0</v>
      </c>
      <c r="AD134" s="773">
        <f t="shared" si="153"/>
        <v>0</v>
      </c>
      <c r="AE134" s="773">
        <f t="shared" si="154"/>
        <v>1</v>
      </c>
      <c r="AF134" s="773">
        <f t="shared" si="175"/>
        <v>2</v>
      </c>
      <c r="AG134" s="773">
        <f t="shared" si="155"/>
        <v>2</v>
      </c>
      <c r="AH134" s="773">
        <f t="shared" si="156"/>
        <v>0</v>
      </c>
      <c r="AI134" s="773">
        <f t="shared" si="176"/>
        <v>0</v>
      </c>
      <c r="AJ134" s="773">
        <f t="shared" si="157"/>
        <v>0</v>
      </c>
      <c r="AK134" s="773">
        <f t="shared" si="158"/>
        <v>0</v>
      </c>
      <c r="AL134" s="773">
        <f t="shared" si="177"/>
        <v>0</v>
      </c>
      <c r="AM134" s="773">
        <f t="shared" si="159"/>
        <v>0</v>
      </c>
      <c r="AN134" s="773">
        <f t="shared" si="160"/>
        <v>0</v>
      </c>
      <c r="AO134" s="773">
        <f t="shared" si="178"/>
        <v>0</v>
      </c>
      <c r="AP134" s="773">
        <f t="shared" si="161"/>
        <v>0</v>
      </c>
      <c r="AQ134" s="773">
        <f t="shared" si="162"/>
        <v>0</v>
      </c>
      <c r="AR134" s="773">
        <f t="shared" si="179"/>
        <v>0</v>
      </c>
      <c r="AS134" s="773">
        <f t="shared" si="163"/>
        <v>0</v>
      </c>
      <c r="AT134" s="773">
        <f t="shared" si="164"/>
        <v>0</v>
      </c>
      <c r="AU134" s="773">
        <f t="shared" si="180"/>
        <v>1</v>
      </c>
      <c r="AV134" s="773">
        <f t="shared" si="165"/>
        <v>0</v>
      </c>
      <c r="AW134" s="773">
        <f t="shared" si="166"/>
        <v>0</v>
      </c>
      <c r="AX134" s="773">
        <f t="shared" si="181"/>
        <v>1</v>
      </c>
      <c r="AY134" s="773">
        <f t="shared" si="167"/>
        <v>0</v>
      </c>
      <c r="AZ134" s="773">
        <f t="shared" si="168"/>
        <v>0</v>
      </c>
      <c r="BA134" s="773">
        <f t="shared" si="182"/>
        <v>1</v>
      </c>
      <c r="BB134" s="773">
        <f t="shared" si="169"/>
        <v>0</v>
      </c>
      <c r="BC134" s="773">
        <f t="shared" si="170"/>
        <v>0</v>
      </c>
      <c r="BD134" s="773">
        <f t="shared" si="183"/>
        <v>0</v>
      </c>
      <c r="BE134" s="773">
        <f t="shared" si="171"/>
        <v>0</v>
      </c>
      <c r="BF134" s="787" t="s">
        <v>8551</v>
      </c>
      <c r="BX134" s="773">
        <v>2032</v>
      </c>
      <c r="BY134" s="773" t="s">
        <v>7915</v>
      </c>
    </row>
    <row r="135" spans="1:77" ht="12.75" customHeight="1">
      <c r="A135" s="806" t="s">
        <v>7883</v>
      </c>
      <c r="B135" s="855" t="s">
        <v>9299</v>
      </c>
      <c r="C135" s="855" t="s">
        <v>505</v>
      </c>
      <c r="D135" s="855" t="s">
        <v>505</v>
      </c>
      <c r="E135" s="855" t="s">
        <v>1402</v>
      </c>
      <c r="F135" s="855" t="s">
        <v>1402</v>
      </c>
      <c r="G135" s="855" t="s">
        <v>1399</v>
      </c>
      <c r="H135" s="855" t="s">
        <v>9300</v>
      </c>
      <c r="I135" s="855" t="s">
        <v>9298</v>
      </c>
      <c r="J135" s="855" t="s">
        <v>1399</v>
      </c>
      <c r="K135" s="855" t="s">
        <v>9297</v>
      </c>
      <c r="L135" s="855" t="s">
        <v>505</v>
      </c>
      <c r="M135" s="855" t="s">
        <v>1399</v>
      </c>
      <c r="N135" s="855" t="s">
        <v>9297</v>
      </c>
      <c r="O135" s="855" t="s">
        <v>9300</v>
      </c>
      <c r="P135" s="855" t="s">
        <v>9299</v>
      </c>
      <c r="Q135" s="806" t="s">
        <v>7871</v>
      </c>
      <c r="R135" s="855" t="s">
        <v>507</v>
      </c>
      <c r="V135" s="773">
        <f t="shared" si="148"/>
        <v>0</v>
      </c>
      <c r="W135" s="773">
        <f t="shared" si="172"/>
        <v>0</v>
      </c>
      <c r="X135" s="773">
        <f t="shared" si="149"/>
        <v>0</v>
      </c>
      <c r="Y135" s="773">
        <f t="shared" si="150"/>
        <v>0</v>
      </c>
      <c r="Z135" s="773">
        <f t="shared" si="173"/>
        <v>0</v>
      </c>
      <c r="AA135" s="773">
        <f t="shared" si="151"/>
        <v>0</v>
      </c>
      <c r="AB135" s="773">
        <f t="shared" si="152"/>
        <v>0</v>
      </c>
      <c r="AC135" s="773">
        <f t="shared" si="174"/>
        <v>0</v>
      </c>
      <c r="AD135" s="773">
        <f t="shared" si="153"/>
        <v>0</v>
      </c>
      <c r="AE135" s="773">
        <f t="shared" si="154"/>
        <v>0</v>
      </c>
      <c r="AF135" s="773">
        <f t="shared" si="175"/>
        <v>2</v>
      </c>
      <c r="AG135" s="773">
        <f t="shared" si="155"/>
        <v>0</v>
      </c>
      <c r="AH135" s="773">
        <f t="shared" si="156"/>
        <v>0</v>
      </c>
      <c r="AI135" s="773">
        <f t="shared" si="176"/>
        <v>0</v>
      </c>
      <c r="AJ135" s="773">
        <f t="shared" si="157"/>
        <v>0</v>
      </c>
      <c r="AK135" s="773">
        <f t="shared" si="158"/>
        <v>0</v>
      </c>
      <c r="AL135" s="773">
        <f t="shared" si="177"/>
        <v>0</v>
      </c>
      <c r="AM135" s="773">
        <f t="shared" si="159"/>
        <v>0</v>
      </c>
      <c r="AN135" s="773">
        <f t="shared" si="160"/>
        <v>0</v>
      </c>
      <c r="AO135" s="773">
        <f t="shared" si="178"/>
        <v>0</v>
      </c>
      <c r="AP135" s="773">
        <f t="shared" si="161"/>
        <v>0</v>
      </c>
      <c r="AQ135" s="773">
        <f t="shared" si="162"/>
        <v>0</v>
      </c>
      <c r="AR135" s="773">
        <f t="shared" si="179"/>
        <v>0</v>
      </c>
      <c r="AS135" s="773">
        <f t="shared" si="163"/>
        <v>0</v>
      </c>
      <c r="AT135" s="773">
        <f t="shared" si="164"/>
        <v>0</v>
      </c>
      <c r="AU135" s="773">
        <f t="shared" si="180"/>
        <v>1</v>
      </c>
      <c r="AV135" s="773">
        <f t="shared" si="165"/>
        <v>0</v>
      </c>
      <c r="AW135" s="773">
        <f t="shared" si="166"/>
        <v>1</v>
      </c>
      <c r="AX135" s="773">
        <f t="shared" si="181"/>
        <v>2</v>
      </c>
      <c r="AY135" s="773">
        <f t="shared" si="167"/>
        <v>2</v>
      </c>
      <c r="AZ135" s="773">
        <f t="shared" si="168"/>
        <v>0</v>
      </c>
      <c r="BA135" s="773">
        <f t="shared" si="182"/>
        <v>1</v>
      </c>
      <c r="BB135" s="773">
        <f t="shared" si="169"/>
        <v>0</v>
      </c>
      <c r="BC135" s="773">
        <f t="shared" si="170"/>
        <v>0</v>
      </c>
      <c r="BD135" s="773">
        <f t="shared" si="183"/>
        <v>0</v>
      </c>
      <c r="BE135" s="773">
        <f t="shared" si="171"/>
        <v>0</v>
      </c>
      <c r="BF135" s="787" t="s">
        <v>8552</v>
      </c>
      <c r="BX135" s="773">
        <v>2033</v>
      </c>
      <c r="BY135" s="773" t="s">
        <v>7916</v>
      </c>
    </row>
    <row r="136" spans="1:77" ht="30">
      <c r="A136" s="806" t="s">
        <v>7882</v>
      </c>
      <c r="B136" s="855" t="s">
        <v>9300</v>
      </c>
      <c r="C136" s="855" t="s">
        <v>1399</v>
      </c>
      <c r="D136" s="855" t="s">
        <v>1399</v>
      </c>
      <c r="E136" s="855" t="s">
        <v>9300</v>
      </c>
      <c r="F136" s="855" t="s">
        <v>9301</v>
      </c>
      <c r="G136" s="855" t="s">
        <v>505</v>
      </c>
      <c r="H136" s="855" t="s">
        <v>1402</v>
      </c>
      <c r="I136" s="855" t="s">
        <v>9297</v>
      </c>
      <c r="J136" s="855" t="s">
        <v>353</v>
      </c>
      <c r="K136" s="855" t="s">
        <v>9297</v>
      </c>
      <c r="L136" s="855" t="s">
        <v>505</v>
      </c>
      <c r="M136" s="855" t="s">
        <v>1402</v>
      </c>
      <c r="N136" s="806" t="s">
        <v>7871</v>
      </c>
      <c r="O136" s="855" t="s">
        <v>9297</v>
      </c>
      <c r="P136" s="855" t="s">
        <v>507</v>
      </c>
      <c r="Q136" s="855" t="s">
        <v>9301</v>
      </c>
      <c r="R136" s="855" t="s">
        <v>9297</v>
      </c>
      <c r="V136" s="773">
        <f t="shared" si="148"/>
        <v>0</v>
      </c>
      <c r="W136" s="773">
        <f t="shared" si="172"/>
        <v>0</v>
      </c>
      <c r="X136" s="773">
        <f t="shared" si="149"/>
        <v>0</v>
      </c>
      <c r="Y136" s="773">
        <f t="shared" si="150"/>
        <v>0</v>
      </c>
      <c r="Z136" s="773">
        <f t="shared" si="173"/>
        <v>0</v>
      </c>
      <c r="AA136" s="773">
        <f t="shared" si="151"/>
        <v>0</v>
      </c>
      <c r="AB136" s="773">
        <f t="shared" si="152"/>
        <v>0</v>
      </c>
      <c r="AC136" s="773">
        <f t="shared" si="174"/>
        <v>0</v>
      </c>
      <c r="AD136" s="773">
        <f t="shared" si="153"/>
        <v>0</v>
      </c>
      <c r="AE136" s="773">
        <f t="shared" si="154"/>
        <v>0</v>
      </c>
      <c r="AF136" s="773">
        <f t="shared" si="175"/>
        <v>2</v>
      </c>
      <c r="AG136" s="773">
        <f t="shared" si="155"/>
        <v>0</v>
      </c>
      <c r="AH136" s="773">
        <f t="shared" si="156"/>
        <v>0</v>
      </c>
      <c r="AI136" s="773">
        <f t="shared" si="176"/>
        <v>0</v>
      </c>
      <c r="AJ136" s="773">
        <f t="shared" si="157"/>
        <v>0</v>
      </c>
      <c r="AK136" s="773">
        <f t="shared" si="158"/>
        <v>1</v>
      </c>
      <c r="AL136" s="773">
        <f t="shared" si="177"/>
        <v>1</v>
      </c>
      <c r="AM136" s="773">
        <f t="shared" si="159"/>
        <v>1</v>
      </c>
      <c r="AN136" s="773">
        <f t="shared" si="160"/>
        <v>0</v>
      </c>
      <c r="AO136" s="773">
        <f t="shared" si="178"/>
        <v>0</v>
      </c>
      <c r="AP136" s="773">
        <f t="shared" si="161"/>
        <v>0</v>
      </c>
      <c r="AQ136" s="773">
        <f t="shared" si="162"/>
        <v>0</v>
      </c>
      <c r="AR136" s="773">
        <f t="shared" si="179"/>
        <v>0</v>
      </c>
      <c r="AS136" s="773">
        <f t="shared" si="163"/>
        <v>0</v>
      </c>
      <c r="AT136" s="773">
        <f t="shared" si="164"/>
        <v>0</v>
      </c>
      <c r="AU136" s="773">
        <f t="shared" si="180"/>
        <v>1</v>
      </c>
      <c r="AV136" s="773">
        <f t="shared" si="165"/>
        <v>0</v>
      </c>
      <c r="AW136" s="773">
        <f t="shared" si="166"/>
        <v>0</v>
      </c>
      <c r="AX136" s="773">
        <f t="shared" si="181"/>
        <v>2</v>
      </c>
      <c r="AY136" s="773">
        <f t="shared" si="167"/>
        <v>0</v>
      </c>
      <c r="AZ136" s="773">
        <f t="shared" si="168"/>
        <v>0</v>
      </c>
      <c r="BA136" s="773">
        <f t="shared" si="182"/>
        <v>1</v>
      </c>
      <c r="BB136" s="773">
        <f t="shared" si="169"/>
        <v>0</v>
      </c>
      <c r="BC136" s="773">
        <f t="shared" si="170"/>
        <v>0</v>
      </c>
      <c r="BD136" s="773">
        <f t="shared" si="183"/>
        <v>0</v>
      </c>
      <c r="BE136" s="773">
        <f t="shared" si="171"/>
        <v>0</v>
      </c>
      <c r="BF136" s="787" t="s">
        <v>8553</v>
      </c>
      <c r="BX136" s="773">
        <v>2034</v>
      </c>
      <c r="BY136" s="773" t="s">
        <v>7917</v>
      </c>
    </row>
    <row r="137" spans="1:77" ht="15">
      <c r="A137" s="806" t="s">
        <v>7887</v>
      </c>
      <c r="B137" s="855" t="s">
        <v>1402</v>
      </c>
      <c r="C137" s="855" t="s">
        <v>353</v>
      </c>
      <c r="D137" s="855" t="s">
        <v>353</v>
      </c>
      <c r="E137" s="855" t="s">
        <v>9299</v>
      </c>
      <c r="F137" s="855" t="s">
        <v>353</v>
      </c>
      <c r="G137" s="806" t="s">
        <v>7871</v>
      </c>
      <c r="H137" s="855" t="s">
        <v>9301</v>
      </c>
      <c r="I137" s="855" t="s">
        <v>507</v>
      </c>
      <c r="J137" s="855" t="s">
        <v>9301</v>
      </c>
      <c r="K137" s="855" t="s">
        <v>9300</v>
      </c>
      <c r="L137" s="855" t="s">
        <v>507</v>
      </c>
      <c r="M137" s="855" t="s">
        <v>9298</v>
      </c>
      <c r="N137" s="855" t="s">
        <v>353</v>
      </c>
      <c r="O137" s="806" t="s">
        <v>7871</v>
      </c>
      <c r="P137" s="855" t="s">
        <v>505</v>
      </c>
      <c r="Q137" s="855" t="s">
        <v>9298</v>
      </c>
      <c r="R137" s="855" t="s">
        <v>9298</v>
      </c>
      <c r="V137" s="773">
        <f t="shared" si="148"/>
        <v>0</v>
      </c>
      <c r="W137" s="773">
        <f t="shared" si="172"/>
        <v>0</v>
      </c>
      <c r="X137" s="773">
        <f t="shared" si="149"/>
        <v>0</v>
      </c>
      <c r="Y137" s="773">
        <f t="shared" si="150"/>
        <v>0</v>
      </c>
      <c r="Z137" s="773">
        <f t="shared" si="173"/>
        <v>0</v>
      </c>
      <c r="AA137" s="773">
        <f t="shared" si="151"/>
        <v>0</v>
      </c>
      <c r="AB137" s="773">
        <f t="shared" si="152"/>
        <v>0</v>
      </c>
      <c r="AC137" s="773">
        <f t="shared" si="174"/>
        <v>0</v>
      </c>
      <c r="AD137" s="773">
        <f t="shared" si="153"/>
        <v>0</v>
      </c>
      <c r="AE137" s="773">
        <f t="shared" si="154"/>
        <v>0</v>
      </c>
      <c r="AF137" s="773">
        <f t="shared" si="175"/>
        <v>2</v>
      </c>
      <c r="AG137" s="773">
        <f t="shared" si="155"/>
        <v>0</v>
      </c>
      <c r="AH137" s="773">
        <f t="shared" si="156"/>
        <v>0</v>
      </c>
      <c r="AI137" s="773">
        <f t="shared" si="176"/>
        <v>0</v>
      </c>
      <c r="AJ137" s="773">
        <f t="shared" si="157"/>
        <v>0</v>
      </c>
      <c r="AK137" s="773">
        <f t="shared" si="158"/>
        <v>1</v>
      </c>
      <c r="AL137" s="773">
        <f t="shared" si="177"/>
        <v>2</v>
      </c>
      <c r="AM137" s="773">
        <f t="shared" si="159"/>
        <v>2</v>
      </c>
      <c r="AN137" s="773">
        <f t="shared" si="160"/>
        <v>0</v>
      </c>
      <c r="AO137" s="773">
        <f t="shared" si="178"/>
        <v>0</v>
      </c>
      <c r="AP137" s="773">
        <f t="shared" si="161"/>
        <v>0</v>
      </c>
      <c r="AQ137" s="773">
        <f t="shared" si="162"/>
        <v>0</v>
      </c>
      <c r="AR137" s="773">
        <f t="shared" si="179"/>
        <v>0</v>
      </c>
      <c r="AS137" s="773">
        <f t="shared" si="163"/>
        <v>0</v>
      </c>
      <c r="AT137" s="773">
        <f t="shared" si="164"/>
        <v>0</v>
      </c>
      <c r="AU137" s="773">
        <f t="shared" si="180"/>
        <v>1</v>
      </c>
      <c r="AV137" s="773">
        <f t="shared" si="165"/>
        <v>0</v>
      </c>
      <c r="AW137" s="773">
        <f t="shared" si="166"/>
        <v>0</v>
      </c>
      <c r="AX137" s="773">
        <f t="shared" si="181"/>
        <v>2</v>
      </c>
      <c r="AY137" s="773">
        <f t="shared" si="167"/>
        <v>0</v>
      </c>
      <c r="AZ137" s="773">
        <f t="shared" si="168"/>
        <v>0</v>
      </c>
      <c r="BA137" s="773">
        <f t="shared" si="182"/>
        <v>1</v>
      </c>
      <c r="BB137" s="773">
        <f t="shared" si="169"/>
        <v>0</v>
      </c>
      <c r="BC137" s="773">
        <f t="shared" si="170"/>
        <v>0</v>
      </c>
      <c r="BD137" s="773">
        <f t="shared" si="183"/>
        <v>0</v>
      </c>
      <c r="BE137" s="773">
        <f t="shared" si="171"/>
        <v>0</v>
      </c>
      <c r="BF137" s="787" t="s">
        <v>8554</v>
      </c>
      <c r="BX137" s="773">
        <v>2035</v>
      </c>
      <c r="BY137" s="773" t="s">
        <v>7918</v>
      </c>
    </row>
    <row r="138" spans="1:77" ht="15">
      <c r="A138" s="806" t="s">
        <v>7886</v>
      </c>
      <c r="B138" s="855" t="s">
        <v>9301</v>
      </c>
      <c r="C138" s="855" t="s">
        <v>9301</v>
      </c>
      <c r="D138" s="855" t="s">
        <v>9301</v>
      </c>
      <c r="E138" s="855" t="s">
        <v>9298</v>
      </c>
      <c r="F138" s="855" t="s">
        <v>1399</v>
      </c>
      <c r="G138" s="855" t="s">
        <v>506</v>
      </c>
      <c r="H138" s="855" t="s">
        <v>353</v>
      </c>
      <c r="I138" s="855" t="s">
        <v>506</v>
      </c>
      <c r="J138" s="855" t="s">
        <v>1402</v>
      </c>
      <c r="K138" s="855" t="s">
        <v>9300</v>
      </c>
      <c r="L138" s="855" t="s">
        <v>507</v>
      </c>
      <c r="M138" s="855" t="s">
        <v>506</v>
      </c>
      <c r="N138" s="855" t="s">
        <v>9300</v>
      </c>
      <c r="O138" s="855" t="s">
        <v>353</v>
      </c>
      <c r="P138" s="855" t="s">
        <v>9301</v>
      </c>
      <c r="Q138" s="806" t="s">
        <v>7871</v>
      </c>
      <c r="R138" s="855" t="s">
        <v>9299</v>
      </c>
      <c r="V138" s="773">
        <f t="shared" si="148"/>
        <v>0</v>
      </c>
      <c r="W138" s="773">
        <f t="shared" si="172"/>
        <v>0</v>
      </c>
      <c r="X138" s="773">
        <f t="shared" si="149"/>
        <v>0</v>
      </c>
      <c r="Y138" s="773">
        <f t="shared" si="150"/>
        <v>0</v>
      </c>
      <c r="Z138" s="773">
        <f t="shared" si="173"/>
        <v>0</v>
      </c>
      <c r="AA138" s="773">
        <f t="shared" si="151"/>
        <v>0</v>
      </c>
      <c r="AB138" s="773">
        <f t="shared" si="152"/>
        <v>0</v>
      </c>
      <c r="AC138" s="773">
        <f t="shared" si="174"/>
        <v>0</v>
      </c>
      <c r="AD138" s="773">
        <f t="shared" si="153"/>
        <v>0</v>
      </c>
      <c r="AE138" s="773">
        <f t="shared" si="154"/>
        <v>0</v>
      </c>
      <c r="AF138" s="773">
        <f t="shared" si="175"/>
        <v>2</v>
      </c>
      <c r="AG138" s="773">
        <f t="shared" si="155"/>
        <v>0</v>
      </c>
      <c r="AH138" s="773">
        <f t="shared" si="156"/>
        <v>0</v>
      </c>
      <c r="AI138" s="773">
        <f t="shared" si="176"/>
        <v>0</v>
      </c>
      <c r="AJ138" s="773">
        <f t="shared" si="157"/>
        <v>0</v>
      </c>
      <c r="AK138" s="773">
        <f t="shared" si="158"/>
        <v>0</v>
      </c>
      <c r="AL138" s="773">
        <f t="shared" si="177"/>
        <v>2</v>
      </c>
      <c r="AM138" s="773">
        <f t="shared" si="159"/>
        <v>0</v>
      </c>
      <c r="AN138" s="773">
        <f t="shared" si="160"/>
        <v>0</v>
      </c>
      <c r="AO138" s="773">
        <f t="shared" si="178"/>
        <v>0</v>
      </c>
      <c r="AP138" s="773">
        <f t="shared" si="161"/>
        <v>0</v>
      </c>
      <c r="AQ138" s="773">
        <f t="shared" si="162"/>
        <v>0</v>
      </c>
      <c r="AR138" s="773">
        <f t="shared" si="179"/>
        <v>0</v>
      </c>
      <c r="AS138" s="773">
        <f t="shared" si="163"/>
        <v>0</v>
      </c>
      <c r="AT138" s="773">
        <f t="shared" si="164"/>
        <v>0</v>
      </c>
      <c r="AU138" s="773">
        <f t="shared" si="180"/>
        <v>1</v>
      </c>
      <c r="AV138" s="773">
        <f t="shared" si="165"/>
        <v>0</v>
      </c>
      <c r="AW138" s="773">
        <f t="shared" si="166"/>
        <v>0</v>
      </c>
      <c r="AX138" s="773">
        <f t="shared" si="181"/>
        <v>2</v>
      </c>
      <c r="AY138" s="773">
        <f t="shared" si="167"/>
        <v>0</v>
      </c>
      <c r="AZ138" s="773">
        <f t="shared" si="168"/>
        <v>0</v>
      </c>
      <c r="BA138" s="773">
        <f t="shared" si="182"/>
        <v>1</v>
      </c>
      <c r="BB138" s="773">
        <f t="shared" si="169"/>
        <v>0</v>
      </c>
      <c r="BC138" s="773">
        <f t="shared" si="170"/>
        <v>1</v>
      </c>
      <c r="BD138" s="773">
        <f t="shared" si="183"/>
        <v>1</v>
      </c>
      <c r="BE138" s="773">
        <f t="shared" si="171"/>
        <v>1</v>
      </c>
      <c r="BF138" s="787" t="s">
        <v>8555</v>
      </c>
      <c r="BX138" s="773">
        <v>2036</v>
      </c>
      <c r="BY138" s="773" t="s">
        <v>7919</v>
      </c>
    </row>
    <row r="139" spans="1:77" ht="15">
      <c r="A139" s="806" t="s">
        <v>7880</v>
      </c>
      <c r="B139" s="855" t="s">
        <v>353</v>
      </c>
      <c r="C139" s="855" t="s">
        <v>1402</v>
      </c>
      <c r="D139" s="855" t="s">
        <v>1402</v>
      </c>
      <c r="E139" s="855" t="s">
        <v>9297</v>
      </c>
      <c r="F139" s="855" t="s">
        <v>505</v>
      </c>
      <c r="G139" s="855" t="s">
        <v>507</v>
      </c>
      <c r="H139" s="855" t="s">
        <v>1399</v>
      </c>
      <c r="I139" s="806" t="s">
        <v>7871</v>
      </c>
      <c r="J139" s="855" t="s">
        <v>9300</v>
      </c>
      <c r="K139" s="855" t="s">
        <v>9300</v>
      </c>
      <c r="L139" s="855" t="s">
        <v>507</v>
      </c>
      <c r="M139" s="855" t="s">
        <v>1399</v>
      </c>
      <c r="N139" s="855" t="s">
        <v>9297</v>
      </c>
      <c r="O139" s="855" t="s">
        <v>9300</v>
      </c>
      <c r="P139" s="855" t="s">
        <v>9299</v>
      </c>
      <c r="Q139" s="855" t="s">
        <v>9301</v>
      </c>
      <c r="R139" s="855" t="s">
        <v>9300</v>
      </c>
      <c r="V139" s="773">
        <f t="shared" si="148"/>
        <v>0</v>
      </c>
      <c r="W139" s="773">
        <f t="shared" si="172"/>
        <v>0</v>
      </c>
      <c r="X139" s="773">
        <f t="shared" si="149"/>
        <v>0</v>
      </c>
      <c r="Y139" s="773">
        <f t="shared" si="150"/>
        <v>0</v>
      </c>
      <c r="Z139" s="773">
        <f t="shared" si="173"/>
        <v>0</v>
      </c>
      <c r="AA139" s="773">
        <f t="shared" si="151"/>
        <v>0</v>
      </c>
      <c r="AB139" s="773">
        <f t="shared" si="152"/>
        <v>0</v>
      </c>
      <c r="AC139" s="773">
        <f t="shared" si="174"/>
        <v>0</v>
      </c>
      <c r="AD139" s="773">
        <f t="shared" si="153"/>
        <v>0</v>
      </c>
      <c r="AE139" s="773">
        <f t="shared" si="154"/>
        <v>0</v>
      </c>
      <c r="AF139" s="773">
        <f t="shared" si="175"/>
        <v>2</v>
      </c>
      <c r="AG139" s="773">
        <f t="shared" si="155"/>
        <v>0</v>
      </c>
      <c r="AH139" s="773">
        <f t="shared" si="156"/>
        <v>0</v>
      </c>
      <c r="AI139" s="773">
        <f t="shared" si="176"/>
        <v>0</v>
      </c>
      <c r="AJ139" s="773">
        <f t="shared" si="157"/>
        <v>0</v>
      </c>
      <c r="AK139" s="773">
        <f t="shared" si="158"/>
        <v>0</v>
      </c>
      <c r="AL139" s="773">
        <f t="shared" si="177"/>
        <v>2</v>
      </c>
      <c r="AM139" s="773">
        <f t="shared" si="159"/>
        <v>0</v>
      </c>
      <c r="AN139" s="773">
        <f t="shared" si="160"/>
        <v>0</v>
      </c>
      <c r="AO139" s="773">
        <f t="shared" si="178"/>
        <v>0</v>
      </c>
      <c r="AP139" s="773">
        <f t="shared" si="161"/>
        <v>0</v>
      </c>
      <c r="AQ139" s="773">
        <f t="shared" si="162"/>
        <v>0</v>
      </c>
      <c r="AR139" s="773">
        <f t="shared" si="179"/>
        <v>0</v>
      </c>
      <c r="AS139" s="773">
        <f t="shared" si="163"/>
        <v>0</v>
      </c>
      <c r="AT139" s="773">
        <f t="shared" si="164"/>
        <v>0</v>
      </c>
      <c r="AU139" s="773">
        <f t="shared" si="180"/>
        <v>1</v>
      </c>
      <c r="AV139" s="773">
        <f t="shared" si="165"/>
        <v>0</v>
      </c>
      <c r="AW139" s="773">
        <f t="shared" si="166"/>
        <v>0</v>
      </c>
      <c r="AX139" s="773">
        <f t="shared" si="181"/>
        <v>2</v>
      </c>
      <c r="AY139" s="773">
        <f t="shared" si="167"/>
        <v>0</v>
      </c>
      <c r="AZ139" s="773">
        <f t="shared" si="168"/>
        <v>0</v>
      </c>
      <c r="BA139" s="773">
        <f t="shared" si="182"/>
        <v>1</v>
      </c>
      <c r="BB139" s="773">
        <f t="shared" si="169"/>
        <v>0</v>
      </c>
      <c r="BC139" s="773">
        <f t="shared" si="170"/>
        <v>0</v>
      </c>
      <c r="BD139" s="773">
        <f t="shared" si="183"/>
        <v>1</v>
      </c>
      <c r="BE139" s="773">
        <f t="shared" si="171"/>
        <v>0</v>
      </c>
      <c r="BX139" s="773">
        <v>2037</v>
      </c>
      <c r="BY139" s="773" t="s">
        <v>7920</v>
      </c>
    </row>
    <row r="140" spans="1:77" ht="15">
      <c r="A140" s="806" t="s">
        <v>7877</v>
      </c>
      <c r="B140" s="855" t="s">
        <v>1399</v>
      </c>
      <c r="C140" s="855" t="s">
        <v>9300</v>
      </c>
      <c r="D140" s="855" t="s">
        <v>9300</v>
      </c>
      <c r="E140" s="855" t="s">
        <v>507</v>
      </c>
      <c r="F140" s="806" t="s">
        <v>7871</v>
      </c>
      <c r="G140" s="855" t="s">
        <v>9297</v>
      </c>
      <c r="H140" s="855" t="s">
        <v>505</v>
      </c>
      <c r="I140" s="855" t="s">
        <v>505</v>
      </c>
      <c r="J140" s="855" t="s">
        <v>9299</v>
      </c>
      <c r="K140" s="855" t="s">
        <v>353</v>
      </c>
      <c r="L140" s="855" t="s">
        <v>9299</v>
      </c>
      <c r="M140" s="855" t="s">
        <v>1402</v>
      </c>
      <c r="N140" s="806" t="s">
        <v>7871</v>
      </c>
      <c r="O140" s="855" t="s">
        <v>9297</v>
      </c>
      <c r="P140" s="855" t="s">
        <v>507</v>
      </c>
      <c r="Q140" s="855" t="s">
        <v>9298</v>
      </c>
      <c r="R140" s="855" t="s">
        <v>1402</v>
      </c>
      <c r="S140" s="912"/>
      <c r="T140" s="912"/>
      <c r="U140" s="912"/>
      <c r="BX140" s="773">
        <v>2038</v>
      </c>
      <c r="BY140" s="773" t="s">
        <v>7922</v>
      </c>
    </row>
    <row r="141" spans="1:77" ht="15" customHeight="1">
      <c r="A141" s="855"/>
      <c r="Y141" s="796"/>
      <c r="AD141" s="796"/>
      <c r="AI141" s="796"/>
      <c r="AM141" s="796"/>
      <c r="AQ141" s="796"/>
      <c r="AU141" s="796"/>
      <c r="AY141" s="796"/>
      <c r="BC141" s="796"/>
      <c r="BG141" s="796"/>
      <c r="BK141" s="796"/>
      <c r="BO141" s="796"/>
      <c r="BS141" s="796"/>
      <c r="BX141" s="773">
        <v>2039</v>
      </c>
      <c r="BY141" s="773" t="s">
        <v>7923</v>
      </c>
    </row>
    <row r="142" spans="1:77" s="912" customFormat="1" ht="14.25" customHeight="1">
      <c r="A142" s="914"/>
      <c r="B142" s="912" t="str">
        <f t="shared" ref="B142:R142" ca="1" si="184">VLOOKUP($G$17,$A$128:$R$140,B123,0)</f>
        <v>Tuất</v>
      </c>
      <c r="C142" s="912" t="str">
        <f t="shared" ca="1" si="184"/>
        <v>Thìn</v>
      </c>
      <c r="D142" s="912" t="str">
        <f t="shared" ca="1" si="184"/>
        <v>Thìn</v>
      </c>
      <c r="E142" s="912" t="str">
        <f t="shared" ca="1" si="184"/>
        <v>Tý</v>
      </c>
      <c r="F142" s="912" t="str">
        <f t="shared" ca="1" si="184"/>
        <v>Tý</v>
      </c>
      <c r="G142" s="912" t="str">
        <f t="shared" ca="1" si="184"/>
        <v>Mão</v>
      </c>
      <c r="H142" s="912" t="str">
        <f t="shared" ca="1" si="184"/>
        <v>Hợi</v>
      </c>
      <c r="I142" s="912" t="str">
        <f t="shared" ca="1" si="184"/>
        <v>Dậu</v>
      </c>
      <c r="J142" s="912" t="str">
        <f t="shared" ca="1" si="184"/>
        <v>Mão</v>
      </c>
      <c r="K142" s="912" t="str">
        <f t="shared" ca="1" si="184"/>
        <v>Thân</v>
      </c>
      <c r="L142" s="912" t="str">
        <f t="shared" ca="1" si="184"/>
        <v>Thìn</v>
      </c>
      <c r="M142" s="912" t="str">
        <f t="shared" ca="1" si="184"/>
        <v>Mão</v>
      </c>
      <c r="N142" s="912" t="str">
        <f t="shared" ca="1" si="184"/>
        <v>Thân</v>
      </c>
      <c r="O142" s="912" t="str">
        <f t="shared" ca="1" si="184"/>
        <v>Hợi</v>
      </c>
      <c r="P142" s="912" t="str">
        <f t="shared" ca="1" si="184"/>
        <v>Tuất</v>
      </c>
      <c r="Q142" s="912" t="str">
        <f t="shared" ca="1" si="184"/>
        <v>tỵ</v>
      </c>
      <c r="R142" s="912" t="str">
        <f t="shared" ca="1" si="184"/>
        <v>Mùi</v>
      </c>
      <c r="S142" s="773"/>
      <c r="T142" s="773"/>
      <c r="U142" s="773"/>
      <c r="V142" s="773" t="e">
        <f t="shared" ref="V142:V150" si="185">VLOOKUP(T63,$X$129:$BF$139,35,0)</f>
        <v>#N/A</v>
      </c>
      <c r="W142" s="773" t="b">
        <f t="shared" ref="W142:W150" si="186">ISTEXT(V142)</f>
        <v>0</v>
      </c>
      <c r="X142" s="773">
        <f t="shared" ref="X142:X150" si="187">IF(LEFT(W142,1)="T",1,0)</f>
        <v>0</v>
      </c>
      <c r="Y142" s="773" t="str">
        <f t="shared" ref="Y142:Y150" si="188">IF(X142=1,V142," ")</f>
        <v xml:space="preserve"> </v>
      </c>
      <c r="Z142" s="773"/>
      <c r="AA142" s="773" t="e">
        <f t="shared" ref="AA142:AA150" si="189">VLOOKUP(T63,$AA$129:$BF$139,32,0)</f>
        <v>#N/A</v>
      </c>
      <c r="AB142" s="773" t="b">
        <f t="shared" ref="AB142:AB150" si="190">ISTEXT(AA142)</f>
        <v>0</v>
      </c>
      <c r="AC142" s="773">
        <f t="shared" ref="AC142:AC150" si="191">IF(LEFT(AB142,1)="T",1,0)</f>
        <v>0</v>
      </c>
      <c r="AD142" s="773" t="str">
        <f t="shared" ref="AD142:AD150" si="192">IF(AC142=1,AA142," ")</f>
        <v xml:space="preserve"> </v>
      </c>
      <c r="AE142" s="773"/>
      <c r="AF142" s="773" t="e">
        <f t="shared" ref="AF142:AF150" si="193">VLOOKUP(T63,$AD$129:$BF$139,29,0)</f>
        <v>#N/A</v>
      </c>
      <c r="AG142" s="773" t="b">
        <f t="shared" ref="AG142:AG150" si="194">ISTEXT(AF142)</f>
        <v>0</v>
      </c>
      <c r="AH142" s="773">
        <f t="shared" ref="AH142:AH150" si="195">IF(LEFT(AG142,1)="T",1,0)</f>
        <v>0</v>
      </c>
      <c r="AI142" s="773" t="str">
        <f t="shared" ref="AI142:AI150" si="196">IF(AH142=1,AF142," ")</f>
        <v xml:space="preserve"> </v>
      </c>
      <c r="AJ142" s="773" t="str">
        <f t="shared" ref="AJ142:AJ150" si="197">VLOOKUP(T63,$AG$129:$BF$139,26,0)</f>
        <v>L.TTuế</v>
      </c>
      <c r="AK142" s="773" t="b">
        <f t="shared" ref="AK142:AK150" si="198">ISTEXT(AJ142)</f>
        <v>1</v>
      </c>
      <c r="AL142" s="773">
        <f t="shared" ref="AL142:AL150" si="199">IF(LEFT(AK142,1)="T",1,0)</f>
        <v>1</v>
      </c>
      <c r="AM142" s="773" t="str">
        <f t="shared" ref="AM142:AM150" si="200">IF(AL142=1,AJ142," ")</f>
        <v>L.TTuế</v>
      </c>
      <c r="AN142" s="773" t="e">
        <f t="shared" ref="AN142:AN150" si="201">VLOOKUP(T63,$AJ$129:$BF$139,23,0)</f>
        <v>#N/A</v>
      </c>
      <c r="AO142" s="773" t="b">
        <f t="shared" ref="AO142:AO150" si="202">ISTEXT(AN142)</f>
        <v>0</v>
      </c>
      <c r="AP142" s="773">
        <f t="shared" ref="AP142:AP150" si="203">IF(LEFT(AO142,1)="T",1,0)</f>
        <v>0</v>
      </c>
      <c r="AQ142" s="773" t="str">
        <f t="shared" ref="AQ142:AQ150" si="204">IF(AP142=1,AN142," ")</f>
        <v xml:space="preserve"> </v>
      </c>
      <c r="AR142" s="773" t="str">
        <f t="shared" ref="AR142:AR150" si="205">VLOOKUP(T63,$AM$129:$BF$139,20,0)</f>
        <v>L.Mã</v>
      </c>
      <c r="AS142" s="773" t="b">
        <f t="shared" ref="AS142:AS150" si="206">ISTEXT(AR142)</f>
        <v>1</v>
      </c>
      <c r="AT142" s="773">
        <f t="shared" ref="AT142:AT150" si="207">IF(LEFT(AS142,1)="T",1,0)</f>
        <v>1</v>
      </c>
      <c r="AU142" s="773" t="str">
        <f t="shared" ref="AU142:AU150" si="208">IF(AT142=1,AR142," ")</f>
        <v>L.Mã</v>
      </c>
      <c r="AV142" s="773" t="e">
        <f t="shared" ref="AV142:AV150" si="209">VLOOKUP(T63,$AP$129:$BF$139,17,0)</f>
        <v>#N/A</v>
      </c>
      <c r="AW142" s="773" t="b">
        <f t="shared" ref="AW142:AW150" si="210">ISTEXT(AV142)</f>
        <v>0</v>
      </c>
      <c r="AX142" s="773">
        <f t="shared" ref="AX142:AX150" si="211">IF(LEFT(AW142,1)="T",1,0)</f>
        <v>0</v>
      </c>
      <c r="AY142" s="773" t="str">
        <f t="shared" ref="AY142:AY150" si="212">IF(AX142=1,AV142," ")</f>
        <v xml:space="preserve"> </v>
      </c>
      <c r="AZ142" s="773" t="e">
        <f t="shared" ref="AZ142:AZ150" si="213">VLOOKUP(T63,$AS$129:$BF$139,14,0)</f>
        <v>#N/A</v>
      </c>
      <c r="BA142" s="773" t="b">
        <f t="shared" ref="BA142:BA150" si="214">ISTEXT(AZ142)</f>
        <v>0</v>
      </c>
      <c r="BB142" s="773">
        <f t="shared" ref="BB142:BB150" si="215">IF(LEFT(BA142,1)="T",1,0)</f>
        <v>0</v>
      </c>
      <c r="BC142" s="773" t="str">
        <f t="shared" ref="BC142:BC150" si="216">IF(BB142=1,AZ142," ")</f>
        <v xml:space="preserve"> </v>
      </c>
      <c r="BD142" s="773" t="str">
        <f t="shared" ref="BD142:BD150" si="217">VLOOKUP(T63,$AV$129:$BF$139,11,0)</f>
        <v>L.Đà</v>
      </c>
      <c r="BE142" s="773" t="b">
        <f t="shared" ref="BE142:BE150" si="218">ISTEXT(BD142)</f>
        <v>1</v>
      </c>
      <c r="BF142" s="773">
        <f t="shared" ref="BF142:BF150" si="219">IF(LEFT(BE142,1)="T",1,0)</f>
        <v>1</v>
      </c>
      <c r="BG142" s="773" t="str">
        <f t="shared" ref="BG142:BG150" si="220">IF(BF142=1,BD142," ")</f>
        <v>L.Đà</v>
      </c>
      <c r="BH142" s="773" t="str">
        <f t="shared" ref="BH142:BH150" si="221">VLOOKUP(T63,$AY$129:$BF$139,8,0)</f>
        <v>L.Lộc</v>
      </c>
      <c r="BI142" s="773" t="b">
        <f t="shared" ref="BI142:BI150" si="222">ISTEXT(BH142)</f>
        <v>1</v>
      </c>
      <c r="BJ142" s="773">
        <f t="shared" ref="BJ142:BJ150" si="223">IF(LEFT(BI142,1)="T",1,0)</f>
        <v>1</v>
      </c>
      <c r="BK142" s="773" t="str">
        <f t="shared" ref="BK142:BK150" si="224">IF(BJ142=1,BH142," ")</f>
        <v>L.Lộc</v>
      </c>
      <c r="BL142" s="773" t="str">
        <f t="shared" ref="BL142:BL150" si="225">VLOOKUP(T63,$BB$129:$BF$139,5,0)</f>
        <v>L.Kình</v>
      </c>
      <c r="BM142" s="773" t="b">
        <f t="shared" ref="BM142:BM150" si="226">ISTEXT(BL142)</f>
        <v>1</v>
      </c>
      <c r="BN142" s="773">
        <f t="shared" ref="BN142:BN150" si="227">IF(LEFT(BM142,1)="T",1,0)</f>
        <v>1</v>
      </c>
      <c r="BO142" s="773" t="str">
        <f t="shared" ref="BO142:BO150" si="228">IF(BN142=1,BL142," ")</f>
        <v>L.Kình</v>
      </c>
      <c r="BP142" s="773" t="str">
        <f t="shared" ref="BP142:BP150" si="229">VLOOKUP(T63,$BE$129:$BF$139,2,0)</f>
        <v>L.Hổ</v>
      </c>
      <c r="BQ142" s="773" t="b">
        <f t="shared" ref="BQ142:BQ150" si="230">ISTEXT(BP142)</f>
        <v>1</v>
      </c>
      <c r="BR142" s="773">
        <f t="shared" ref="BR142:BR150" si="231">IF(LEFT(BQ142,1)="T",1,0)</f>
        <v>1</v>
      </c>
      <c r="BS142" s="773" t="str">
        <f t="shared" ref="BS142:BS150" si="232">IF(BR142=1,BP142," ")</f>
        <v>L.Hổ</v>
      </c>
      <c r="BX142" s="773">
        <v>2040</v>
      </c>
      <c r="BY142" s="773" t="s">
        <v>7924</v>
      </c>
    </row>
    <row r="143" spans="1:77" ht="15">
      <c r="A143" s="855"/>
      <c r="V143" s="773" t="e">
        <f t="shared" si="185"/>
        <v>#N/A</v>
      </c>
      <c r="W143" s="773" t="b">
        <f t="shared" si="186"/>
        <v>0</v>
      </c>
      <c r="X143" s="773">
        <f t="shared" si="187"/>
        <v>0</v>
      </c>
      <c r="Y143" s="773" t="str">
        <f t="shared" si="188"/>
        <v xml:space="preserve"> </v>
      </c>
      <c r="AA143" s="773" t="e">
        <f t="shared" si="189"/>
        <v>#N/A</v>
      </c>
      <c r="AB143" s="773" t="b">
        <f t="shared" si="190"/>
        <v>0</v>
      </c>
      <c r="AC143" s="773">
        <f t="shared" si="191"/>
        <v>0</v>
      </c>
      <c r="AD143" s="773" t="str">
        <f t="shared" si="192"/>
        <v xml:space="preserve"> </v>
      </c>
      <c r="AF143" s="773" t="e">
        <f t="shared" si="193"/>
        <v>#N/A</v>
      </c>
      <c r="AG143" s="773" t="b">
        <f t="shared" si="194"/>
        <v>0</v>
      </c>
      <c r="AH143" s="773">
        <f t="shared" si="195"/>
        <v>0</v>
      </c>
      <c r="AI143" s="773" t="str">
        <f t="shared" si="196"/>
        <v xml:space="preserve"> </v>
      </c>
      <c r="AJ143" s="773" t="str">
        <f t="shared" si="197"/>
        <v>L.Khốc</v>
      </c>
      <c r="AK143" s="773" t="b">
        <f t="shared" si="198"/>
        <v>1</v>
      </c>
      <c r="AL143" s="773">
        <f t="shared" si="199"/>
        <v>1</v>
      </c>
      <c r="AM143" s="773" t="str">
        <f t="shared" si="200"/>
        <v>L.Khốc</v>
      </c>
      <c r="AN143" s="773" t="e">
        <f t="shared" si="201"/>
        <v>#N/A</v>
      </c>
      <c r="AO143" s="773" t="b">
        <f t="shared" si="202"/>
        <v>0</v>
      </c>
      <c r="AP143" s="773">
        <f t="shared" si="203"/>
        <v>0</v>
      </c>
      <c r="AQ143" s="773" t="str">
        <f t="shared" si="204"/>
        <v xml:space="preserve"> </v>
      </c>
      <c r="AR143" s="773" t="str">
        <f t="shared" si="205"/>
        <v>L.Tang</v>
      </c>
      <c r="AS143" s="773" t="b">
        <f t="shared" si="206"/>
        <v>1</v>
      </c>
      <c r="AT143" s="773">
        <f t="shared" si="207"/>
        <v>1</v>
      </c>
      <c r="AU143" s="773" t="str">
        <f t="shared" si="208"/>
        <v>L.Tang</v>
      </c>
      <c r="AV143" s="773" t="e">
        <f t="shared" si="209"/>
        <v>#N/A</v>
      </c>
      <c r="AW143" s="773" t="b">
        <f t="shared" si="210"/>
        <v>0</v>
      </c>
      <c r="AX143" s="773">
        <f t="shared" si="211"/>
        <v>0</v>
      </c>
      <c r="AY143" s="773" t="str">
        <f t="shared" si="212"/>
        <v xml:space="preserve"> </v>
      </c>
      <c r="AZ143" s="773" t="e">
        <f t="shared" si="213"/>
        <v>#N/A</v>
      </c>
      <c r="BA143" s="773" t="b">
        <f t="shared" si="214"/>
        <v>0</v>
      </c>
      <c r="BB143" s="773">
        <f t="shared" si="215"/>
        <v>0</v>
      </c>
      <c r="BC143" s="773" t="str">
        <f t="shared" si="216"/>
        <v xml:space="preserve"> </v>
      </c>
      <c r="BD143" s="773" t="e">
        <f t="shared" si="217"/>
        <v>#N/A</v>
      </c>
      <c r="BE143" s="773" t="b">
        <f t="shared" si="218"/>
        <v>0</v>
      </c>
      <c r="BF143" s="773">
        <f t="shared" si="219"/>
        <v>0</v>
      </c>
      <c r="BG143" s="773" t="str">
        <f t="shared" si="220"/>
        <v xml:space="preserve"> </v>
      </c>
      <c r="BH143" s="773" t="str">
        <f t="shared" si="221"/>
        <v>L.Hư</v>
      </c>
      <c r="BI143" s="773" t="b">
        <f t="shared" si="222"/>
        <v>1</v>
      </c>
      <c r="BJ143" s="773">
        <f t="shared" si="223"/>
        <v>1</v>
      </c>
      <c r="BK143" s="773" t="str">
        <f t="shared" si="224"/>
        <v>L.Hư</v>
      </c>
      <c r="BL143" s="773" t="e">
        <f t="shared" si="225"/>
        <v>#N/A</v>
      </c>
      <c r="BM143" s="773" t="b">
        <f t="shared" si="226"/>
        <v>0</v>
      </c>
      <c r="BN143" s="773">
        <f t="shared" si="227"/>
        <v>0</v>
      </c>
      <c r="BO143" s="773" t="str">
        <f t="shared" si="228"/>
        <v xml:space="preserve"> </v>
      </c>
      <c r="BP143" s="773" t="e">
        <f t="shared" si="229"/>
        <v>#N/A</v>
      </c>
      <c r="BQ143" s="773" t="b">
        <f t="shared" si="230"/>
        <v>0</v>
      </c>
      <c r="BR143" s="773">
        <f t="shared" si="231"/>
        <v>0</v>
      </c>
      <c r="BS143" s="773" t="str">
        <f t="shared" si="232"/>
        <v xml:space="preserve"> </v>
      </c>
      <c r="BX143" s="773">
        <v>2041</v>
      </c>
      <c r="BY143" s="773" t="s">
        <v>7925</v>
      </c>
    </row>
    <row r="144" spans="1:77" ht="15.75">
      <c r="A144" s="936" t="s">
        <v>8556</v>
      </c>
      <c r="V144" s="773" t="e">
        <f t="shared" si="185"/>
        <v>#N/A</v>
      </c>
      <c r="W144" s="773" t="b">
        <f t="shared" si="186"/>
        <v>0</v>
      </c>
      <c r="X144" s="773">
        <f t="shared" si="187"/>
        <v>0</v>
      </c>
      <c r="Y144" s="773" t="str">
        <f t="shared" si="188"/>
        <v xml:space="preserve"> </v>
      </c>
      <c r="AA144" s="773" t="e">
        <f t="shared" si="189"/>
        <v>#N/A</v>
      </c>
      <c r="AB144" s="773" t="b">
        <f t="shared" si="190"/>
        <v>0</v>
      </c>
      <c r="AC144" s="773">
        <f t="shared" si="191"/>
        <v>0</v>
      </c>
      <c r="AD144" s="773" t="str">
        <f t="shared" si="192"/>
        <v xml:space="preserve"> </v>
      </c>
      <c r="AF144" s="773" t="e">
        <f t="shared" si="193"/>
        <v>#N/A</v>
      </c>
      <c r="AG144" s="773" t="b">
        <f t="shared" si="194"/>
        <v>0</v>
      </c>
      <c r="AH144" s="773">
        <f t="shared" si="195"/>
        <v>0</v>
      </c>
      <c r="AI144" s="773" t="str">
        <f t="shared" si="196"/>
        <v xml:space="preserve"> </v>
      </c>
      <c r="AJ144" s="773" t="e">
        <f t="shared" si="197"/>
        <v>#N/A</v>
      </c>
      <c r="AK144" s="773" t="b">
        <f t="shared" si="198"/>
        <v>0</v>
      </c>
      <c r="AL144" s="773">
        <f t="shared" si="199"/>
        <v>0</v>
      </c>
      <c r="AM144" s="773" t="str">
        <f t="shared" si="200"/>
        <v xml:space="preserve"> </v>
      </c>
      <c r="AN144" s="773" t="e">
        <f t="shared" si="201"/>
        <v>#N/A</v>
      </c>
      <c r="AO144" s="773" t="b">
        <f t="shared" si="202"/>
        <v>0</v>
      </c>
      <c r="AP144" s="773">
        <f t="shared" si="203"/>
        <v>0</v>
      </c>
      <c r="AQ144" s="773" t="str">
        <f t="shared" si="204"/>
        <v xml:space="preserve"> </v>
      </c>
      <c r="AR144" s="773" t="e">
        <f t="shared" si="205"/>
        <v>#N/A</v>
      </c>
      <c r="AS144" s="773" t="b">
        <f t="shared" si="206"/>
        <v>0</v>
      </c>
      <c r="AT144" s="773">
        <f t="shared" si="207"/>
        <v>0</v>
      </c>
      <c r="AU144" s="773" t="str">
        <f t="shared" si="208"/>
        <v xml:space="preserve"> </v>
      </c>
      <c r="AV144" s="773" t="e">
        <f t="shared" si="209"/>
        <v>#N/A</v>
      </c>
      <c r="AW144" s="773" t="b">
        <f t="shared" si="210"/>
        <v>0</v>
      </c>
      <c r="AX144" s="773">
        <f t="shared" si="211"/>
        <v>0</v>
      </c>
      <c r="AY144" s="773" t="str">
        <f t="shared" si="212"/>
        <v xml:space="preserve"> </v>
      </c>
      <c r="AZ144" s="773" t="e">
        <f t="shared" si="213"/>
        <v>#N/A</v>
      </c>
      <c r="BA144" s="773" t="b">
        <f t="shared" si="214"/>
        <v>0</v>
      </c>
      <c r="BB144" s="773">
        <f t="shared" si="215"/>
        <v>0</v>
      </c>
      <c r="BC144" s="773" t="str">
        <f t="shared" si="216"/>
        <v xml:space="preserve"> </v>
      </c>
      <c r="BD144" s="773" t="e">
        <f t="shared" si="217"/>
        <v>#N/A</v>
      </c>
      <c r="BE144" s="773" t="b">
        <f t="shared" si="218"/>
        <v>0</v>
      </c>
      <c r="BF144" s="773">
        <f t="shared" si="219"/>
        <v>0</v>
      </c>
      <c r="BG144" s="773" t="str">
        <f t="shared" si="220"/>
        <v xml:space="preserve"> </v>
      </c>
      <c r="BH144" s="773" t="e">
        <f t="shared" si="221"/>
        <v>#N/A</v>
      </c>
      <c r="BI144" s="773" t="b">
        <f t="shared" si="222"/>
        <v>0</v>
      </c>
      <c r="BJ144" s="773">
        <f t="shared" si="223"/>
        <v>0</v>
      </c>
      <c r="BK144" s="773" t="str">
        <f t="shared" si="224"/>
        <v xml:space="preserve"> </v>
      </c>
      <c r="BL144" s="773" t="e">
        <f t="shared" si="225"/>
        <v>#N/A</v>
      </c>
      <c r="BM144" s="773" t="b">
        <f t="shared" si="226"/>
        <v>0</v>
      </c>
      <c r="BN144" s="773">
        <f t="shared" si="227"/>
        <v>0</v>
      </c>
      <c r="BO144" s="773" t="str">
        <f t="shared" si="228"/>
        <v xml:space="preserve"> </v>
      </c>
      <c r="BP144" s="773" t="e">
        <f t="shared" si="229"/>
        <v>#N/A</v>
      </c>
      <c r="BQ144" s="773" t="b">
        <f t="shared" si="230"/>
        <v>0</v>
      </c>
      <c r="BR144" s="773">
        <f t="shared" si="231"/>
        <v>0</v>
      </c>
      <c r="BS144" s="773" t="str">
        <f t="shared" si="232"/>
        <v xml:space="preserve"> </v>
      </c>
      <c r="BX144" s="773">
        <v>2042</v>
      </c>
      <c r="BY144" s="773" t="s">
        <v>7927</v>
      </c>
    </row>
    <row r="145" spans="1:77" ht="30">
      <c r="A145" s="1028"/>
      <c r="B145" s="855" t="s">
        <v>8557</v>
      </c>
      <c r="C145" s="855" t="s">
        <v>6667</v>
      </c>
      <c r="D145" s="855" t="s">
        <v>9333</v>
      </c>
      <c r="E145" s="855" t="s">
        <v>5946</v>
      </c>
      <c r="F145" s="1028" t="s">
        <v>6659</v>
      </c>
      <c r="G145" s="1028" t="s">
        <v>6662</v>
      </c>
      <c r="H145" s="1028" t="s">
        <v>6654</v>
      </c>
      <c r="I145" s="1028" t="s">
        <v>6657</v>
      </c>
      <c r="J145" s="1028" t="s">
        <v>6664</v>
      </c>
      <c r="K145" s="1028" t="s">
        <v>6656</v>
      </c>
      <c r="L145" s="1028" t="s">
        <v>6655</v>
      </c>
      <c r="M145" s="1028" t="s">
        <v>6663</v>
      </c>
      <c r="O145" s="773">
        <v>1</v>
      </c>
      <c r="P145" s="773" t="s">
        <v>8558</v>
      </c>
      <c r="Q145" s="773" t="str">
        <f ca="1">H86</f>
        <v>Mão</v>
      </c>
      <c r="R145" s="773">
        <v>1</v>
      </c>
      <c r="S145" s="796" t="e">
        <f t="shared" ref="S145:S152" ca="1" si="233">VLOOKUP(I33,$P$145:$R$187,3,0)</f>
        <v>#N/A</v>
      </c>
      <c r="V145" s="773" t="e">
        <f t="shared" si="185"/>
        <v>#N/A</v>
      </c>
      <c r="W145" s="773" t="b">
        <f t="shared" si="186"/>
        <v>0</v>
      </c>
      <c r="X145" s="773">
        <f t="shared" si="187"/>
        <v>0</v>
      </c>
      <c r="Y145" s="773" t="str">
        <f t="shared" si="188"/>
        <v xml:space="preserve"> </v>
      </c>
      <c r="AA145" s="773" t="e">
        <f t="shared" si="189"/>
        <v>#N/A</v>
      </c>
      <c r="AB145" s="773" t="b">
        <f t="shared" si="190"/>
        <v>0</v>
      </c>
      <c r="AC145" s="773">
        <f t="shared" si="191"/>
        <v>0</v>
      </c>
      <c r="AD145" s="773" t="str">
        <f t="shared" si="192"/>
        <v xml:space="preserve"> </v>
      </c>
      <c r="AF145" s="773" t="e">
        <f t="shared" si="193"/>
        <v>#N/A</v>
      </c>
      <c r="AG145" s="773" t="b">
        <f t="shared" si="194"/>
        <v>0</v>
      </c>
      <c r="AH145" s="773">
        <f t="shared" si="195"/>
        <v>0</v>
      </c>
      <c r="AI145" s="773" t="str">
        <f t="shared" si="196"/>
        <v xml:space="preserve"> </v>
      </c>
      <c r="AJ145" s="773" t="e">
        <f t="shared" si="197"/>
        <v>#N/A</v>
      </c>
      <c r="AK145" s="773" t="b">
        <f t="shared" si="198"/>
        <v>0</v>
      </c>
      <c r="AL145" s="773">
        <f t="shared" si="199"/>
        <v>0</v>
      </c>
      <c r="AM145" s="773" t="str">
        <f t="shared" si="200"/>
        <v xml:space="preserve"> </v>
      </c>
      <c r="AN145" s="773" t="e">
        <f t="shared" si="201"/>
        <v>#N/A</v>
      </c>
      <c r="AO145" s="773" t="b">
        <f t="shared" si="202"/>
        <v>0</v>
      </c>
      <c r="AP145" s="773">
        <f t="shared" si="203"/>
        <v>0</v>
      </c>
      <c r="AQ145" s="773" t="str">
        <f t="shared" si="204"/>
        <v xml:space="preserve"> </v>
      </c>
      <c r="AR145" s="773" t="e">
        <f t="shared" si="205"/>
        <v>#N/A</v>
      </c>
      <c r="AS145" s="773" t="b">
        <f t="shared" si="206"/>
        <v>0</v>
      </c>
      <c r="AT145" s="773">
        <f t="shared" si="207"/>
        <v>0</v>
      </c>
      <c r="AU145" s="773" t="str">
        <f t="shared" si="208"/>
        <v xml:space="preserve"> </v>
      </c>
      <c r="AV145" s="773" t="e">
        <f t="shared" si="209"/>
        <v>#N/A</v>
      </c>
      <c r="AW145" s="773" t="b">
        <f t="shared" si="210"/>
        <v>0</v>
      </c>
      <c r="AX145" s="773">
        <f t="shared" si="211"/>
        <v>0</v>
      </c>
      <c r="AY145" s="773" t="str">
        <f t="shared" si="212"/>
        <v xml:space="preserve"> </v>
      </c>
      <c r="AZ145" s="773" t="e">
        <f t="shared" si="213"/>
        <v>#N/A</v>
      </c>
      <c r="BA145" s="773" t="b">
        <f t="shared" si="214"/>
        <v>0</v>
      </c>
      <c r="BB145" s="773">
        <f t="shared" si="215"/>
        <v>0</v>
      </c>
      <c r="BC145" s="773" t="str">
        <f t="shared" si="216"/>
        <v xml:space="preserve"> </v>
      </c>
      <c r="BD145" s="773" t="e">
        <f t="shared" si="217"/>
        <v>#N/A</v>
      </c>
      <c r="BE145" s="773" t="b">
        <f t="shared" si="218"/>
        <v>0</v>
      </c>
      <c r="BF145" s="773">
        <f t="shared" si="219"/>
        <v>0</v>
      </c>
      <c r="BG145" s="773" t="str">
        <f t="shared" si="220"/>
        <v xml:space="preserve"> </v>
      </c>
      <c r="BH145" s="773" t="e">
        <f t="shared" si="221"/>
        <v>#N/A</v>
      </c>
      <c r="BI145" s="773" t="b">
        <f t="shared" si="222"/>
        <v>0</v>
      </c>
      <c r="BJ145" s="773">
        <f t="shared" si="223"/>
        <v>0</v>
      </c>
      <c r="BK145" s="773" t="str">
        <f t="shared" si="224"/>
        <v xml:space="preserve"> </v>
      </c>
      <c r="BL145" s="773" t="e">
        <f t="shared" si="225"/>
        <v>#N/A</v>
      </c>
      <c r="BM145" s="773" t="b">
        <f t="shared" si="226"/>
        <v>0</v>
      </c>
      <c r="BN145" s="773">
        <f t="shared" si="227"/>
        <v>0</v>
      </c>
      <c r="BO145" s="773" t="str">
        <f t="shared" si="228"/>
        <v xml:space="preserve"> </v>
      </c>
      <c r="BP145" s="773" t="e">
        <f t="shared" si="229"/>
        <v>#N/A</v>
      </c>
      <c r="BQ145" s="773" t="b">
        <f t="shared" si="230"/>
        <v>0</v>
      </c>
      <c r="BR145" s="773">
        <f t="shared" si="231"/>
        <v>0</v>
      </c>
      <c r="BS145" s="773" t="str">
        <f t="shared" si="232"/>
        <v xml:space="preserve"> </v>
      </c>
      <c r="BX145" s="773">
        <v>2043</v>
      </c>
      <c r="BY145" s="773" t="s">
        <v>7928</v>
      </c>
    </row>
    <row r="146" spans="1:77" ht="15">
      <c r="A146" s="1028"/>
      <c r="B146" s="855" t="s">
        <v>8467</v>
      </c>
      <c r="C146" s="855" t="s">
        <v>8559</v>
      </c>
      <c r="D146" s="855" t="s">
        <v>8560</v>
      </c>
      <c r="E146" s="855" t="s">
        <v>9333</v>
      </c>
      <c r="F146" s="1028"/>
      <c r="G146" s="1028"/>
      <c r="H146" s="1028"/>
      <c r="I146" s="1028"/>
      <c r="J146" s="1028"/>
      <c r="K146" s="1028"/>
      <c r="L146" s="1028"/>
      <c r="M146" s="1028"/>
      <c r="O146" s="773">
        <v>2</v>
      </c>
      <c r="P146" s="773" t="s">
        <v>8561</v>
      </c>
      <c r="Q146" s="773" t="str">
        <f ca="1">H85</f>
        <v>Mùi</v>
      </c>
      <c r="R146" s="773">
        <v>1</v>
      </c>
      <c r="S146" s="773">
        <f t="shared" ca="1" si="233"/>
        <v>4</v>
      </c>
      <c r="V146" s="773" t="e">
        <f t="shared" si="185"/>
        <v>#N/A</v>
      </c>
      <c r="W146" s="773" t="b">
        <f t="shared" si="186"/>
        <v>0</v>
      </c>
      <c r="X146" s="773">
        <f t="shared" si="187"/>
        <v>0</v>
      </c>
      <c r="Y146" s="773" t="str">
        <f t="shared" si="188"/>
        <v xml:space="preserve"> </v>
      </c>
      <c r="AA146" s="773" t="e">
        <f t="shared" si="189"/>
        <v>#N/A</v>
      </c>
      <c r="AB146" s="773" t="b">
        <f t="shared" si="190"/>
        <v>0</v>
      </c>
      <c r="AC146" s="773">
        <f t="shared" si="191"/>
        <v>0</v>
      </c>
      <c r="AD146" s="773" t="str">
        <f t="shared" si="192"/>
        <v xml:space="preserve"> </v>
      </c>
      <c r="AF146" s="773" t="e">
        <f t="shared" si="193"/>
        <v>#N/A</v>
      </c>
      <c r="AG146" s="773" t="b">
        <f t="shared" si="194"/>
        <v>0</v>
      </c>
      <c r="AH146" s="773">
        <f t="shared" si="195"/>
        <v>0</v>
      </c>
      <c r="AI146" s="773" t="str">
        <f t="shared" si="196"/>
        <v xml:space="preserve"> </v>
      </c>
      <c r="AJ146" s="773" t="e">
        <f t="shared" si="197"/>
        <v>#N/A</v>
      </c>
      <c r="AK146" s="773" t="b">
        <f t="shared" si="198"/>
        <v>0</v>
      </c>
      <c r="AL146" s="773">
        <f t="shared" si="199"/>
        <v>0</v>
      </c>
      <c r="AM146" s="773" t="str">
        <f t="shared" si="200"/>
        <v xml:space="preserve"> </v>
      </c>
      <c r="AN146" s="773" t="e">
        <f t="shared" si="201"/>
        <v>#N/A</v>
      </c>
      <c r="AO146" s="773" t="b">
        <f t="shared" si="202"/>
        <v>0</v>
      </c>
      <c r="AP146" s="773">
        <f t="shared" si="203"/>
        <v>0</v>
      </c>
      <c r="AQ146" s="773" t="str">
        <f t="shared" si="204"/>
        <v xml:space="preserve"> </v>
      </c>
      <c r="AR146" s="773" t="e">
        <f t="shared" si="205"/>
        <v>#N/A</v>
      </c>
      <c r="AS146" s="773" t="b">
        <f t="shared" si="206"/>
        <v>0</v>
      </c>
      <c r="AT146" s="773">
        <f t="shared" si="207"/>
        <v>0</v>
      </c>
      <c r="AU146" s="773" t="str">
        <f t="shared" si="208"/>
        <v xml:space="preserve"> </v>
      </c>
      <c r="AV146" s="773" t="e">
        <f t="shared" si="209"/>
        <v>#N/A</v>
      </c>
      <c r="AW146" s="773" t="b">
        <f t="shared" si="210"/>
        <v>0</v>
      </c>
      <c r="AX146" s="773">
        <f t="shared" si="211"/>
        <v>0</v>
      </c>
      <c r="AY146" s="773" t="str">
        <f t="shared" si="212"/>
        <v xml:space="preserve"> </v>
      </c>
      <c r="AZ146" s="773" t="e">
        <f t="shared" si="213"/>
        <v>#N/A</v>
      </c>
      <c r="BA146" s="773" t="b">
        <f t="shared" si="214"/>
        <v>0</v>
      </c>
      <c r="BB146" s="773">
        <f t="shared" si="215"/>
        <v>0</v>
      </c>
      <c r="BC146" s="773" t="str">
        <f t="shared" si="216"/>
        <v xml:space="preserve"> </v>
      </c>
      <c r="BD146" s="773" t="e">
        <f t="shared" si="217"/>
        <v>#N/A</v>
      </c>
      <c r="BE146" s="773" t="b">
        <f t="shared" si="218"/>
        <v>0</v>
      </c>
      <c r="BF146" s="773">
        <f t="shared" si="219"/>
        <v>0</v>
      </c>
      <c r="BG146" s="773" t="str">
        <f t="shared" si="220"/>
        <v xml:space="preserve"> </v>
      </c>
      <c r="BH146" s="773" t="e">
        <f t="shared" si="221"/>
        <v>#N/A</v>
      </c>
      <c r="BI146" s="773" t="b">
        <f t="shared" si="222"/>
        <v>0</v>
      </c>
      <c r="BJ146" s="773">
        <f t="shared" si="223"/>
        <v>0</v>
      </c>
      <c r="BK146" s="773" t="str">
        <f t="shared" si="224"/>
        <v xml:space="preserve"> </v>
      </c>
      <c r="BL146" s="773" t="e">
        <f t="shared" si="225"/>
        <v>#N/A</v>
      </c>
      <c r="BM146" s="773" t="b">
        <f t="shared" si="226"/>
        <v>0</v>
      </c>
      <c r="BN146" s="773">
        <f t="shared" si="227"/>
        <v>0</v>
      </c>
      <c r="BO146" s="773" t="str">
        <f t="shared" si="228"/>
        <v xml:space="preserve"> </v>
      </c>
      <c r="BP146" s="773" t="e">
        <f t="shared" si="229"/>
        <v>#N/A</v>
      </c>
      <c r="BQ146" s="773" t="b">
        <f t="shared" si="230"/>
        <v>0</v>
      </c>
      <c r="BR146" s="773">
        <f t="shared" si="231"/>
        <v>0</v>
      </c>
      <c r="BS146" s="773" t="str">
        <f t="shared" si="232"/>
        <v xml:space="preserve"> </v>
      </c>
    </row>
    <row r="147" spans="1:77" ht="15">
      <c r="A147" s="855" t="s">
        <v>8320</v>
      </c>
      <c r="B147" s="855"/>
      <c r="C147" s="855"/>
      <c r="D147" s="855"/>
      <c r="E147" s="855"/>
      <c r="F147" s="855"/>
      <c r="G147" s="855"/>
      <c r="H147" s="855"/>
      <c r="I147" s="855"/>
      <c r="J147" s="855"/>
      <c r="K147" s="855"/>
      <c r="L147" s="855"/>
      <c r="M147" s="855"/>
      <c r="O147" s="773">
        <v>3</v>
      </c>
      <c r="P147" s="773" t="s">
        <v>6581</v>
      </c>
      <c r="Q147" s="773" t="str">
        <f ca="1">C124</f>
        <v>Tý</v>
      </c>
      <c r="R147" s="773">
        <v>4</v>
      </c>
      <c r="S147" s="773">
        <f t="shared" ca="1" si="233"/>
        <v>5</v>
      </c>
      <c r="V147" s="773" t="e">
        <f t="shared" si="185"/>
        <v>#N/A</v>
      </c>
      <c r="W147" s="773" t="b">
        <f t="shared" si="186"/>
        <v>0</v>
      </c>
      <c r="X147" s="773">
        <f t="shared" si="187"/>
        <v>0</v>
      </c>
      <c r="Y147" s="773" t="str">
        <f t="shared" si="188"/>
        <v xml:space="preserve"> </v>
      </c>
      <c r="AA147" s="773" t="e">
        <f t="shared" si="189"/>
        <v>#N/A</v>
      </c>
      <c r="AB147" s="773" t="b">
        <f t="shared" si="190"/>
        <v>0</v>
      </c>
      <c r="AC147" s="773">
        <f t="shared" si="191"/>
        <v>0</v>
      </c>
      <c r="AD147" s="773" t="str">
        <f t="shared" si="192"/>
        <v xml:space="preserve"> </v>
      </c>
      <c r="AF147" s="773" t="e">
        <f t="shared" si="193"/>
        <v>#N/A</v>
      </c>
      <c r="AG147" s="773" t="b">
        <f t="shared" si="194"/>
        <v>0</v>
      </c>
      <c r="AH147" s="773">
        <f t="shared" si="195"/>
        <v>0</v>
      </c>
      <c r="AI147" s="773" t="str">
        <f t="shared" si="196"/>
        <v xml:space="preserve"> </v>
      </c>
      <c r="AJ147" s="773" t="e">
        <f t="shared" si="197"/>
        <v>#N/A</v>
      </c>
      <c r="AK147" s="773" t="b">
        <f t="shared" si="198"/>
        <v>0</v>
      </c>
      <c r="AL147" s="773">
        <f t="shared" si="199"/>
        <v>0</v>
      </c>
      <c r="AM147" s="773" t="str">
        <f t="shared" si="200"/>
        <v xml:space="preserve"> </v>
      </c>
      <c r="AN147" s="773" t="e">
        <f t="shared" si="201"/>
        <v>#N/A</v>
      </c>
      <c r="AO147" s="773" t="b">
        <f t="shared" si="202"/>
        <v>0</v>
      </c>
      <c r="AP147" s="773">
        <f t="shared" si="203"/>
        <v>0</v>
      </c>
      <c r="AQ147" s="773" t="str">
        <f t="shared" si="204"/>
        <v xml:space="preserve"> </v>
      </c>
      <c r="AR147" s="773" t="e">
        <f t="shared" si="205"/>
        <v>#N/A</v>
      </c>
      <c r="AS147" s="773" t="b">
        <f t="shared" si="206"/>
        <v>0</v>
      </c>
      <c r="AT147" s="773">
        <f t="shared" si="207"/>
        <v>0</v>
      </c>
      <c r="AU147" s="773" t="str">
        <f t="shared" si="208"/>
        <v xml:space="preserve"> </v>
      </c>
      <c r="AV147" s="773" t="e">
        <f t="shared" si="209"/>
        <v>#N/A</v>
      </c>
      <c r="AW147" s="773" t="b">
        <f t="shared" si="210"/>
        <v>0</v>
      </c>
      <c r="AX147" s="773">
        <f t="shared" si="211"/>
        <v>0</v>
      </c>
      <c r="AY147" s="773" t="str">
        <f t="shared" si="212"/>
        <v xml:space="preserve"> </v>
      </c>
      <c r="AZ147" s="773" t="e">
        <f t="shared" si="213"/>
        <v>#N/A</v>
      </c>
      <c r="BA147" s="773" t="b">
        <f t="shared" si="214"/>
        <v>0</v>
      </c>
      <c r="BB147" s="773">
        <f t="shared" si="215"/>
        <v>0</v>
      </c>
      <c r="BC147" s="773" t="str">
        <f t="shared" si="216"/>
        <v xml:space="preserve"> </v>
      </c>
      <c r="BD147" s="773" t="e">
        <f t="shared" si="217"/>
        <v>#N/A</v>
      </c>
      <c r="BE147" s="773" t="b">
        <f t="shared" si="218"/>
        <v>0</v>
      </c>
      <c r="BF147" s="773">
        <f t="shared" si="219"/>
        <v>0</v>
      </c>
      <c r="BG147" s="773" t="str">
        <f t="shared" si="220"/>
        <v xml:space="preserve"> </v>
      </c>
      <c r="BH147" s="773" t="e">
        <f t="shared" si="221"/>
        <v>#N/A</v>
      </c>
      <c r="BI147" s="773" t="b">
        <f t="shared" si="222"/>
        <v>0</v>
      </c>
      <c r="BJ147" s="773">
        <f t="shared" si="223"/>
        <v>0</v>
      </c>
      <c r="BK147" s="773" t="str">
        <f t="shared" si="224"/>
        <v xml:space="preserve"> </v>
      </c>
      <c r="BL147" s="773" t="e">
        <f t="shared" si="225"/>
        <v>#N/A</v>
      </c>
      <c r="BM147" s="773" t="b">
        <f t="shared" si="226"/>
        <v>0</v>
      </c>
      <c r="BN147" s="773">
        <f t="shared" si="227"/>
        <v>0</v>
      </c>
      <c r="BO147" s="773" t="str">
        <f t="shared" si="228"/>
        <v xml:space="preserve"> </v>
      </c>
      <c r="BP147" s="773" t="e">
        <f t="shared" si="229"/>
        <v>#N/A</v>
      </c>
      <c r="BQ147" s="773" t="b">
        <f t="shared" si="230"/>
        <v>0</v>
      </c>
      <c r="BR147" s="773">
        <f t="shared" si="231"/>
        <v>0</v>
      </c>
      <c r="BS147" s="773" t="str">
        <f t="shared" si="232"/>
        <v xml:space="preserve"> </v>
      </c>
    </row>
    <row r="148" spans="1:77" ht="14.25" customHeight="1">
      <c r="A148" s="787" t="s">
        <v>6711</v>
      </c>
      <c r="B148" s="855" t="s">
        <v>353</v>
      </c>
      <c r="C148" s="855" t="s">
        <v>1399</v>
      </c>
      <c r="D148" s="855" t="s">
        <v>505</v>
      </c>
      <c r="E148" s="806" t="s">
        <v>7871</v>
      </c>
      <c r="F148" s="855" t="s">
        <v>506</v>
      </c>
      <c r="G148" s="855" t="s">
        <v>507</v>
      </c>
      <c r="H148" s="855" t="s">
        <v>9297</v>
      </c>
      <c r="I148" s="855" t="s">
        <v>9298</v>
      </c>
      <c r="J148" s="855" t="s">
        <v>9299</v>
      </c>
      <c r="K148" s="855" t="s">
        <v>9300</v>
      </c>
      <c r="L148" s="855" t="s">
        <v>1402</v>
      </c>
      <c r="M148" s="855" t="s">
        <v>9301</v>
      </c>
      <c r="O148" s="773">
        <v>4</v>
      </c>
      <c r="P148" s="773" t="s">
        <v>8562</v>
      </c>
      <c r="Q148" s="773" t="str">
        <f ca="1">D124</f>
        <v>Tuất</v>
      </c>
      <c r="R148" s="773">
        <v>4</v>
      </c>
      <c r="S148" s="773">
        <f t="shared" ca="1" si="233"/>
        <v>5</v>
      </c>
      <c r="V148" s="773" t="e">
        <f t="shared" si="185"/>
        <v>#N/A</v>
      </c>
      <c r="W148" s="773" t="b">
        <f t="shared" si="186"/>
        <v>0</v>
      </c>
      <c r="X148" s="773">
        <f t="shared" si="187"/>
        <v>0</v>
      </c>
      <c r="Y148" s="773" t="str">
        <f t="shared" si="188"/>
        <v xml:space="preserve"> </v>
      </c>
      <c r="AA148" s="773" t="e">
        <f t="shared" si="189"/>
        <v>#N/A</v>
      </c>
      <c r="AB148" s="773" t="b">
        <f t="shared" si="190"/>
        <v>0</v>
      </c>
      <c r="AC148" s="773">
        <f t="shared" si="191"/>
        <v>0</v>
      </c>
      <c r="AD148" s="773" t="str">
        <f t="shared" si="192"/>
        <v xml:space="preserve"> </v>
      </c>
      <c r="AF148" s="773" t="e">
        <f t="shared" si="193"/>
        <v>#N/A</v>
      </c>
      <c r="AG148" s="773" t="b">
        <f t="shared" si="194"/>
        <v>0</v>
      </c>
      <c r="AH148" s="773">
        <f t="shared" si="195"/>
        <v>0</v>
      </c>
      <c r="AI148" s="773" t="str">
        <f t="shared" si="196"/>
        <v xml:space="preserve"> </v>
      </c>
      <c r="AJ148" s="773" t="e">
        <f t="shared" si="197"/>
        <v>#N/A</v>
      </c>
      <c r="AK148" s="773" t="b">
        <f t="shared" si="198"/>
        <v>0</v>
      </c>
      <c r="AL148" s="773">
        <f t="shared" si="199"/>
        <v>0</v>
      </c>
      <c r="AM148" s="773" t="str">
        <f t="shared" si="200"/>
        <v xml:space="preserve"> </v>
      </c>
      <c r="AN148" s="773" t="e">
        <f t="shared" si="201"/>
        <v>#N/A</v>
      </c>
      <c r="AO148" s="773" t="b">
        <f t="shared" si="202"/>
        <v>0</v>
      </c>
      <c r="AP148" s="773">
        <f t="shared" si="203"/>
        <v>0</v>
      </c>
      <c r="AQ148" s="773" t="str">
        <f t="shared" si="204"/>
        <v xml:space="preserve"> </v>
      </c>
      <c r="AR148" s="773" t="e">
        <f t="shared" si="205"/>
        <v>#N/A</v>
      </c>
      <c r="AS148" s="773" t="b">
        <f t="shared" si="206"/>
        <v>0</v>
      </c>
      <c r="AT148" s="773">
        <f t="shared" si="207"/>
        <v>0</v>
      </c>
      <c r="AU148" s="773" t="str">
        <f t="shared" si="208"/>
        <v xml:space="preserve"> </v>
      </c>
      <c r="AV148" s="773" t="e">
        <f t="shared" si="209"/>
        <v>#N/A</v>
      </c>
      <c r="AW148" s="773" t="b">
        <f t="shared" si="210"/>
        <v>0</v>
      </c>
      <c r="AX148" s="773">
        <f t="shared" si="211"/>
        <v>0</v>
      </c>
      <c r="AY148" s="773" t="str">
        <f t="shared" si="212"/>
        <v xml:space="preserve"> </v>
      </c>
      <c r="AZ148" s="773" t="e">
        <f t="shared" si="213"/>
        <v>#N/A</v>
      </c>
      <c r="BA148" s="773" t="b">
        <f t="shared" si="214"/>
        <v>0</v>
      </c>
      <c r="BB148" s="773">
        <f t="shared" si="215"/>
        <v>0</v>
      </c>
      <c r="BC148" s="773" t="str">
        <f t="shared" si="216"/>
        <v xml:space="preserve"> </v>
      </c>
      <c r="BD148" s="773" t="e">
        <f t="shared" si="217"/>
        <v>#N/A</v>
      </c>
      <c r="BE148" s="773" t="b">
        <f t="shared" si="218"/>
        <v>0</v>
      </c>
      <c r="BF148" s="773">
        <f t="shared" si="219"/>
        <v>0</v>
      </c>
      <c r="BG148" s="773" t="str">
        <f t="shared" si="220"/>
        <v xml:space="preserve"> </v>
      </c>
      <c r="BH148" s="773" t="e">
        <f t="shared" si="221"/>
        <v>#N/A</v>
      </c>
      <c r="BI148" s="773" t="b">
        <f t="shared" si="222"/>
        <v>0</v>
      </c>
      <c r="BJ148" s="773">
        <f t="shared" si="223"/>
        <v>0</v>
      </c>
      <c r="BK148" s="773" t="str">
        <f t="shared" si="224"/>
        <v xml:space="preserve"> </v>
      </c>
      <c r="BL148" s="773" t="e">
        <f t="shared" si="225"/>
        <v>#N/A</v>
      </c>
      <c r="BM148" s="773" t="b">
        <f t="shared" si="226"/>
        <v>0</v>
      </c>
      <c r="BN148" s="773">
        <f t="shared" si="227"/>
        <v>0</v>
      </c>
      <c r="BO148" s="773" t="str">
        <f t="shared" si="228"/>
        <v xml:space="preserve"> </v>
      </c>
      <c r="BP148" s="773" t="e">
        <f t="shared" si="229"/>
        <v>#N/A</v>
      </c>
      <c r="BQ148" s="773" t="b">
        <f t="shared" si="230"/>
        <v>0</v>
      </c>
      <c r="BR148" s="773">
        <f t="shared" si="231"/>
        <v>0</v>
      </c>
      <c r="BS148" s="773" t="str">
        <f t="shared" si="232"/>
        <v xml:space="preserve"> </v>
      </c>
    </row>
    <row r="149" spans="1:77" ht="30">
      <c r="A149" s="787" t="s">
        <v>6720</v>
      </c>
      <c r="B149" s="855" t="s">
        <v>9297</v>
      </c>
      <c r="C149" s="855" t="s">
        <v>9298</v>
      </c>
      <c r="D149" s="855" t="s">
        <v>9299</v>
      </c>
      <c r="E149" s="855" t="s">
        <v>9300</v>
      </c>
      <c r="F149" s="855" t="s">
        <v>1402</v>
      </c>
      <c r="G149" s="855" t="s">
        <v>9301</v>
      </c>
      <c r="H149" s="855" t="s">
        <v>353</v>
      </c>
      <c r="I149" s="855" t="s">
        <v>1399</v>
      </c>
      <c r="J149" s="855" t="s">
        <v>505</v>
      </c>
      <c r="K149" s="806" t="s">
        <v>7871</v>
      </c>
      <c r="L149" s="855" t="s">
        <v>506</v>
      </c>
      <c r="M149" s="855" t="s">
        <v>507</v>
      </c>
      <c r="O149" s="773">
        <v>5</v>
      </c>
      <c r="P149" s="773" t="s">
        <v>8563</v>
      </c>
      <c r="Q149" s="773" t="str">
        <f ca="1">M219</f>
        <v>Dậu</v>
      </c>
      <c r="R149" s="773">
        <v>1</v>
      </c>
      <c r="S149" s="773">
        <f t="shared" ca="1" si="233"/>
        <v>5</v>
      </c>
      <c r="U149" s="937"/>
      <c r="V149" s="773" t="e">
        <f t="shared" si="185"/>
        <v>#N/A</v>
      </c>
      <c r="W149" s="773" t="b">
        <f t="shared" si="186"/>
        <v>0</v>
      </c>
      <c r="X149" s="773">
        <f t="shared" si="187"/>
        <v>0</v>
      </c>
      <c r="Y149" s="773" t="str">
        <f t="shared" si="188"/>
        <v xml:space="preserve"> </v>
      </c>
      <c r="AA149" s="773" t="e">
        <f t="shared" si="189"/>
        <v>#N/A</v>
      </c>
      <c r="AB149" s="773" t="b">
        <f t="shared" si="190"/>
        <v>0</v>
      </c>
      <c r="AC149" s="773">
        <f t="shared" si="191"/>
        <v>0</v>
      </c>
      <c r="AD149" s="773" t="str">
        <f t="shared" si="192"/>
        <v xml:space="preserve"> </v>
      </c>
      <c r="AF149" s="773" t="e">
        <f t="shared" si="193"/>
        <v>#N/A</v>
      </c>
      <c r="AG149" s="773" t="b">
        <f t="shared" si="194"/>
        <v>0</v>
      </c>
      <c r="AH149" s="773">
        <f t="shared" si="195"/>
        <v>0</v>
      </c>
      <c r="AI149" s="773" t="str">
        <f t="shared" si="196"/>
        <v xml:space="preserve"> </v>
      </c>
      <c r="AJ149" s="773" t="e">
        <f t="shared" si="197"/>
        <v>#N/A</v>
      </c>
      <c r="AK149" s="773" t="b">
        <f t="shared" si="198"/>
        <v>0</v>
      </c>
      <c r="AL149" s="773">
        <f t="shared" si="199"/>
        <v>0</v>
      </c>
      <c r="AM149" s="773" t="str">
        <f t="shared" si="200"/>
        <v xml:space="preserve"> </v>
      </c>
      <c r="AN149" s="773" t="e">
        <f t="shared" si="201"/>
        <v>#N/A</v>
      </c>
      <c r="AO149" s="773" t="b">
        <f t="shared" si="202"/>
        <v>0</v>
      </c>
      <c r="AP149" s="773">
        <f t="shared" si="203"/>
        <v>0</v>
      </c>
      <c r="AQ149" s="773" t="str">
        <f t="shared" si="204"/>
        <v xml:space="preserve"> </v>
      </c>
      <c r="AR149" s="773" t="e">
        <f t="shared" si="205"/>
        <v>#N/A</v>
      </c>
      <c r="AS149" s="773" t="b">
        <f t="shared" si="206"/>
        <v>0</v>
      </c>
      <c r="AT149" s="773">
        <f t="shared" si="207"/>
        <v>0</v>
      </c>
      <c r="AU149" s="773" t="str">
        <f t="shared" si="208"/>
        <v xml:space="preserve"> </v>
      </c>
      <c r="AV149" s="773" t="e">
        <f t="shared" si="209"/>
        <v>#N/A</v>
      </c>
      <c r="AW149" s="773" t="b">
        <f t="shared" si="210"/>
        <v>0</v>
      </c>
      <c r="AX149" s="773">
        <f t="shared" si="211"/>
        <v>0</v>
      </c>
      <c r="AY149" s="773" t="str">
        <f t="shared" si="212"/>
        <v xml:space="preserve"> </v>
      </c>
      <c r="AZ149" s="773" t="e">
        <f t="shared" si="213"/>
        <v>#N/A</v>
      </c>
      <c r="BA149" s="773" t="b">
        <f t="shared" si="214"/>
        <v>0</v>
      </c>
      <c r="BB149" s="773">
        <f t="shared" si="215"/>
        <v>0</v>
      </c>
      <c r="BC149" s="773" t="str">
        <f t="shared" si="216"/>
        <v xml:space="preserve"> </v>
      </c>
      <c r="BD149" s="773" t="e">
        <f t="shared" si="217"/>
        <v>#N/A</v>
      </c>
      <c r="BE149" s="773" t="b">
        <f t="shared" si="218"/>
        <v>0</v>
      </c>
      <c r="BF149" s="773">
        <f t="shared" si="219"/>
        <v>0</v>
      </c>
      <c r="BG149" s="773" t="str">
        <f t="shared" si="220"/>
        <v xml:space="preserve"> </v>
      </c>
      <c r="BH149" s="773" t="e">
        <f t="shared" si="221"/>
        <v>#N/A</v>
      </c>
      <c r="BI149" s="773" t="b">
        <f t="shared" si="222"/>
        <v>0</v>
      </c>
      <c r="BJ149" s="773">
        <f t="shared" si="223"/>
        <v>0</v>
      </c>
      <c r="BK149" s="773" t="str">
        <f t="shared" si="224"/>
        <v xml:space="preserve"> </v>
      </c>
      <c r="BL149" s="773" t="e">
        <f t="shared" si="225"/>
        <v>#N/A</v>
      </c>
      <c r="BM149" s="773" t="b">
        <f t="shared" si="226"/>
        <v>0</v>
      </c>
      <c r="BN149" s="773">
        <f t="shared" si="227"/>
        <v>0</v>
      </c>
      <c r="BO149" s="773" t="str">
        <f t="shared" si="228"/>
        <v xml:space="preserve"> </v>
      </c>
      <c r="BP149" s="773" t="e">
        <f t="shared" si="229"/>
        <v>#N/A</v>
      </c>
      <c r="BQ149" s="773" t="b">
        <f t="shared" si="230"/>
        <v>0</v>
      </c>
      <c r="BR149" s="773">
        <f t="shared" si="231"/>
        <v>0</v>
      </c>
      <c r="BS149" s="773" t="str">
        <f t="shared" si="232"/>
        <v xml:space="preserve"> </v>
      </c>
    </row>
    <row r="150" spans="1:77" ht="30">
      <c r="A150" s="787" t="s">
        <v>6717</v>
      </c>
      <c r="B150" s="855" t="s">
        <v>9297</v>
      </c>
      <c r="C150" s="855" t="s">
        <v>9298</v>
      </c>
      <c r="D150" s="855" t="s">
        <v>9299</v>
      </c>
      <c r="E150" s="855" t="s">
        <v>9300</v>
      </c>
      <c r="F150" s="855" t="s">
        <v>1402</v>
      </c>
      <c r="G150" s="855" t="s">
        <v>9301</v>
      </c>
      <c r="H150" s="855" t="s">
        <v>353</v>
      </c>
      <c r="I150" s="855" t="s">
        <v>1399</v>
      </c>
      <c r="J150" s="855" t="s">
        <v>505</v>
      </c>
      <c r="K150" s="806" t="s">
        <v>7871</v>
      </c>
      <c r="L150" s="855" t="s">
        <v>506</v>
      </c>
      <c r="M150" s="855" t="s">
        <v>507</v>
      </c>
      <c r="O150" s="773">
        <v>6</v>
      </c>
      <c r="P150" s="773" t="s">
        <v>8564</v>
      </c>
      <c r="Q150" s="773" t="str">
        <f ca="1">M220</f>
        <v>Mùi</v>
      </c>
      <c r="R150" s="773">
        <v>1</v>
      </c>
      <c r="S150" s="773">
        <f t="shared" ca="1" si="233"/>
        <v>1</v>
      </c>
      <c r="V150" s="773" t="e">
        <f t="shared" si="185"/>
        <v>#N/A</v>
      </c>
      <c r="W150" s="773" t="b">
        <f t="shared" si="186"/>
        <v>0</v>
      </c>
      <c r="X150" s="773">
        <f t="shared" si="187"/>
        <v>0</v>
      </c>
      <c r="Y150" s="773" t="str">
        <f t="shared" si="188"/>
        <v xml:space="preserve"> </v>
      </c>
      <c r="AA150" s="773" t="e">
        <f t="shared" si="189"/>
        <v>#N/A</v>
      </c>
      <c r="AB150" s="773" t="b">
        <f t="shared" si="190"/>
        <v>0</v>
      </c>
      <c r="AC150" s="773">
        <f t="shared" si="191"/>
        <v>0</v>
      </c>
      <c r="AD150" s="773" t="str">
        <f t="shared" si="192"/>
        <v xml:space="preserve"> </v>
      </c>
      <c r="AF150" s="773" t="e">
        <f t="shared" si="193"/>
        <v>#N/A</v>
      </c>
      <c r="AG150" s="773" t="b">
        <f t="shared" si="194"/>
        <v>0</v>
      </c>
      <c r="AH150" s="773">
        <f t="shared" si="195"/>
        <v>0</v>
      </c>
      <c r="AI150" s="773" t="str">
        <f t="shared" si="196"/>
        <v xml:space="preserve"> </v>
      </c>
      <c r="AJ150" s="773" t="e">
        <f t="shared" si="197"/>
        <v>#N/A</v>
      </c>
      <c r="AK150" s="773" t="b">
        <f t="shared" si="198"/>
        <v>0</v>
      </c>
      <c r="AL150" s="773">
        <f t="shared" si="199"/>
        <v>0</v>
      </c>
      <c r="AM150" s="773" t="str">
        <f t="shared" si="200"/>
        <v xml:space="preserve"> </v>
      </c>
      <c r="AN150" s="773" t="e">
        <f t="shared" si="201"/>
        <v>#N/A</v>
      </c>
      <c r="AO150" s="773" t="b">
        <f t="shared" si="202"/>
        <v>0</v>
      </c>
      <c r="AP150" s="773">
        <f t="shared" si="203"/>
        <v>0</v>
      </c>
      <c r="AQ150" s="773" t="str">
        <f t="shared" si="204"/>
        <v xml:space="preserve"> </v>
      </c>
      <c r="AR150" s="773" t="e">
        <f t="shared" si="205"/>
        <v>#N/A</v>
      </c>
      <c r="AS150" s="773" t="b">
        <f t="shared" si="206"/>
        <v>0</v>
      </c>
      <c r="AT150" s="773">
        <f t="shared" si="207"/>
        <v>0</v>
      </c>
      <c r="AU150" s="773" t="str">
        <f t="shared" si="208"/>
        <v xml:space="preserve"> </v>
      </c>
      <c r="AV150" s="773" t="e">
        <f t="shared" si="209"/>
        <v>#N/A</v>
      </c>
      <c r="AW150" s="773" t="b">
        <f t="shared" si="210"/>
        <v>0</v>
      </c>
      <c r="AX150" s="773">
        <f t="shared" si="211"/>
        <v>0</v>
      </c>
      <c r="AY150" s="773" t="str">
        <f t="shared" si="212"/>
        <v xml:space="preserve"> </v>
      </c>
      <c r="AZ150" s="773" t="e">
        <f t="shared" si="213"/>
        <v>#N/A</v>
      </c>
      <c r="BA150" s="773" t="b">
        <f t="shared" si="214"/>
        <v>0</v>
      </c>
      <c r="BB150" s="773">
        <f t="shared" si="215"/>
        <v>0</v>
      </c>
      <c r="BC150" s="773" t="str">
        <f t="shared" si="216"/>
        <v xml:space="preserve"> </v>
      </c>
      <c r="BD150" s="773" t="e">
        <f t="shared" si="217"/>
        <v>#N/A</v>
      </c>
      <c r="BE150" s="773" t="b">
        <f t="shared" si="218"/>
        <v>0</v>
      </c>
      <c r="BF150" s="773">
        <f t="shared" si="219"/>
        <v>0</v>
      </c>
      <c r="BG150" s="773" t="str">
        <f t="shared" si="220"/>
        <v xml:space="preserve"> </v>
      </c>
      <c r="BH150" s="773" t="e">
        <f t="shared" si="221"/>
        <v>#N/A</v>
      </c>
      <c r="BI150" s="773" t="b">
        <f t="shared" si="222"/>
        <v>0</v>
      </c>
      <c r="BJ150" s="773">
        <f t="shared" si="223"/>
        <v>0</v>
      </c>
      <c r="BK150" s="773" t="str">
        <f t="shared" si="224"/>
        <v xml:space="preserve"> </v>
      </c>
      <c r="BL150" s="773" t="e">
        <f t="shared" si="225"/>
        <v>#N/A</v>
      </c>
      <c r="BM150" s="773" t="b">
        <f t="shared" si="226"/>
        <v>0</v>
      </c>
      <c r="BN150" s="773">
        <f t="shared" si="227"/>
        <v>0</v>
      </c>
      <c r="BO150" s="773" t="str">
        <f t="shared" si="228"/>
        <v xml:space="preserve"> </v>
      </c>
      <c r="BP150" s="773" t="e">
        <f t="shared" si="229"/>
        <v>#N/A</v>
      </c>
      <c r="BQ150" s="773" t="b">
        <f t="shared" si="230"/>
        <v>0</v>
      </c>
      <c r="BR150" s="773">
        <f t="shared" si="231"/>
        <v>0</v>
      </c>
      <c r="BS150" s="773" t="str">
        <f t="shared" si="232"/>
        <v xml:space="preserve"> </v>
      </c>
    </row>
    <row r="151" spans="1:77" s="937" customFormat="1" ht="15">
      <c r="A151" s="787" t="s">
        <v>6718</v>
      </c>
      <c r="B151" s="806" t="s">
        <v>7871</v>
      </c>
      <c r="C151" s="855" t="s">
        <v>506</v>
      </c>
      <c r="D151" s="855" t="s">
        <v>507</v>
      </c>
      <c r="E151" s="855" t="s">
        <v>9297</v>
      </c>
      <c r="F151" s="855" t="s">
        <v>9298</v>
      </c>
      <c r="G151" s="855" t="s">
        <v>9299</v>
      </c>
      <c r="H151" s="855" t="s">
        <v>9300</v>
      </c>
      <c r="I151" s="855" t="s">
        <v>1402</v>
      </c>
      <c r="J151" s="855" t="s">
        <v>9301</v>
      </c>
      <c r="K151" s="855" t="s">
        <v>353</v>
      </c>
      <c r="L151" s="855" t="s">
        <v>1399</v>
      </c>
      <c r="M151" s="855" t="s">
        <v>505</v>
      </c>
      <c r="O151" s="773">
        <v>7</v>
      </c>
      <c r="P151" s="773" t="s">
        <v>8565</v>
      </c>
      <c r="Q151" s="773" t="str">
        <f ca="1">R142</f>
        <v>Mùi</v>
      </c>
      <c r="R151" s="773">
        <v>1</v>
      </c>
      <c r="S151" s="773">
        <f t="shared" ca="1" si="233"/>
        <v>1</v>
      </c>
      <c r="T151" s="912"/>
      <c r="U151" s="912"/>
    </row>
    <row r="152" spans="1:77" ht="30">
      <c r="A152" s="787" t="s">
        <v>6719</v>
      </c>
      <c r="B152" s="855" t="s">
        <v>9300</v>
      </c>
      <c r="C152" s="855" t="s">
        <v>1402</v>
      </c>
      <c r="D152" s="855" t="s">
        <v>9301</v>
      </c>
      <c r="E152" s="855" t="s">
        <v>353</v>
      </c>
      <c r="F152" s="855" t="s">
        <v>1399</v>
      </c>
      <c r="G152" s="855" t="s">
        <v>505</v>
      </c>
      <c r="H152" s="806" t="s">
        <v>7871</v>
      </c>
      <c r="I152" s="855" t="s">
        <v>506</v>
      </c>
      <c r="J152" s="855" t="s">
        <v>507</v>
      </c>
      <c r="K152" s="855" t="s">
        <v>9297</v>
      </c>
      <c r="L152" s="855" t="s">
        <v>9298</v>
      </c>
      <c r="M152" s="855" t="s">
        <v>9299</v>
      </c>
      <c r="O152" s="773">
        <v>8</v>
      </c>
      <c r="P152" s="773" t="s">
        <v>8566</v>
      </c>
      <c r="Q152" s="773" t="str">
        <f ca="1">D95</f>
        <v>Dậu</v>
      </c>
      <c r="R152" s="773">
        <v>1</v>
      </c>
      <c r="S152" s="773" t="e">
        <f t="shared" ca="1" si="233"/>
        <v>#N/A</v>
      </c>
      <c r="V152" s="912">
        <v>1</v>
      </c>
      <c r="Y152" s="912">
        <v>2</v>
      </c>
      <c r="AB152" s="773">
        <v>3</v>
      </c>
      <c r="AE152" s="773">
        <v>4</v>
      </c>
      <c r="AH152" s="773">
        <v>5</v>
      </c>
      <c r="AK152" s="773">
        <v>6</v>
      </c>
      <c r="AN152" s="773">
        <v>7</v>
      </c>
      <c r="AQ152" s="773">
        <v>8</v>
      </c>
      <c r="AT152" s="773">
        <v>9</v>
      </c>
      <c r="AW152" s="773">
        <v>10</v>
      </c>
      <c r="AZ152" s="773">
        <v>11</v>
      </c>
      <c r="BC152" s="773">
        <v>12</v>
      </c>
    </row>
    <row r="153" spans="1:77" s="912" customFormat="1" ht="15" customHeight="1">
      <c r="A153" s="914"/>
      <c r="B153" s="914" t="str">
        <f t="shared" ref="B153:M153" ca="1" si="234">VLOOKUP($N$42,$A$147:$M$152,B123,0)</f>
        <v>tỵ</v>
      </c>
      <c r="C153" s="914" t="str">
        <f t="shared" ca="1" si="234"/>
        <v>Ngọ</v>
      </c>
      <c r="D153" s="914" t="str">
        <f t="shared" ca="1" si="234"/>
        <v>Mùi</v>
      </c>
      <c r="E153" s="914" t="str">
        <f t="shared" ca="1" si="234"/>
        <v>Thân</v>
      </c>
      <c r="F153" s="914" t="str">
        <f t="shared" ca="1" si="234"/>
        <v>Dậu</v>
      </c>
      <c r="G153" s="914" t="str">
        <f t="shared" ca="1" si="234"/>
        <v>Tuất</v>
      </c>
      <c r="H153" s="914" t="str">
        <f t="shared" ca="1" si="234"/>
        <v>Hợi</v>
      </c>
      <c r="I153" s="914" t="str">
        <f t="shared" ca="1" si="234"/>
        <v>Tý</v>
      </c>
      <c r="J153" s="914" t="str">
        <f t="shared" ca="1" si="234"/>
        <v>Sửu</v>
      </c>
      <c r="K153" s="914" t="str">
        <f t="shared" ca="1" si="234"/>
        <v>Dần</v>
      </c>
      <c r="L153" s="914" t="str">
        <f t="shared" ca="1" si="234"/>
        <v>Mão</v>
      </c>
      <c r="M153" s="914" t="str">
        <f t="shared" ca="1" si="234"/>
        <v>Thìn</v>
      </c>
      <c r="O153" s="773">
        <v>9</v>
      </c>
      <c r="P153" s="773" t="s">
        <v>6599</v>
      </c>
      <c r="Q153" s="773" t="str">
        <f ca="1">O142</f>
        <v>Hợi</v>
      </c>
      <c r="R153" s="912">
        <v>1</v>
      </c>
      <c r="S153" s="796" t="e">
        <f t="shared" ref="S153:S160" ca="1" si="235">VLOOKUP(F33,$P$145:$R$187,3,0)</f>
        <v>#N/A</v>
      </c>
      <c r="V153" s="773">
        <f t="shared" ref="V153:V195" ca="1" si="236">IF($N$49=Q145,1,0)</f>
        <v>0</v>
      </c>
      <c r="W153" s="773">
        <f ca="1">IF(V153=1,1,0)</f>
        <v>0</v>
      </c>
      <c r="X153" s="773">
        <f t="shared" ref="X153:X195" ca="1" si="237">IF(V153=1,W153,0)</f>
        <v>0</v>
      </c>
      <c r="Y153" s="773">
        <f t="shared" ref="Y153:Y195" ca="1" si="238">IF($N$50=Q145,1,0)</f>
        <v>0</v>
      </c>
      <c r="Z153" s="773">
        <f ca="1">IF(Y153=1,1,0)</f>
        <v>0</v>
      </c>
      <c r="AA153" s="773">
        <f t="shared" ref="AA153:AA195" ca="1" si="239">IF(Y153=1,Z153,0)</f>
        <v>0</v>
      </c>
      <c r="AB153" s="773">
        <f t="shared" ref="AB153:AB195" ca="1" si="240">IF($N$51=Q145,1,0)</f>
        <v>0</v>
      </c>
      <c r="AC153" s="773">
        <f ca="1">IF(AB153=1,1,0)</f>
        <v>0</v>
      </c>
      <c r="AD153" s="773">
        <f t="shared" ref="AD153:AD195" ca="1" si="241">IF(AB153=1,AC153,0)</f>
        <v>0</v>
      </c>
      <c r="AE153" s="773">
        <f t="shared" ref="AE153:AE195" ca="1" si="242">IF($N$52=Q145,1,0)</f>
        <v>1</v>
      </c>
      <c r="AF153" s="773">
        <f ca="1">IF(AE153=1,1,0)</f>
        <v>1</v>
      </c>
      <c r="AG153" s="773">
        <f t="shared" ref="AG153:AG195" ca="1" si="243">IF(AE153=1,AF153,0)</f>
        <v>1</v>
      </c>
      <c r="AH153" s="773">
        <f t="shared" ref="AH153:AH195" ca="1" si="244">IF($N$53=Q145,1,0)</f>
        <v>0</v>
      </c>
      <c r="AI153" s="773">
        <f ca="1">IF(AH153=1,1,0)</f>
        <v>0</v>
      </c>
      <c r="AJ153" s="773">
        <f t="shared" ref="AJ153:AJ195" ca="1" si="245">IF(AH153=1,AI153,0)</f>
        <v>0</v>
      </c>
      <c r="AK153" s="773">
        <f t="shared" ref="AK153:AK195" ca="1" si="246">IF($N$54=Q145,1,0)</f>
        <v>0</v>
      </c>
      <c r="AL153" s="773">
        <f ca="1">IF(AK153=1,1,0)</f>
        <v>0</v>
      </c>
      <c r="AM153" s="773">
        <f t="shared" ref="AM153:AM195" ca="1" si="247">IF(AK153=1,AL153,0)</f>
        <v>0</v>
      </c>
      <c r="AN153" s="773">
        <f t="shared" ref="AN153:AN195" ca="1" si="248">IF($N$55=Q145,1,0)</f>
        <v>0</v>
      </c>
      <c r="AO153" s="773">
        <f ca="1">IF(AN153=1,1,0)</f>
        <v>0</v>
      </c>
      <c r="AP153" s="773">
        <f t="shared" ref="AP153:AP195" ca="1" si="249">IF(AN153=1,AO153,0)</f>
        <v>0</v>
      </c>
      <c r="AQ153" s="773">
        <f t="shared" ref="AQ153:AQ195" ca="1" si="250">IF($N$56=Q145,1,0)</f>
        <v>0</v>
      </c>
      <c r="AR153" s="773">
        <f ca="1">IF(AQ153=1,1,0)</f>
        <v>0</v>
      </c>
      <c r="AS153" s="773">
        <f t="shared" ref="AS153:AS195" ca="1" si="251">IF(AQ153=1,AR153,0)</f>
        <v>0</v>
      </c>
      <c r="AT153" s="773">
        <f t="shared" ref="AT153:AT195" ca="1" si="252">IF($N$57=Q145,1,0)</f>
        <v>0</v>
      </c>
      <c r="AU153" s="773">
        <f ca="1">IF(AT153=1,1,0)</f>
        <v>0</v>
      </c>
      <c r="AV153" s="773">
        <f t="shared" ref="AV153:AV195" ca="1" si="253">IF(AT153=1,AU153,0)</f>
        <v>0</v>
      </c>
      <c r="AW153" s="773">
        <f t="shared" ref="AW153:AW195" ca="1" si="254">IF($N$58=Q145,1,0)</f>
        <v>0</v>
      </c>
      <c r="AX153" s="773">
        <f ca="1">IF(AW153=1,1,0)</f>
        <v>0</v>
      </c>
      <c r="AY153" s="773">
        <f t="shared" ref="AY153:AY195" ca="1" si="255">IF(AW153=1,AX153,0)</f>
        <v>0</v>
      </c>
      <c r="AZ153" s="773">
        <f t="shared" ref="AZ153:AZ195" ca="1" si="256">IF($N$59=Q145,1,0)</f>
        <v>0</v>
      </c>
      <c r="BA153" s="773">
        <f ca="1">IF(AZ153=1,1,0)</f>
        <v>0</v>
      </c>
      <c r="BB153" s="773">
        <f t="shared" ref="BB153:BB195" ca="1" si="257">IF(AZ153=1,BA153,0)</f>
        <v>0</v>
      </c>
      <c r="BC153" s="773">
        <f t="shared" ref="BC153:BC195" ca="1" si="258">IF($N$60=Q145,1,0)</f>
        <v>0</v>
      </c>
      <c r="BD153" s="773">
        <f ca="1">IF(BC153=1,1,0)</f>
        <v>0</v>
      </c>
      <c r="BE153" s="773">
        <f t="shared" ref="BE153:BE195" ca="1" si="259">IF(BC153=1,BD153,0)</f>
        <v>0</v>
      </c>
      <c r="BF153" s="912" t="str">
        <f t="shared" ref="BF153:BF195" si="260">PROPER(P145)</f>
        <v>Địa Kiếp</v>
      </c>
    </row>
    <row r="154" spans="1:77" ht="15">
      <c r="A154" s="855" t="s">
        <v>4213</v>
      </c>
      <c r="B154" s="855"/>
      <c r="C154" s="855"/>
      <c r="D154" s="855"/>
      <c r="E154" s="855"/>
      <c r="F154" s="855"/>
      <c r="G154" s="855"/>
      <c r="H154" s="855"/>
      <c r="I154" s="855"/>
      <c r="J154" s="855"/>
      <c r="K154" s="855"/>
      <c r="L154" s="855"/>
      <c r="M154" s="855"/>
      <c r="O154" s="773">
        <v>10</v>
      </c>
      <c r="P154" s="773" t="s">
        <v>8567</v>
      </c>
      <c r="Q154" s="773" t="str">
        <f ca="1">K124</f>
        <v>Hợi</v>
      </c>
      <c r="R154" s="773">
        <v>5</v>
      </c>
      <c r="S154" s="773">
        <f t="shared" ca="1" si="235"/>
        <v>5</v>
      </c>
      <c r="V154" s="773">
        <f t="shared" ca="1" si="236"/>
        <v>0</v>
      </c>
      <c r="W154" s="773">
        <f t="shared" ref="W154:W195" ca="1" si="261">IF(V154=1,W153+1,W153)</f>
        <v>0</v>
      </c>
      <c r="X154" s="773">
        <f t="shared" ca="1" si="237"/>
        <v>0</v>
      </c>
      <c r="Y154" s="773">
        <f t="shared" ca="1" si="238"/>
        <v>0</v>
      </c>
      <c r="Z154" s="773">
        <f t="shared" ref="Z154:Z195" ca="1" si="262">IF(Y154=1,Z153+1,Z153)</f>
        <v>0</v>
      </c>
      <c r="AA154" s="773">
        <f t="shared" ca="1" si="239"/>
        <v>0</v>
      </c>
      <c r="AB154" s="773">
        <f t="shared" ca="1" si="240"/>
        <v>0</v>
      </c>
      <c r="AC154" s="773">
        <f t="shared" ref="AC154:AC195" ca="1" si="263">IF(AB154=1,AC153+1,AC153)</f>
        <v>0</v>
      </c>
      <c r="AD154" s="773">
        <f t="shared" ca="1" si="241"/>
        <v>0</v>
      </c>
      <c r="AE154" s="773">
        <f t="shared" ca="1" si="242"/>
        <v>0</v>
      </c>
      <c r="AF154" s="773">
        <f t="shared" ref="AF154:AF195" ca="1" si="264">IF(AE154=1,AF153+1,AF153)</f>
        <v>1</v>
      </c>
      <c r="AG154" s="773">
        <f t="shared" ca="1" si="243"/>
        <v>0</v>
      </c>
      <c r="AH154" s="773">
        <f t="shared" ca="1" si="244"/>
        <v>0</v>
      </c>
      <c r="AI154" s="773">
        <f t="shared" ref="AI154:AI195" ca="1" si="265">IF(AH154=1,AI153+1,AI153)</f>
        <v>0</v>
      </c>
      <c r="AJ154" s="773">
        <f t="shared" ca="1" si="245"/>
        <v>0</v>
      </c>
      <c r="AK154" s="773">
        <f t="shared" ca="1" si="246"/>
        <v>0</v>
      </c>
      <c r="AL154" s="773">
        <f t="shared" ref="AL154:AL195" ca="1" si="266">IF(AK154=1,AL153+1,AL153)</f>
        <v>0</v>
      </c>
      <c r="AM154" s="773">
        <f t="shared" ca="1" si="247"/>
        <v>0</v>
      </c>
      <c r="AN154" s="773">
        <f t="shared" ca="1" si="248"/>
        <v>0</v>
      </c>
      <c r="AO154" s="773">
        <f t="shared" ref="AO154:AO195" ca="1" si="267">IF(AN154=1,AO153+1,AO153)</f>
        <v>0</v>
      </c>
      <c r="AP154" s="773">
        <f t="shared" ca="1" si="249"/>
        <v>0</v>
      </c>
      <c r="AQ154" s="773">
        <f t="shared" ca="1" si="250"/>
        <v>1</v>
      </c>
      <c r="AR154" s="773">
        <f t="shared" ref="AR154:AR195" ca="1" si="268">IF(AQ154=1,AR153+1,AR153)</f>
        <v>1</v>
      </c>
      <c r="AS154" s="773">
        <f t="shared" ca="1" si="251"/>
        <v>1</v>
      </c>
      <c r="AT154" s="773">
        <f t="shared" ca="1" si="252"/>
        <v>0</v>
      </c>
      <c r="AU154" s="773">
        <f t="shared" ref="AU154:AU195" ca="1" si="269">IF(AT154=1,AU153+1,AU153)</f>
        <v>0</v>
      </c>
      <c r="AV154" s="773">
        <f t="shared" ca="1" si="253"/>
        <v>0</v>
      </c>
      <c r="AW154" s="773">
        <f t="shared" ca="1" si="254"/>
        <v>0</v>
      </c>
      <c r="AX154" s="773">
        <f t="shared" ref="AX154:AX195" ca="1" si="270">IF(AW154=1,AX153+1,AX153)</f>
        <v>0</v>
      </c>
      <c r="AY154" s="773">
        <f t="shared" ca="1" si="255"/>
        <v>0</v>
      </c>
      <c r="AZ154" s="773">
        <f t="shared" ca="1" si="256"/>
        <v>0</v>
      </c>
      <c r="BA154" s="773">
        <f t="shared" ref="BA154:BA195" ca="1" si="271">IF(AZ154=1,BA153+1,BA153)</f>
        <v>0</v>
      </c>
      <c r="BB154" s="773">
        <f t="shared" ca="1" si="257"/>
        <v>0</v>
      </c>
      <c r="BC154" s="773">
        <f t="shared" ca="1" si="258"/>
        <v>0</v>
      </c>
      <c r="BD154" s="773">
        <f t="shared" ref="BD154:BD195" ca="1" si="272">IF(BC154=1,BD153+1,BD153)</f>
        <v>0</v>
      </c>
      <c r="BE154" s="773">
        <f t="shared" ca="1" si="259"/>
        <v>0</v>
      </c>
      <c r="BF154" s="912" t="str">
        <f t="shared" si="260"/>
        <v>Địa Không</v>
      </c>
    </row>
    <row r="155" spans="1:77" ht="15">
      <c r="A155" s="787" t="s">
        <v>6711</v>
      </c>
      <c r="B155" s="855" t="s">
        <v>353</v>
      </c>
      <c r="C155" s="855" t="s">
        <v>9301</v>
      </c>
      <c r="D155" s="855" t="s">
        <v>1402</v>
      </c>
      <c r="E155" s="855" t="s">
        <v>9300</v>
      </c>
      <c r="F155" s="855" t="s">
        <v>9299</v>
      </c>
      <c r="G155" s="855" t="s">
        <v>9298</v>
      </c>
      <c r="H155" s="855" t="s">
        <v>9297</v>
      </c>
      <c r="I155" s="855" t="s">
        <v>507</v>
      </c>
      <c r="J155" s="855" t="s">
        <v>506</v>
      </c>
      <c r="K155" s="806" t="s">
        <v>7871</v>
      </c>
      <c r="L155" s="855" t="s">
        <v>505</v>
      </c>
      <c r="M155" s="855" t="s">
        <v>1399</v>
      </c>
      <c r="O155" s="773">
        <v>11</v>
      </c>
      <c r="P155" s="773" t="s">
        <v>8568</v>
      </c>
      <c r="Q155" s="773" t="str">
        <f ca="1">Q125</f>
        <v>Sửu</v>
      </c>
      <c r="R155" s="773">
        <v>5</v>
      </c>
      <c r="S155" s="773">
        <f t="shared" ca="1" si="235"/>
        <v>5</v>
      </c>
      <c r="V155" s="773">
        <f t="shared" ca="1" si="236"/>
        <v>1</v>
      </c>
      <c r="W155" s="773">
        <f t="shared" ca="1" si="261"/>
        <v>1</v>
      </c>
      <c r="X155" s="773">
        <f t="shared" ca="1" si="237"/>
        <v>1</v>
      </c>
      <c r="Y155" s="773">
        <f t="shared" ca="1" si="238"/>
        <v>0</v>
      </c>
      <c r="Z155" s="773">
        <f t="shared" ca="1" si="262"/>
        <v>0</v>
      </c>
      <c r="AA155" s="773">
        <f t="shared" ca="1" si="239"/>
        <v>0</v>
      </c>
      <c r="AB155" s="773">
        <f t="shared" ca="1" si="240"/>
        <v>0</v>
      </c>
      <c r="AC155" s="773">
        <f t="shared" ca="1" si="263"/>
        <v>0</v>
      </c>
      <c r="AD155" s="773">
        <f t="shared" ca="1" si="241"/>
        <v>0</v>
      </c>
      <c r="AE155" s="773">
        <f t="shared" ca="1" si="242"/>
        <v>0</v>
      </c>
      <c r="AF155" s="773">
        <f t="shared" ca="1" si="264"/>
        <v>1</v>
      </c>
      <c r="AG155" s="773">
        <f t="shared" ca="1" si="243"/>
        <v>0</v>
      </c>
      <c r="AH155" s="773">
        <f t="shared" ca="1" si="244"/>
        <v>0</v>
      </c>
      <c r="AI155" s="773">
        <f t="shared" ca="1" si="265"/>
        <v>0</v>
      </c>
      <c r="AJ155" s="773">
        <f t="shared" ca="1" si="245"/>
        <v>0</v>
      </c>
      <c r="AK155" s="773">
        <f t="shared" ca="1" si="246"/>
        <v>0</v>
      </c>
      <c r="AL155" s="773">
        <f t="shared" ca="1" si="266"/>
        <v>0</v>
      </c>
      <c r="AM155" s="773">
        <f t="shared" ca="1" si="247"/>
        <v>0</v>
      </c>
      <c r="AN155" s="773">
        <f t="shared" ca="1" si="248"/>
        <v>0</v>
      </c>
      <c r="AO155" s="773">
        <f t="shared" ca="1" si="267"/>
        <v>0</v>
      </c>
      <c r="AP155" s="773">
        <f t="shared" ca="1" si="249"/>
        <v>0</v>
      </c>
      <c r="AQ155" s="773">
        <f t="shared" ca="1" si="250"/>
        <v>0</v>
      </c>
      <c r="AR155" s="773">
        <f t="shared" ca="1" si="268"/>
        <v>1</v>
      </c>
      <c r="AS155" s="773">
        <f t="shared" ca="1" si="251"/>
        <v>0</v>
      </c>
      <c r="AT155" s="773">
        <f t="shared" ca="1" si="252"/>
        <v>0</v>
      </c>
      <c r="AU155" s="773">
        <f t="shared" ca="1" si="269"/>
        <v>0</v>
      </c>
      <c r="AV155" s="773">
        <f t="shared" ca="1" si="253"/>
        <v>0</v>
      </c>
      <c r="AW155" s="773">
        <f t="shared" ca="1" si="254"/>
        <v>0</v>
      </c>
      <c r="AX155" s="773">
        <f t="shared" ca="1" si="270"/>
        <v>0</v>
      </c>
      <c r="AY155" s="773">
        <f t="shared" ca="1" si="255"/>
        <v>0</v>
      </c>
      <c r="AZ155" s="773">
        <f t="shared" ca="1" si="256"/>
        <v>0</v>
      </c>
      <c r="BA155" s="773">
        <f t="shared" ca="1" si="271"/>
        <v>0</v>
      </c>
      <c r="BB155" s="773">
        <f t="shared" ca="1" si="257"/>
        <v>0</v>
      </c>
      <c r="BC155" s="773">
        <f t="shared" ca="1" si="258"/>
        <v>0</v>
      </c>
      <c r="BD155" s="773">
        <f t="shared" ca="1" si="272"/>
        <v>0</v>
      </c>
      <c r="BE155" s="773">
        <f t="shared" ca="1" si="259"/>
        <v>0</v>
      </c>
      <c r="BF155" s="912" t="str">
        <f t="shared" si="260"/>
        <v>Kình Dương</v>
      </c>
    </row>
    <row r="156" spans="1:77" ht="30">
      <c r="A156" s="787" t="s">
        <v>6720</v>
      </c>
      <c r="B156" s="855" t="s">
        <v>9297</v>
      </c>
      <c r="C156" s="855" t="s">
        <v>507</v>
      </c>
      <c r="D156" s="855" t="s">
        <v>506</v>
      </c>
      <c r="E156" s="806" t="s">
        <v>7871</v>
      </c>
      <c r="F156" s="855" t="s">
        <v>505</v>
      </c>
      <c r="G156" s="855" t="s">
        <v>1399</v>
      </c>
      <c r="H156" s="855" t="s">
        <v>353</v>
      </c>
      <c r="I156" s="855" t="s">
        <v>9301</v>
      </c>
      <c r="J156" s="855" t="s">
        <v>1402</v>
      </c>
      <c r="K156" s="855" t="s">
        <v>9300</v>
      </c>
      <c r="L156" s="855" t="s">
        <v>9299</v>
      </c>
      <c r="M156" s="855" t="s">
        <v>9298</v>
      </c>
      <c r="O156" s="773">
        <v>12</v>
      </c>
      <c r="P156" s="773" t="s">
        <v>8569</v>
      </c>
      <c r="Q156" s="773" t="str">
        <f ca="1">E95</f>
        <v>Sửu</v>
      </c>
      <c r="R156" s="773">
        <v>5</v>
      </c>
      <c r="S156" s="773">
        <f t="shared" ca="1" si="235"/>
        <v>5</v>
      </c>
      <c r="V156" s="773">
        <f t="shared" ca="1" si="236"/>
        <v>0</v>
      </c>
      <c r="W156" s="773">
        <f t="shared" ca="1" si="261"/>
        <v>1</v>
      </c>
      <c r="X156" s="773">
        <f t="shared" ca="1" si="237"/>
        <v>0</v>
      </c>
      <c r="Y156" s="773">
        <f t="shared" ca="1" si="238"/>
        <v>0</v>
      </c>
      <c r="Z156" s="773">
        <f t="shared" ca="1" si="262"/>
        <v>0</v>
      </c>
      <c r="AA156" s="773">
        <f t="shared" ca="1" si="239"/>
        <v>0</v>
      </c>
      <c r="AB156" s="773">
        <f t="shared" ca="1" si="240"/>
        <v>0</v>
      </c>
      <c r="AC156" s="773">
        <f t="shared" ca="1" si="263"/>
        <v>0</v>
      </c>
      <c r="AD156" s="773">
        <f t="shared" ca="1" si="241"/>
        <v>0</v>
      </c>
      <c r="AE156" s="773">
        <f t="shared" ca="1" si="242"/>
        <v>0</v>
      </c>
      <c r="AF156" s="773">
        <f t="shared" ca="1" si="264"/>
        <v>1</v>
      </c>
      <c r="AG156" s="773">
        <f t="shared" ca="1" si="243"/>
        <v>0</v>
      </c>
      <c r="AH156" s="773">
        <f t="shared" ca="1" si="244"/>
        <v>0</v>
      </c>
      <c r="AI156" s="773">
        <f t="shared" ca="1" si="265"/>
        <v>0</v>
      </c>
      <c r="AJ156" s="773">
        <f t="shared" ca="1" si="245"/>
        <v>0</v>
      </c>
      <c r="AK156" s="773">
        <f t="shared" ca="1" si="246"/>
        <v>0</v>
      </c>
      <c r="AL156" s="773">
        <f t="shared" ca="1" si="266"/>
        <v>0</v>
      </c>
      <c r="AM156" s="773">
        <f t="shared" ca="1" si="247"/>
        <v>0</v>
      </c>
      <c r="AN156" s="773">
        <f t="shared" ca="1" si="248"/>
        <v>0</v>
      </c>
      <c r="AO156" s="773">
        <f t="shared" ca="1" si="267"/>
        <v>0</v>
      </c>
      <c r="AP156" s="773">
        <f t="shared" ca="1" si="249"/>
        <v>0</v>
      </c>
      <c r="AQ156" s="773">
        <f t="shared" ca="1" si="250"/>
        <v>0</v>
      </c>
      <c r="AR156" s="773">
        <f t="shared" ca="1" si="268"/>
        <v>1</v>
      </c>
      <c r="AS156" s="773">
        <f t="shared" ca="1" si="251"/>
        <v>0</v>
      </c>
      <c r="AT156" s="773">
        <f t="shared" ca="1" si="252"/>
        <v>0</v>
      </c>
      <c r="AU156" s="773">
        <f t="shared" ca="1" si="269"/>
        <v>0</v>
      </c>
      <c r="AV156" s="773">
        <f t="shared" ca="1" si="253"/>
        <v>0</v>
      </c>
      <c r="AW156" s="773">
        <f t="shared" ca="1" si="254"/>
        <v>0</v>
      </c>
      <c r="AX156" s="773">
        <f t="shared" ca="1" si="270"/>
        <v>0</v>
      </c>
      <c r="AY156" s="773">
        <f t="shared" ca="1" si="255"/>
        <v>0</v>
      </c>
      <c r="AZ156" s="773">
        <f t="shared" ca="1" si="256"/>
        <v>1</v>
      </c>
      <c r="BA156" s="773">
        <f t="shared" ca="1" si="271"/>
        <v>1</v>
      </c>
      <c r="BB156" s="773">
        <f t="shared" ca="1" si="257"/>
        <v>1</v>
      </c>
      <c r="BC156" s="773">
        <f t="shared" ca="1" si="258"/>
        <v>0</v>
      </c>
      <c r="BD156" s="773">
        <f t="shared" ca="1" si="272"/>
        <v>0</v>
      </c>
      <c r="BE156" s="773">
        <f t="shared" ca="1" si="259"/>
        <v>0</v>
      </c>
      <c r="BF156" s="912" t="str">
        <f t="shared" si="260"/>
        <v>Đà La</v>
      </c>
    </row>
    <row r="157" spans="1:77" ht="30">
      <c r="A157" s="787" t="s">
        <v>6717</v>
      </c>
      <c r="B157" s="855" t="s">
        <v>9297</v>
      </c>
      <c r="C157" s="855" t="s">
        <v>507</v>
      </c>
      <c r="D157" s="855" t="s">
        <v>506</v>
      </c>
      <c r="E157" s="806" t="s">
        <v>7871</v>
      </c>
      <c r="F157" s="855" t="s">
        <v>505</v>
      </c>
      <c r="G157" s="855" t="s">
        <v>1399</v>
      </c>
      <c r="H157" s="855" t="s">
        <v>353</v>
      </c>
      <c r="I157" s="855" t="s">
        <v>9301</v>
      </c>
      <c r="J157" s="855" t="s">
        <v>1402</v>
      </c>
      <c r="K157" s="855" t="s">
        <v>9300</v>
      </c>
      <c r="L157" s="855" t="s">
        <v>9299</v>
      </c>
      <c r="M157" s="855" t="s">
        <v>9298</v>
      </c>
      <c r="O157" s="773">
        <v>13</v>
      </c>
      <c r="P157" s="773" t="s">
        <v>6601</v>
      </c>
      <c r="Q157" s="773" t="str">
        <f ca="1">F95</f>
        <v>Sửu</v>
      </c>
      <c r="R157" s="773">
        <v>5</v>
      </c>
      <c r="S157" s="773">
        <f t="shared" ca="1" si="235"/>
        <v>1</v>
      </c>
      <c r="V157" s="773">
        <f t="shared" ca="1" si="236"/>
        <v>0</v>
      </c>
      <c r="W157" s="773">
        <f t="shared" ca="1" si="261"/>
        <v>1</v>
      </c>
      <c r="X157" s="773">
        <f t="shared" ca="1" si="237"/>
        <v>0</v>
      </c>
      <c r="Y157" s="773">
        <f t="shared" ca="1" si="238"/>
        <v>0</v>
      </c>
      <c r="Z157" s="773">
        <f t="shared" ca="1" si="262"/>
        <v>0</v>
      </c>
      <c r="AA157" s="773">
        <f t="shared" ca="1" si="239"/>
        <v>0</v>
      </c>
      <c r="AB157" s="773">
        <f t="shared" ca="1" si="240"/>
        <v>0</v>
      </c>
      <c r="AC157" s="773">
        <f t="shared" ca="1" si="263"/>
        <v>0</v>
      </c>
      <c r="AD157" s="773">
        <f t="shared" ca="1" si="241"/>
        <v>0</v>
      </c>
      <c r="AE157" s="773">
        <f t="shared" ca="1" si="242"/>
        <v>0</v>
      </c>
      <c r="AF157" s="773">
        <f t="shared" ca="1" si="264"/>
        <v>1</v>
      </c>
      <c r="AG157" s="773">
        <f t="shared" ca="1" si="243"/>
        <v>0</v>
      </c>
      <c r="AH157" s="773">
        <f t="shared" ca="1" si="244"/>
        <v>0</v>
      </c>
      <c r="AI157" s="773">
        <f t="shared" ca="1" si="265"/>
        <v>0</v>
      </c>
      <c r="AJ157" s="773">
        <f t="shared" ca="1" si="245"/>
        <v>0</v>
      </c>
      <c r="AK157" s="773">
        <f t="shared" ca="1" si="246"/>
        <v>0</v>
      </c>
      <c r="AL157" s="773">
        <f t="shared" ca="1" si="266"/>
        <v>0</v>
      </c>
      <c r="AM157" s="773">
        <f t="shared" ca="1" si="247"/>
        <v>0</v>
      </c>
      <c r="AN157" s="773">
        <f t="shared" ca="1" si="248"/>
        <v>0</v>
      </c>
      <c r="AO157" s="773">
        <f t="shared" ca="1" si="267"/>
        <v>0</v>
      </c>
      <c r="AP157" s="773">
        <f t="shared" ca="1" si="249"/>
        <v>0</v>
      </c>
      <c r="AQ157" s="773">
        <f t="shared" ca="1" si="250"/>
        <v>0</v>
      </c>
      <c r="AR157" s="773">
        <f t="shared" ca="1" si="268"/>
        <v>1</v>
      </c>
      <c r="AS157" s="773">
        <f t="shared" ca="1" si="251"/>
        <v>0</v>
      </c>
      <c r="AT157" s="773">
        <f t="shared" ca="1" si="252"/>
        <v>0</v>
      </c>
      <c r="AU157" s="773">
        <f t="shared" ca="1" si="269"/>
        <v>0</v>
      </c>
      <c r="AV157" s="773">
        <f t="shared" ca="1" si="253"/>
        <v>0</v>
      </c>
      <c r="AW157" s="773">
        <f t="shared" ca="1" si="254"/>
        <v>1</v>
      </c>
      <c r="AX157" s="773">
        <f t="shared" ca="1" si="270"/>
        <v>1</v>
      </c>
      <c r="AY157" s="773">
        <f t="shared" ca="1" si="255"/>
        <v>1</v>
      </c>
      <c r="AZ157" s="773">
        <f t="shared" ca="1" si="256"/>
        <v>0</v>
      </c>
      <c r="BA157" s="773">
        <f t="shared" ca="1" si="271"/>
        <v>1</v>
      </c>
      <c r="BB157" s="773">
        <f t="shared" ca="1" si="257"/>
        <v>0</v>
      </c>
      <c r="BC157" s="773">
        <f t="shared" ca="1" si="258"/>
        <v>0</v>
      </c>
      <c r="BD157" s="773">
        <f t="shared" ca="1" si="272"/>
        <v>0</v>
      </c>
      <c r="BE157" s="773">
        <f t="shared" ca="1" si="259"/>
        <v>0</v>
      </c>
      <c r="BF157" s="912" t="str">
        <f t="shared" si="260"/>
        <v>Hỏa Tinh</v>
      </c>
    </row>
    <row r="158" spans="1:77" ht="30">
      <c r="A158" s="787" t="s">
        <v>6718</v>
      </c>
      <c r="B158" s="806" t="s">
        <v>7871</v>
      </c>
      <c r="C158" s="855" t="s">
        <v>505</v>
      </c>
      <c r="D158" s="855" t="s">
        <v>1399</v>
      </c>
      <c r="E158" s="855" t="s">
        <v>353</v>
      </c>
      <c r="F158" s="855" t="s">
        <v>9301</v>
      </c>
      <c r="G158" s="855" t="s">
        <v>1402</v>
      </c>
      <c r="H158" s="855" t="s">
        <v>9300</v>
      </c>
      <c r="I158" s="855" t="s">
        <v>9299</v>
      </c>
      <c r="J158" s="855" t="s">
        <v>9298</v>
      </c>
      <c r="K158" s="855" t="s">
        <v>9297</v>
      </c>
      <c r="L158" s="855" t="s">
        <v>507</v>
      </c>
      <c r="M158" s="855" t="s">
        <v>506</v>
      </c>
      <c r="O158" s="773">
        <v>14</v>
      </c>
      <c r="P158" s="773" t="s">
        <v>8570</v>
      </c>
      <c r="Q158" s="773" t="str">
        <f ca="1">D202</f>
        <v>Thân</v>
      </c>
      <c r="R158" s="773">
        <v>2</v>
      </c>
      <c r="S158" s="773" t="e">
        <f t="shared" ca="1" si="235"/>
        <v>#N/A</v>
      </c>
      <c r="V158" s="773">
        <f t="shared" ca="1" si="236"/>
        <v>0</v>
      </c>
      <c r="W158" s="773">
        <f t="shared" ca="1" si="261"/>
        <v>1</v>
      </c>
      <c r="X158" s="773">
        <f t="shared" ca="1" si="237"/>
        <v>0</v>
      </c>
      <c r="Y158" s="773">
        <f t="shared" ca="1" si="238"/>
        <v>0</v>
      </c>
      <c r="Z158" s="773">
        <f t="shared" ca="1" si="262"/>
        <v>0</v>
      </c>
      <c r="AA158" s="773">
        <f t="shared" ca="1" si="239"/>
        <v>0</v>
      </c>
      <c r="AB158" s="773">
        <f t="shared" ca="1" si="240"/>
        <v>0</v>
      </c>
      <c r="AC158" s="773">
        <f t="shared" ca="1" si="263"/>
        <v>0</v>
      </c>
      <c r="AD158" s="773">
        <f t="shared" ca="1" si="241"/>
        <v>0</v>
      </c>
      <c r="AE158" s="773">
        <f t="shared" ca="1" si="242"/>
        <v>0</v>
      </c>
      <c r="AF158" s="773">
        <f t="shared" ca="1" si="264"/>
        <v>1</v>
      </c>
      <c r="AG158" s="773">
        <f t="shared" ca="1" si="243"/>
        <v>0</v>
      </c>
      <c r="AH158" s="773">
        <f t="shared" ca="1" si="244"/>
        <v>0</v>
      </c>
      <c r="AI158" s="773">
        <f t="shared" ca="1" si="265"/>
        <v>0</v>
      </c>
      <c r="AJ158" s="773">
        <f t="shared" ca="1" si="245"/>
        <v>0</v>
      </c>
      <c r="AK158" s="773">
        <f t="shared" ca="1" si="246"/>
        <v>0</v>
      </c>
      <c r="AL158" s="773">
        <f t="shared" ca="1" si="266"/>
        <v>0</v>
      </c>
      <c r="AM158" s="773">
        <f t="shared" ca="1" si="247"/>
        <v>0</v>
      </c>
      <c r="AN158" s="773">
        <f t="shared" ca="1" si="248"/>
        <v>0</v>
      </c>
      <c r="AO158" s="773">
        <f t="shared" ca="1" si="267"/>
        <v>0</v>
      </c>
      <c r="AP158" s="773">
        <f t="shared" ca="1" si="249"/>
        <v>0</v>
      </c>
      <c r="AQ158" s="773">
        <f t="shared" ca="1" si="250"/>
        <v>1</v>
      </c>
      <c r="AR158" s="773">
        <f t="shared" ca="1" si="268"/>
        <v>2</v>
      </c>
      <c r="AS158" s="773">
        <f t="shared" ca="1" si="251"/>
        <v>2</v>
      </c>
      <c r="AT158" s="773">
        <f t="shared" ca="1" si="252"/>
        <v>0</v>
      </c>
      <c r="AU158" s="773">
        <f t="shared" ca="1" si="269"/>
        <v>0</v>
      </c>
      <c r="AV158" s="773">
        <f t="shared" ca="1" si="253"/>
        <v>0</v>
      </c>
      <c r="AW158" s="773">
        <f t="shared" ca="1" si="254"/>
        <v>0</v>
      </c>
      <c r="AX158" s="773">
        <f t="shared" ca="1" si="270"/>
        <v>1</v>
      </c>
      <c r="AY158" s="773">
        <f t="shared" ca="1" si="255"/>
        <v>0</v>
      </c>
      <c r="AZ158" s="773">
        <f t="shared" ca="1" si="256"/>
        <v>0</v>
      </c>
      <c r="BA158" s="773">
        <f t="shared" ca="1" si="271"/>
        <v>1</v>
      </c>
      <c r="BB158" s="773">
        <f t="shared" ca="1" si="257"/>
        <v>0</v>
      </c>
      <c r="BC158" s="773">
        <f t="shared" ca="1" si="258"/>
        <v>0</v>
      </c>
      <c r="BD158" s="773">
        <f t="shared" ca="1" si="272"/>
        <v>0</v>
      </c>
      <c r="BE158" s="773">
        <f t="shared" ca="1" si="259"/>
        <v>0</v>
      </c>
      <c r="BF158" s="912" t="str">
        <f t="shared" si="260"/>
        <v>Linh Tinh</v>
      </c>
    </row>
    <row r="159" spans="1:77" ht="15">
      <c r="A159" s="787" t="s">
        <v>6719</v>
      </c>
      <c r="B159" s="855" t="s">
        <v>9300</v>
      </c>
      <c r="C159" s="855" t="s">
        <v>9299</v>
      </c>
      <c r="D159" s="855" t="s">
        <v>9298</v>
      </c>
      <c r="E159" s="855" t="s">
        <v>9297</v>
      </c>
      <c r="F159" s="855" t="s">
        <v>507</v>
      </c>
      <c r="G159" s="855" t="s">
        <v>506</v>
      </c>
      <c r="H159" s="806" t="s">
        <v>7871</v>
      </c>
      <c r="I159" s="855" t="s">
        <v>505</v>
      </c>
      <c r="J159" s="855" t="s">
        <v>1399</v>
      </c>
      <c r="K159" s="855" t="s">
        <v>9298</v>
      </c>
      <c r="L159" s="855" t="s">
        <v>9301</v>
      </c>
      <c r="M159" s="855" t="s">
        <v>1402</v>
      </c>
      <c r="O159" s="773">
        <v>15</v>
      </c>
      <c r="P159" s="773" t="s">
        <v>8571</v>
      </c>
      <c r="Q159" s="773" t="str">
        <f ca="1">J202</f>
        <v>Dần</v>
      </c>
      <c r="R159" s="773">
        <v>4</v>
      </c>
      <c r="S159" s="773" t="e">
        <f t="shared" ca="1" si="235"/>
        <v>#N/A</v>
      </c>
      <c r="V159" s="773">
        <f t="shared" ca="1" si="236"/>
        <v>0</v>
      </c>
      <c r="W159" s="773">
        <f t="shared" ca="1" si="261"/>
        <v>1</v>
      </c>
      <c r="X159" s="773">
        <f t="shared" ca="1" si="237"/>
        <v>0</v>
      </c>
      <c r="Y159" s="773">
        <f t="shared" ca="1" si="238"/>
        <v>0</v>
      </c>
      <c r="Z159" s="773">
        <f t="shared" ca="1" si="262"/>
        <v>0</v>
      </c>
      <c r="AA159" s="773">
        <f t="shared" ca="1" si="239"/>
        <v>0</v>
      </c>
      <c r="AB159" s="773">
        <f t="shared" ca="1" si="240"/>
        <v>0</v>
      </c>
      <c r="AC159" s="773">
        <f t="shared" ca="1" si="263"/>
        <v>0</v>
      </c>
      <c r="AD159" s="773">
        <f t="shared" ca="1" si="241"/>
        <v>0</v>
      </c>
      <c r="AE159" s="773">
        <f t="shared" ca="1" si="242"/>
        <v>0</v>
      </c>
      <c r="AF159" s="773">
        <f t="shared" ca="1" si="264"/>
        <v>1</v>
      </c>
      <c r="AG159" s="773">
        <f t="shared" ca="1" si="243"/>
        <v>0</v>
      </c>
      <c r="AH159" s="773">
        <f t="shared" ca="1" si="244"/>
        <v>0</v>
      </c>
      <c r="AI159" s="773">
        <f t="shared" ca="1" si="265"/>
        <v>0</v>
      </c>
      <c r="AJ159" s="773">
        <f t="shared" ca="1" si="245"/>
        <v>0</v>
      </c>
      <c r="AK159" s="773">
        <f t="shared" ca="1" si="246"/>
        <v>0</v>
      </c>
      <c r="AL159" s="773">
        <f t="shared" ca="1" si="266"/>
        <v>0</v>
      </c>
      <c r="AM159" s="773">
        <f t="shared" ca="1" si="247"/>
        <v>0</v>
      </c>
      <c r="AN159" s="773">
        <f t="shared" ca="1" si="248"/>
        <v>0</v>
      </c>
      <c r="AO159" s="773">
        <f t="shared" ca="1" si="267"/>
        <v>0</v>
      </c>
      <c r="AP159" s="773">
        <f t="shared" ca="1" si="249"/>
        <v>0</v>
      </c>
      <c r="AQ159" s="773">
        <f t="shared" ca="1" si="250"/>
        <v>1</v>
      </c>
      <c r="AR159" s="773">
        <f t="shared" ca="1" si="268"/>
        <v>3</v>
      </c>
      <c r="AS159" s="773">
        <f t="shared" ca="1" si="251"/>
        <v>3</v>
      </c>
      <c r="AT159" s="773">
        <f t="shared" ca="1" si="252"/>
        <v>0</v>
      </c>
      <c r="AU159" s="773">
        <f t="shared" ca="1" si="269"/>
        <v>0</v>
      </c>
      <c r="AV159" s="773">
        <f t="shared" ca="1" si="253"/>
        <v>0</v>
      </c>
      <c r="AW159" s="773">
        <f t="shared" ca="1" si="254"/>
        <v>0</v>
      </c>
      <c r="AX159" s="773">
        <f t="shared" ca="1" si="270"/>
        <v>1</v>
      </c>
      <c r="AY159" s="773">
        <f t="shared" ca="1" si="255"/>
        <v>0</v>
      </c>
      <c r="AZ159" s="773">
        <f t="shared" ca="1" si="256"/>
        <v>0</v>
      </c>
      <c r="BA159" s="773">
        <f t="shared" ca="1" si="271"/>
        <v>1</v>
      </c>
      <c r="BB159" s="773">
        <f t="shared" ca="1" si="257"/>
        <v>0</v>
      </c>
      <c r="BC159" s="773">
        <f t="shared" ca="1" si="258"/>
        <v>0</v>
      </c>
      <c r="BD159" s="773">
        <f t="shared" ca="1" si="272"/>
        <v>0</v>
      </c>
      <c r="BE159" s="773">
        <f t="shared" ca="1" si="259"/>
        <v>0</v>
      </c>
      <c r="BF159" s="912" t="str">
        <f t="shared" si="260"/>
        <v>Thiên Không</v>
      </c>
    </row>
    <row r="160" spans="1:77" ht="15">
      <c r="B160" s="914" t="str">
        <f t="shared" ref="B160:M160" ca="1" si="273">VLOOKUP($N$42,$A$154:$M$159,B123,0)</f>
        <v>tỵ</v>
      </c>
      <c r="C160" s="914" t="str">
        <f t="shared" ca="1" si="273"/>
        <v>Thìn</v>
      </c>
      <c r="D160" s="914" t="str">
        <f t="shared" ca="1" si="273"/>
        <v>Mão</v>
      </c>
      <c r="E160" s="914" t="str">
        <f t="shared" ca="1" si="273"/>
        <v>Dần</v>
      </c>
      <c r="F160" s="914" t="str">
        <f t="shared" ca="1" si="273"/>
        <v>Sửu</v>
      </c>
      <c r="G160" s="914" t="str">
        <f t="shared" ca="1" si="273"/>
        <v>Tý</v>
      </c>
      <c r="H160" s="914" t="str">
        <f t="shared" ca="1" si="273"/>
        <v>Hợi</v>
      </c>
      <c r="I160" s="914" t="str">
        <f t="shared" ca="1" si="273"/>
        <v>Tuất</v>
      </c>
      <c r="J160" s="914" t="str">
        <f t="shared" ca="1" si="273"/>
        <v>Dậu</v>
      </c>
      <c r="K160" s="914" t="str">
        <f t="shared" ca="1" si="273"/>
        <v>Thân</v>
      </c>
      <c r="L160" s="914" t="str">
        <f t="shared" ca="1" si="273"/>
        <v>Mùi</v>
      </c>
      <c r="M160" s="914" t="str">
        <f t="shared" ca="1" si="273"/>
        <v>Ngọ</v>
      </c>
      <c r="O160" s="773">
        <v>16</v>
      </c>
      <c r="P160" s="773" t="s">
        <v>8572</v>
      </c>
      <c r="Q160" s="773" t="str">
        <f ca="1">F142</f>
        <v>Tý</v>
      </c>
      <c r="R160" s="773">
        <v>5</v>
      </c>
      <c r="S160" s="773" t="e">
        <f t="shared" ca="1" si="235"/>
        <v>#N/A</v>
      </c>
      <c r="V160" s="773">
        <f t="shared" ca="1" si="236"/>
        <v>0</v>
      </c>
      <c r="W160" s="773">
        <f t="shared" ca="1" si="261"/>
        <v>1</v>
      </c>
      <c r="X160" s="773">
        <f t="shared" ca="1" si="237"/>
        <v>0</v>
      </c>
      <c r="Y160" s="773">
        <f t="shared" ca="1" si="238"/>
        <v>0</v>
      </c>
      <c r="Z160" s="773">
        <f t="shared" ca="1" si="262"/>
        <v>0</v>
      </c>
      <c r="AA160" s="773">
        <f t="shared" ca="1" si="239"/>
        <v>0</v>
      </c>
      <c r="AB160" s="773">
        <f t="shared" ca="1" si="240"/>
        <v>0</v>
      </c>
      <c r="AC160" s="773">
        <f t="shared" ca="1" si="263"/>
        <v>0</v>
      </c>
      <c r="AD160" s="773">
        <f t="shared" ca="1" si="241"/>
        <v>0</v>
      </c>
      <c r="AE160" s="773">
        <f t="shared" ca="1" si="242"/>
        <v>0</v>
      </c>
      <c r="AF160" s="773">
        <f t="shared" ca="1" si="264"/>
        <v>1</v>
      </c>
      <c r="AG160" s="773">
        <f t="shared" ca="1" si="243"/>
        <v>0</v>
      </c>
      <c r="AH160" s="773">
        <f t="shared" ca="1" si="244"/>
        <v>0</v>
      </c>
      <c r="AI160" s="773">
        <f t="shared" ca="1" si="265"/>
        <v>0</v>
      </c>
      <c r="AJ160" s="773">
        <f t="shared" ca="1" si="245"/>
        <v>0</v>
      </c>
      <c r="AK160" s="773">
        <f t="shared" ca="1" si="246"/>
        <v>0</v>
      </c>
      <c r="AL160" s="773">
        <f t="shared" ca="1" si="266"/>
        <v>0</v>
      </c>
      <c r="AM160" s="773">
        <f t="shared" ca="1" si="247"/>
        <v>0</v>
      </c>
      <c r="AN160" s="773">
        <f t="shared" ca="1" si="248"/>
        <v>0</v>
      </c>
      <c r="AO160" s="773">
        <f t="shared" ca="1" si="267"/>
        <v>0</v>
      </c>
      <c r="AP160" s="773">
        <f t="shared" ca="1" si="249"/>
        <v>0</v>
      </c>
      <c r="AQ160" s="773">
        <f t="shared" ca="1" si="250"/>
        <v>0</v>
      </c>
      <c r="AR160" s="773">
        <f t="shared" ca="1" si="268"/>
        <v>3</v>
      </c>
      <c r="AS160" s="773">
        <f t="shared" ca="1" si="251"/>
        <v>0</v>
      </c>
      <c r="AT160" s="773">
        <f t="shared" ca="1" si="252"/>
        <v>0</v>
      </c>
      <c r="AU160" s="773">
        <f t="shared" ca="1" si="269"/>
        <v>0</v>
      </c>
      <c r="AV160" s="773">
        <f t="shared" ca="1" si="253"/>
        <v>0</v>
      </c>
      <c r="AW160" s="773">
        <f t="shared" ca="1" si="254"/>
        <v>1</v>
      </c>
      <c r="AX160" s="773">
        <f t="shared" ca="1" si="270"/>
        <v>2</v>
      </c>
      <c r="AY160" s="773">
        <f t="shared" ca="1" si="255"/>
        <v>2</v>
      </c>
      <c r="AZ160" s="773">
        <f t="shared" ca="1" si="256"/>
        <v>0</v>
      </c>
      <c r="BA160" s="773">
        <f t="shared" ca="1" si="271"/>
        <v>1</v>
      </c>
      <c r="BB160" s="773">
        <f t="shared" ca="1" si="257"/>
        <v>0</v>
      </c>
      <c r="BC160" s="773">
        <f t="shared" ca="1" si="258"/>
        <v>0</v>
      </c>
      <c r="BD160" s="773">
        <f t="shared" ca="1" si="272"/>
        <v>0</v>
      </c>
      <c r="BE160" s="773">
        <f t="shared" ca="1" si="259"/>
        <v>0</v>
      </c>
      <c r="BF160" s="912" t="str">
        <f t="shared" si="260"/>
        <v>Thiên Hình</v>
      </c>
    </row>
    <row r="161" spans="1:58">
      <c r="A161" s="938" t="s">
        <v>8573</v>
      </c>
      <c r="O161" s="773">
        <v>17</v>
      </c>
      <c r="P161" s="773" t="s">
        <v>8574</v>
      </c>
      <c r="Q161" s="773" t="str">
        <f ca="1">E142</f>
        <v>Tý</v>
      </c>
      <c r="R161" s="773">
        <v>5</v>
      </c>
      <c r="S161" s="796">
        <f t="shared" ref="S161:S167" ca="1" si="274">VLOOKUP(C34,$P$145:$R$187,3,0)</f>
        <v>4</v>
      </c>
      <c r="V161" s="773">
        <f t="shared" ca="1" si="236"/>
        <v>0</v>
      </c>
      <c r="W161" s="773">
        <f t="shared" ca="1" si="261"/>
        <v>1</v>
      </c>
      <c r="X161" s="773">
        <f t="shared" ca="1" si="237"/>
        <v>0</v>
      </c>
      <c r="Y161" s="773">
        <f t="shared" ca="1" si="238"/>
        <v>0</v>
      </c>
      <c r="Z161" s="773">
        <f t="shared" ca="1" si="262"/>
        <v>0</v>
      </c>
      <c r="AA161" s="773">
        <f t="shared" ca="1" si="239"/>
        <v>0</v>
      </c>
      <c r="AB161" s="773">
        <f t="shared" ca="1" si="240"/>
        <v>0</v>
      </c>
      <c r="AC161" s="773">
        <f t="shared" ca="1" si="263"/>
        <v>0</v>
      </c>
      <c r="AD161" s="773">
        <f t="shared" ca="1" si="241"/>
        <v>0</v>
      </c>
      <c r="AE161" s="773">
        <f t="shared" ca="1" si="242"/>
        <v>0</v>
      </c>
      <c r="AF161" s="773">
        <f t="shared" ca="1" si="264"/>
        <v>1</v>
      </c>
      <c r="AG161" s="773">
        <f t="shared" ca="1" si="243"/>
        <v>0</v>
      </c>
      <c r="AH161" s="773">
        <f t="shared" ca="1" si="244"/>
        <v>0</v>
      </c>
      <c r="AI161" s="773">
        <f t="shared" ca="1" si="265"/>
        <v>0</v>
      </c>
      <c r="AJ161" s="773">
        <f t="shared" ca="1" si="245"/>
        <v>0</v>
      </c>
      <c r="AK161" s="773">
        <f t="shared" ca="1" si="246"/>
        <v>0</v>
      </c>
      <c r="AL161" s="773">
        <f t="shared" ca="1" si="266"/>
        <v>0</v>
      </c>
      <c r="AM161" s="773">
        <f t="shared" ca="1" si="247"/>
        <v>0</v>
      </c>
      <c r="AN161" s="773">
        <f t="shared" ca="1" si="248"/>
        <v>0</v>
      </c>
      <c r="AO161" s="773">
        <f t="shared" ca="1" si="267"/>
        <v>0</v>
      </c>
      <c r="AP161" s="773">
        <f t="shared" ca="1" si="249"/>
        <v>0</v>
      </c>
      <c r="AQ161" s="773">
        <f t="shared" ca="1" si="250"/>
        <v>0</v>
      </c>
      <c r="AR161" s="773">
        <f t="shared" ca="1" si="268"/>
        <v>3</v>
      </c>
      <c r="AS161" s="773">
        <f t="shared" ca="1" si="251"/>
        <v>0</v>
      </c>
      <c r="AT161" s="773">
        <f t="shared" ca="1" si="252"/>
        <v>0</v>
      </c>
      <c r="AU161" s="773">
        <f t="shared" ca="1" si="269"/>
        <v>0</v>
      </c>
      <c r="AV161" s="773">
        <f t="shared" ca="1" si="253"/>
        <v>0</v>
      </c>
      <c r="AW161" s="773">
        <f t="shared" ca="1" si="254"/>
        <v>0</v>
      </c>
      <c r="AX161" s="773">
        <f t="shared" ca="1" si="270"/>
        <v>2</v>
      </c>
      <c r="AY161" s="773">
        <f t="shared" ca="1" si="255"/>
        <v>0</v>
      </c>
      <c r="AZ161" s="773">
        <f t="shared" ca="1" si="256"/>
        <v>0</v>
      </c>
      <c r="BA161" s="773">
        <f t="shared" ca="1" si="271"/>
        <v>1</v>
      </c>
      <c r="BB161" s="773">
        <f t="shared" ca="1" si="257"/>
        <v>0</v>
      </c>
      <c r="BC161" s="773">
        <f t="shared" ca="1" si="258"/>
        <v>1</v>
      </c>
      <c r="BD161" s="773">
        <f t="shared" ca="1" si="272"/>
        <v>1</v>
      </c>
      <c r="BE161" s="773">
        <f t="shared" ca="1" si="259"/>
        <v>1</v>
      </c>
      <c r="BF161" s="912" t="str">
        <f t="shared" si="260"/>
        <v>Kiếp Sát</v>
      </c>
    </row>
    <row r="162" spans="1:58">
      <c r="B162" s="912" t="str">
        <f t="shared" ref="B162:M162" ca="1" si="275">VLOOKUP($B$124,$A$163:$M$174,B123,0)</f>
        <v>Hợi</v>
      </c>
      <c r="C162" s="912" t="str">
        <f t="shared" ca="1" si="275"/>
        <v>Tý</v>
      </c>
      <c r="D162" s="912" t="str">
        <f t="shared" ca="1" si="275"/>
        <v>Sửu</v>
      </c>
      <c r="E162" s="912" t="str">
        <f t="shared" ca="1" si="275"/>
        <v>Dần</v>
      </c>
      <c r="F162" s="912" t="str">
        <f t="shared" ca="1" si="275"/>
        <v>Mão</v>
      </c>
      <c r="G162" s="912" t="str">
        <f t="shared" ca="1" si="275"/>
        <v>Thìn</v>
      </c>
      <c r="H162" s="912" t="str">
        <f t="shared" ca="1" si="275"/>
        <v>tỵ</v>
      </c>
      <c r="I162" s="912" t="str">
        <f t="shared" ca="1" si="275"/>
        <v>Ngọ</v>
      </c>
      <c r="J162" s="912" t="str">
        <f t="shared" ca="1" si="275"/>
        <v>Mùi</v>
      </c>
      <c r="K162" s="912" t="str">
        <f t="shared" ca="1" si="275"/>
        <v>Thân</v>
      </c>
      <c r="L162" s="912" t="str">
        <f t="shared" ca="1" si="275"/>
        <v>Dậu</v>
      </c>
      <c r="M162" s="912" t="str">
        <f t="shared" ca="1" si="275"/>
        <v>Tuất</v>
      </c>
      <c r="O162" s="773">
        <v>18</v>
      </c>
      <c r="P162" s="773" t="s">
        <v>6595</v>
      </c>
      <c r="R162" s="773">
        <v>4</v>
      </c>
      <c r="S162" s="773">
        <f t="shared" ca="1" si="274"/>
        <v>1</v>
      </c>
      <c r="V162" s="773">
        <f t="shared" ca="1" si="236"/>
        <v>0</v>
      </c>
      <c r="W162" s="773">
        <f t="shared" ca="1" si="261"/>
        <v>1</v>
      </c>
      <c r="X162" s="773">
        <f t="shared" ca="1" si="237"/>
        <v>0</v>
      </c>
      <c r="Y162" s="773">
        <f t="shared" ca="1" si="238"/>
        <v>0</v>
      </c>
      <c r="Z162" s="773">
        <f t="shared" ca="1" si="262"/>
        <v>0</v>
      </c>
      <c r="AA162" s="773">
        <f t="shared" ca="1" si="239"/>
        <v>0</v>
      </c>
      <c r="AB162" s="773">
        <f t="shared" ca="1" si="240"/>
        <v>0</v>
      </c>
      <c r="AC162" s="773">
        <f t="shared" ca="1" si="263"/>
        <v>0</v>
      </c>
      <c r="AD162" s="773">
        <f t="shared" ca="1" si="241"/>
        <v>0</v>
      </c>
      <c r="AE162" s="773">
        <f t="shared" ca="1" si="242"/>
        <v>0</v>
      </c>
      <c r="AF162" s="773">
        <f t="shared" ca="1" si="264"/>
        <v>1</v>
      </c>
      <c r="AG162" s="773">
        <f t="shared" ca="1" si="243"/>
        <v>0</v>
      </c>
      <c r="AH162" s="773">
        <f t="shared" ca="1" si="244"/>
        <v>0</v>
      </c>
      <c r="AI162" s="773">
        <f t="shared" ca="1" si="265"/>
        <v>0</v>
      </c>
      <c r="AJ162" s="773">
        <f t="shared" ca="1" si="245"/>
        <v>0</v>
      </c>
      <c r="AK162" s="773">
        <f t="shared" ca="1" si="246"/>
        <v>0</v>
      </c>
      <c r="AL162" s="773">
        <f t="shared" ca="1" si="266"/>
        <v>0</v>
      </c>
      <c r="AM162" s="773">
        <f t="shared" ca="1" si="247"/>
        <v>0</v>
      </c>
      <c r="AN162" s="773">
        <f t="shared" ca="1" si="248"/>
        <v>0</v>
      </c>
      <c r="AO162" s="773">
        <f t="shared" ca="1" si="267"/>
        <v>0</v>
      </c>
      <c r="AP162" s="773">
        <f t="shared" ca="1" si="249"/>
        <v>0</v>
      </c>
      <c r="AQ162" s="773">
        <f t="shared" ca="1" si="250"/>
        <v>0</v>
      </c>
      <c r="AR162" s="773">
        <f t="shared" ca="1" si="268"/>
        <v>3</v>
      </c>
      <c r="AS162" s="773">
        <f t="shared" ca="1" si="251"/>
        <v>0</v>
      </c>
      <c r="AT162" s="773">
        <f t="shared" ca="1" si="252"/>
        <v>0</v>
      </c>
      <c r="AU162" s="773">
        <f t="shared" ca="1" si="269"/>
        <v>0</v>
      </c>
      <c r="AV162" s="773">
        <f t="shared" ca="1" si="253"/>
        <v>0</v>
      </c>
      <c r="AW162" s="773">
        <f t="shared" ca="1" si="254"/>
        <v>0</v>
      </c>
      <c r="AX162" s="773">
        <f t="shared" ca="1" si="270"/>
        <v>2</v>
      </c>
      <c r="AY162" s="773">
        <f t="shared" ca="1" si="255"/>
        <v>0</v>
      </c>
      <c r="AZ162" s="773">
        <f t="shared" ca="1" si="256"/>
        <v>0</v>
      </c>
      <c r="BA162" s="773">
        <f t="shared" ca="1" si="271"/>
        <v>1</v>
      </c>
      <c r="BB162" s="773">
        <f t="shared" ca="1" si="257"/>
        <v>0</v>
      </c>
      <c r="BC162" s="773">
        <f t="shared" ca="1" si="258"/>
        <v>1</v>
      </c>
      <c r="BD162" s="773">
        <f t="shared" ca="1" si="272"/>
        <v>2</v>
      </c>
      <c r="BE162" s="773">
        <f t="shared" ca="1" si="259"/>
        <v>2</v>
      </c>
      <c r="BF162" s="912" t="str">
        <f t="shared" si="260"/>
        <v>Lưu Hà</v>
      </c>
    </row>
    <row r="163" spans="1:58" ht="16.5">
      <c r="A163" s="939" t="s">
        <v>8575</v>
      </c>
      <c r="O163" s="773">
        <v>19</v>
      </c>
      <c r="P163" s="773" t="s">
        <v>6614</v>
      </c>
      <c r="Q163" s="773" t="str">
        <f ca="1">K142</f>
        <v>Thân</v>
      </c>
      <c r="R163" s="773">
        <v>3</v>
      </c>
      <c r="S163" s="773" t="e">
        <f t="shared" ca="1" si="274"/>
        <v>#N/A</v>
      </c>
      <c r="V163" s="773">
        <f t="shared" ca="1" si="236"/>
        <v>0</v>
      </c>
      <c r="W163" s="773">
        <f t="shared" ca="1" si="261"/>
        <v>1</v>
      </c>
      <c r="X163" s="773">
        <f t="shared" ca="1" si="237"/>
        <v>0</v>
      </c>
      <c r="Y163" s="773">
        <f t="shared" ca="1" si="238"/>
        <v>1</v>
      </c>
      <c r="Z163" s="773">
        <f t="shared" ca="1" si="262"/>
        <v>1</v>
      </c>
      <c r="AA163" s="773">
        <f t="shared" ca="1" si="239"/>
        <v>1</v>
      </c>
      <c r="AB163" s="773">
        <f t="shared" ca="1" si="240"/>
        <v>0</v>
      </c>
      <c r="AC163" s="773">
        <f t="shared" ca="1" si="263"/>
        <v>0</v>
      </c>
      <c r="AD163" s="773">
        <f t="shared" ca="1" si="241"/>
        <v>0</v>
      </c>
      <c r="AE163" s="773">
        <f t="shared" ca="1" si="242"/>
        <v>0</v>
      </c>
      <c r="AF163" s="773">
        <f t="shared" ca="1" si="264"/>
        <v>1</v>
      </c>
      <c r="AG163" s="773">
        <f t="shared" ca="1" si="243"/>
        <v>0</v>
      </c>
      <c r="AH163" s="773">
        <f t="shared" ca="1" si="244"/>
        <v>0</v>
      </c>
      <c r="AI163" s="773">
        <f t="shared" ca="1" si="265"/>
        <v>0</v>
      </c>
      <c r="AJ163" s="773">
        <f t="shared" ca="1" si="245"/>
        <v>0</v>
      </c>
      <c r="AK163" s="773">
        <f t="shared" ca="1" si="246"/>
        <v>0</v>
      </c>
      <c r="AL163" s="773">
        <f t="shared" ca="1" si="266"/>
        <v>0</v>
      </c>
      <c r="AM163" s="773">
        <f t="shared" ca="1" si="247"/>
        <v>0</v>
      </c>
      <c r="AN163" s="773">
        <f t="shared" ca="1" si="248"/>
        <v>0</v>
      </c>
      <c r="AO163" s="773">
        <f t="shared" ca="1" si="267"/>
        <v>0</v>
      </c>
      <c r="AP163" s="773">
        <f t="shared" ca="1" si="249"/>
        <v>0</v>
      </c>
      <c r="AQ163" s="773">
        <f t="shared" ca="1" si="250"/>
        <v>0</v>
      </c>
      <c r="AR163" s="773">
        <f t="shared" ca="1" si="268"/>
        <v>3</v>
      </c>
      <c r="AS163" s="773">
        <f t="shared" ca="1" si="251"/>
        <v>0</v>
      </c>
      <c r="AT163" s="773">
        <f t="shared" ca="1" si="252"/>
        <v>0</v>
      </c>
      <c r="AU163" s="773">
        <f t="shared" ca="1" si="269"/>
        <v>0</v>
      </c>
      <c r="AV163" s="773">
        <f t="shared" ca="1" si="253"/>
        <v>0</v>
      </c>
      <c r="AW163" s="773">
        <f t="shared" ca="1" si="254"/>
        <v>0</v>
      </c>
      <c r="AX163" s="773">
        <f t="shared" ca="1" si="270"/>
        <v>2</v>
      </c>
      <c r="AY163" s="773">
        <f t="shared" ca="1" si="255"/>
        <v>0</v>
      </c>
      <c r="AZ163" s="773">
        <f t="shared" ca="1" si="256"/>
        <v>0</v>
      </c>
      <c r="BA163" s="773">
        <f t="shared" ca="1" si="271"/>
        <v>1</v>
      </c>
      <c r="BB163" s="773">
        <f t="shared" ca="1" si="257"/>
        <v>0</v>
      </c>
      <c r="BC163" s="773">
        <f t="shared" ca="1" si="258"/>
        <v>0</v>
      </c>
      <c r="BD163" s="773">
        <f t="shared" ca="1" si="272"/>
        <v>2</v>
      </c>
      <c r="BE163" s="773">
        <f t="shared" ca="1" si="259"/>
        <v>0</v>
      </c>
      <c r="BF163" s="912" t="str">
        <f t="shared" si="260"/>
        <v>Hóa Kỵ</v>
      </c>
    </row>
    <row r="164" spans="1:58" ht="15">
      <c r="A164" s="855" t="s">
        <v>6582</v>
      </c>
      <c r="B164" s="855" t="s">
        <v>9302</v>
      </c>
      <c r="C164" s="855" t="s">
        <v>8576</v>
      </c>
      <c r="D164" s="855" t="s">
        <v>8577</v>
      </c>
      <c r="E164" s="855" t="s">
        <v>8578</v>
      </c>
      <c r="F164" s="855" t="s">
        <v>8325</v>
      </c>
      <c r="G164" s="1028" t="s">
        <v>8579</v>
      </c>
      <c r="H164" s="855" t="s">
        <v>8580</v>
      </c>
      <c r="I164" s="1028" t="s">
        <v>8581</v>
      </c>
      <c r="J164" s="1028" t="s">
        <v>8582</v>
      </c>
      <c r="K164" s="855" t="s">
        <v>8583</v>
      </c>
      <c r="L164" s="855" t="s">
        <v>3028</v>
      </c>
      <c r="M164" s="855" t="s">
        <v>9333</v>
      </c>
      <c r="O164" s="773">
        <v>20</v>
      </c>
      <c r="P164" s="773" t="s">
        <v>6618</v>
      </c>
      <c r="Q164" s="773" t="str">
        <f ca="1">L142</f>
        <v>Thìn</v>
      </c>
      <c r="R164" s="773">
        <v>3</v>
      </c>
      <c r="S164" s="773" t="e">
        <f t="shared" ca="1" si="274"/>
        <v>#N/A</v>
      </c>
      <c r="V164" s="773">
        <f t="shared" ca="1" si="236"/>
        <v>0</v>
      </c>
      <c r="W164" s="773">
        <f t="shared" ca="1" si="261"/>
        <v>1</v>
      </c>
      <c r="X164" s="773">
        <f t="shared" ca="1" si="237"/>
        <v>0</v>
      </c>
      <c r="Y164" s="773">
        <f t="shared" ca="1" si="238"/>
        <v>1</v>
      </c>
      <c r="Z164" s="773">
        <f t="shared" ca="1" si="262"/>
        <v>2</v>
      </c>
      <c r="AA164" s="773">
        <f t="shared" ca="1" si="239"/>
        <v>2</v>
      </c>
      <c r="AB164" s="773">
        <f t="shared" ca="1" si="240"/>
        <v>0</v>
      </c>
      <c r="AC164" s="773">
        <f t="shared" ca="1" si="263"/>
        <v>0</v>
      </c>
      <c r="AD164" s="773">
        <f t="shared" ca="1" si="241"/>
        <v>0</v>
      </c>
      <c r="AE164" s="773">
        <f t="shared" ca="1" si="242"/>
        <v>0</v>
      </c>
      <c r="AF164" s="773">
        <f t="shared" ca="1" si="264"/>
        <v>1</v>
      </c>
      <c r="AG164" s="773">
        <f t="shared" ca="1" si="243"/>
        <v>0</v>
      </c>
      <c r="AH164" s="773">
        <f t="shared" ca="1" si="244"/>
        <v>0</v>
      </c>
      <c r="AI164" s="773">
        <f t="shared" ca="1" si="265"/>
        <v>0</v>
      </c>
      <c r="AJ164" s="773">
        <f t="shared" ca="1" si="245"/>
        <v>0</v>
      </c>
      <c r="AK164" s="773">
        <f t="shared" ca="1" si="246"/>
        <v>0</v>
      </c>
      <c r="AL164" s="773">
        <f t="shared" ca="1" si="266"/>
        <v>0</v>
      </c>
      <c r="AM164" s="773">
        <f t="shared" ca="1" si="247"/>
        <v>0</v>
      </c>
      <c r="AN164" s="773">
        <f t="shared" ca="1" si="248"/>
        <v>0</v>
      </c>
      <c r="AO164" s="773">
        <f t="shared" ca="1" si="267"/>
        <v>0</v>
      </c>
      <c r="AP164" s="773">
        <f t="shared" ca="1" si="249"/>
        <v>0</v>
      </c>
      <c r="AQ164" s="773">
        <f t="shared" ca="1" si="250"/>
        <v>0</v>
      </c>
      <c r="AR164" s="773">
        <f t="shared" ca="1" si="268"/>
        <v>3</v>
      </c>
      <c r="AS164" s="773">
        <f t="shared" ca="1" si="251"/>
        <v>0</v>
      </c>
      <c r="AT164" s="773">
        <f t="shared" ca="1" si="252"/>
        <v>0</v>
      </c>
      <c r="AU164" s="773">
        <f t="shared" ca="1" si="269"/>
        <v>0</v>
      </c>
      <c r="AV164" s="773">
        <f t="shared" ca="1" si="253"/>
        <v>0</v>
      </c>
      <c r="AW164" s="773">
        <f t="shared" ca="1" si="254"/>
        <v>0</v>
      </c>
      <c r="AX164" s="773">
        <f t="shared" ca="1" si="270"/>
        <v>2</v>
      </c>
      <c r="AY164" s="773">
        <f t="shared" ca="1" si="255"/>
        <v>0</v>
      </c>
      <c r="AZ164" s="773">
        <f t="shared" ca="1" si="256"/>
        <v>0</v>
      </c>
      <c r="BA164" s="773">
        <f t="shared" ca="1" si="271"/>
        <v>1</v>
      </c>
      <c r="BB164" s="773">
        <f t="shared" ca="1" si="257"/>
        <v>0</v>
      </c>
      <c r="BC164" s="773">
        <f t="shared" ca="1" si="258"/>
        <v>0</v>
      </c>
      <c r="BD164" s="773">
        <f t="shared" ca="1" si="272"/>
        <v>2</v>
      </c>
      <c r="BE164" s="773">
        <f t="shared" ca="1" si="259"/>
        <v>0</v>
      </c>
      <c r="BF164" s="912" t="str">
        <f t="shared" si="260"/>
        <v>Thiên Riêu</v>
      </c>
    </row>
    <row r="165" spans="1:58" ht="15">
      <c r="A165" s="855" t="s">
        <v>8502</v>
      </c>
      <c r="B165" s="855" t="s">
        <v>8584</v>
      </c>
      <c r="C165" s="855" t="s">
        <v>8584</v>
      </c>
      <c r="D165" s="855" t="s">
        <v>8526</v>
      </c>
      <c r="E165" s="855" t="s">
        <v>8585</v>
      </c>
      <c r="F165" s="855" t="s">
        <v>8326</v>
      </c>
      <c r="G165" s="1028"/>
      <c r="H165" s="855" t="s">
        <v>8309</v>
      </c>
      <c r="I165" s="1028"/>
      <c r="J165" s="1028"/>
      <c r="K165" s="855" t="s">
        <v>8585</v>
      </c>
      <c r="L165" s="855" t="s">
        <v>8586</v>
      </c>
      <c r="M165" s="855" t="s">
        <v>8322</v>
      </c>
      <c r="O165" s="773">
        <v>21</v>
      </c>
      <c r="P165" s="773" t="s">
        <v>8587</v>
      </c>
      <c r="Q165" s="773" t="str">
        <f ca="1">Q142</f>
        <v>tỵ</v>
      </c>
      <c r="R165" s="773">
        <v>1</v>
      </c>
      <c r="S165" s="773" t="e">
        <f t="shared" ca="1" si="274"/>
        <v>#N/A</v>
      </c>
      <c r="V165" s="773">
        <f t="shared" ca="1" si="236"/>
        <v>0</v>
      </c>
      <c r="W165" s="773">
        <f t="shared" ca="1" si="261"/>
        <v>1</v>
      </c>
      <c r="X165" s="773">
        <f t="shared" ca="1" si="237"/>
        <v>0</v>
      </c>
      <c r="Y165" s="773">
        <f t="shared" ca="1" si="238"/>
        <v>1</v>
      </c>
      <c r="Z165" s="773">
        <f t="shared" ca="1" si="262"/>
        <v>3</v>
      </c>
      <c r="AA165" s="773">
        <f t="shared" ca="1" si="239"/>
        <v>3</v>
      </c>
      <c r="AB165" s="773">
        <f t="shared" ca="1" si="240"/>
        <v>0</v>
      </c>
      <c r="AC165" s="773">
        <f t="shared" ca="1" si="263"/>
        <v>0</v>
      </c>
      <c r="AD165" s="773">
        <f t="shared" ca="1" si="241"/>
        <v>0</v>
      </c>
      <c r="AE165" s="773">
        <f t="shared" ca="1" si="242"/>
        <v>0</v>
      </c>
      <c r="AF165" s="773">
        <f t="shared" ca="1" si="264"/>
        <v>1</v>
      </c>
      <c r="AG165" s="773">
        <f t="shared" ca="1" si="243"/>
        <v>0</v>
      </c>
      <c r="AH165" s="773">
        <f t="shared" ca="1" si="244"/>
        <v>0</v>
      </c>
      <c r="AI165" s="773">
        <f t="shared" ca="1" si="265"/>
        <v>0</v>
      </c>
      <c r="AJ165" s="773">
        <f t="shared" ca="1" si="245"/>
        <v>0</v>
      </c>
      <c r="AK165" s="773">
        <f t="shared" ca="1" si="246"/>
        <v>0</v>
      </c>
      <c r="AL165" s="773">
        <f t="shared" ca="1" si="266"/>
        <v>0</v>
      </c>
      <c r="AM165" s="773">
        <f t="shared" ca="1" si="247"/>
        <v>0</v>
      </c>
      <c r="AN165" s="773">
        <f t="shared" ca="1" si="248"/>
        <v>0</v>
      </c>
      <c r="AO165" s="773">
        <f t="shared" ca="1" si="267"/>
        <v>0</v>
      </c>
      <c r="AP165" s="773">
        <f t="shared" ca="1" si="249"/>
        <v>0</v>
      </c>
      <c r="AQ165" s="773">
        <f t="shared" ca="1" si="250"/>
        <v>0</v>
      </c>
      <c r="AR165" s="773">
        <f t="shared" ca="1" si="268"/>
        <v>3</v>
      </c>
      <c r="AS165" s="773">
        <f t="shared" ca="1" si="251"/>
        <v>0</v>
      </c>
      <c r="AT165" s="773">
        <f t="shared" ca="1" si="252"/>
        <v>0</v>
      </c>
      <c r="AU165" s="773">
        <f t="shared" ca="1" si="269"/>
        <v>0</v>
      </c>
      <c r="AV165" s="773">
        <f t="shared" ca="1" si="253"/>
        <v>0</v>
      </c>
      <c r="AW165" s="773">
        <f t="shared" ca="1" si="254"/>
        <v>0</v>
      </c>
      <c r="AX165" s="773">
        <f t="shared" ca="1" si="270"/>
        <v>2</v>
      </c>
      <c r="AY165" s="773">
        <f t="shared" ca="1" si="255"/>
        <v>0</v>
      </c>
      <c r="AZ165" s="773">
        <f t="shared" ca="1" si="256"/>
        <v>0</v>
      </c>
      <c r="BA165" s="773">
        <f t="shared" ca="1" si="271"/>
        <v>1</v>
      </c>
      <c r="BB165" s="773">
        <f t="shared" ca="1" si="257"/>
        <v>0</v>
      </c>
      <c r="BC165" s="773">
        <f t="shared" ca="1" si="258"/>
        <v>0</v>
      </c>
      <c r="BD165" s="773">
        <f t="shared" ca="1" si="272"/>
        <v>2</v>
      </c>
      <c r="BE165" s="773">
        <f t="shared" ca="1" si="259"/>
        <v>0</v>
      </c>
      <c r="BF165" s="912" t="str">
        <f t="shared" si="260"/>
        <v>Thiên Y</v>
      </c>
    </row>
    <row r="166" spans="1:58">
      <c r="A166" s="1035" t="s">
        <v>8588</v>
      </c>
      <c r="B166" s="1035"/>
      <c r="C166" s="1035"/>
      <c r="D166" s="1035"/>
      <c r="E166" s="1035"/>
      <c r="F166" s="1035"/>
      <c r="G166" s="1035"/>
      <c r="H166" s="1035"/>
      <c r="I166" s="1035"/>
      <c r="J166" s="1035"/>
      <c r="K166" s="1035"/>
      <c r="L166" s="1035"/>
      <c r="M166" s="1035"/>
      <c r="O166" s="773">
        <v>22</v>
      </c>
      <c r="P166" s="773" t="s">
        <v>8589</v>
      </c>
      <c r="Q166" s="773" t="str">
        <f ca="1">IF($N$63=1,J162,J184)</f>
        <v>Mão</v>
      </c>
      <c r="R166" s="773">
        <v>3</v>
      </c>
      <c r="S166" s="773" t="e">
        <f t="shared" ca="1" si="274"/>
        <v>#N/A</v>
      </c>
      <c r="V166" s="773">
        <f t="shared" ca="1" si="236"/>
        <v>0</v>
      </c>
      <c r="W166" s="773">
        <f t="shared" ca="1" si="261"/>
        <v>1</v>
      </c>
      <c r="X166" s="773">
        <f t="shared" ca="1" si="237"/>
        <v>0</v>
      </c>
      <c r="Y166" s="773">
        <f t="shared" ca="1" si="238"/>
        <v>0</v>
      </c>
      <c r="Z166" s="773">
        <f t="shared" ca="1" si="262"/>
        <v>3</v>
      </c>
      <c r="AA166" s="773">
        <f t="shared" ca="1" si="239"/>
        <v>0</v>
      </c>
      <c r="AB166" s="773">
        <f t="shared" ca="1" si="240"/>
        <v>0</v>
      </c>
      <c r="AC166" s="773">
        <f t="shared" ca="1" si="263"/>
        <v>0</v>
      </c>
      <c r="AD166" s="773">
        <f t="shared" ca="1" si="241"/>
        <v>0</v>
      </c>
      <c r="AE166" s="773">
        <f t="shared" ca="1" si="242"/>
        <v>0</v>
      </c>
      <c r="AF166" s="773">
        <f t="shared" ca="1" si="264"/>
        <v>1</v>
      </c>
      <c r="AG166" s="773">
        <f t="shared" ca="1" si="243"/>
        <v>0</v>
      </c>
      <c r="AH166" s="773">
        <f t="shared" ca="1" si="244"/>
        <v>0</v>
      </c>
      <c r="AI166" s="773">
        <f t="shared" ca="1" si="265"/>
        <v>0</v>
      </c>
      <c r="AJ166" s="773">
        <f t="shared" ca="1" si="245"/>
        <v>0</v>
      </c>
      <c r="AK166" s="773">
        <f t="shared" ca="1" si="246"/>
        <v>0</v>
      </c>
      <c r="AL166" s="773">
        <f t="shared" ca="1" si="266"/>
        <v>0</v>
      </c>
      <c r="AM166" s="773">
        <f t="shared" ca="1" si="247"/>
        <v>0</v>
      </c>
      <c r="AN166" s="773">
        <f t="shared" ca="1" si="248"/>
        <v>0</v>
      </c>
      <c r="AO166" s="773">
        <f t="shared" ca="1" si="267"/>
        <v>0</v>
      </c>
      <c r="AP166" s="773">
        <f t="shared" ca="1" si="249"/>
        <v>0</v>
      </c>
      <c r="AQ166" s="773">
        <f t="shared" ca="1" si="250"/>
        <v>0</v>
      </c>
      <c r="AR166" s="773">
        <f t="shared" ca="1" si="268"/>
        <v>3</v>
      </c>
      <c r="AS166" s="773">
        <f t="shared" ca="1" si="251"/>
        <v>0</v>
      </c>
      <c r="AT166" s="773">
        <f t="shared" ca="1" si="252"/>
        <v>1</v>
      </c>
      <c r="AU166" s="773">
        <f t="shared" ca="1" si="269"/>
        <v>1</v>
      </c>
      <c r="AV166" s="773">
        <f t="shared" ca="1" si="253"/>
        <v>1</v>
      </c>
      <c r="AW166" s="773">
        <f t="shared" ca="1" si="254"/>
        <v>0</v>
      </c>
      <c r="AX166" s="773">
        <f t="shared" ca="1" si="270"/>
        <v>2</v>
      </c>
      <c r="AY166" s="773">
        <f t="shared" ca="1" si="255"/>
        <v>0</v>
      </c>
      <c r="AZ166" s="773">
        <f t="shared" ca="1" si="256"/>
        <v>0</v>
      </c>
      <c r="BA166" s="773">
        <f t="shared" ca="1" si="271"/>
        <v>1</v>
      </c>
      <c r="BB166" s="773">
        <f t="shared" ca="1" si="257"/>
        <v>0</v>
      </c>
      <c r="BC166" s="773">
        <f t="shared" ca="1" si="258"/>
        <v>0</v>
      </c>
      <c r="BD166" s="773">
        <f t="shared" ca="1" si="272"/>
        <v>2</v>
      </c>
      <c r="BE166" s="773">
        <f t="shared" ca="1" si="259"/>
        <v>0</v>
      </c>
      <c r="BF166" s="912" t="str">
        <f t="shared" si="260"/>
        <v>Tang Môn</v>
      </c>
    </row>
    <row r="167" spans="1:58" ht="15">
      <c r="A167" s="855" t="s">
        <v>1402</v>
      </c>
      <c r="B167" s="855" t="s">
        <v>1402</v>
      </c>
      <c r="C167" s="855" t="s">
        <v>9301</v>
      </c>
      <c r="D167" s="855" t="s">
        <v>353</v>
      </c>
      <c r="E167" s="855" t="s">
        <v>1399</v>
      </c>
      <c r="F167" s="855" t="s">
        <v>505</v>
      </c>
      <c r="G167" s="806" t="s">
        <v>7871</v>
      </c>
      <c r="H167" s="855" t="s">
        <v>506</v>
      </c>
      <c r="I167" s="855" t="s">
        <v>507</v>
      </c>
      <c r="J167" s="855" t="s">
        <v>9297</v>
      </c>
      <c r="K167" s="855" t="s">
        <v>9298</v>
      </c>
      <c r="L167" s="855" t="s">
        <v>9299</v>
      </c>
      <c r="M167" s="855" t="s">
        <v>9300</v>
      </c>
      <c r="O167" s="773">
        <v>23</v>
      </c>
      <c r="P167" s="773" t="s">
        <v>6579</v>
      </c>
      <c r="Q167" s="773" t="str">
        <f ca="1">IF($N$63=1,K162,K184)</f>
        <v>Dần</v>
      </c>
      <c r="R167" s="773">
        <v>1</v>
      </c>
      <c r="S167" s="773" t="e">
        <f t="shared" ca="1" si="274"/>
        <v>#N/A</v>
      </c>
      <c r="V167" s="773">
        <f t="shared" ca="1" si="236"/>
        <v>0</v>
      </c>
      <c r="W167" s="773">
        <f t="shared" ca="1" si="261"/>
        <v>1</v>
      </c>
      <c r="X167" s="773">
        <f t="shared" ca="1" si="237"/>
        <v>0</v>
      </c>
      <c r="Y167" s="773">
        <f t="shared" ca="1" si="238"/>
        <v>0</v>
      </c>
      <c r="Z167" s="773">
        <f t="shared" ca="1" si="262"/>
        <v>3</v>
      </c>
      <c r="AA167" s="773">
        <f t="shared" ca="1" si="239"/>
        <v>0</v>
      </c>
      <c r="AB167" s="773">
        <f t="shared" ca="1" si="240"/>
        <v>1</v>
      </c>
      <c r="AC167" s="773">
        <f t="shared" ca="1" si="263"/>
        <v>1</v>
      </c>
      <c r="AD167" s="773">
        <f t="shared" ca="1" si="241"/>
        <v>1</v>
      </c>
      <c r="AE167" s="773">
        <f t="shared" ca="1" si="242"/>
        <v>0</v>
      </c>
      <c r="AF167" s="773">
        <f t="shared" ca="1" si="264"/>
        <v>1</v>
      </c>
      <c r="AG167" s="773">
        <f t="shared" ca="1" si="243"/>
        <v>0</v>
      </c>
      <c r="AH167" s="773">
        <f t="shared" ca="1" si="244"/>
        <v>0</v>
      </c>
      <c r="AI167" s="773">
        <f t="shared" ca="1" si="265"/>
        <v>0</v>
      </c>
      <c r="AJ167" s="773">
        <f t="shared" ca="1" si="245"/>
        <v>0</v>
      </c>
      <c r="AK167" s="773">
        <f t="shared" ca="1" si="246"/>
        <v>0</v>
      </c>
      <c r="AL167" s="773">
        <f t="shared" ca="1" si="266"/>
        <v>0</v>
      </c>
      <c r="AM167" s="773">
        <f t="shared" ca="1" si="247"/>
        <v>0</v>
      </c>
      <c r="AN167" s="773">
        <f t="shared" ca="1" si="248"/>
        <v>0</v>
      </c>
      <c r="AO167" s="773">
        <f t="shared" ca="1" si="267"/>
        <v>0</v>
      </c>
      <c r="AP167" s="773">
        <f t="shared" ca="1" si="249"/>
        <v>0</v>
      </c>
      <c r="AQ167" s="773">
        <f t="shared" ca="1" si="250"/>
        <v>0</v>
      </c>
      <c r="AR167" s="773">
        <f t="shared" ca="1" si="268"/>
        <v>3</v>
      </c>
      <c r="AS167" s="773">
        <f t="shared" ca="1" si="251"/>
        <v>0</v>
      </c>
      <c r="AT167" s="773">
        <f t="shared" ca="1" si="252"/>
        <v>0</v>
      </c>
      <c r="AU167" s="773">
        <f t="shared" ca="1" si="269"/>
        <v>1</v>
      </c>
      <c r="AV167" s="773">
        <f t="shared" ca="1" si="253"/>
        <v>0</v>
      </c>
      <c r="AW167" s="773">
        <f t="shared" ca="1" si="254"/>
        <v>0</v>
      </c>
      <c r="AX167" s="773">
        <f t="shared" ca="1" si="270"/>
        <v>2</v>
      </c>
      <c r="AY167" s="773">
        <f t="shared" ca="1" si="255"/>
        <v>0</v>
      </c>
      <c r="AZ167" s="773">
        <f t="shared" ca="1" si="256"/>
        <v>0</v>
      </c>
      <c r="BA167" s="773">
        <f t="shared" ca="1" si="271"/>
        <v>1</v>
      </c>
      <c r="BB167" s="773">
        <f t="shared" ca="1" si="257"/>
        <v>0</v>
      </c>
      <c r="BC167" s="773">
        <f t="shared" ca="1" si="258"/>
        <v>0</v>
      </c>
      <c r="BD167" s="773">
        <f t="shared" ca="1" si="272"/>
        <v>2</v>
      </c>
      <c r="BE167" s="773">
        <f t="shared" ca="1" si="259"/>
        <v>0</v>
      </c>
      <c r="BF167" s="912" t="str">
        <f t="shared" si="260"/>
        <v>Bạch Hổ</v>
      </c>
    </row>
    <row r="168" spans="1:58" ht="15">
      <c r="A168" s="855" t="s">
        <v>353</v>
      </c>
      <c r="B168" s="855" t="s">
        <v>353</v>
      </c>
      <c r="C168" s="855" t="s">
        <v>1399</v>
      </c>
      <c r="D168" s="855" t="s">
        <v>505</v>
      </c>
      <c r="E168" s="806" t="s">
        <v>7871</v>
      </c>
      <c r="F168" s="855" t="s">
        <v>506</v>
      </c>
      <c r="G168" s="855" t="s">
        <v>507</v>
      </c>
      <c r="H168" s="855" t="s">
        <v>9297</v>
      </c>
      <c r="I168" s="855" t="s">
        <v>9298</v>
      </c>
      <c r="J168" s="855" t="s">
        <v>9299</v>
      </c>
      <c r="K168" s="855" t="s">
        <v>9300</v>
      </c>
      <c r="L168" s="855" t="s">
        <v>1402</v>
      </c>
      <c r="M168" s="855" t="s">
        <v>9301</v>
      </c>
      <c r="O168" s="773">
        <v>24</v>
      </c>
      <c r="P168" s="773" t="s">
        <v>8590</v>
      </c>
      <c r="Q168" s="773" t="str">
        <f ca="1">IF($N$63=1,E162,E184)</f>
        <v>Thân</v>
      </c>
      <c r="R168" s="773">
        <v>1</v>
      </c>
      <c r="S168" s="773" t="e">
        <f ca="1">VLOOKUP(B40,$P$145:$R$187,3,0)</f>
        <v>#N/A</v>
      </c>
      <c r="V168" s="773">
        <f t="shared" ca="1" si="236"/>
        <v>1</v>
      </c>
      <c r="W168" s="773">
        <f t="shared" ca="1" si="261"/>
        <v>2</v>
      </c>
      <c r="X168" s="773">
        <f t="shared" ca="1" si="237"/>
        <v>2</v>
      </c>
      <c r="Y168" s="773">
        <f t="shared" ca="1" si="238"/>
        <v>0</v>
      </c>
      <c r="Z168" s="773">
        <f t="shared" ca="1" si="262"/>
        <v>3</v>
      </c>
      <c r="AA168" s="773">
        <f t="shared" ca="1" si="239"/>
        <v>0</v>
      </c>
      <c r="AB168" s="773">
        <f t="shared" ca="1" si="240"/>
        <v>0</v>
      </c>
      <c r="AC168" s="773">
        <f t="shared" ca="1" si="263"/>
        <v>1</v>
      </c>
      <c r="AD168" s="773">
        <f t="shared" ca="1" si="241"/>
        <v>0</v>
      </c>
      <c r="AE168" s="773">
        <f t="shared" ca="1" si="242"/>
        <v>0</v>
      </c>
      <c r="AF168" s="773">
        <f t="shared" ca="1" si="264"/>
        <v>1</v>
      </c>
      <c r="AG168" s="773">
        <f t="shared" ca="1" si="243"/>
        <v>0</v>
      </c>
      <c r="AH168" s="773">
        <f t="shared" ca="1" si="244"/>
        <v>0</v>
      </c>
      <c r="AI168" s="773">
        <f t="shared" ca="1" si="265"/>
        <v>0</v>
      </c>
      <c r="AJ168" s="773">
        <f t="shared" ca="1" si="245"/>
        <v>0</v>
      </c>
      <c r="AK168" s="773">
        <f t="shared" ca="1" si="246"/>
        <v>0</v>
      </c>
      <c r="AL168" s="773">
        <f t="shared" ca="1" si="266"/>
        <v>0</v>
      </c>
      <c r="AM168" s="773">
        <f t="shared" ca="1" si="247"/>
        <v>0</v>
      </c>
      <c r="AN168" s="773">
        <f t="shared" ca="1" si="248"/>
        <v>0</v>
      </c>
      <c r="AO168" s="773">
        <f t="shared" ca="1" si="267"/>
        <v>0</v>
      </c>
      <c r="AP168" s="773">
        <f t="shared" ca="1" si="249"/>
        <v>0</v>
      </c>
      <c r="AQ168" s="773">
        <f t="shared" ca="1" si="250"/>
        <v>0</v>
      </c>
      <c r="AR168" s="773">
        <f t="shared" ca="1" si="268"/>
        <v>3</v>
      </c>
      <c r="AS168" s="773">
        <f t="shared" ca="1" si="251"/>
        <v>0</v>
      </c>
      <c r="AT168" s="773">
        <f t="shared" ca="1" si="252"/>
        <v>0</v>
      </c>
      <c r="AU168" s="773">
        <f t="shared" ca="1" si="269"/>
        <v>1</v>
      </c>
      <c r="AV168" s="773">
        <f t="shared" ca="1" si="253"/>
        <v>0</v>
      </c>
      <c r="AW168" s="773">
        <f t="shared" ca="1" si="254"/>
        <v>0</v>
      </c>
      <c r="AX168" s="773">
        <f t="shared" ca="1" si="270"/>
        <v>2</v>
      </c>
      <c r="AY168" s="773">
        <f t="shared" ca="1" si="255"/>
        <v>0</v>
      </c>
      <c r="AZ168" s="773">
        <f t="shared" ca="1" si="256"/>
        <v>0</v>
      </c>
      <c r="BA168" s="773">
        <f t="shared" ca="1" si="271"/>
        <v>1</v>
      </c>
      <c r="BB168" s="773">
        <f t="shared" ca="1" si="257"/>
        <v>0</v>
      </c>
      <c r="BC168" s="773">
        <f t="shared" ca="1" si="258"/>
        <v>0</v>
      </c>
      <c r="BD168" s="773">
        <f t="shared" ca="1" si="272"/>
        <v>2</v>
      </c>
      <c r="BE168" s="773">
        <f t="shared" ca="1" si="259"/>
        <v>0</v>
      </c>
      <c r="BF168" s="912" t="str">
        <f t="shared" si="260"/>
        <v>Thiên Hư</v>
      </c>
    </row>
    <row r="169" spans="1:58" ht="15">
      <c r="A169" s="855" t="s">
        <v>1399</v>
      </c>
      <c r="B169" s="855" t="s">
        <v>1399</v>
      </c>
      <c r="C169" s="855" t="s">
        <v>505</v>
      </c>
      <c r="D169" s="806" t="s">
        <v>7871</v>
      </c>
      <c r="E169" s="855" t="s">
        <v>506</v>
      </c>
      <c r="F169" s="855" t="s">
        <v>507</v>
      </c>
      <c r="G169" s="855" t="s">
        <v>9297</v>
      </c>
      <c r="H169" s="855" t="s">
        <v>9298</v>
      </c>
      <c r="I169" s="855" t="s">
        <v>9299</v>
      </c>
      <c r="J169" s="855" t="s">
        <v>9300</v>
      </c>
      <c r="K169" s="855" t="s">
        <v>1402</v>
      </c>
      <c r="L169" s="855" t="s">
        <v>9301</v>
      </c>
      <c r="M169" s="855" t="s">
        <v>353</v>
      </c>
      <c r="O169" s="773">
        <v>25</v>
      </c>
      <c r="P169" s="773" t="s">
        <v>8591</v>
      </c>
      <c r="Q169" s="773" t="str">
        <f ca="1">IF($N$63=1,L162,L184)</f>
        <v>Sửu</v>
      </c>
      <c r="R169" s="773">
        <v>1</v>
      </c>
      <c r="S169" s="773">
        <f t="shared" ref="S169:S176" ca="1" si="276">VLOOKUP(C23,$P$145:$R$187,3,0)</f>
        <v>1</v>
      </c>
      <c r="V169" s="773">
        <f t="shared" ca="1" si="236"/>
        <v>1</v>
      </c>
      <c r="W169" s="773">
        <f t="shared" ca="1" si="261"/>
        <v>3</v>
      </c>
      <c r="X169" s="773">
        <f t="shared" ca="1" si="237"/>
        <v>3</v>
      </c>
      <c r="Y169" s="773">
        <f t="shared" ca="1" si="238"/>
        <v>0</v>
      </c>
      <c r="Z169" s="773">
        <f t="shared" ca="1" si="262"/>
        <v>3</v>
      </c>
      <c r="AA169" s="773">
        <f t="shared" ca="1" si="239"/>
        <v>0</v>
      </c>
      <c r="AB169" s="773">
        <f t="shared" ca="1" si="240"/>
        <v>0</v>
      </c>
      <c r="AC169" s="773">
        <f t="shared" ca="1" si="263"/>
        <v>1</v>
      </c>
      <c r="AD169" s="773">
        <f t="shared" ca="1" si="241"/>
        <v>0</v>
      </c>
      <c r="AE169" s="773">
        <f t="shared" ca="1" si="242"/>
        <v>0</v>
      </c>
      <c r="AF169" s="773">
        <f t="shared" ca="1" si="264"/>
        <v>1</v>
      </c>
      <c r="AG169" s="773">
        <f t="shared" ca="1" si="243"/>
        <v>0</v>
      </c>
      <c r="AH169" s="773">
        <f t="shared" ca="1" si="244"/>
        <v>0</v>
      </c>
      <c r="AI169" s="773">
        <f t="shared" ca="1" si="265"/>
        <v>0</v>
      </c>
      <c r="AJ169" s="773">
        <f t="shared" ca="1" si="245"/>
        <v>0</v>
      </c>
      <c r="AK169" s="773">
        <f t="shared" ca="1" si="246"/>
        <v>0</v>
      </c>
      <c r="AL169" s="773">
        <f t="shared" ca="1" si="266"/>
        <v>0</v>
      </c>
      <c r="AM169" s="773">
        <f t="shared" ca="1" si="247"/>
        <v>0</v>
      </c>
      <c r="AN169" s="773">
        <f t="shared" ca="1" si="248"/>
        <v>0</v>
      </c>
      <c r="AO169" s="773">
        <f t="shared" ca="1" si="267"/>
        <v>0</v>
      </c>
      <c r="AP169" s="773">
        <f t="shared" ca="1" si="249"/>
        <v>0</v>
      </c>
      <c r="AQ169" s="773">
        <f t="shared" ca="1" si="250"/>
        <v>0</v>
      </c>
      <c r="AR169" s="773">
        <f t="shared" ca="1" si="268"/>
        <v>3</v>
      </c>
      <c r="AS169" s="773">
        <f t="shared" ca="1" si="251"/>
        <v>0</v>
      </c>
      <c r="AT169" s="773">
        <f t="shared" ca="1" si="252"/>
        <v>0</v>
      </c>
      <c r="AU169" s="773">
        <f t="shared" ca="1" si="269"/>
        <v>1</v>
      </c>
      <c r="AV169" s="773">
        <f t="shared" ca="1" si="253"/>
        <v>0</v>
      </c>
      <c r="AW169" s="773">
        <f t="shared" ca="1" si="254"/>
        <v>0</v>
      </c>
      <c r="AX169" s="773">
        <f t="shared" ca="1" si="270"/>
        <v>2</v>
      </c>
      <c r="AY169" s="773">
        <f t="shared" ca="1" si="255"/>
        <v>0</v>
      </c>
      <c r="AZ169" s="773">
        <f t="shared" ca="1" si="256"/>
        <v>0</v>
      </c>
      <c r="BA169" s="773">
        <f t="shared" ca="1" si="271"/>
        <v>1</v>
      </c>
      <c r="BB169" s="773">
        <f t="shared" ca="1" si="257"/>
        <v>0</v>
      </c>
      <c r="BC169" s="773">
        <f t="shared" ca="1" si="258"/>
        <v>0</v>
      </c>
      <c r="BD169" s="773">
        <f t="shared" ca="1" si="272"/>
        <v>2</v>
      </c>
      <c r="BE169" s="773">
        <f t="shared" ca="1" si="259"/>
        <v>0</v>
      </c>
      <c r="BF169" s="912" t="str">
        <f t="shared" si="260"/>
        <v>Thiên Khốc</v>
      </c>
    </row>
    <row r="170" spans="1:58" ht="15">
      <c r="A170" s="806" t="s">
        <v>7871</v>
      </c>
      <c r="B170" s="806" t="s">
        <v>7871</v>
      </c>
      <c r="C170" s="855" t="s">
        <v>506</v>
      </c>
      <c r="D170" s="855" t="s">
        <v>507</v>
      </c>
      <c r="E170" s="855" t="s">
        <v>9297</v>
      </c>
      <c r="F170" s="855" t="s">
        <v>9298</v>
      </c>
      <c r="G170" s="855" t="s">
        <v>9299</v>
      </c>
      <c r="H170" s="855" t="s">
        <v>9300</v>
      </c>
      <c r="I170" s="855" t="s">
        <v>1402</v>
      </c>
      <c r="J170" s="855" t="s">
        <v>9301</v>
      </c>
      <c r="K170" s="855" t="s">
        <v>353</v>
      </c>
      <c r="L170" s="855" t="s">
        <v>1399</v>
      </c>
      <c r="M170" s="806" t="s">
        <v>7872</v>
      </c>
      <c r="O170" s="773">
        <v>26</v>
      </c>
      <c r="P170" s="773" t="s">
        <v>8592</v>
      </c>
      <c r="Q170" s="773" t="str">
        <f ca="1">IF($N$63=1,G$153,G$160)</f>
        <v>Tý</v>
      </c>
      <c r="R170" s="773">
        <v>5</v>
      </c>
      <c r="S170" s="773">
        <f t="shared" ca="1" si="276"/>
        <v>3</v>
      </c>
      <c r="V170" s="773">
        <f t="shared" si="236"/>
        <v>0</v>
      </c>
      <c r="W170" s="773">
        <f t="shared" ca="1" si="261"/>
        <v>3</v>
      </c>
      <c r="X170" s="773">
        <f t="shared" si="237"/>
        <v>0</v>
      </c>
      <c r="Y170" s="773">
        <f t="shared" si="238"/>
        <v>0</v>
      </c>
      <c r="Z170" s="773">
        <f t="shared" ca="1" si="262"/>
        <v>3</v>
      </c>
      <c r="AA170" s="773">
        <f t="shared" si="239"/>
        <v>0</v>
      </c>
      <c r="AB170" s="773">
        <f t="shared" si="240"/>
        <v>0</v>
      </c>
      <c r="AC170" s="773">
        <f t="shared" ca="1" si="263"/>
        <v>1</v>
      </c>
      <c r="AD170" s="773">
        <f t="shared" si="241"/>
        <v>0</v>
      </c>
      <c r="AE170" s="773">
        <f t="shared" si="242"/>
        <v>0</v>
      </c>
      <c r="AF170" s="773">
        <f t="shared" ca="1" si="264"/>
        <v>1</v>
      </c>
      <c r="AG170" s="773">
        <f t="shared" si="243"/>
        <v>0</v>
      </c>
      <c r="AH170" s="773">
        <f t="shared" si="244"/>
        <v>0</v>
      </c>
      <c r="AI170" s="773">
        <f t="shared" ca="1" si="265"/>
        <v>0</v>
      </c>
      <c r="AJ170" s="773">
        <f t="shared" si="245"/>
        <v>0</v>
      </c>
      <c r="AK170" s="773">
        <f t="shared" si="246"/>
        <v>0</v>
      </c>
      <c r="AL170" s="773">
        <f t="shared" ca="1" si="266"/>
        <v>0</v>
      </c>
      <c r="AM170" s="773">
        <f t="shared" si="247"/>
        <v>0</v>
      </c>
      <c r="AN170" s="773">
        <f t="shared" si="248"/>
        <v>0</v>
      </c>
      <c r="AO170" s="773">
        <f t="shared" ca="1" si="267"/>
        <v>0</v>
      </c>
      <c r="AP170" s="773">
        <f t="shared" si="249"/>
        <v>0</v>
      </c>
      <c r="AQ170" s="773">
        <f t="shared" si="250"/>
        <v>0</v>
      </c>
      <c r="AR170" s="773">
        <f t="shared" ca="1" si="268"/>
        <v>3</v>
      </c>
      <c r="AS170" s="773">
        <f t="shared" si="251"/>
        <v>0</v>
      </c>
      <c r="AT170" s="773">
        <f t="shared" si="252"/>
        <v>0</v>
      </c>
      <c r="AU170" s="773">
        <f t="shared" ca="1" si="269"/>
        <v>1</v>
      </c>
      <c r="AV170" s="773">
        <f t="shared" si="253"/>
        <v>0</v>
      </c>
      <c r="AW170" s="773">
        <f t="shared" si="254"/>
        <v>0</v>
      </c>
      <c r="AX170" s="773">
        <f t="shared" ca="1" si="270"/>
        <v>2</v>
      </c>
      <c r="AY170" s="773">
        <f t="shared" si="255"/>
        <v>0</v>
      </c>
      <c r="AZ170" s="773">
        <f t="shared" si="256"/>
        <v>0</v>
      </c>
      <c r="BA170" s="773">
        <f t="shared" ca="1" si="271"/>
        <v>1</v>
      </c>
      <c r="BB170" s="773">
        <f t="shared" si="257"/>
        <v>0</v>
      </c>
      <c r="BC170" s="773">
        <f t="shared" si="258"/>
        <v>0</v>
      </c>
      <c r="BD170" s="773">
        <f t="shared" ca="1" si="272"/>
        <v>2</v>
      </c>
      <c r="BE170" s="773">
        <f t="shared" si="259"/>
        <v>0</v>
      </c>
      <c r="BF170" s="912" t="str">
        <f t="shared" si="260"/>
        <v>Hoa Cái</v>
      </c>
    </row>
    <row r="171" spans="1:58" ht="15">
      <c r="A171" s="855" t="s">
        <v>506</v>
      </c>
      <c r="B171" s="855" t="s">
        <v>506</v>
      </c>
      <c r="C171" s="855" t="s">
        <v>507</v>
      </c>
      <c r="D171" s="855" t="s">
        <v>9297</v>
      </c>
      <c r="E171" s="855" t="s">
        <v>9298</v>
      </c>
      <c r="F171" s="855" t="s">
        <v>9299</v>
      </c>
      <c r="G171" s="855" t="s">
        <v>9300</v>
      </c>
      <c r="H171" s="855" t="s">
        <v>1402</v>
      </c>
      <c r="I171" s="855" t="s">
        <v>9301</v>
      </c>
      <c r="J171" s="855" t="s">
        <v>353</v>
      </c>
      <c r="K171" s="855" t="s">
        <v>1399</v>
      </c>
      <c r="L171" s="855" t="s">
        <v>505</v>
      </c>
      <c r="M171" s="806" t="s">
        <v>7871</v>
      </c>
      <c r="O171" s="773">
        <v>27</v>
      </c>
      <c r="P171" s="773" t="s">
        <v>8593</v>
      </c>
      <c r="Q171" s="773" t="str">
        <f ca="1">IF($N$63=1,H$153,H$160)</f>
        <v>Hợi</v>
      </c>
      <c r="R171" s="773">
        <v>1</v>
      </c>
      <c r="S171" s="773">
        <f t="shared" ca="1" si="276"/>
        <v>3</v>
      </c>
      <c r="V171" s="773">
        <f t="shared" ca="1" si="236"/>
        <v>0</v>
      </c>
      <c r="W171" s="773">
        <f t="shared" ca="1" si="261"/>
        <v>3</v>
      </c>
      <c r="X171" s="773">
        <f t="shared" ca="1" si="237"/>
        <v>0</v>
      </c>
      <c r="Y171" s="773">
        <f t="shared" ca="1" si="238"/>
        <v>0</v>
      </c>
      <c r="Z171" s="773">
        <f t="shared" ca="1" si="262"/>
        <v>3</v>
      </c>
      <c r="AA171" s="773">
        <f t="shared" ca="1" si="239"/>
        <v>0</v>
      </c>
      <c r="AB171" s="773">
        <f t="shared" ca="1" si="240"/>
        <v>0</v>
      </c>
      <c r="AC171" s="773">
        <f t="shared" ca="1" si="263"/>
        <v>1</v>
      </c>
      <c r="AD171" s="773">
        <f t="shared" ca="1" si="241"/>
        <v>0</v>
      </c>
      <c r="AE171" s="773">
        <f t="shared" ca="1" si="242"/>
        <v>0</v>
      </c>
      <c r="AF171" s="773">
        <f t="shared" ca="1" si="264"/>
        <v>1</v>
      </c>
      <c r="AG171" s="773">
        <f t="shared" ca="1" si="243"/>
        <v>0</v>
      </c>
      <c r="AH171" s="773">
        <f t="shared" ca="1" si="244"/>
        <v>0</v>
      </c>
      <c r="AI171" s="773">
        <f t="shared" ca="1" si="265"/>
        <v>0</v>
      </c>
      <c r="AJ171" s="773">
        <f t="shared" ca="1" si="245"/>
        <v>0</v>
      </c>
      <c r="AK171" s="773">
        <f t="shared" ca="1" si="246"/>
        <v>0</v>
      </c>
      <c r="AL171" s="773">
        <f t="shared" ca="1" si="266"/>
        <v>0</v>
      </c>
      <c r="AM171" s="773">
        <f t="shared" ca="1" si="247"/>
        <v>0</v>
      </c>
      <c r="AN171" s="773">
        <f t="shared" ca="1" si="248"/>
        <v>0</v>
      </c>
      <c r="AO171" s="773">
        <f t="shared" ca="1" si="267"/>
        <v>0</v>
      </c>
      <c r="AP171" s="773">
        <f t="shared" ca="1" si="249"/>
        <v>0</v>
      </c>
      <c r="AQ171" s="773">
        <f t="shared" ca="1" si="250"/>
        <v>0</v>
      </c>
      <c r="AR171" s="773">
        <f t="shared" ca="1" si="268"/>
        <v>3</v>
      </c>
      <c r="AS171" s="773">
        <f t="shared" ca="1" si="251"/>
        <v>0</v>
      </c>
      <c r="AT171" s="773">
        <f t="shared" ca="1" si="252"/>
        <v>1</v>
      </c>
      <c r="AU171" s="773">
        <f t="shared" ca="1" si="269"/>
        <v>2</v>
      </c>
      <c r="AV171" s="773">
        <f t="shared" ca="1" si="253"/>
        <v>2</v>
      </c>
      <c r="AW171" s="773">
        <f t="shared" ca="1" si="254"/>
        <v>0</v>
      </c>
      <c r="AX171" s="773">
        <f t="shared" ca="1" si="270"/>
        <v>2</v>
      </c>
      <c r="AY171" s="773">
        <f t="shared" ca="1" si="255"/>
        <v>0</v>
      </c>
      <c r="AZ171" s="773">
        <f t="shared" ca="1" si="256"/>
        <v>0</v>
      </c>
      <c r="BA171" s="773">
        <f t="shared" ca="1" si="271"/>
        <v>1</v>
      </c>
      <c r="BB171" s="773">
        <f t="shared" ca="1" si="257"/>
        <v>0</v>
      </c>
      <c r="BC171" s="773">
        <f t="shared" ca="1" si="258"/>
        <v>0</v>
      </c>
      <c r="BD171" s="773">
        <f t="shared" ca="1" si="272"/>
        <v>2</v>
      </c>
      <c r="BE171" s="773">
        <f t="shared" ca="1" si="259"/>
        <v>0</v>
      </c>
      <c r="BF171" s="912" t="str">
        <f t="shared" si="260"/>
        <v>Cô Thần</v>
      </c>
    </row>
    <row r="172" spans="1:58" ht="30">
      <c r="A172" s="855" t="s">
        <v>9297</v>
      </c>
      <c r="B172" s="855" t="s">
        <v>9297</v>
      </c>
      <c r="C172" s="855" t="s">
        <v>9298</v>
      </c>
      <c r="D172" s="855" t="s">
        <v>9299</v>
      </c>
      <c r="E172" s="855" t="s">
        <v>9300</v>
      </c>
      <c r="F172" s="855" t="s">
        <v>1402</v>
      </c>
      <c r="G172" s="855" t="s">
        <v>9301</v>
      </c>
      <c r="H172" s="855" t="s">
        <v>353</v>
      </c>
      <c r="I172" s="855" t="s">
        <v>1399</v>
      </c>
      <c r="J172" s="855" t="s">
        <v>505</v>
      </c>
      <c r="K172" s="806" t="s">
        <v>7871</v>
      </c>
      <c r="L172" s="855" t="s">
        <v>506</v>
      </c>
      <c r="M172" s="855" t="s">
        <v>507</v>
      </c>
      <c r="O172" s="773">
        <v>28</v>
      </c>
      <c r="P172" s="773" t="s">
        <v>8594</v>
      </c>
      <c r="Q172" s="773" t="str">
        <f ca="1">IF($N$63=1,I$153,I$160)</f>
        <v>Tuất</v>
      </c>
      <c r="R172" s="773">
        <v>5</v>
      </c>
      <c r="S172" s="773" t="e">
        <f t="shared" ca="1" si="276"/>
        <v>#N/A</v>
      </c>
      <c r="V172" s="773">
        <f t="shared" ca="1" si="236"/>
        <v>0</v>
      </c>
      <c r="W172" s="773">
        <f t="shared" ca="1" si="261"/>
        <v>3</v>
      </c>
      <c r="X172" s="773">
        <f t="shared" ca="1" si="237"/>
        <v>0</v>
      </c>
      <c r="Y172" s="773">
        <f t="shared" ca="1" si="238"/>
        <v>0</v>
      </c>
      <c r="Z172" s="773">
        <f t="shared" ca="1" si="262"/>
        <v>3</v>
      </c>
      <c r="AA172" s="773">
        <f t="shared" ca="1" si="239"/>
        <v>0</v>
      </c>
      <c r="AB172" s="773">
        <f t="shared" ca="1" si="240"/>
        <v>0</v>
      </c>
      <c r="AC172" s="773">
        <f t="shared" ca="1" si="263"/>
        <v>1</v>
      </c>
      <c r="AD172" s="773">
        <f t="shared" ca="1" si="241"/>
        <v>0</v>
      </c>
      <c r="AE172" s="773">
        <f t="shared" ca="1" si="242"/>
        <v>0</v>
      </c>
      <c r="AF172" s="773">
        <f t="shared" ca="1" si="264"/>
        <v>1</v>
      </c>
      <c r="AG172" s="773">
        <f t="shared" ca="1" si="243"/>
        <v>0</v>
      </c>
      <c r="AH172" s="773">
        <f t="shared" ca="1" si="244"/>
        <v>1</v>
      </c>
      <c r="AI172" s="773">
        <f t="shared" ca="1" si="265"/>
        <v>1</v>
      </c>
      <c r="AJ172" s="773">
        <f t="shared" ca="1" si="245"/>
        <v>1</v>
      </c>
      <c r="AK172" s="773">
        <f t="shared" ca="1" si="246"/>
        <v>0</v>
      </c>
      <c r="AL172" s="773">
        <f t="shared" ca="1" si="266"/>
        <v>0</v>
      </c>
      <c r="AM172" s="773">
        <f t="shared" ca="1" si="247"/>
        <v>0</v>
      </c>
      <c r="AN172" s="773">
        <f t="shared" ca="1" si="248"/>
        <v>0</v>
      </c>
      <c r="AO172" s="773">
        <f t="shared" ca="1" si="267"/>
        <v>0</v>
      </c>
      <c r="AP172" s="773">
        <f t="shared" ca="1" si="249"/>
        <v>0</v>
      </c>
      <c r="AQ172" s="773">
        <f t="shared" ca="1" si="250"/>
        <v>0</v>
      </c>
      <c r="AR172" s="773">
        <f t="shared" ca="1" si="268"/>
        <v>3</v>
      </c>
      <c r="AS172" s="773">
        <f t="shared" ca="1" si="251"/>
        <v>0</v>
      </c>
      <c r="AT172" s="773">
        <f t="shared" ca="1" si="252"/>
        <v>0</v>
      </c>
      <c r="AU172" s="773">
        <f t="shared" ca="1" si="269"/>
        <v>2</v>
      </c>
      <c r="AV172" s="773">
        <f t="shared" ca="1" si="253"/>
        <v>0</v>
      </c>
      <c r="AW172" s="773">
        <f t="shared" ca="1" si="254"/>
        <v>0</v>
      </c>
      <c r="AX172" s="773">
        <f t="shared" ca="1" si="270"/>
        <v>2</v>
      </c>
      <c r="AY172" s="773">
        <f t="shared" ca="1" si="255"/>
        <v>0</v>
      </c>
      <c r="AZ172" s="773">
        <f t="shared" ca="1" si="256"/>
        <v>0</v>
      </c>
      <c r="BA172" s="773">
        <f t="shared" ca="1" si="271"/>
        <v>1</v>
      </c>
      <c r="BB172" s="773">
        <f t="shared" ca="1" si="257"/>
        <v>0</v>
      </c>
      <c r="BC172" s="773">
        <f t="shared" ca="1" si="258"/>
        <v>0</v>
      </c>
      <c r="BD172" s="773">
        <f t="shared" ca="1" si="272"/>
        <v>2</v>
      </c>
      <c r="BE172" s="773">
        <f t="shared" ca="1" si="259"/>
        <v>0</v>
      </c>
      <c r="BF172" s="912" t="str">
        <f t="shared" si="260"/>
        <v>Quả Tú</v>
      </c>
    </row>
    <row r="173" spans="1:58" ht="15">
      <c r="A173" s="855" t="s">
        <v>9298</v>
      </c>
      <c r="B173" s="855" t="s">
        <v>9298</v>
      </c>
      <c r="C173" s="855" t="s">
        <v>9299</v>
      </c>
      <c r="D173" s="855" t="s">
        <v>9300</v>
      </c>
      <c r="E173" s="855" t="s">
        <v>1402</v>
      </c>
      <c r="F173" s="855" t="s">
        <v>9301</v>
      </c>
      <c r="G173" s="855" t="s">
        <v>353</v>
      </c>
      <c r="H173" s="855" t="s">
        <v>1399</v>
      </c>
      <c r="I173" s="855" t="s">
        <v>505</v>
      </c>
      <c r="J173" s="806" t="s">
        <v>7871</v>
      </c>
      <c r="K173" s="855" t="s">
        <v>506</v>
      </c>
      <c r="L173" s="855" t="s">
        <v>507</v>
      </c>
      <c r="M173" s="855" t="s">
        <v>9297</v>
      </c>
      <c r="O173" s="773">
        <v>29</v>
      </c>
      <c r="P173" s="773" t="s">
        <v>8595</v>
      </c>
      <c r="Q173" s="773" t="str">
        <f ca="1">IF($N$63=1,J$153,J$160)</f>
        <v>Dậu</v>
      </c>
      <c r="R173" s="773">
        <v>3</v>
      </c>
      <c r="S173" s="773" t="e">
        <f t="shared" ca="1" si="276"/>
        <v>#N/A</v>
      </c>
      <c r="V173" s="773">
        <f t="shared" ca="1" si="236"/>
        <v>0</v>
      </c>
      <c r="W173" s="773">
        <f t="shared" ca="1" si="261"/>
        <v>3</v>
      </c>
      <c r="X173" s="773">
        <f t="shared" ca="1" si="237"/>
        <v>0</v>
      </c>
      <c r="Y173" s="773">
        <f t="shared" ca="1" si="238"/>
        <v>0</v>
      </c>
      <c r="Z173" s="773">
        <f t="shared" ca="1" si="262"/>
        <v>3</v>
      </c>
      <c r="AA173" s="773">
        <f t="shared" ca="1" si="239"/>
        <v>0</v>
      </c>
      <c r="AB173" s="773">
        <f t="shared" ca="1" si="240"/>
        <v>0</v>
      </c>
      <c r="AC173" s="773">
        <f t="shared" ca="1" si="263"/>
        <v>1</v>
      </c>
      <c r="AD173" s="773">
        <f t="shared" ca="1" si="241"/>
        <v>0</v>
      </c>
      <c r="AE173" s="773">
        <f t="shared" ca="1" si="242"/>
        <v>0</v>
      </c>
      <c r="AF173" s="773">
        <f t="shared" ca="1" si="264"/>
        <v>1</v>
      </c>
      <c r="AG173" s="773">
        <f t="shared" ca="1" si="243"/>
        <v>0</v>
      </c>
      <c r="AH173" s="773">
        <f t="shared" ca="1" si="244"/>
        <v>0</v>
      </c>
      <c r="AI173" s="773">
        <f t="shared" ca="1" si="265"/>
        <v>1</v>
      </c>
      <c r="AJ173" s="773">
        <f t="shared" ca="1" si="245"/>
        <v>0</v>
      </c>
      <c r="AK173" s="773">
        <f t="shared" ca="1" si="246"/>
        <v>1</v>
      </c>
      <c r="AL173" s="773">
        <f t="shared" ca="1" si="266"/>
        <v>1</v>
      </c>
      <c r="AM173" s="773">
        <f t="shared" ca="1" si="247"/>
        <v>1</v>
      </c>
      <c r="AN173" s="773">
        <f t="shared" ca="1" si="248"/>
        <v>0</v>
      </c>
      <c r="AO173" s="773">
        <f t="shared" ca="1" si="267"/>
        <v>0</v>
      </c>
      <c r="AP173" s="773">
        <f t="shared" ca="1" si="249"/>
        <v>0</v>
      </c>
      <c r="AQ173" s="773">
        <f t="shared" ca="1" si="250"/>
        <v>0</v>
      </c>
      <c r="AR173" s="773">
        <f t="shared" ca="1" si="268"/>
        <v>3</v>
      </c>
      <c r="AS173" s="773">
        <f t="shared" ca="1" si="251"/>
        <v>0</v>
      </c>
      <c r="AT173" s="773">
        <f t="shared" ca="1" si="252"/>
        <v>0</v>
      </c>
      <c r="AU173" s="773">
        <f t="shared" ca="1" si="269"/>
        <v>2</v>
      </c>
      <c r="AV173" s="773">
        <f t="shared" ca="1" si="253"/>
        <v>0</v>
      </c>
      <c r="AW173" s="773">
        <f t="shared" ca="1" si="254"/>
        <v>0</v>
      </c>
      <c r="AX173" s="773">
        <f t="shared" ca="1" si="270"/>
        <v>2</v>
      </c>
      <c r="AY173" s="773">
        <f t="shared" ca="1" si="255"/>
        <v>0</v>
      </c>
      <c r="AZ173" s="773">
        <f t="shared" ca="1" si="256"/>
        <v>0</v>
      </c>
      <c r="BA173" s="773">
        <f t="shared" ca="1" si="271"/>
        <v>1</v>
      </c>
      <c r="BB173" s="773">
        <f t="shared" ca="1" si="257"/>
        <v>0</v>
      </c>
      <c r="BC173" s="773">
        <f t="shared" ca="1" si="258"/>
        <v>0</v>
      </c>
      <c r="BD173" s="773">
        <f t="shared" ca="1" si="272"/>
        <v>2</v>
      </c>
      <c r="BE173" s="773">
        <f t="shared" ca="1" si="259"/>
        <v>0</v>
      </c>
      <c r="BF173" s="912" t="str">
        <f t="shared" si="260"/>
        <v>Phá Toái</v>
      </c>
    </row>
    <row r="174" spans="1:58" ht="30">
      <c r="A174" s="855" t="s">
        <v>9300</v>
      </c>
      <c r="B174" s="855" t="s">
        <v>9300</v>
      </c>
      <c r="C174" s="855" t="s">
        <v>1402</v>
      </c>
      <c r="D174" s="855" t="s">
        <v>9301</v>
      </c>
      <c r="E174" s="855" t="s">
        <v>353</v>
      </c>
      <c r="F174" s="855" t="s">
        <v>1399</v>
      </c>
      <c r="G174" s="855" t="s">
        <v>505</v>
      </c>
      <c r="H174" s="806" t="s">
        <v>7871</v>
      </c>
      <c r="I174" s="855" t="s">
        <v>506</v>
      </c>
      <c r="J174" s="855" t="s">
        <v>507</v>
      </c>
      <c r="K174" s="855" t="s">
        <v>9297</v>
      </c>
      <c r="L174" s="855" t="s">
        <v>9298</v>
      </c>
      <c r="M174" s="855" t="s">
        <v>9299</v>
      </c>
      <c r="O174" s="773">
        <v>30</v>
      </c>
      <c r="P174" s="773" t="s">
        <v>8596</v>
      </c>
      <c r="Q174" s="773" t="str">
        <f ca="1">IF($N$63=1,K$153,K$160)</f>
        <v>Thân</v>
      </c>
      <c r="R174" s="773">
        <v>3</v>
      </c>
      <c r="S174" s="773" t="e">
        <f t="shared" ca="1" si="276"/>
        <v>#N/A</v>
      </c>
      <c r="V174" s="773">
        <f t="shared" ca="1" si="236"/>
        <v>0</v>
      </c>
      <c r="W174" s="773">
        <f t="shared" ca="1" si="261"/>
        <v>3</v>
      </c>
      <c r="X174" s="773">
        <f t="shared" ca="1" si="237"/>
        <v>0</v>
      </c>
      <c r="Y174" s="773">
        <f t="shared" ca="1" si="238"/>
        <v>0</v>
      </c>
      <c r="Z174" s="773">
        <f t="shared" ca="1" si="262"/>
        <v>3</v>
      </c>
      <c r="AA174" s="773">
        <f t="shared" ca="1" si="239"/>
        <v>0</v>
      </c>
      <c r="AB174" s="773">
        <f t="shared" ca="1" si="240"/>
        <v>0</v>
      </c>
      <c r="AC174" s="773">
        <f t="shared" ca="1" si="263"/>
        <v>1</v>
      </c>
      <c r="AD174" s="773">
        <f t="shared" ca="1" si="241"/>
        <v>0</v>
      </c>
      <c r="AE174" s="773">
        <f t="shared" ca="1" si="242"/>
        <v>1</v>
      </c>
      <c r="AF174" s="773">
        <f t="shared" ca="1" si="264"/>
        <v>2</v>
      </c>
      <c r="AG174" s="773">
        <f t="shared" ca="1" si="243"/>
        <v>2</v>
      </c>
      <c r="AH174" s="773">
        <f t="shared" ca="1" si="244"/>
        <v>0</v>
      </c>
      <c r="AI174" s="773">
        <f t="shared" ca="1" si="265"/>
        <v>1</v>
      </c>
      <c r="AJ174" s="773">
        <f t="shared" ca="1" si="245"/>
        <v>0</v>
      </c>
      <c r="AK174" s="773">
        <f t="shared" ca="1" si="246"/>
        <v>0</v>
      </c>
      <c r="AL174" s="773">
        <f t="shared" ca="1" si="266"/>
        <v>1</v>
      </c>
      <c r="AM174" s="773">
        <f t="shared" ca="1" si="247"/>
        <v>0</v>
      </c>
      <c r="AN174" s="773">
        <f t="shared" ca="1" si="248"/>
        <v>0</v>
      </c>
      <c r="AO174" s="773">
        <f t="shared" ca="1" si="267"/>
        <v>0</v>
      </c>
      <c r="AP174" s="773">
        <f t="shared" ca="1" si="249"/>
        <v>0</v>
      </c>
      <c r="AQ174" s="773">
        <f t="shared" ca="1" si="250"/>
        <v>0</v>
      </c>
      <c r="AR174" s="773">
        <f t="shared" ca="1" si="268"/>
        <v>3</v>
      </c>
      <c r="AS174" s="773">
        <f t="shared" ca="1" si="251"/>
        <v>0</v>
      </c>
      <c r="AT174" s="773">
        <f t="shared" ca="1" si="252"/>
        <v>0</v>
      </c>
      <c r="AU174" s="773">
        <f t="shared" ca="1" si="269"/>
        <v>2</v>
      </c>
      <c r="AV174" s="773">
        <f t="shared" ca="1" si="253"/>
        <v>0</v>
      </c>
      <c r="AW174" s="773">
        <f t="shared" ca="1" si="254"/>
        <v>0</v>
      </c>
      <c r="AX174" s="773">
        <f t="shared" ca="1" si="270"/>
        <v>2</v>
      </c>
      <c r="AY174" s="773">
        <f t="shared" ca="1" si="255"/>
        <v>0</v>
      </c>
      <c r="AZ174" s="773">
        <f t="shared" ca="1" si="256"/>
        <v>0</v>
      </c>
      <c r="BA174" s="773">
        <f t="shared" ca="1" si="271"/>
        <v>1</v>
      </c>
      <c r="BB174" s="773">
        <f t="shared" ca="1" si="257"/>
        <v>0</v>
      </c>
      <c r="BC174" s="773">
        <f t="shared" ca="1" si="258"/>
        <v>0</v>
      </c>
      <c r="BD174" s="773">
        <f t="shared" ca="1" si="272"/>
        <v>2</v>
      </c>
      <c r="BE174" s="773">
        <f t="shared" ca="1" si="259"/>
        <v>0</v>
      </c>
      <c r="BF174" s="912" t="str">
        <f t="shared" si="260"/>
        <v>Bệnh Phù</v>
      </c>
    </row>
    <row r="175" spans="1:58" ht="15.75">
      <c r="A175" s="940" t="s">
        <v>7912</v>
      </c>
      <c r="B175" s="855"/>
      <c r="C175" s="855"/>
      <c r="D175" s="855"/>
      <c r="E175" s="855"/>
      <c r="F175" s="855"/>
      <c r="G175" s="855"/>
      <c r="H175" s="855"/>
      <c r="I175" s="855"/>
      <c r="J175" s="855"/>
      <c r="K175" s="855"/>
      <c r="L175" s="855"/>
      <c r="M175" s="855"/>
      <c r="O175" s="773">
        <v>31</v>
      </c>
      <c r="P175" s="773" t="s">
        <v>8597</v>
      </c>
      <c r="Q175" s="773" t="str">
        <f ca="1">IF($N$63=1,L$153,L$160)</f>
        <v>Mùi</v>
      </c>
      <c r="R175" s="773">
        <v>3</v>
      </c>
      <c r="S175" s="773" t="e">
        <f t="shared" ca="1" si="276"/>
        <v>#N/A</v>
      </c>
      <c r="V175" s="773">
        <f t="shared" ca="1" si="236"/>
        <v>0</v>
      </c>
      <c r="W175" s="773">
        <f t="shared" ca="1" si="261"/>
        <v>3</v>
      </c>
      <c r="X175" s="773">
        <f t="shared" ca="1" si="237"/>
        <v>0</v>
      </c>
      <c r="Y175" s="773">
        <f t="shared" ca="1" si="238"/>
        <v>0</v>
      </c>
      <c r="Z175" s="773">
        <f t="shared" ca="1" si="262"/>
        <v>3</v>
      </c>
      <c r="AA175" s="773">
        <f t="shared" ca="1" si="239"/>
        <v>0</v>
      </c>
      <c r="AB175" s="773">
        <f t="shared" ca="1" si="240"/>
        <v>1</v>
      </c>
      <c r="AC175" s="773">
        <f t="shared" ca="1" si="263"/>
        <v>2</v>
      </c>
      <c r="AD175" s="773">
        <f t="shared" ca="1" si="241"/>
        <v>2</v>
      </c>
      <c r="AE175" s="773">
        <f t="shared" ca="1" si="242"/>
        <v>0</v>
      </c>
      <c r="AF175" s="773">
        <f t="shared" ca="1" si="264"/>
        <v>2</v>
      </c>
      <c r="AG175" s="773">
        <f t="shared" ca="1" si="243"/>
        <v>0</v>
      </c>
      <c r="AH175" s="773">
        <f t="shared" ca="1" si="244"/>
        <v>0</v>
      </c>
      <c r="AI175" s="773">
        <f t="shared" ca="1" si="265"/>
        <v>1</v>
      </c>
      <c r="AJ175" s="773">
        <f t="shared" ca="1" si="245"/>
        <v>0</v>
      </c>
      <c r="AK175" s="773">
        <f t="shared" ca="1" si="246"/>
        <v>0</v>
      </c>
      <c r="AL175" s="773">
        <f t="shared" ca="1" si="266"/>
        <v>1</v>
      </c>
      <c r="AM175" s="773">
        <f t="shared" ca="1" si="247"/>
        <v>0</v>
      </c>
      <c r="AN175" s="773">
        <f t="shared" ca="1" si="248"/>
        <v>0</v>
      </c>
      <c r="AO175" s="773">
        <f t="shared" ca="1" si="267"/>
        <v>0</v>
      </c>
      <c r="AP175" s="773">
        <f t="shared" ca="1" si="249"/>
        <v>0</v>
      </c>
      <c r="AQ175" s="773">
        <f t="shared" ca="1" si="250"/>
        <v>0</v>
      </c>
      <c r="AR175" s="773">
        <f t="shared" ca="1" si="268"/>
        <v>3</v>
      </c>
      <c r="AS175" s="773">
        <f t="shared" ca="1" si="251"/>
        <v>0</v>
      </c>
      <c r="AT175" s="773">
        <f t="shared" ca="1" si="252"/>
        <v>0</v>
      </c>
      <c r="AU175" s="773">
        <f t="shared" ca="1" si="269"/>
        <v>2</v>
      </c>
      <c r="AV175" s="773">
        <f t="shared" ca="1" si="253"/>
        <v>0</v>
      </c>
      <c r="AW175" s="773">
        <f t="shared" ca="1" si="254"/>
        <v>0</v>
      </c>
      <c r="AX175" s="773">
        <f t="shared" ca="1" si="270"/>
        <v>2</v>
      </c>
      <c r="AY175" s="773">
        <f t="shared" ca="1" si="255"/>
        <v>0</v>
      </c>
      <c r="AZ175" s="773">
        <f t="shared" ca="1" si="256"/>
        <v>0</v>
      </c>
      <c r="BA175" s="773">
        <f t="shared" ca="1" si="271"/>
        <v>1</v>
      </c>
      <c r="BB175" s="773">
        <f t="shared" ca="1" si="257"/>
        <v>0</v>
      </c>
      <c r="BC175" s="773">
        <f t="shared" ca="1" si="258"/>
        <v>0</v>
      </c>
      <c r="BD175" s="773">
        <f t="shared" ca="1" si="272"/>
        <v>2</v>
      </c>
      <c r="BE175" s="773">
        <f t="shared" ca="1" si="259"/>
        <v>0</v>
      </c>
      <c r="BF175" s="912" t="str">
        <f t="shared" si="260"/>
        <v>Đại Hao</v>
      </c>
    </row>
    <row r="176" spans="1:58" ht="15">
      <c r="A176" s="855" t="s">
        <v>1402</v>
      </c>
      <c r="B176" s="855" t="s">
        <v>1402</v>
      </c>
      <c r="C176" s="855" t="s">
        <v>9300</v>
      </c>
      <c r="D176" s="855" t="s">
        <v>9299</v>
      </c>
      <c r="E176" s="855" t="s">
        <v>9298</v>
      </c>
      <c r="F176" s="855" t="s">
        <v>9297</v>
      </c>
      <c r="G176" s="855" t="s">
        <v>507</v>
      </c>
      <c r="H176" s="855" t="s">
        <v>506</v>
      </c>
      <c r="I176" s="806" t="s">
        <v>7871</v>
      </c>
      <c r="J176" s="855" t="s">
        <v>505</v>
      </c>
      <c r="K176" s="855" t="s">
        <v>1399</v>
      </c>
      <c r="L176" s="855" t="s">
        <v>353</v>
      </c>
      <c r="M176" s="855" t="s">
        <v>9301</v>
      </c>
      <c r="O176" s="773">
        <v>32</v>
      </c>
      <c r="P176" s="773" t="s">
        <v>8598</v>
      </c>
      <c r="Q176" s="773" t="str">
        <f ca="1">G202</f>
        <v>Hợi</v>
      </c>
      <c r="R176" s="773">
        <v>1</v>
      </c>
      <c r="S176" s="773" t="e">
        <f t="shared" ca="1" si="276"/>
        <v>#N/A</v>
      </c>
      <c r="V176" s="773">
        <f t="shared" ca="1" si="236"/>
        <v>0</v>
      </c>
      <c r="W176" s="773">
        <f t="shared" ca="1" si="261"/>
        <v>3</v>
      </c>
      <c r="X176" s="773">
        <f t="shared" ca="1" si="237"/>
        <v>0</v>
      </c>
      <c r="Y176" s="773">
        <f t="shared" ca="1" si="238"/>
        <v>0</v>
      </c>
      <c r="Z176" s="773">
        <f t="shared" ca="1" si="262"/>
        <v>3</v>
      </c>
      <c r="AA176" s="773">
        <f t="shared" ca="1" si="239"/>
        <v>0</v>
      </c>
      <c r="AB176" s="773">
        <f t="shared" ca="1" si="240"/>
        <v>0</v>
      </c>
      <c r="AC176" s="773">
        <f t="shared" ca="1" si="263"/>
        <v>2</v>
      </c>
      <c r="AD176" s="773">
        <f t="shared" ca="1" si="241"/>
        <v>0</v>
      </c>
      <c r="AE176" s="773">
        <f t="shared" ca="1" si="242"/>
        <v>0</v>
      </c>
      <c r="AF176" s="773">
        <f t="shared" ca="1" si="264"/>
        <v>2</v>
      </c>
      <c r="AG176" s="773">
        <f t="shared" ca="1" si="243"/>
        <v>0</v>
      </c>
      <c r="AH176" s="773">
        <f t="shared" ca="1" si="244"/>
        <v>0</v>
      </c>
      <c r="AI176" s="773">
        <f t="shared" ca="1" si="265"/>
        <v>1</v>
      </c>
      <c r="AJ176" s="773">
        <f t="shared" ca="1" si="245"/>
        <v>0</v>
      </c>
      <c r="AK176" s="773">
        <f t="shared" ca="1" si="246"/>
        <v>0</v>
      </c>
      <c r="AL176" s="773">
        <f t="shared" ca="1" si="266"/>
        <v>1</v>
      </c>
      <c r="AM176" s="773">
        <f t="shared" ca="1" si="247"/>
        <v>0</v>
      </c>
      <c r="AN176" s="773">
        <f t="shared" ca="1" si="248"/>
        <v>0</v>
      </c>
      <c r="AO176" s="773">
        <f t="shared" ca="1" si="267"/>
        <v>0</v>
      </c>
      <c r="AP176" s="773">
        <f t="shared" ca="1" si="249"/>
        <v>0</v>
      </c>
      <c r="AQ176" s="773">
        <f t="shared" ca="1" si="250"/>
        <v>0</v>
      </c>
      <c r="AR176" s="773">
        <f t="shared" ca="1" si="268"/>
        <v>3</v>
      </c>
      <c r="AS176" s="773">
        <f t="shared" ca="1" si="251"/>
        <v>0</v>
      </c>
      <c r="AT176" s="773">
        <f t="shared" ca="1" si="252"/>
        <v>1</v>
      </c>
      <c r="AU176" s="773">
        <f t="shared" ca="1" si="269"/>
        <v>3</v>
      </c>
      <c r="AV176" s="773">
        <f t="shared" ca="1" si="253"/>
        <v>3</v>
      </c>
      <c r="AW176" s="773">
        <f t="shared" ca="1" si="254"/>
        <v>0</v>
      </c>
      <c r="AX176" s="773">
        <f t="shared" ca="1" si="270"/>
        <v>2</v>
      </c>
      <c r="AY176" s="773">
        <f t="shared" ca="1" si="255"/>
        <v>0</v>
      </c>
      <c r="AZ176" s="773">
        <f t="shared" ca="1" si="256"/>
        <v>0</v>
      </c>
      <c r="BA176" s="773">
        <f t="shared" ca="1" si="271"/>
        <v>1</v>
      </c>
      <c r="BB176" s="773">
        <f t="shared" ca="1" si="257"/>
        <v>0</v>
      </c>
      <c r="BC176" s="773">
        <f t="shared" ca="1" si="258"/>
        <v>0</v>
      </c>
      <c r="BD176" s="773">
        <f t="shared" ca="1" si="272"/>
        <v>2</v>
      </c>
      <c r="BE176" s="773">
        <f t="shared" ca="1" si="259"/>
        <v>0</v>
      </c>
      <c r="BF176" s="912" t="str">
        <f t="shared" si="260"/>
        <v>Tiểu Hao</v>
      </c>
    </row>
    <row r="177" spans="1:58" ht="15">
      <c r="A177" s="855" t="s">
        <v>353</v>
      </c>
      <c r="B177" s="855" t="s">
        <v>353</v>
      </c>
      <c r="C177" s="855" t="s">
        <v>9301</v>
      </c>
      <c r="D177" s="855" t="s">
        <v>1402</v>
      </c>
      <c r="E177" s="855" t="s">
        <v>9300</v>
      </c>
      <c r="F177" s="855" t="s">
        <v>9299</v>
      </c>
      <c r="G177" s="855" t="s">
        <v>9298</v>
      </c>
      <c r="H177" s="855" t="s">
        <v>9297</v>
      </c>
      <c r="I177" s="855" t="s">
        <v>507</v>
      </c>
      <c r="J177" s="855" t="s">
        <v>506</v>
      </c>
      <c r="K177" s="806" t="s">
        <v>7871</v>
      </c>
      <c r="L177" s="855" t="s">
        <v>505</v>
      </c>
      <c r="M177" s="855" t="s">
        <v>1399</v>
      </c>
      <c r="O177" s="773">
        <v>33</v>
      </c>
      <c r="P177" s="773" t="s">
        <v>8599</v>
      </c>
      <c r="Q177" s="773" t="str">
        <f ca="1">H202</f>
        <v>Tý</v>
      </c>
      <c r="R177" s="773">
        <v>1</v>
      </c>
      <c r="S177" s="773">
        <f t="shared" ref="S177:S183" ca="1" si="277">VLOOKUP(C14,$P$145:$R$187,3,0)</f>
        <v>3</v>
      </c>
      <c r="V177" s="773">
        <f t="shared" ca="1" si="236"/>
        <v>0</v>
      </c>
      <c r="W177" s="773">
        <f t="shared" ca="1" si="261"/>
        <v>3</v>
      </c>
      <c r="X177" s="773">
        <f t="shared" ca="1" si="237"/>
        <v>0</v>
      </c>
      <c r="Y177" s="773">
        <f t="shared" ca="1" si="238"/>
        <v>1</v>
      </c>
      <c r="Z177" s="773">
        <f t="shared" ca="1" si="262"/>
        <v>4</v>
      </c>
      <c r="AA177" s="773">
        <f t="shared" ca="1" si="239"/>
        <v>4</v>
      </c>
      <c r="AB177" s="773">
        <f t="shared" ca="1" si="240"/>
        <v>0</v>
      </c>
      <c r="AC177" s="773">
        <f t="shared" ca="1" si="263"/>
        <v>2</v>
      </c>
      <c r="AD177" s="773">
        <f t="shared" ca="1" si="241"/>
        <v>0</v>
      </c>
      <c r="AE177" s="773">
        <f t="shared" ca="1" si="242"/>
        <v>0</v>
      </c>
      <c r="AF177" s="773">
        <f t="shared" ca="1" si="264"/>
        <v>2</v>
      </c>
      <c r="AG177" s="773">
        <f t="shared" ca="1" si="243"/>
        <v>0</v>
      </c>
      <c r="AH177" s="773">
        <f t="shared" ca="1" si="244"/>
        <v>0</v>
      </c>
      <c r="AI177" s="773">
        <f t="shared" ca="1" si="265"/>
        <v>1</v>
      </c>
      <c r="AJ177" s="773">
        <f t="shared" ca="1" si="245"/>
        <v>0</v>
      </c>
      <c r="AK177" s="773">
        <f t="shared" ca="1" si="246"/>
        <v>0</v>
      </c>
      <c r="AL177" s="773">
        <f t="shared" ca="1" si="266"/>
        <v>1</v>
      </c>
      <c r="AM177" s="773">
        <f t="shared" ca="1" si="247"/>
        <v>0</v>
      </c>
      <c r="AN177" s="773">
        <f t="shared" ca="1" si="248"/>
        <v>0</v>
      </c>
      <c r="AO177" s="773">
        <f t="shared" ca="1" si="267"/>
        <v>0</v>
      </c>
      <c r="AP177" s="773">
        <f t="shared" ca="1" si="249"/>
        <v>0</v>
      </c>
      <c r="AQ177" s="773">
        <f t="shared" ca="1" si="250"/>
        <v>0</v>
      </c>
      <c r="AR177" s="773">
        <f t="shared" ca="1" si="268"/>
        <v>3</v>
      </c>
      <c r="AS177" s="773">
        <f t="shared" ca="1" si="251"/>
        <v>0</v>
      </c>
      <c r="AT177" s="773">
        <f t="shared" ca="1" si="252"/>
        <v>0</v>
      </c>
      <c r="AU177" s="773">
        <f t="shared" ca="1" si="269"/>
        <v>3</v>
      </c>
      <c r="AV177" s="773">
        <f t="shared" ca="1" si="253"/>
        <v>0</v>
      </c>
      <c r="AW177" s="773">
        <f t="shared" ca="1" si="254"/>
        <v>0</v>
      </c>
      <c r="AX177" s="773">
        <f t="shared" ca="1" si="270"/>
        <v>2</v>
      </c>
      <c r="AY177" s="773">
        <f t="shared" ca="1" si="255"/>
        <v>0</v>
      </c>
      <c r="AZ177" s="773">
        <f t="shared" ca="1" si="256"/>
        <v>0</v>
      </c>
      <c r="BA177" s="773">
        <f t="shared" ca="1" si="271"/>
        <v>1</v>
      </c>
      <c r="BB177" s="773">
        <f t="shared" ca="1" si="257"/>
        <v>0</v>
      </c>
      <c r="BC177" s="773">
        <f t="shared" ca="1" si="258"/>
        <v>0</v>
      </c>
      <c r="BD177" s="773">
        <f t="shared" ca="1" si="272"/>
        <v>2</v>
      </c>
      <c r="BE177" s="773">
        <f t="shared" ca="1" si="259"/>
        <v>0</v>
      </c>
      <c r="BF177" s="912" t="str">
        <f t="shared" si="260"/>
        <v>Phục Binh</v>
      </c>
    </row>
    <row r="178" spans="1:58" ht="15">
      <c r="A178" s="855" t="s">
        <v>1399</v>
      </c>
      <c r="B178" s="855" t="s">
        <v>1399</v>
      </c>
      <c r="C178" s="855" t="s">
        <v>353</v>
      </c>
      <c r="D178" s="855" t="s">
        <v>9301</v>
      </c>
      <c r="E178" s="855" t="s">
        <v>1402</v>
      </c>
      <c r="F178" s="855" t="s">
        <v>9300</v>
      </c>
      <c r="G178" s="855" t="s">
        <v>9299</v>
      </c>
      <c r="H178" s="855" t="s">
        <v>9298</v>
      </c>
      <c r="I178" s="855" t="s">
        <v>9297</v>
      </c>
      <c r="J178" s="855" t="s">
        <v>507</v>
      </c>
      <c r="K178" s="855" t="s">
        <v>506</v>
      </c>
      <c r="L178" s="806" t="s">
        <v>7871</v>
      </c>
      <c r="M178" s="855" t="s">
        <v>505</v>
      </c>
      <c r="O178" s="773">
        <v>34</v>
      </c>
      <c r="P178" s="773" t="s">
        <v>8600</v>
      </c>
      <c r="Q178" s="773" t="str">
        <f ca="1">L202</f>
        <v>Thìn</v>
      </c>
      <c r="R178" s="773">
        <v>1</v>
      </c>
      <c r="S178" s="773">
        <f t="shared" ca="1" si="277"/>
        <v>1</v>
      </c>
      <c r="V178" s="773">
        <f t="shared" ca="1" si="236"/>
        <v>1</v>
      </c>
      <c r="W178" s="773">
        <f t="shared" ca="1" si="261"/>
        <v>4</v>
      </c>
      <c r="X178" s="773">
        <f t="shared" ca="1" si="237"/>
        <v>4</v>
      </c>
      <c r="Y178" s="773">
        <f t="shared" ca="1" si="238"/>
        <v>0</v>
      </c>
      <c r="Z178" s="773">
        <f t="shared" ca="1" si="262"/>
        <v>4</v>
      </c>
      <c r="AA178" s="773">
        <f t="shared" ca="1" si="239"/>
        <v>0</v>
      </c>
      <c r="AB178" s="773">
        <f t="shared" ca="1" si="240"/>
        <v>0</v>
      </c>
      <c r="AC178" s="773">
        <f t="shared" ca="1" si="263"/>
        <v>2</v>
      </c>
      <c r="AD178" s="773">
        <f t="shared" ca="1" si="241"/>
        <v>0</v>
      </c>
      <c r="AE178" s="773">
        <f t="shared" ca="1" si="242"/>
        <v>0</v>
      </c>
      <c r="AF178" s="773">
        <f t="shared" ca="1" si="264"/>
        <v>2</v>
      </c>
      <c r="AG178" s="773">
        <f t="shared" ca="1" si="243"/>
        <v>0</v>
      </c>
      <c r="AH178" s="773">
        <f t="shared" ca="1" si="244"/>
        <v>0</v>
      </c>
      <c r="AI178" s="773">
        <f t="shared" ca="1" si="265"/>
        <v>1</v>
      </c>
      <c r="AJ178" s="773">
        <f t="shared" ca="1" si="245"/>
        <v>0</v>
      </c>
      <c r="AK178" s="773">
        <f t="shared" ca="1" si="246"/>
        <v>0</v>
      </c>
      <c r="AL178" s="773">
        <f t="shared" ca="1" si="266"/>
        <v>1</v>
      </c>
      <c r="AM178" s="773">
        <f t="shared" ca="1" si="247"/>
        <v>0</v>
      </c>
      <c r="AN178" s="773">
        <f t="shared" ca="1" si="248"/>
        <v>0</v>
      </c>
      <c r="AO178" s="773">
        <f t="shared" ca="1" si="267"/>
        <v>0</v>
      </c>
      <c r="AP178" s="773">
        <f t="shared" ca="1" si="249"/>
        <v>0</v>
      </c>
      <c r="AQ178" s="773">
        <f t="shared" ca="1" si="250"/>
        <v>0</v>
      </c>
      <c r="AR178" s="773">
        <f t="shared" ca="1" si="268"/>
        <v>3</v>
      </c>
      <c r="AS178" s="773">
        <f t="shared" ca="1" si="251"/>
        <v>0</v>
      </c>
      <c r="AT178" s="773">
        <f t="shared" ca="1" si="252"/>
        <v>0</v>
      </c>
      <c r="AU178" s="773">
        <f t="shared" ca="1" si="269"/>
        <v>3</v>
      </c>
      <c r="AV178" s="773">
        <f t="shared" ca="1" si="253"/>
        <v>0</v>
      </c>
      <c r="AW178" s="773">
        <f t="shared" ca="1" si="254"/>
        <v>0</v>
      </c>
      <c r="AX178" s="773">
        <f t="shared" ca="1" si="270"/>
        <v>2</v>
      </c>
      <c r="AY178" s="773">
        <f t="shared" ca="1" si="255"/>
        <v>0</v>
      </c>
      <c r="AZ178" s="773">
        <f t="shared" ca="1" si="256"/>
        <v>0</v>
      </c>
      <c r="BA178" s="773">
        <f t="shared" ca="1" si="271"/>
        <v>1</v>
      </c>
      <c r="BB178" s="773">
        <f t="shared" ca="1" si="257"/>
        <v>0</v>
      </c>
      <c r="BC178" s="773">
        <f t="shared" ca="1" si="258"/>
        <v>0</v>
      </c>
      <c r="BD178" s="773">
        <f t="shared" ca="1" si="272"/>
        <v>2</v>
      </c>
      <c r="BE178" s="773">
        <f t="shared" ca="1" si="259"/>
        <v>0</v>
      </c>
      <c r="BF178" s="912" t="str">
        <f t="shared" si="260"/>
        <v>Suy</v>
      </c>
    </row>
    <row r="179" spans="1:58" ht="30">
      <c r="A179" s="806" t="s">
        <v>7871</v>
      </c>
      <c r="B179" s="806" t="s">
        <v>7871</v>
      </c>
      <c r="C179" s="855" t="s">
        <v>505</v>
      </c>
      <c r="D179" s="855" t="s">
        <v>1399</v>
      </c>
      <c r="E179" s="855" t="s">
        <v>353</v>
      </c>
      <c r="F179" s="855" t="s">
        <v>9301</v>
      </c>
      <c r="G179" s="855" t="s">
        <v>1402</v>
      </c>
      <c r="H179" s="855" t="s">
        <v>9300</v>
      </c>
      <c r="I179" s="855" t="s">
        <v>9299</v>
      </c>
      <c r="J179" s="855" t="s">
        <v>9298</v>
      </c>
      <c r="K179" s="855" t="s">
        <v>9297</v>
      </c>
      <c r="L179" s="855" t="s">
        <v>507</v>
      </c>
      <c r="M179" s="855" t="s">
        <v>506</v>
      </c>
      <c r="O179" s="773">
        <v>35</v>
      </c>
      <c r="P179" s="773" t="s">
        <v>8601</v>
      </c>
      <c r="Q179" s="773" t="str">
        <f ca="1">M202</f>
        <v>tỵ</v>
      </c>
      <c r="R179" s="773">
        <v>1</v>
      </c>
      <c r="S179" s="773">
        <f t="shared" ca="1" si="277"/>
        <v>3</v>
      </c>
      <c r="V179" s="773">
        <f t="shared" ca="1" si="236"/>
        <v>0</v>
      </c>
      <c r="W179" s="773">
        <f t="shared" ca="1" si="261"/>
        <v>4</v>
      </c>
      <c r="X179" s="773">
        <f t="shared" ca="1" si="237"/>
        <v>0</v>
      </c>
      <c r="Y179" s="773">
        <f t="shared" ca="1" si="238"/>
        <v>0</v>
      </c>
      <c r="Z179" s="773">
        <f t="shared" ca="1" si="262"/>
        <v>4</v>
      </c>
      <c r="AA179" s="773">
        <f t="shared" ca="1" si="239"/>
        <v>0</v>
      </c>
      <c r="AB179" s="773">
        <f t="shared" ca="1" si="240"/>
        <v>0</v>
      </c>
      <c r="AC179" s="773">
        <f t="shared" ca="1" si="263"/>
        <v>2</v>
      </c>
      <c r="AD179" s="773">
        <f t="shared" ca="1" si="241"/>
        <v>0</v>
      </c>
      <c r="AE179" s="773">
        <f t="shared" ca="1" si="242"/>
        <v>0</v>
      </c>
      <c r="AF179" s="773">
        <f t="shared" ca="1" si="264"/>
        <v>2</v>
      </c>
      <c r="AG179" s="773">
        <f t="shared" ca="1" si="243"/>
        <v>0</v>
      </c>
      <c r="AH179" s="773">
        <f t="shared" ca="1" si="244"/>
        <v>0</v>
      </c>
      <c r="AI179" s="773">
        <f t="shared" ca="1" si="265"/>
        <v>1</v>
      </c>
      <c r="AJ179" s="773">
        <f t="shared" ca="1" si="245"/>
        <v>0</v>
      </c>
      <c r="AK179" s="773">
        <f t="shared" ca="1" si="246"/>
        <v>0</v>
      </c>
      <c r="AL179" s="773">
        <f t="shared" ca="1" si="266"/>
        <v>1</v>
      </c>
      <c r="AM179" s="773">
        <f t="shared" ca="1" si="247"/>
        <v>0</v>
      </c>
      <c r="AN179" s="773">
        <f t="shared" ca="1" si="248"/>
        <v>0</v>
      </c>
      <c r="AO179" s="773">
        <f t="shared" ca="1" si="267"/>
        <v>0</v>
      </c>
      <c r="AP179" s="773">
        <f t="shared" ca="1" si="249"/>
        <v>0</v>
      </c>
      <c r="AQ179" s="773">
        <f t="shared" ca="1" si="250"/>
        <v>0</v>
      </c>
      <c r="AR179" s="773">
        <f t="shared" ca="1" si="268"/>
        <v>3</v>
      </c>
      <c r="AS179" s="773">
        <f t="shared" ca="1" si="251"/>
        <v>0</v>
      </c>
      <c r="AT179" s="773">
        <f t="shared" ca="1" si="252"/>
        <v>0</v>
      </c>
      <c r="AU179" s="773">
        <f t="shared" ca="1" si="269"/>
        <v>3</v>
      </c>
      <c r="AV179" s="773">
        <f t="shared" ca="1" si="253"/>
        <v>0</v>
      </c>
      <c r="AW179" s="773">
        <f t="shared" ca="1" si="254"/>
        <v>0</v>
      </c>
      <c r="AX179" s="773">
        <f t="shared" ca="1" si="270"/>
        <v>2</v>
      </c>
      <c r="AY179" s="773">
        <f t="shared" ca="1" si="255"/>
        <v>0</v>
      </c>
      <c r="AZ179" s="773">
        <f t="shared" ca="1" si="256"/>
        <v>0</v>
      </c>
      <c r="BA179" s="773">
        <f t="shared" ca="1" si="271"/>
        <v>1</v>
      </c>
      <c r="BB179" s="773">
        <f t="shared" ca="1" si="257"/>
        <v>0</v>
      </c>
      <c r="BC179" s="773">
        <f t="shared" ca="1" si="258"/>
        <v>1</v>
      </c>
      <c r="BD179" s="773">
        <f t="shared" ca="1" si="272"/>
        <v>3</v>
      </c>
      <c r="BE179" s="773">
        <f t="shared" ca="1" si="259"/>
        <v>3</v>
      </c>
      <c r="BF179" s="912" t="str">
        <f t="shared" si="260"/>
        <v>Bệnh</v>
      </c>
    </row>
    <row r="180" spans="1:58" ht="15">
      <c r="A180" s="855" t="s">
        <v>506</v>
      </c>
      <c r="B180" s="855" t="s">
        <v>506</v>
      </c>
      <c r="C180" s="806" t="s">
        <v>7871</v>
      </c>
      <c r="D180" s="855" t="s">
        <v>505</v>
      </c>
      <c r="E180" s="855" t="s">
        <v>1399</v>
      </c>
      <c r="F180" s="855" t="s">
        <v>353</v>
      </c>
      <c r="G180" s="855" t="s">
        <v>9301</v>
      </c>
      <c r="H180" s="855" t="s">
        <v>1402</v>
      </c>
      <c r="I180" s="855" t="s">
        <v>9300</v>
      </c>
      <c r="J180" s="855" t="s">
        <v>9299</v>
      </c>
      <c r="K180" s="855" t="s">
        <v>9298</v>
      </c>
      <c r="L180" s="855" t="s">
        <v>9297</v>
      </c>
      <c r="M180" s="855" t="s">
        <v>507</v>
      </c>
      <c r="O180" s="773">
        <v>36</v>
      </c>
      <c r="P180" s="773" t="s">
        <v>8602</v>
      </c>
      <c r="Q180" s="773" t="str">
        <f ca="1">F202</f>
        <v>Tuất</v>
      </c>
      <c r="R180" s="773">
        <v>1</v>
      </c>
      <c r="S180" s="773" t="e">
        <f t="shared" ca="1" si="277"/>
        <v>#N/A</v>
      </c>
      <c r="V180" s="773">
        <f t="shared" ca="1" si="236"/>
        <v>0</v>
      </c>
      <c r="W180" s="773">
        <f t="shared" ca="1" si="261"/>
        <v>4</v>
      </c>
      <c r="X180" s="773">
        <f t="shared" ca="1" si="237"/>
        <v>0</v>
      </c>
      <c r="Y180" s="773">
        <f t="shared" ca="1" si="238"/>
        <v>0</v>
      </c>
      <c r="Z180" s="773">
        <f t="shared" ca="1" si="262"/>
        <v>4</v>
      </c>
      <c r="AA180" s="773">
        <f t="shared" ca="1" si="239"/>
        <v>0</v>
      </c>
      <c r="AB180" s="773">
        <f t="shared" ca="1" si="240"/>
        <v>0</v>
      </c>
      <c r="AC180" s="773">
        <f t="shared" ca="1" si="263"/>
        <v>2</v>
      </c>
      <c r="AD180" s="773">
        <f t="shared" ca="1" si="241"/>
        <v>0</v>
      </c>
      <c r="AE180" s="773">
        <f t="shared" ca="1" si="242"/>
        <v>0</v>
      </c>
      <c r="AF180" s="773">
        <f t="shared" ca="1" si="264"/>
        <v>2</v>
      </c>
      <c r="AG180" s="773">
        <f t="shared" ca="1" si="243"/>
        <v>0</v>
      </c>
      <c r="AH180" s="773">
        <f t="shared" ca="1" si="244"/>
        <v>0</v>
      </c>
      <c r="AI180" s="773">
        <f t="shared" ca="1" si="265"/>
        <v>1</v>
      </c>
      <c r="AJ180" s="773">
        <f t="shared" ca="1" si="245"/>
        <v>0</v>
      </c>
      <c r="AK180" s="773">
        <f t="shared" ca="1" si="246"/>
        <v>0</v>
      </c>
      <c r="AL180" s="773">
        <f t="shared" ca="1" si="266"/>
        <v>1</v>
      </c>
      <c r="AM180" s="773">
        <f t="shared" ca="1" si="247"/>
        <v>0</v>
      </c>
      <c r="AN180" s="773">
        <f t="shared" ca="1" si="248"/>
        <v>0</v>
      </c>
      <c r="AO180" s="773">
        <f t="shared" ca="1" si="267"/>
        <v>0</v>
      </c>
      <c r="AP180" s="773">
        <f t="shared" ca="1" si="249"/>
        <v>0</v>
      </c>
      <c r="AQ180" s="773">
        <f t="shared" ca="1" si="250"/>
        <v>0</v>
      </c>
      <c r="AR180" s="773">
        <f t="shared" ca="1" si="268"/>
        <v>3</v>
      </c>
      <c r="AS180" s="773">
        <f t="shared" ca="1" si="251"/>
        <v>0</v>
      </c>
      <c r="AT180" s="773">
        <f t="shared" ca="1" si="252"/>
        <v>0</v>
      </c>
      <c r="AU180" s="773">
        <f t="shared" ca="1" si="269"/>
        <v>3</v>
      </c>
      <c r="AV180" s="773">
        <f t="shared" ca="1" si="253"/>
        <v>0</v>
      </c>
      <c r="AW180" s="773">
        <f t="shared" ca="1" si="254"/>
        <v>0</v>
      </c>
      <c r="AX180" s="773">
        <f t="shared" ca="1" si="270"/>
        <v>2</v>
      </c>
      <c r="AY180" s="773">
        <f t="shared" ca="1" si="255"/>
        <v>0</v>
      </c>
      <c r="AZ180" s="773">
        <f t="shared" ca="1" si="256"/>
        <v>1</v>
      </c>
      <c r="BA180" s="773">
        <f t="shared" ca="1" si="271"/>
        <v>2</v>
      </c>
      <c r="BB180" s="773">
        <f t="shared" ca="1" si="257"/>
        <v>2</v>
      </c>
      <c r="BC180" s="773">
        <f t="shared" ca="1" si="258"/>
        <v>0</v>
      </c>
      <c r="BD180" s="773">
        <f t="shared" ca="1" si="272"/>
        <v>3</v>
      </c>
      <c r="BE180" s="773">
        <f t="shared" ca="1" si="259"/>
        <v>0</v>
      </c>
      <c r="BF180" s="912" t="str">
        <f t="shared" si="260"/>
        <v>Tử</v>
      </c>
    </row>
    <row r="181" spans="1:58" ht="30">
      <c r="A181" s="855" t="s">
        <v>9297</v>
      </c>
      <c r="B181" s="855" t="s">
        <v>9297</v>
      </c>
      <c r="C181" s="855" t="s">
        <v>507</v>
      </c>
      <c r="D181" s="855" t="s">
        <v>506</v>
      </c>
      <c r="E181" s="806" t="s">
        <v>7871</v>
      </c>
      <c r="F181" s="855" t="s">
        <v>505</v>
      </c>
      <c r="G181" s="855" t="s">
        <v>1399</v>
      </c>
      <c r="H181" s="855" t="s">
        <v>353</v>
      </c>
      <c r="I181" s="855" t="s">
        <v>9301</v>
      </c>
      <c r="J181" s="855" t="s">
        <v>1402</v>
      </c>
      <c r="K181" s="855" t="s">
        <v>9300</v>
      </c>
      <c r="L181" s="855" t="s">
        <v>9299</v>
      </c>
      <c r="M181" s="855" t="s">
        <v>9298</v>
      </c>
      <c r="O181" s="773">
        <v>37</v>
      </c>
      <c r="P181" s="773" t="s">
        <v>8603</v>
      </c>
      <c r="Q181" s="773" t="str">
        <f ca="1">IF($N$63=1,M162,M184)</f>
        <v>Tý</v>
      </c>
      <c r="R181" s="773">
        <v>1</v>
      </c>
      <c r="S181" s="773" t="e">
        <f t="shared" ca="1" si="277"/>
        <v>#N/A</v>
      </c>
      <c r="V181" s="773">
        <f t="shared" ca="1" si="236"/>
        <v>0</v>
      </c>
      <c r="W181" s="773">
        <f t="shared" ca="1" si="261"/>
        <v>4</v>
      </c>
      <c r="X181" s="773">
        <f t="shared" ca="1" si="237"/>
        <v>0</v>
      </c>
      <c r="Y181" s="773">
        <f t="shared" ca="1" si="238"/>
        <v>0</v>
      </c>
      <c r="Z181" s="773">
        <f t="shared" ca="1" si="262"/>
        <v>4</v>
      </c>
      <c r="AA181" s="773">
        <f t="shared" ca="1" si="239"/>
        <v>0</v>
      </c>
      <c r="AB181" s="773">
        <f t="shared" ca="1" si="240"/>
        <v>0</v>
      </c>
      <c r="AC181" s="773">
        <f t="shared" ca="1" si="263"/>
        <v>2</v>
      </c>
      <c r="AD181" s="773">
        <f t="shared" ca="1" si="241"/>
        <v>0</v>
      </c>
      <c r="AE181" s="773">
        <f t="shared" ca="1" si="242"/>
        <v>0</v>
      </c>
      <c r="AF181" s="773">
        <f t="shared" ca="1" si="264"/>
        <v>2</v>
      </c>
      <c r="AG181" s="773">
        <f t="shared" ca="1" si="243"/>
        <v>0</v>
      </c>
      <c r="AH181" s="773">
        <f t="shared" ca="1" si="244"/>
        <v>0</v>
      </c>
      <c r="AI181" s="773">
        <f t="shared" ca="1" si="265"/>
        <v>1</v>
      </c>
      <c r="AJ181" s="773">
        <f t="shared" ca="1" si="245"/>
        <v>0</v>
      </c>
      <c r="AK181" s="773">
        <f t="shared" ca="1" si="246"/>
        <v>0</v>
      </c>
      <c r="AL181" s="773">
        <f t="shared" ca="1" si="266"/>
        <v>1</v>
      </c>
      <c r="AM181" s="773">
        <f t="shared" ca="1" si="247"/>
        <v>0</v>
      </c>
      <c r="AN181" s="773">
        <f t="shared" ca="1" si="248"/>
        <v>0</v>
      </c>
      <c r="AO181" s="773">
        <f t="shared" ca="1" si="267"/>
        <v>0</v>
      </c>
      <c r="AP181" s="773">
        <f t="shared" ca="1" si="249"/>
        <v>0</v>
      </c>
      <c r="AQ181" s="773">
        <f t="shared" ca="1" si="250"/>
        <v>0</v>
      </c>
      <c r="AR181" s="773">
        <f t="shared" ca="1" si="268"/>
        <v>3</v>
      </c>
      <c r="AS181" s="773">
        <f t="shared" ca="1" si="251"/>
        <v>0</v>
      </c>
      <c r="AT181" s="773">
        <f t="shared" ca="1" si="252"/>
        <v>0</v>
      </c>
      <c r="AU181" s="773">
        <f t="shared" ca="1" si="269"/>
        <v>3</v>
      </c>
      <c r="AV181" s="773">
        <f t="shared" ca="1" si="253"/>
        <v>0</v>
      </c>
      <c r="AW181" s="773">
        <f t="shared" ca="1" si="254"/>
        <v>1</v>
      </c>
      <c r="AX181" s="773">
        <f t="shared" ca="1" si="270"/>
        <v>3</v>
      </c>
      <c r="AY181" s="773">
        <f t="shared" ca="1" si="255"/>
        <v>3</v>
      </c>
      <c r="AZ181" s="773">
        <f t="shared" ca="1" si="256"/>
        <v>0</v>
      </c>
      <c r="BA181" s="773">
        <f t="shared" ca="1" si="271"/>
        <v>2</v>
      </c>
      <c r="BB181" s="773">
        <f t="shared" ca="1" si="257"/>
        <v>0</v>
      </c>
      <c r="BC181" s="773">
        <f t="shared" ca="1" si="258"/>
        <v>0</v>
      </c>
      <c r="BD181" s="773">
        <f t="shared" ca="1" si="272"/>
        <v>3</v>
      </c>
      <c r="BE181" s="773">
        <f t="shared" ca="1" si="259"/>
        <v>0</v>
      </c>
      <c r="BF181" s="912" t="str">
        <f t="shared" si="260"/>
        <v>Mộ</v>
      </c>
    </row>
    <row r="182" spans="1:58" ht="15">
      <c r="A182" s="855" t="s">
        <v>9298</v>
      </c>
      <c r="B182" s="855" t="s">
        <v>9298</v>
      </c>
      <c r="C182" s="855" t="s">
        <v>9297</v>
      </c>
      <c r="D182" s="855" t="s">
        <v>507</v>
      </c>
      <c r="E182" s="855" t="s">
        <v>506</v>
      </c>
      <c r="F182" s="806" t="s">
        <v>7871</v>
      </c>
      <c r="G182" s="855" t="s">
        <v>505</v>
      </c>
      <c r="H182" s="855" t="s">
        <v>1399</v>
      </c>
      <c r="I182" s="855" t="s">
        <v>353</v>
      </c>
      <c r="J182" s="855" t="s">
        <v>9301</v>
      </c>
      <c r="K182" s="855" t="s">
        <v>1402</v>
      </c>
      <c r="L182" s="855" t="s">
        <v>9300</v>
      </c>
      <c r="M182" s="855" t="s">
        <v>9299</v>
      </c>
      <c r="O182" s="773">
        <v>38</v>
      </c>
      <c r="P182" s="773" t="s">
        <v>8604</v>
      </c>
      <c r="Q182" s="773" t="str">
        <f ca="1">B202</f>
        <v>Ngọ</v>
      </c>
      <c r="R182" s="773">
        <v>1</v>
      </c>
      <c r="S182" s="773" t="e">
        <f t="shared" ca="1" si="277"/>
        <v>#N/A</v>
      </c>
      <c r="V182" s="773">
        <f t="shared" ca="1" si="236"/>
        <v>0</v>
      </c>
      <c r="W182" s="773">
        <f t="shared" ca="1" si="261"/>
        <v>4</v>
      </c>
      <c r="X182" s="773">
        <f t="shared" ca="1" si="237"/>
        <v>0</v>
      </c>
      <c r="Y182" s="773">
        <f t="shared" ca="1" si="238"/>
        <v>0</v>
      </c>
      <c r="Z182" s="773">
        <f t="shared" ca="1" si="262"/>
        <v>4</v>
      </c>
      <c r="AA182" s="773">
        <f t="shared" ca="1" si="239"/>
        <v>0</v>
      </c>
      <c r="AB182" s="773">
        <f t="shared" ca="1" si="240"/>
        <v>0</v>
      </c>
      <c r="AC182" s="773">
        <f t="shared" ca="1" si="263"/>
        <v>2</v>
      </c>
      <c r="AD182" s="773">
        <f t="shared" ca="1" si="241"/>
        <v>0</v>
      </c>
      <c r="AE182" s="773">
        <f t="shared" ca="1" si="242"/>
        <v>0</v>
      </c>
      <c r="AF182" s="773">
        <f t="shared" ca="1" si="264"/>
        <v>2</v>
      </c>
      <c r="AG182" s="773">
        <f t="shared" ca="1" si="243"/>
        <v>0</v>
      </c>
      <c r="AH182" s="773">
        <f t="shared" ca="1" si="244"/>
        <v>0</v>
      </c>
      <c r="AI182" s="773">
        <f t="shared" ca="1" si="265"/>
        <v>1</v>
      </c>
      <c r="AJ182" s="773">
        <f t="shared" ca="1" si="245"/>
        <v>0</v>
      </c>
      <c r="AK182" s="773">
        <f t="shared" ca="1" si="246"/>
        <v>0</v>
      </c>
      <c r="AL182" s="773">
        <f t="shared" ca="1" si="266"/>
        <v>1</v>
      </c>
      <c r="AM182" s="773">
        <f t="shared" ca="1" si="247"/>
        <v>0</v>
      </c>
      <c r="AN182" s="773">
        <f t="shared" ca="1" si="248"/>
        <v>0</v>
      </c>
      <c r="AO182" s="773">
        <f t="shared" ca="1" si="267"/>
        <v>0</v>
      </c>
      <c r="AP182" s="773">
        <f t="shared" ca="1" si="249"/>
        <v>0</v>
      </c>
      <c r="AQ182" s="773">
        <f t="shared" ca="1" si="250"/>
        <v>0</v>
      </c>
      <c r="AR182" s="773">
        <f t="shared" ca="1" si="268"/>
        <v>3</v>
      </c>
      <c r="AS182" s="773">
        <f t="shared" ca="1" si="251"/>
        <v>0</v>
      </c>
      <c r="AT182" s="773">
        <f t="shared" ca="1" si="252"/>
        <v>1</v>
      </c>
      <c r="AU182" s="773">
        <f t="shared" ca="1" si="269"/>
        <v>4</v>
      </c>
      <c r="AV182" s="773">
        <f t="shared" ca="1" si="253"/>
        <v>4</v>
      </c>
      <c r="AW182" s="773">
        <f t="shared" ca="1" si="254"/>
        <v>0</v>
      </c>
      <c r="AX182" s="773">
        <f t="shared" ca="1" si="270"/>
        <v>3</v>
      </c>
      <c r="AY182" s="773">
        <f t="shared" ca="1" si="255"/>
        <v>0</v>
      </c>
      <c r="AZ182" s="773">
        <f t="shared" ca="1" si="256"/>
        <v>0</v>
      </c>
      <c r="BA182" s="773">
        <f t="shared" ca="1" si="271"/>
        <v>2</v>
      </c>
      <c r="BB182" s="773">
        <f t="shared" ca="1" si="257"/>
        <v>0</v>
      </c>
      <c r="BC182" s="773">
        <f t="shared" ca="1" si="258"/>
        <v>0</v>
      </c>
      <c r="BD182" s="773">
        <f t="shared" ca="1" si="272"/>
        <v>3</v>
      </c>
      <c r="BE182" s="773">
        <f t="shared" ca="1" si="259"/>
        <v>0</v>
      </c>
      <c r="BF182" s="912" t="str">
        <f t="shared" si="260"/>
        <v>Tuyệt</v>
      </c>
    </row>
    <row r="183" spans="1:58" ht="15">
      <c r="A183" s="855" t="s">
        <v>9300</v>
      </c>
      <c r="B183" s="855" t="s">
        <v>9300</v>
      </c>
      <c r="C183" s="855" t="s">
        <v>9299</v>
      </c>
      <c r="D183" s="855" t="s">
        <v>9298</v>
      </c>
      <c r="E183" s="855" t="s">
        <v>9297</v>
      </c>
      <c r="F183" s="855" t="s">
        <v>507</v>
      </c>
      <c r="G183" s="855" t="s">
        <v>506</v>
      </c>
      <c r="H183" s="806" t="s">
        <v>7871</v>
      </c>
      <c r="I183" s="855" t="s">
        <v>505</v>
      </c>
      <c r="J183" s="855" t="s">
        <v>1399</v>
      </c>
      <c r="K183" s="855" t="s">
        <v>353</v>
      </c>
      <c r="L183" s="855" t="s">
        <v>9301</v>
      </c>
      <c r="M183" s="855" t="s">
        <v>1402</v>
      </c>
      <c r="O183" s="773">
        <v>39</v>
      </c>
      <c r="P183" s="773" t="s">
        <v>8605</v>
      </c>
      <c r="Q183" s="773" t="str">
        <f ca="1">L102</f>
        <v>mão</v>
      </c>
      <c r="R183" s="773">
        <v>3</v>
      </c>
      <c r="S183" s="773" t="e">
        <f t="shared" ca="1" si="277"/>
        <v>#N/A</v>
      </c>
      <c r="V183" s="773">
        <f t="shared" ca="1" si="236"/>
        <v>0</v>
      </c>
      <c r="W183" s="773">
        <f t="shared" ca="1" si="261"/>
        <v>4</v>
      </c>
      <c r="X183" s="773">
        <f t="shared" ca="1" si="237"/>
        <v>0</v>
      </c>
      <c r="Y183" s="773">
        <f t="shared" ca="1" si="238"/>
        <v>0</v>
      </c>
      <c r="Z183" s="773">
        <f t="shared" ca="1" si="262"/>
        <v>4</v>
      </c>
      <c r="AA183" s="773">
        <f t="shared" ca="1" si="239"/>
        <v>0</v>
      </c>
      <c r="AB183" s="773">
        <f t="shared" ca="1" si="240"/>
        <v>0</v>
      </c>
      <c r="AC183" s="773">
        <f t="shared" ca="1" si="263"/>
        <v>2</v>
      </c>
      <c r="AD183" s="773">
        <f t="shared" ca="1" si="241"/>
        <v>0</v>
      </c>
      <c r="AE183" s="773">
        <f t="shared" ca="1" si="242"/>
        <v>0</v>
      </c>
      <c r="AF183" s="773">
        <f t="shared" ca="1" si="264"/>
        <v>2</v>
      </c>
      <c r="AG183" s="773">
        <f t="shared" ca="1" si="243"/>
        <v>0</v>
      </c>
      <c r="AH183" s="773">
        <f t="shared" ca="1" si="244"/>
        <v>0</v>
      </c>
      <c r="AI183" s="773">
        <f t="shared" ca="1" si="265"/>
        <v>1</v>
      </c>
      <c r="AJ183" s="773">
        <f t="shared" ca="1" si="245"/>
        <v>0</v>
      </c>
      <c r="AK183" s="773">
        <f t="shared" ca="1" si="246"/>
        <v>0</v>
      </c>
      <c r="AL183" s="773">
        <f t="shared" ca="1" si="266"/>
        <v>1</v>
      </c>
      <c r="AM183" s="773">
        <f t="shared" ca="1" si="247"/>
        <v>0</v>
      </c>
      <c r="AN183" s="773">
        <f t="shared" ca="1" si="248"/>
        <v>0</v>
      </c>
      <c r="AO183" s="773">
        <f t="shared" ca="1" si="267"/>
        <v>0</v>
      </c>
      <c r="AP183" s="773">
        <f t="shared" ca="1" si="249"/>
        <v>0</v>
      </c>
      <c r="AQ183" s="773">
        <f t="shared" ca="1" si="250"/>
        <v>1</v>
      </c>
      <c r="AR183" s="773">
        <f t="shared" ca="1" si="268"/>
        <v>4</v>
      </c>
      <c r="AS183" s="773">
        <f t="shared" ca="1" si="251"/>
        <v>4</v>
      </c>
      <c r="AT183" s="773">
        <f t="shared" ca="1" si="252"/>
        <v>0</v>
      </c>
      <c r="AU183" s="773">
        <f t="shared" ca="1" si="269"/>
        <v>4</v>
      </c>
      <c r="AV183" s="773">
        <f t="shared" ca="1" si="253"/>
        <v>0</v>
      </c>
      <c r="AW183" s="773">
        <f t="shared" ca="1" si="254"/>
        <v>0</v>
      </c>
      <c r="AX183" s="773">
        <f t="shared" ca="1" si="270"/>
        <v>3</v>
      </c>
      <c r="AY183" s="773">
        <f t="shared" ca="1" si="255"/>
        <v>0</v>
      </c>
      <c r="AZ183" s="773">
        <f t="shared" ca="1" si="256"/>
        <v>0</v>
      </c>
      <c r="BA183" s="773">
        <f t="shared" ca="1" si="271"/>
        <v>2</v>
      </c>
      <c r="BB183" s="773">
        <f t="shared" ca="1" si="257"/>
        <v>0</v>
      </c>
      <c r="BC183" s="773">
        <f t="shared" ca="1" si="258"/>
        <v>0</v>
      </c>
      <c r="BD183" s="773">
        <f t="shared" ca="1" si="272"/>
        <v>3</v>
      </c>
      <c r="BE183" s="773">
        <f t="shared" ca="1" si="259"/>
        <v>0</v>
      </c>
      <c r="BF183" s="912" t="str">
        <f t="shared" si="260"/>
        <v>Thai</v>
      </c>
    </row>
    <row r="184" spans="1:58">
      <c r="A184" s="941"/>
      <c r="B184" s="912" t="str">
        <f t="shared" ref="B184:M184" ca="1" si="278">VLOOKUP($B$124,$A$176:$M$183,B123,0)</f>
        <v>Hợi</v>
      </c>
      <c r="C184" s="912" t="str">
        <f t="shared" ca="1" si="278"/>
        <v>Tuất</v>
      </c>
      <c r="D184" s="912" t="str">
        <f t="shared" ca="1" si="278"/>
        <v>Dậu</v>
      </c>
      <c r="E184" s="912" t="str">
        <f t="shared" ca="1" si="278"/>
        <v>Thân</v>
      </c>
      <c r="F184" s="912" t="str">
        <f t="shared" ca="1" si="278"/>
        <v>Mùi</v>
      </c>
      <c r="G184" s="912" t="str">
        <f t="shared" ca="1" si="278"/>
        <v>Ngọ</v>
      </c>
      <c r="H184" s="912" t="str">
        <f t="shared" ca="1" si="278"/>
        <v>tỵ</v>
      </c>
      <c r="I184" s="912" t="str">
        <f t="shared" ca="1" si="278"/>
        <v>Thìn</v>
      </c>
      <c r="J184" s="912" t="str">
        <f t="shared" ca="1" si="278"/>
        <v>Mão</v>
      </c>
      <c r="K184" s="912" t="str">
        <f t="shared" ca="1" si="278"/>
        <v>Dần</v>
      </c>
      <c r="L184" s="912" t="str">
        <f t="shared" ca="1" si="278"/>
        <v>Sửu</v>
      </c>
      <c r="M184" s="912" t="str">
        <f t="shared" ca="1" si="278"/>
        <v>Tý</v>
      </c>
      <c r="O184" s="773">
        <v>40</v>
      </c>
      <c r="P184" s="773" t="s">
        <v>8606</v>
      </c>
      <c r="Q184" s="773" t="str">
        <f ca="1">L103</f>
        <v>tỵ</v>
      </c>
      <c r="R184" s="773">
        <v>5</v>
      </c>
      <c r="S184" s="773" t="e">
        <f ca="1">VLOOKUP(B20,$P$145:$R$187,3,0)</f>
        <v>#N/A</v>
      </c>
      <c r="V184" s="773">
        <f t="shared" ca="1" si="236"/>
        <v>0</v>
      </c>
      <c r="W184" s="773">
        <f t="shared" ca="1" si="261"/>
        <v>4</v>
      </c>
      <c r="X184" s="773">
        <f t="shared" ca="1" si="237"/>
        <v>0</v>
      </c>
      <c r="Y184" s="773">
        <f t="shared" ca="1" si="238"/>
        <v>0</v>
      </c>
      <c r="Z184" s="773">
        <f t="shared" ca="1" si="262"/>
        <v>4</v>
      </c>
      <c r="AA184" s="773">
        <f t="shared" ca="1" si="239"/>
        <v>0</v>
      </c>
      <c r="AB184" s="773">
        <f t="shared" ca="1" si="240"/>
        <v>0</v>
      </c>
      <c r="AC184" s="773">
        <f t="shared" ca="1" si="263"/>
        <v>2</v>
      </c>
      <c r="AD184" s="773">
        <f t="shared" ca="1" si="241"/>
        <v>0</v>
      </c>
      <c r="AE184" s="773">
        <f t="shared" ca="1" si="242"/>
        <v>0</v>
      </c>
      <c r="AF184" s="773">
        <f t="shared" ca="1" si="264"/>
        <v>2</v>
      </c>
      <c r="AG184" s="773">
        <f t="shared" ca="1" si="243"/>
        <v>0</v>
      </c>
      <c r="AH184" s="773">
        <f t="shared" ca="1" si="244"/>
        <v>0</v>
      </c>
      <c r="AI184" s="773">
        <f t="shared" ca="1" si="265"/>
        <v>1</v>
      </c>
      <c r="AJ184" s="773">
        <f t="shared" ca="1" si="245"/>
        <v>0</v>
      </c>
      <c r="AK184" s="773">
        <f t="shared" ca="1" si="246"/>
        <v>0</v>
      </c>
      <c r="AL184" s="773">
        <f t="shared" ca="1" si="266"/>
        <v>1</v>
      </c>
      <c r="AM184" s="773">
        <f t="shared" ca="1" si="247"/>
        <v>0</v>
      </c>
      <c r="AN184" s="773">
        <f t="shared" ca="1" si="248"/>
        <v>0</v>
      </c>
      <c r="AO184" s="773">
        <f t="shared" ca="1" si="267"/>
        <v>0</v>
      </c>
      <c r="AP184" s="773">
        <f t="shared" ca="1" si="249"/>
        <v>0</v>
      </c>
      <c r="AQ184" s="773">
        <f t="shared" ca="1" si="250"/>
        <v>0</v>
      </c>
      <c r="AR184" s="773">
        <f t="shared" ca="1" si="268"/>
        <v>4</v>
      </c>
      <c r="AS184" s="773">
        <f t="shared" ca="1" si="251"/>
        <v>0</v>
      </c>
      <c r="AT184" s="773">
        <f t="shared" ca="1" si="252"/>
        <v>0</v>
      </c>
      <c r="AU184" s="773">
        <f t="shared" ca="1" si="269"/>
        <v>4</v>
      </c>
      <c r="AV184" s="773">
        <f t="shared" ca="1" si="253"/>
        <v>0</v>
      </c>
      <c r="AW184" s="773">
        <f t="shared" ca="1" si="254"/>
        <v>0</v>
      </c>
      <c r="AX184" s="773">
        <f t="shared" ca="1" si="270"/>
        <v>3</v>
      </c>
      <c r="AY184" s="773">
        <f t="shared" ca="1" si="255"/>
        <v>0</v>
      </c>
      <c r="AZ184" s="773">
        <f t="shared" ca="1" si="256"/>
        <v>0</v>
      </c>
      <c r="BA184" s="773">
        <f t="shared" ca="1" si="271"/>
        <v>2</v>
      </c>
      <c r="BB184" s="773">
        <f t="shared" ca="1" si="257"/>
        <v>0</v>
      </c>
      <c r="BC184" s="773">
        <f t="shared" ca="1" si="258"/>
        <v>1</v>
      </c>
      <c r="BD184" s="773">
        <f t="shared" ca="1" si="272"/>
        <v>4</v>
      </c>
      <c r="BE184" s="773">
        <f t="shared" ca="1" si="259"/>
        <v>4</v>
      </c>
      <c r="BF184" s="912" t="str">
        <f t="shared" si="260"/>
        <v>Tử Phù</v>
      </c>
    </row>
    <row r="185" spans="1:58">
      <c r="A185" s="806"/>
      <c r="O185" s="773">
        <v>41</v>
      </c>
      <c r="P185" s="773" t="s">
        <v>6593</v>
      </c>
      <c r="Q185" s="773" t="s">
        <v>7872</v>
      </c>
      <c r="R185" s="773">
        <v>3</v>
      </c>
      <c r="S185" s="773" t="e">
        <f t="shared" ref="S185:S192" ca="1" si="279">VLOOKUP(C3,$P$145:$R$187,3,0)</f>
        <v>#N/A</v>
      </c>
      <c r="V185" s="773">
        <f t="shared" ca="1" si="236"/>
        <v>1</v>
      </c>
      <c r="W185" s="773">
        <f t="shared" ca="1" si="261"/>
        <v>5</v>
      </c>
      <c r="X185" s="773">
        <f t="shared" ca="1" si="237"/>
        <v>5</v>
      </c>
      <c r="Y185" s="773">
        <f t="shared" ca="1" si="238"/>
        <v>0</v>
      </c>
      <c r="Z185" s="773">
        <f t="shared" ca="1" si="262"/>
        <v>4</v>
      </c>
      <c r="AA185" s="773">
        <f t="shared" ca="1" si="239"/>
        <v>0</v>
      </c>
      <c r="AB185" s="773">
        <f t="shared" ca="1" si="240"/>
        <v>0</v>
      </c>
      <c r="AC185" s="773">
        <f t="shared" ca="1" si="263"/>
        <v>2</v>
      </c>
      <c r="AD185" s="773">
        <f t="shared" ca="1" si="241"/>
        <v>0</v>
      </c>
      <c r="AE185" s="773">
        <f t="shared" ca="1" si="242"/>
        <v>0</v>
      </c>
      <c r="AF185" s="773">
        <f t="shared" ca="1" si="264"/>
        <v>2</v>
      </c>
      <c r="AG185" s="773">
        <f t="shared" ca="1" si="243"/>
        <v>0</v>
      </c>
      <c r="AH185" s="773">
        <f t="shared" ca="1" si="244"/>
        <v>0</v>
      </c>
      <c r="AI185" s="773">
        <f t="shared" ca="1" si="265"/>
        <v>1</v>
      </c>
      <c r="AJ185" s="773">
        <f t="shared" ca="1" si="245"/>
        <v>0</v>
      </c>
      <c r="AK185" s="773">
        <f t="shared" ca="1" si="246"/>
        <v>0</v>
      </c>
      <c r="AL185" s="773">
        <f t="shared" ca="1" si="266"/>
        <v>1</v>
      </c>
      <c r="AM185" s="773">
        <f t="shared" ca="1" si="247"/>
        <v>0</v>
      </c>
      <c r="AN185" s="773">
        <f t="shared" ca="1" si="248"/>
        <v>0</v>
      </c>
      <c r="AO185" s="773">
        <f t="shared" ca="1" si="267"/>
        <v>0</v>
      </c>
      <c r="AP185" s="773">
        <f t="shared" ca="1" si="249"/>
        <v>0</v>
      </c>
      <c r="AQ185" s="773">
        <f t="shared" ca="1" si="250"/>
        <v>0</v>
      </c>
      <c r="AR185" s="773">
        <f t="shared" ca="1" si="268"/>
        <v>4</v>
      </c>
      <c r="AS185" s="773">
        <f t="shared" ca="1" si="251"/>
        <v>0</v>
      </c>
      <c r="AT185" s="773">
        <f t="shared" ca="1" si="252"/>
        <v>0</v>
      </c>
      <c r="AU185" s="773">
        <f t="shared" ca="1" si="269"/>
        <v>4</v>
      </c>
      <c r="AV185" s="773">
        <f t="shared" ca="1" si="253"/>
        <v>0</v>
      </c>
      <c r="AW185" s="773">
        <f t="shared" ca="1" si="254"/>
        <v>0</v>
      </c>
      <c r="AX185" s="773">
        <f t="shared" ca="1" si="270"/>
        <v>3</v>
      </c>
      <c r="AY185" s="773">
        <f t="shared" ca="1" si="255"/>
        <v>0</v>
      </c>
      <c r="AZ185" s="773">
        <f t="shared" ca="1" si="256"/>
        <v>0</v>
      </c>
      <c r="BA185" s="773">
        <f t="shared" ca="1" si="271"/>
        <v>2</v>
      </c>
      <c r="BB185" s="773">
        <f t="shared" ca="1" si="257"/>
        <v>0</v>
      </c>
      <c r="BC185" s="773">
        <f t="shared" ca="1" si="258"/>
        <v>0</v>
      </c>
      <c r="BD185" s="773">
        <f t="shared" ca="1" si="272"/>
        <v>4</v>
      </c>
      <c r="BE185" s="773">
        <f t="shared" ca="1" si="259"/>
        <v>0</v>
      </c>
      <c r="BF185" s="912" t="str">
        <f t="shared" si="260"/>
        <v>Tuế Phá</v>
      </c>
    </row>
    <row r="186" spans="1:58">
      <c r="A186" s="934" t="s">
        <v>8607</v>
      </c>
      <c r="O186" s="773">
        <v>42</v>
      </c>
      <c r="P186" s="773" t="s">
        <v>8608</v>
      </c>
      <c r="Q186" s="773" t="s">
        <v>7880</v>
      </c>
      <c r="R186" s="773">
        <v>3</v>
      </c>
      <c r="S186" s="773">
        <f t="shared" ca="1" si="279"/>
        <v>1</v>
      </c>
      <c r="V186" s="773">
        <f t="shared" ca="1" si="236"/>
        <v>0</v>
      </c>
      <c r="W186" s="773">
        <f t="shared" ca="1" si="261"/>
        <v>5</v>
      </c>
      <c r="X186" s="773">
        <f t="shared" ca="1" si="237"/>
        <v>0</v>
      </c>
      <c r="Y186" s="773">
        <f t="shared" ca="1" si="238"/>
        <v>0</v>
      </c>
      <c r="Z186" s="773">
        <f t="shared" ca="1" si="262"/>
        <v>4</v>
      </c>
      <c r="AA186" s="773">
        <f t="shared" ca="1" si="239"/>
        <v>0</v>
      </c>
      <c r="AB186" s="773">
        <f t="shared" ca="1" si="240"/>
        <v>0</v>
      </c>
      <c r="AC186" s="773">
        <f t="shared" ca="1" si="263"/>
        <v>2</v>
      </c>
      <c r="AD186" s="773">
        <f t="shared" ca="1" si="241"/>
        <v>0</v>
      </c>
      <c r="AE186" s="773">
        <f t="shared" ca="1" si="242"/>
        <v>0</v>
      </c>
      <c r="AF186" s="773">
        <f t="shared" ca="1" si="264"/>
        <v>2</v>
      </c>
      <c r="AG186" s="773">
        <f t="shared" ca="1" si="243"/>
        <v>0</v>
      </c>
      <c r="AH186" s="773">
        <f t="shared" ca="1" si="244"/>
        <v>1</v>
      </c>
      <c r="AI186" s="773">
        <f t="shared" ca="1" si="265"/>
        <v>2</v>
      </c>
      <c r="AJ186" s="773">
        <f t="shared" ca="1" si="245"/>
        <v>2</v>
      </c>
      <c r="AK186" s="773">
        <f t="shared" ca="1" si="246"/>
        <v>0</v>
      </c>
      <c r="AL186" s="773">
        <f t="shared" ca="1" si="266"/>
        <v>1</v>
      </c>
      <c r="AM186" s="773">
        <f t="shared" ca="1" si="247"/>
        <v>0</v>
      </c>
      <c r="AN186" s="773">
        <f t="shared" ca="1" si="248"/>
        <v>0</v>
      </c>
      <c r="AO186" s="773">
        <f t="shared" ca="1" si="267"/>
        <v>0</v>
      </c>
      <c r="AP186" s="773">
        <f t="shared" ca="1" si="249"/>
        <v>0</v>
      </c>
      <c r="AQ186" s="773">
        <f t="shared" ca="1" si="250"/>
        <v>0</v>
      </c>
      <c r="AR186" s="773">
        <f t="shared" ca="1" si="268"/>
        <v>4</v>
      </c>
      <c r="AS186" s="773">
        <f t="shared" ca="1" si="251"/>
        <v>0</v>
      </c>
      <c r="AT186" s="773">
        <f t="shared" ca="1" si="252"/>
        <v>0</v>
      </c>
      <c r="AU186" s="773">
        <f t="shared" ca="1" si="269"/>
        <v>4</v>
      </c>
      <c r="AV186" s="773">
        <f t="shared" ca="1" si="253"/>
        <v>0</v>
      </c>
      <c r="AW186" s="773">
        <f t="shared" ca="1" si="254"/>
        <v>0</v>
      </c>
      <c r="AX186" s="773">
        <f t="shared" ca="1" si="270"/>
        <v>3</v>
      </c>
      <c r="AY186" s="773">
        <f t="shared" ca="1" si="255"/>
        <v>0</v>
      </c>
      <c r="AZ186" s="773">
        <f t="shared" ca="1" si="256"/>
        <v>0</v>
      </c>
      <c r="BA186" s="773">
        <f t="shared" ca="1" si="271"/>
        <v>2</v>
      </c>
      <c r="BB186" s="773">
        <f t="shared" ca="1" si="257"/>
        <v>0</v>
      </c>
      <c r="BC186" s="773">
        <f t="shared" ca="1" si="258"/>
        <v>0</v>
      </c>
      <c r="BD186" s="773">
        <f t="shared" ca="1" si="272"/>
        <v>4</v>
      </c>
      <c r="BE186" s="773">
        <f t="shared" ca="1" si="259"/>
        <v>0</v>
      </c>
      <c r="BF186" s="912" t="str">
        <f t="shared" si="260"/>
        <v>Điếu Khách</v>
      </c>
    </row>
    <row r="187" spans="1:58" ht="30">
      <c r="A187" s="855" t="s">
        <v>459</v>
      </c>
      <c r="B187" s="855" t="s">
        <v>5944</v>
      </c>
      <c r="C187" s="855" t="s">
        <v>8609</v>
      </c>
      <c r="D187" s="855" t="s">
        <v>8610</v>
      </c>
      <c r="E187" s="855" t="s">
        <v>8609</v>
      </c>
      <c r="F187" s="855" t="s">
        <v>9333</v>
      </c>
      <c r="G187" s="855" t="s">
        <v>6657</v>
      </c>
      <c r="H187" s="855" t="s">
        <v>8611</v>
      </c>
      <c r="I187" s="855" t="s">
        <v>8526</v>
      </c>
      <c r="J187" s="855" t="s">
        <v>8612</v>
      </c>
      <c r="K187" s="855" t="s">
        <v>8507</v>
      </c>
      <c r="L187" s="855" t="s">
        <v>8613</v>
      </c>
      <c r="M187" s="855" t="s">
        <v>8614</v>
      </c>
      <c r="O187" s="773">
        <v>43</v>
      </c>
      <c r="P187" s="773" t="s">
        <v>8615</v>
      </c>
      <c r="Q187" s="773" t="str">
        <f ca="1">K105</f>
        <v>tuất</v>
      </c>
      <c r="R187" s="773">
        <v>1</v>
      </c>
      <c r="S187" s="773">
        <f t="shared" ca="1" si="279"/>
        <v>1</v>
      </c>
      <c r="V187" s="773">
        <f t="shared" ca="1" si="236"/>
        <v>0</v>
      </c>
      <c r="W187" s="773">
        <f t="shared" ca="1" si="261"/>
        <v>5</v>
      </c>
      <c r="X187" s="773">
        <f t="shared" ca="1" si="237"/>
        <v>0</v>
      </c>
      <c r="Y187" s="773">
        <f t="shared" ca="1" si="238"/>
        <v>0</v>
      </c>
      <c r="Z187" s="773">
        <f t="shared" ca="1" si="262"/>
        <v>4</v>
      </c>
      <c r="AA187" s="773">
        <f t="shared" ca="1" si="239"/>
        <v>0</v>
      </c>
      <c r="AB187" s="773">
        <f t="shared" ca="1" si="240"/>
        <v>0</v>
      </c>
      <c r="AC187" s="773">
        <f t="shared" ca="1" si="263"/>
        <v>2</v>
      </c>
      <c r="AD187" s="773">
        <f t="shared" ca="1" si="241"/>
        <v>0</v>
      </c>
      <c r="AE187" s="773">
        <f t="shared" ca="1" si="242"/>
        <v>0</v>
      </c>
      <c r="AF187" s="773">
        <f t="shared" ca="1" si="264"/>
        <v>2</v>
      </c>
      <c r="AG187" s="773">
        <f t="shared" ca="1" si="243"/>
        <v>0</v>
      </c>
      <c r="AH187" s="773">
        <f t="shared" ca="1" si="244"/>
        <v>0</v>
      </c>
      <c r="AI187" s="773">
        <f t="shared" ca="1" si="265"/>
        <v>2</v>
      </c>
      <c r="AJ187" s="773">
        <f t="shared" ca="1" si="245"/>
        <v>0</v>
      </c>
      <c r="AK187" s="773">
        <f t="shared" ca="1" si="246"/>
        <v>1</v>
      </c>
      <c r="AL187" s="773">
        <f t="shared" ca="1" si="266"/>
        <v>2</v>
      </c>
      <c r="AM187" s="773">
        <f t="shared" ca="1" si="247"/>
        <v>2</v>
      </c>
      <c r="AN187" s="773">
        <f t="shared" ca="1" si="248"/>
        <v>0</v>
      </c>
      <c r="AO187" s="773">
        <f t="shared" ca="1" si="267"/>
        <v>0</v>
      </c>
      <c r="AP187" s="773">
        <f t="shared" ca="1" si="249"/>
        <v>0</v>
      </c>
      <c r="AQ187" s="773">
        <f t="shared" ca="1" si="250"/>
        <v>0</v>
      </c>
      <c r="AR187" s="773">
        <f t="shared" ca="1" si="268"/>
        <v>4</v>
      </c>
      <c r="AS187" s="773">
        <f t="shared" ca="1" si="251"/>
        <v>0</v>
      </c>
      <c r="AT187" s="773">
        <f t="shared" ca="1" si="252"/>
        <v>0</v>
      </c>
      <c r="AU187" s="773">
        <f t="shared" ca="1" si="269"/>
        <v>4</v>
      </c>
      <c r="AV187" s="773">
        <f t="shared" ca="1" si="253"/>
        <v>0</v>
      </c>
      <c r="AW187" s="773">
        <f t="shared" ca="1" si="254"/>
        <v>0</v>
      </c>
      <c r="AX187" s="773">
        <f t="shared" ca="1" si="270"/>
        <v>3</v>
      </c>
      <c r="AY187" s="773">
        <f t="shared" ca="1" si="255"/>
        <v>0</v>
      </c>
      <c r="AZ187" s="773">
        <f t="shared" ca="1" si="256"/>
        <v>0</v>
      </c>
      <c r="BA187" s="773">
        <f t="shared" ca="1" si="271"/>
        <v>2</v>
      </c>
      <c r="BB187" s="773">
        <f t="shared" ca="1" si="257"/>
        <v>0</v>
      </c>
      <c r="BC187" s="773">
        <f t="shared" ca="1" si="258"/>
        <v>0</v>
      </c>
      <c r="BD187" s="773">
        <f t="shared" ca="1" si="272"/>
        <v>4</v>
      </c>
      <c r="BE187" s="773">
        <f t="shared" ca="1" si="259"/>
        <v>0</v>
      </c>
      <c r="BF187" s="912" t="str">
        <f t="shared" si="260"/>
        <v>Trực Phù</v>
      </c>
    </row>
    <row r="188" spans="1:58" ht="15">
      <c r="A188" s="855" t="s">
        <v>8467</v>
      </c>
      <c r="B188" s="855" t="s">
        <v>8611</v>
      </c>
      <c r="C188" s="855" t="s">
        <v>8320</v>
      </c>
      <c r="D188" s="855" t="s">
        <v>8324</v>
      </c>
      <c r="E188" s="855" t="s">
        <v>4213</v>
      </c>
      <c r="F188" s="855" t="s">
        <v>8468</v>
      </c>
      <c r="G188" s="855" t="s">
        <v>8468</v>
      </c>
      <c r="H188" s="855" t="s">
        <v>8316</v>
      </c>
      <c r="I188" s="855" t="s">
        <v>8539</v>
      </c>
      <c r="J188" s="855" t="s">
        <v>8616</v>
      </c>
      <c r="K188" s="855" t="s">
        <v>8539</v>
      </c>
      <c r="L188" s="855" t="s">
        <v>8617</v>
      </c>
      <c r="M188" s="855" t="s">
        <v>8468</v>
      </c>
      <c r="S188" s="773">
        <f t="shared" ca="1" si="279"/>
        <v>5</v>
      </c>
      <c r="V188" s="773">
        <f t="shared" ca="1" si="236"/>
        <v>0</v>
      </c>
      <c r="W188" s="773">
        <f t="shared" ca="1" si="261"/>
        <v>5</v>
      </c>
      <c r="X188" s="773">
        <f t="shared" ca="1" si="237"/>
        <v>0</v>
      </c>
      <c r="Y188" s="773">
        <f t="shared" ca="1" si="238"/>
        <v>0</v>
      </c>
      <c r="Z188" s="773">
        <f t="shared" ca="1" si="262"/>
        <v>4</v>
      </c>
      <c r="AA188" s="773">
        <f t="shared" ca="1" si="239"/>
        <v>0</v>
      </c>
      <c r="AB188" s="773">
        <f t="shared" ca="1" si="240"/>
        <v>0</v>
      </c>
      <c r="AC188" s="773">
        <f t="shared" ca="1" si="263"/>
        <v>2</v>
      </c>
      <c r="AD188" s="773">
        <f t="shared" ca="1" si="241"/>
        <v>0</v>
      </c>
      <c r="AE188" s="773">
        <f t="shared" ca="1" si="242"/>
        <v>0</v>
      </c>
      <c r="AF188" s="773">
        <f t="shared" ca="1" si="264"/>
        <v>2</v>
      </c>
      <c r="AG188" s="773">
        <f t="shared" ca="1" si="243"/>
        <v>0</v>
      </c>
      <c r="AH188" s="773">
        <f t="shared" ca="1" si="244"/>
        <v>0</v>
      </c>
      <c r="AI188" s="773">
        <f t="shared" ca="1" si="265"/>
        <v>2</v>
      </c>
      <c r="AJ188" s="773">
        <f t="shared" ca="1" si="245"/>
        <v>0</v>
      </c>
      <c r="AK188" s="773">
        <f t="shared" ca="1" si="246"/>
        <v>0</v>
      </c>
      <c r="AL188" s="773">
        <f t="shared" ca="1" si="266"/>
        <v>2</v>
      </c>
      <c r="AM188" s="773">
        <f t="shared" ca="1" si="247"/>
        <v>0</v>
      </c>
      <c r="AN188" s="773">
        <f t="shared" ca="1" si="248"/>
        <v>0</v>
      </c>
      <c r="AO188" s="773">
        <f t="shared" ca="1" si="267"/>
        <v>0</v>
      </c>
      <c r="AP188" s="773">
        <f t="shared" ca="1" si="249"/>
        <v>0</v>
      </c>
      <c r="AQ188" s="773">
        <f t="shared" ca="1" si="250"/>
        <v>0</v>
      </c>
      <c r="AR188" s="773">
        <f t="shared" ca="1" si="268"/>
        <v>4</v>
      </c>
      <c r="AS188" s="773">
        <f t="shared" ca="1" si="251"/>
        <v>0</v>
      </c>
      <c r="AT188" s="773">
        <f t="shared" ca="1" si="252"/>
        <v>0</v>
      </c>
      <c r="AU188" s="773">
        <f t="shared" ca="1" si="269"/>
        <v>4</v>
      </c>
      <c r="AV188" s="773">
        <f t="shared" ca="1" si="253"/>
        <v>0</v>
      </c>
      <c r="AW188" s="773">
        <f t="shared" ca="1" si="254"/>
        <v>0</v>
      </c>
      <c r="AX188" s="773">
        <f t="shared" ca="1" si="270"/>
        <v>3</v>
      </c>
      <c r="AY188" s="773">
        <f t="shared" ca="1" si="255"/>
        <v>0</v>
      </c>
      <c r="AZ188" s="773">
        <f t="shared" ca="1" si="256"/>
        <v>1</v>
      </c>
      <c r="BA188" s="773">
        <f t="shared" ca="1" si="271"/>
        <v>3</v>
      </c>
      <c r="BB188" s="773">
        <f t="shared" ca="1" si="257"/>
        <v>3</v>
      </c>
      <c r="BC188" s="773">
        <f t="shared" ca="1" si="258"/>
        <v>0</v>
      </c>
      <c r="BD188" s="773">
        <f t="shared" ca="1" si="272"/>
        <v>4</v>
      </c>
      <c r="BE188" s="773">
        <f t="shared" ca="1" si="259"/>
        <v>0</v>
      </c>
      <c r="BF188" s="912" t="str">
        <f t="shared" si="260"/>
        <v>Quan Phù</v>
      </c>
    </row>
    <row r="189" spans="1:58" ht="15">
      <c r="A189" s="806" t="s">
        <v>6548</v>
      </c>
      <c r="B189" s="806" t="s">
        <v>6548</v>
      </c>
      <c r="C189" s="855" t="s">
        <v>9301</v>
      </c>
      <c r="D189" s="855" t="s">
        <v>353</v>
      </c>
      <c r="E189" s="855" t="s">
        <v>1399</v>
      </c>
      <c r="F189" s="855" t="s">
        <v>505</v>
      </c>
      <c r="G189" s="806" t="s">
        <v>7871</v>
      </c>
      <c r="H189" s="855" t="s">
        <v>506</v>
      </c>
      <c r="I189" s="855" t="s">
        <v>507</v>
      </c>
      <c r="J189" s="855" t="s">
        <v>9297</v>
      </c>
      <c r="K189" s="855" t="s">
        <v>9298</v>
      </c>
      <c r="L189" s="855" t="s">
        <v>9299</v>
      </c>
      <c r="M189" s="855" t="s">
        <v>9300</v>
      </c>
      <c r="O189" s="942">
        <v>1</v>
      </c>
      <c r="P189" s="773" t="s">
        <v>8416</v>
      </c>
      <c r="Q189" s="773">
        <v>2</v>
      </c>
      <c r="R189" s="773" t="e">
        <f t="shared" ref="R189:R196" ca="1" si="280">VLOOKUP(G33,$P$189:$Q$241,2,0)</f>
        <v>#N/A</v>
      </c>
      <c r="S189" s="773" t="e">
        <f t="shared" ca="1" si="279"/>
        <v>#N/A</v>
      </c>
      <c r="V189" s="773">
        <f t="shared" ca="1" si="236"/>
        <v>1</v>
      </c>
      <c r="W189" s="773">
        <f t="shared" ca="1" si="261"/>
        <v>6</v>
      </c>
      <c r="X189" s="773">
        <f t="shared" ca="1" si="237"/>
        <v>6</v>
      </c>
      <c r="Y189" s="773">
        <f t="shared" ca="1" si="238"/>
        <v>0</v>
      </c>
      <c r="Z189" s="773">
        <f t="shared" ca="1" si="262"/>
        <v>4</v>
      </c>
      <c r="AA189" s="773">
        <f t="shared" ca="1" si="239"/>
        <v>0</v>
      </c>
      <c r="AB189" s="773">
        <f t="shared" ca="1" si="240"/>
        <v>0</v>
      </c>
      <c r="AC189" s="773">
        <f t="shared" ca="1" si="263"/>
        <v>2</v>
      </c>
      <c r="AD189" s="773">
        <f t="shared" ca="1" si="241"/>
        <v>0</v>
      </c>
      <c r="AE189" s="773">
        <f t="shared" ca="1" si="242"/>
        <v>0</v>
      </c>
      <c r="AF189" s="773">
        <f t="shared" ca="1" si="264"/>
        <v>2</v>
      </c>
      <c r="AG189" s="773">
        <f t="shared" ca="1" si="243"/>
        <v>0</v>
      </c>
      <c r="AH189" s="773">
        <f t="shared" ca="1" si="244"/>
        <v>0</v>
      </c>
      <c r="AI189" s="773">
        <f t="shared" ca="1" si="265"/>
        <v>2</v>
      </c>
      <c r="AJ189" s="773">
        <f t="shared" ca="1" si="245"/>
        <v>0</v>
      </c>
      <c r="AK189" s="773">
        <f t="shared" ca="1" si="246"/>
        <v>0</v>
      </c>
      <c r="AL189" s="773">
        <f t="shared" ca="1" si="266"/>
        <v>2</v>
      </c>
      <c r="AM189" s="773">
        <f t="shared" ca="1" si="247"/>
        <v>0</v>
      </c>
      <c r="AN189" s="773">
        <f t="shared" ca="1" si="248"/>
        <v>0</v>
      </c>
      <c r="AO189" s="773">
        <f t="shared" ca="1" si="267"/>
        <v>0</v>
      </c>
      <c r="AP189" s="773">
        <f t="shared" ca="1" si="249"/>
        <v>0</v>
      </c>
      <c r="AQ189" s="773">
        <f t="shared" ca="1" si="250"/>
        <v>0</v>
      </c>
      <c r="AR189" s="773">
        <f t="shared" ca="1" si="268"/>
        <v>4</v>
      </c>
      <c r="AS189" s="773">
        <f t="shared" ca="1" si="251"/>
        <v>0</v>
      </c>
      <c r="AT189" s="773">
        <f t="shared" ca="1" si="252"/>
        <v>0</v>
      </c>
      <c r="AU189" s="773">
        <f t="shared" ca="1" si="269"/>
        <v>4</v>
      </c>
      <c r="AV189" s="773">
        <f t="shared" ca="1" si="253"/>
        <v>0</v>
      </c>
      <c r="AW189" s="773">
        <f t="shared" ca="1" si="254"/>
        <v>0</v>
      </c>
      <c r="AX189" s="773">
        <f t="shared" ca="1" si="270"/>
        <v>3</v>
      </c>
      <c r="AY189" s="773">
        <f t="shared" ca="1" si="255"/>
        <v>0</v>
      </c>
      <c r="AZ189" s="773">
        <f t="shared" ca="1" si="256"/>
        <v>0</v>
      </c>
      <c r="BA189" s="773">
        <f t="shared" ca="1" si="271"/>
        <v>3</v>
      </c>
      <c r="BB189" s="773">
        <f t="shared" ca="1" si="257"/>
        <v>0</v>
      </c>
      <c r="BC189" s="773">
        <f t="shared" ca="1" si="258"/>
        <v>0</v>
      </c>
      <c r="BD189" s="773">
        <f t="shared" ca="1" si="272"/>
        <v>4</v>
      </c>
      <c r="BE189" s="773">
        <f t="shared" ca="1" si="259"/>
        <v>0</v>
      </c>
      <c r="BF189" s="912" t="str">
        <f t="shared" si="260"/>
        <v>Quan Phủ</v>
      </c>
    </row>
    <row r="190" spans="1:58" ht="15">
      <c r="A190" s="806" t="s">
        <v>7875</v>
      </c>
      <c r="B190" s="855" t="s">
        <v>9301</v>
      </c>
      <c r="C190" s="855" t="s">
        <v>353</v>
      </c>
      <c r="D190" s="855" t="s">
        <v>1399</v>
      </c>
      <c r="E190" s="855" t="s">
        <v>505</v>
      </c>
      <c r="F190" s="806" t="s">
        <v>7871</v>
      </c>
      <c r="G190" s="855" t="s">
        <v>506</v>
      </c>
      <c r="H190" s="855" t="s">
        <v>507</v>
      </c>
      <c r="I190" s="855" t="s">
        <v>9297</v>
      </c>
      <c r="J190" s="855" t="s">
        <v>9298</v>
      </c>
      <c r="K190" s="855" t="s">
        <v>9299</v>
      </c>
      <c r="L190" s="855" t="s">
        <v>9300</v>
      </c>
      <c r="M190" s="855" t="s">
        <v>1402</v>
      </c>
      <c r="O190" s="787">
        <v>2</v>
      </c>
      <c r="P190" s="773" t="s">
        <v>8419</v>
      </c>
      <c r="Q190" s="773">
        <v>3</v>
      </c>
      <c r="R190" s="796">
        <f t="shared" ca="1" si="280"/>
        <v>3</v>
      </c>
      <c r="S190" s="773" t="e">
        <f t="shared" ca="1" si="279"/>
        <v>#N/A</v>
      </c>
      <c r="V190" s="773">
        <f t="shared" ca="1" si="236"/>
        <v>0</v>
      </c>
      <c r="W190" s="773">
        <f t="shared" ca="1" si="261"/>
        <v>6</v>
      </c>
      <c r="X190" s="773">
        <f t="shared" ca="1" si="237"/>
        <v>0</v>
      </c>
      <c r="Y190" s="773">
        <f t="shared" ca="1" si="238"/>
        <v>0</v>
      </c>
      <c r="Z190" s="773">
        <f t="shared" ca="1" si="262"/>
        <v>4</v>
      </c>
      <c r="AA190" s="773">
        <f t="shared" ca="1" si="239"/>
        <v>0</v>
      </c>
      <c r="AB190" s="773">
        <f t="shared" ca="1" si="240"/>
        <v>0</v>
      </c>
      <c r="AC190" s="773">
        <f t="shared" ca="1" si="263"/>
        <v>2</v>
      </c>
      <c r="AD190" s="773">
        <f t="shared" ca="1" si="241"/>
        <v>0</v>
      </c>
      <c r="AE190" s="773">
        <f t="shared" ca="1" si="242"/>
        <v>0</v>
      </c>
      <c r="AF190" s="773">
        <f t="shared" ca="1" si="264"/>
        <v>2</v>
      </c>
      <c r="AG190" s="773">
        <f t="shared" ca="1" si="243"/>
        <v>0</v>
      </c>
      <c r="AH190" s="773">
        <f t="shared" ca="1" si="244"/>
        <v>0</v>
      </c>
      <c r="AI190" s="773">
        <f t="shared" ca="1" si="265"/>
        <v>2</v>
      </c>
      <c r="AJ190" s="773">
        <f t="shared" ca="1" si="245"/>
        <v>0</v>
      </c>
      <c r="AK190" s="773">
        <f t="shared" ca="1" si="246"/>
        <v>0</v>
      </c>
      <c r="AL190" s="773">
        <f t="shared" ca="1" si="266"/>
        <v>2</v>
      </c>
      <c r="AM190" s="773">
        <f t="shared" ca="1" si="247"/>
        <v>0</v>
      </c>
      <c r="AN190" s="773">
        <f t="shared" ca="1" si="248"/>
        <v>1</v>
      </c>
      <c r="AO190" s="773">
        <f t="shared" ca="1" si="267"/>
        <v>1</v>
      </c>
      <c r="AP190" s="773">
        <f t="shared" ca="1" si="249"/>
        <v>1</v>
      </c>
      <c r="AQ190" s="773">
        <f t="shared" ca="1" si="250"/>
        <v>0</v>
      </c>
      <c r="AR190" s="773">
        <f t="shared" ca="1" si="268"/>
        <v>4</v>
      </c>
      <c r="AS190" s="773">
        <f t="shared" ca="1" si="251"/>
        <v>0</v>
      </c>
      <c r="AT190" s="773">
        <f t="shared" ca="1" si="252"/>
        <v>0</v>
      </c>
      <c r="AU190" s="773">
        <f t="shared" ca="1" si="269"/>
        <v>4</v>
      </c>
      <c r="AV190" s="773">
        <f t="shared" ca="1" si="253"/>
        <v>0</v>
      </c>
      <c r="AW190" s="773">
        <f t="shared" ca="1" si="254"/>
        <v>0</v>
      </c>
      <c r="AX190" s="773">
        <f t="shared" ca="1" si="270"/>
        <v>3</v>
      </c>
      <c r="AY190" s="773">
        <f t="shared" ca="1" si="255"/>
        <v>0</v>
      </c>
      <c r="AZ190" s="773">
        <f t="shared" ca="1" si="256"/>
        <v>0</v>
      </c>
      <c r="BA190" s="773">
        <f t="shared" ca="1" si="271"/>
        <v>3</v>
      </c>
      <c r="BB190" s="773">
        <f t="shared" ca="1" si="257"/>
        <v>0</v>
      </c>
      <c r="BC190" s="773">
        <f t="shared" ca="1" si="258"/>
        <v>0</v>
      </c>
      <c r="BD190" s="773">
        <f t="shared" ca="1" si="272"/>
        <v>4</v>
      </c>
      <c r="BE190" s="773">
        <f t="shared" ca="1" si="259"/>
        <v>0</v>
      </c>
      <c r="BF190" s="912" t="str">
        <f t="shared" si="260"/>
        <v>Thái Tuế</v>
      </c>
    </row>
    <row r="191" spans="1:58" ht="15">
      <c r="A191" s="806" t="s">
        <v>7874</v>
      </c>
      <c r="B191" s="855" t="s">
        <v>353</v>
      </c>
      <c r="C191" s="855" t="s">
        <v>1399</v>
      </c>
      <c r="D191" s="855" t="s">
        <v>505</v>
      </c>
      <c r="E191" s="806" t="s">
        <v>7871</v>
      </c>
      <c r="F191" s="855" t="s">
        <v>506</v>
      </c>
      <c r="G191" s="855" t="s">
        <v>507</v>
      </c>
      <c r="H191" s="855" t="s">
        <v>9297</v>
      </c>
      <c r="I191" s="855" t="s">
        <v>9298</v>
      </c>
      <c r="J191" s="855" t="s">
        <v>9299</v>
      </c>
      <c r="K191" s="855" t="s">
        <v>9300</v>
      </c>
      <c r="L191" s="855" t="s">
        <v>1402</v>
      </c>
      <c r="M191" s="855" t="s">
        <v>9301</v>
      </c>
      <c r="O191" s="787">
        <v>3</v>
      </c>
      <c r="P191" s="773" t="s">
        <v>8422</v>
      </c>
      <c r="Q191" s="773">
        <v>1</v>
      </c>
      <c r="R191" s="796" t="e">
        <f t="shared" ca="1" si="280"/>
        <v>#N/A</v>
      </c>
      <c r="S191" s="773" t="e">
        <f t="shared" ca="1" si="279"/>
        <v>#N/A</v>
      </c>
      <c r="V191" s="773">
        <f t="shared" ca="1" si="236"/>
        <v>0</v>
      </c>
      <c r="W191" s="773">
        <f t="shared" ca="1" si="261"/>
        <v>6</v>
      </c>
      <c r="X191" s="773">
        <f t="shared" ca="1" si="237"/>
        <v>0</v>
      </c>
      <c r="Y191" s="773">
        <f t="shared" ca="1" si="238"/>
        <v>0</v>
      </c>
      <c r="Z191" s="773">
        <f t="shared" ca="1" si="262"/>
        <v>4</v>
      </c>
      <c r="AA191" s="773">
        <f t="shared" ca="1" si="239"/>
        <v>0</v>
      </c>
      <c r="AB191" s="773">
        <f t="shared" ca="1" si="240"/>
        <v>0</v>
      </c>
      <c r="AC191" s="773">
        <f t="shared" ca="1" si="263"/>
        <v>2</v>
      </c>
      <c r="AD191" s="773">
        <f t="shared" ca="1" si="241"/>
        <v>0</v>
      </c>
      <c r="AE191" s="773">
        <f t="shared" ca="1" si="242"/>
        <v>1</v>
      </c>
      <c r="AF191" s="773">
        <f t="shared" ca="1" si="264"/>
        <v>3</v>
      </c>
      <c r="AG191" s="773">
        <f t="shared" ca="1" si="243"/>
        <v>3</v>
      </c>
      <c r="AH191" s="773">
        <f t="shared" ca="1" si="244"/>
        <v>0</v>
      </c>
      <c r="AI191" s="773">
        <f t="shared" ca="1" si="265"/>
        <v>2</v>
      </c>
      <c r="AJ191" s="773">
        <f t="shared" ca="1" si="245"/>
        <v>0</v>
      </c>
      <c r="AK191" s="773">
        <f t="shared" ca="1" si="246"/>
        <v>0</v>
      </c>
      <c r="AL191" s="773">
        <f t="shared" ca="1" si="266"/>
        <v>2</v>
      </c>
      <c r="AM191" s="773">
        <f t="shared" ca="1" si="247"/>
        <v>0</v>
      </c>
      <c r="AN191" s="773">
        <f t="shared" ca="1" si="248"/>
        <v>0</v>
      </c>
      <c r="AO191" s="773">
        <f t="shared" ca="1" si="267"/>
        <v>1</v>
      </c>
      <c r="AP191" s="773">
        <f t="shared" ca="1" si="249"/>
        <v>0</v>
      </c>
      <c r="AQ191" s="773">
        <f t="shared" ca="1" si="250"/>
        <v>0</v>
      </c>
      <c r="AR191" s="773">
        <f t="shared" ca="1" si="268"/>
        <v>4</v>
      </c>
      <c r="AS191" s="773">
        <f t="shared" ca="1" si="251"/>
        <v>0</v>
      </c>
      <c r="AT191" s="773">
        <f t="shared" ca="1" si="252"/>
        <v>0</v>
      </c>
      <c r="AU191" s="773">
        <f t="shared" ca="1" si="269"/>
        <v>4</v>
      </c>
      <c r="AV191" s="773">
        <f t="shared" ca="1" si="253"/>
        <v>0</v>
      </c>
      <c r="AW191" s="773">
        <f t="shared" ca="1" si="254"/>
        <v>0</v>
      </c>
      <c r="AX191" s="773">
        <f t="shared" ca="1" si="270"/>
        <v>3</v>
      </c>
      <c r="AY191" s="773">
        <f t="shared" ca="1" si="255"/>
        <v>0</v>
      </c>
      <c r="AZ191" s="773">
        <f t="shared" ca="1" si="256"/>
        <v>0</v>
      </c>
      <c r="BA191" s="773">
        <f t="shared" ca="1" si="271"/>
        <v>3</v>
      </c>
      <c r="BB191" s="773">
        <f t="shared" ca="1" si="257"/>
        <v>0</v>
      </c>
      <c r="BC191" s="773">
        <f t="shared" ca="1" si="258"/>
        <v>0</v>
      </c>
      <c r="BD191" s="773">
        <f t="shared" ca="1" si="272"/>
        <v>4</v>
      </c>
      <c r="BE191" s="773">
        <f t="shared" ca="1" si="259"/>
        <v>0</v>
      </c>
      <c r="BF191" s="912" t="str">
        <f t="shared" si="260"/>
        <v>Thiên Thương</v>
      </c>
    </row>
    <row r="192" spans="1:58" ht="15">
      <c r="A192" s="806" t="s">
        <v>7873</v>
      </c>
      <c r="B192" s="855" t="s">
        <v>1399</v>
      </c>
      <c r="C192" s="855" t="s">
        <v>505</v>
      </c>
      <c r="D192" s="806" t="s">
        <v>7871</v>
      </c>
      <c r="E192" s="855" t="s">
        <v>506</v>
      </c>
      <c r="F192" s="855" t="s">
        <v>507</v>
      </c>
      <c r="G192" s="855" t="s">
        <v>9297</v>
      </c>
      <c r="H192" s="855" t="s">
        <v>9298</v>
      </c>
      <c r="I192" s="855" t="s">
        <v>9299</v>
      </c>
      <c r="J192" s="855" t="s">
        <v>9300</v>
      </c>
      <c r="K192" s="855" t="s">
        <v>1402</v>
      </c>
      <c r="L192" s="855" t="s">
        <v>9301</v>
      </c>
      <c r="M192" s="855" t="s">
        <v>353</v>
      </c>
      <c r="O192" s="787">
        <v>4</v>
      </c>
      <c r="P192" s="773" t="s">
        <v>8424</v>
      </c>
      <c r="Q192" s="773">
        <v>1</v>
      </c>
      <c r="R192" s="796" t="e">
        <f t="shared" ca="1" si="280"/>
        <v>#N/A</v>
      </c>
      <c r="S192" s="773" t="e">
        <f t="shared" ca="1" si="279"/>
        <v>#N/A</v>
      </c>
      <c r="V192" s="773">
        <f t="shared" ca="1" si="236"/>
        <v>0</v>
      </c>
      <c r="W192" s="773">
        <f t="shared" ca="1" si="261"/>
        <v>6</v>
      </c>
      <c r="X192" s="773">
        <f t="shared" ca="1" si="237"/>
        <v>0</v>
      </c>
      <c r="Y192" s="773">
        <f t="shared" ca="1" si="238"/>
        <v>0</v>
      </c>
      <c r="Z192" s="773">
        <f t="shared" ca="1" si="262"/>
        <v>4</v>
      </c>
      <c r="AA192" s="773">
        <f t="shared" ca="1" si="239"/>
        <v>0</v>
      </c>
      <c r="AB192" s="773">
        <f t="shared" ca="1" si="240"/>
        <v>0</v>
      </c>
      <c r="AC192" s="773">
        <f t="shared" ca="1" si="263"/>
        <v>2</v>
      </c>
      <c r="AD192" s="773">
        <f t="shared" ca="1" si="241"/>
        <v>0</v>
      </c>
      <c r="AE192" s="773">
        <f t="shared" ca="1" si="242"/>
        <v>0</v>
      </c>
      <c r="AF192" s="773">
        <f t="shared" ca="1" si="264"/>
        <v>3</v>
      </c>
      <c r="AG192" s="773">
        <f t="shared" ca="1" si="243"/>
        <v>0</v>
      </c>
      <c r="AH192" s="773">
        <f t="shared" ca="1" si="244"/>
        <v>0</v>
      </c>
      <c r="AI192" s="773">
        <f t="shared" ca="1" si="265"/>
        <v>2</v>
      </c>
      <c r="AJ192" s="773">
        <f t="shared" ca="1" si="245"/>
        <v>0</v>
      </c>
      <c r="AK192" s="773">
        <f t="shared" ca="1" si="246"/>
        <v>1</v>
      </c>
      <c r="AL192" s="773">
        <f t="shared" ca="1" si="266"/>
        <v>3</v>
      </c>
      <c r="AM192" s="773">
        <f t="shared" ca="1" si="247"/>
        <v>3</v>
      </c>
      <c r="AN192" s="773">
        <f t="shared" ca="1" si="248"/>
        <v>0</v>
      </c>
      <c r="AO192" s="773">
        <f t="shared" ca="1" si="267"/>
        <v>1</v>
      </c>
      <c r="AP192" s="773">
        <f t="shared" ca="1" si="249"/>
        <v>0</v>
      </c>
      <c r="AQ192" s="773">
        <f t="shared" ca="1" si="250"/>
        <v>0</v>
      </c>
      <c r="AR192" s="773">
        <f t="shared" ca="1" si="268"/>
        <v>4</v>
      </c>
      <c r="AS192" s="773">
        <f t="shared" ca="1" si="251"/>
        <v>0</v>
      </c>
      <c r="AT192" s="773">
        <f t="shared" ca="1" si="252"/>
        <v>0</v>
      </c>
      <c r="AU192" s="773">
        <f t="shared" ca="1" si="269"/>
        <v>4</v>
      </c>
      <c r="AV192" s="773">
        <f t="shared" ca="1" si="253"/>
        <v>0</v>
      </c>
      <c r="AW192" s="773">
        <f t="shared" ca="1" si="254"/>
        <v>0</v>
      </c>
      <c r="AX192" s="773">
        <f t="shared" ca="1" si="270"/>
        <v>3</v>
      </c>
      <c r="AY192" s="773">
        <f t="shared" ca="1" si="255"/>
        <v>0</v>
      </c>
      <c r="AZ192" s="773">
        <f t="shared" ca="1" si="256"/>
        <v>0</v>
      </c>
      <c r="BA192" s="773">
        <f t="shared" ca="1" si="271"/>
        <v>3</v>
      </c>
      <c r="BB192" s="773">
        <f t="shared" ca="1" si="257"/>
        <v>0</v>
      </c>
      <c r="BC192" s="773">
        <f t="shared" ca="1" si="258"/>
        <v>0</v>
      </c>
      <c r="BD192" s="773">
        <f t="shared" ca="1" si="272"/>
        <v>4</v>
      </c>
      <c r="BE192" s="773">
        <f t="shared" ca="1" si="259"/>
        <v>0</v>
      </c>
      <c r="BF192" s="912" t="str">
        <f t="shared" si="260"/>
        <v>Thiên Sứ</v>
      </c>
    </row>
    <row r="193" spans="1:71" ht="15">
      <c r="A193" s="806" t="s">
        <v>7872</v>
      </c>
      <c r="B193" s="855" t="s">
        <v>505</v>
      </c>
      <c r="C193" s="806" t="s">
        <v>7871</v>
      </c>
      <c r="D193" s="855" t="s">
        <v>506</v>
      </c>
      <c r="E193" s="855" t="s">
        <v>507</v>
      </c>
      <c r="F193" s="855" t="s">
        <v>9297</v>
      </c>
      <c r="G193" s="855" t="s">
        <v>9298</v>
      </c>
      <c r="H193" s="855" t="s">
        <v>9299</v>
      </c>
      <c r="I193" s="855" t="s">
        <v>9300</v>
      </c>
      <c r="J193" s="855" t="s">
        <v>1402</v>
      </c>
      <c r="K193" s="855" t="s">
        <v>9301</v>
      </c>
      <c r="L193" s="855" t="s">
        <v>353</v>
      </c>
      <c r="M193" s="855" t="s">
        <v>1399</v>
      </c>
      <c r="O193" s="787">
        <v>5</v>
      </c>
      <c r="P193" s="773" t="s">
        <v>6570</v>
      </c>
      <c r="Q193" s="773">
        <v>4</v>
      </c>
      <c r="R193" s="796" t="e">
        <f t="shared" ca="1" si="280"/>
        <v>#N/A</v>
      </c>
      <c r="S193" s="773" t="e">
        <f t="shared" ref="S193:S200" ca="1" si="281">VLOOKUP(F3,$P$145:$R$187,3,0)</f>
        <v>#N/A</v>
      </c>
      <c r="V193" s="773">
        <f t="shared" si="236"/>
        <v>0</v>
      </c>
      <c r="W193" s="773">
        <f t="shared" ca="1" si="261"/>
        <v>6</v>
      </c>
      <c r="X193" s="773">
        <f t="shared" si="237"/>
        <v>0</v>
      </c>
      <c r="Y193" s="773">
        <f t="shared" si="238"/>
        <v>0</v>
      </c>
      <c r="Z193" s="773">
        <f t="shared" ca="1" si="262"/>
        <v>4</v>
      </c>
      <c r="AA193" s="773">
        <f t="shared" si="239"/>
        <v>0</v>
      </c>
      <c r="AB193" s="773">
        <f t="shared" si="240"/>
        <v>0</v>
      </c>
      <c r="AC193" s="773">
        <f t="shared" ca="1" si="263"/>
        <v>2</v>
      </c>
      <c r="AD193" s="773">
        <f t="shared" si="241"/>
        <v>0</v>
      </c>
      <c r="AE193" s="773">
        <f t="shared" si="242"/>
        <v>0</v>
      </c>
      <c r="AF193" s="773">
        <f t="shared" ca="1" si="264"/>
        <v>3</v>
      </c>
      <c r="AG193" s="773">
        <f t="shared" si="243"/>
        <v>0</v>
      </c>
      <c r="AH193" s="773">
        <f t="shared" si="244"/>
        <v>1</v>
      </c>
      <c r="AI193" s="773">
        <f t="shared" ca="1" si="265"/>
        <v>3</v>
      </c>
      <c r="AJ193" s="773">
        <f t="shared" ca="1" si="245"/>
        <v>3</v>
      </c>
      <c r="AK193" s="773">
        <f t="shared" si="246"/>
        <v>0</v>
      </c>
      <c r="AL193" s="773">
        <f t="shared" ca="1" si="266"/>
        <v>3</v>
      </c>
      <c r="AM193" s="773">
        <f t="shared" si="247"/>
        <v>0</v>
      </c>
      <c r="AN193" s="773">
        <f t="shared" si="248"/>
        <v>0</v>
      </c>
      <c r="AO193" s="773">
        <f t="shared" ca="1" si="267"/>
        <v>1</v>
      </c>
      <c r="AP193" s="773">
        <f t="shared" si="249"/>
        <v>0</v>
      </c>
      <c r="AQ193" s="773">
        <f t="shared" si="250"/>
        <v>0</v>
      </c>
      <c r="AR193" s="773">
        <f t="shared" ca="1" si="268"/>
        <v>4</v>
      </c>
      <c r="AS193" s="773">
        <f t="shared" si="251"/>
        <v>0</v>
      </c>
      <c r="AT193" s="773">
        <f t="shared" si="252"/>
        <v>0</v>
      </c>
      <c r="AU193" s="773">
        <f t="shared" ca="1" si="269"/>
        <v>4</v>
      </c>
      <c r="AV193" s="773">
        <f t="shared" si="253"/>
        <v>0</v>
      </c>
      <c r="AW193" s="773">
        <f t="shared" si="254"/>
        <v>0</v>
      </c>
      <c r="AX193" s="773">
        <f t="shared" ca="1" si="270"/>
        <v>3</v>
      </c>
      <c r="AY193" s="773">
        <f t="shared" si="255"/>
        <v>0</v>
      </c>
      <c r="AZ193" s="773">
        <f t="shared" si="256"/>
        <v>0</v>
      </c>
      <c r="BA193" s="773">
        <f t="shared" ca="1" si="271"/>
        <v>3</v>
      </c>
      <c r="BB193" s="773">
        <f t="shared" si="257"/>
        <v>0</v>
      </c>
      <c r="BC193" s="773">
        <f t="shared" si="258"/>
        <v>0</v>
      </c>
      <c r="BD193" s="773">
        <f t="shared" ca="1" si="272"/>
        <v>4</v>
      </c>
      <c r="BE193" s="773">
        <f t="shared" si="259"/>
        <v>0</v>
      </c>
      <c r="BF193" s="912" t="str">
        <f t="shared" si="260"/>
        <v>Thiên La</v>
      </c>
    </row>
    <row r="194" spans="1:71" ht="15">
      <c r="A194" s="806" t="s">
        <v>7871</v>
      </c>
      <c r="B194" s="806" t="s">
        <v>7871</v>
      </c>
      <c r="C194" s="855" t="s">
        <v>506</v>
      </c>
      <c r="D194" s="855" t="s">
        <v>507</v>
      </c>
      <c r="E194" s="855" t="s">
        <v>9297</v>
      </c>
      <c r="F194" s="855" t="s">
        <v>9298</v>
      </c>
      <c r="G194" s="855" t="s">
        <v>9299</v>
      </c>
      <c r="H194" s="855" t="s">
        <v>9300</v>
      </c>
      <c r="I194" s="855" t="s">
        <v>1402</v>
      </c>
      <c r="J194" s="855" t="s">
        <v>9301</v>
      </c>
      <c r="K194" s="855" t="s">
        <v>353</v>
      </c>
      <c r="L194" s="855" t="s">
        <v>1399</v>
      </c>
      <c r="M194" s="855" t="s">
        <v>505</v>
      </c>
      <c r="O194" s="787">
        <v>6</v>
      </c>
      <c r="P194" s="773" t="s">
        <v>8290</v>
      </c>
      <c r="Q194" s="773">
        <v>5</v>
      </c>
      <c r="R194" s="796" t="e">
        <f t="shared" ca="1" si="280"/>
        <v>#N/A</v>
      </c>
      <c r="S194" s="773">
        <f t="shared" ca="1" si="281"/>
        <v>1</v>
      </c>
      <c r="V194" s="773">
        <f t="shared" si="236"/>
        <v>0</v>
      </c>
      <c r="W194" s="773">
        <f t="shared" ca="1" si="261"/>
        <v>6</v>
      </c>
      <c r="X194" s="773">
        <f t="shared" si="237"/>
        <v>0</v>
      </c>
      <c r="Y194" s="773">
        <f t="shared" si="238"/>
        <v>0</v>
      </c>
      <c r="Z194" s="773">
        <f t="shared" ca="1" si="262"/>
        <v>4</v>
      </c>
      <c r="AA194" s="773">
        <f t="shared" si="239"/>
        <v>0</v>
      </c>
      <c r="AB194" s="773">
        <f t="shared" si="240"/>
        <v>0</v>
      </c>
      <c r="AC194" s="773">
        <f t="shared" ca="1" si="263"/>
        <v>2</v>
      </c>
      <c r="AD194" s="773">
        <f t="shared" si="241"/>
        <v>0</v>
      </c>
      <c r="AE194" s="773">
        <f t="shared" si="242"/>
        <v>0</v>
      </c>
      <c r="AF194" s="773">
        <f t="shared" ca="1" si="264"/>
        <v>3</v>
      </c>
      <c r="AG194" s="773">
        <f t="shared" si="243"/>
        <v>0</v>
      </c>
      <c r="AH194" s="773">
        <f t="shared" si="244"/>
        <v>0</v>
      </c>
      <c r="AI194" s="773">
        <f t="shared" ca="1" si="265"/>
        <v>3</v>
      </c>
      <c r="AJ194" s="773">
        <f t="shared" si="245"/>
        <v>0</v>
      </c>
      <c r="AK194" s="773">
        <f t="shared" si="246"/>
        <v>0</v>
      </c>
      <c r="AL194" s="773">
        <f t="shared" ca="1" si="266"/>
        <v>3</v>
      </c>
      <c r="AM194" s="773">
        <f t="shared" si="247"/>
        <v>0</v>
      </c>
      <c r="AN194" s="773">
        <f t="shared" si="248"/>
        <v>0</v>
      </c>
      <c r="AO194" s="773">
        <f t="shared" ca="1" si="267"/>
        <v>1</v>
      </c>
      <c r="AP194" s="773">
        <f t="shared" si="249"/>
        <v>0</v>
      </c>
      <c r="AQ194" s="773">
        <f t="shared" si="250"/>
        <v>0</v>
      </c>
      <c r="AR194" s="773">
        <f t="shared" ca="1" si="268"/>
        <v>4</v>
      </c>
      <c r="AS194" s="773">
        <f t="shared" si="251"/>
        <v>0</v>
      </c>
      <c r="AT194" s="773">
        <f t="shared" si="252"/>
        <v>0</v>
      </c>
      <c r="AU194" s="773">
        <f t="shared" ca="1" si="269"/>
        <v>4</v>
      </c>
      <c r="AV194" s="773">
        <f t="shared" si="253"/>
        <v>0</v>
      </c>
      <c r="AW194" s="773">
        <f t="shared" si="254"/>
        <v>0</v>
      </c>
      <c r="AX194" s="773">
        <f t="shared" ca="1" si="270"/>
        <v>3</v>
      </c>
      <c r="AY194" s="773">
        <f t="shared" si="255"/>
        <v>0</v>
      </c>
      <c r="AZ194" s="773">
        <f t="shared" si="256"/>
        <v>1</v>
      </c>
      <c r="BA194" s="773">
        <f t="shared" ca="1" si="271"/>
        <v>4</v>
      </c>
      <c r="BB194" s="773">
        <f t="shared" ca="1" si="257"/>
        <v>4</v>
      </c>
      <c r="BC194" s="773">
        <f t="shared" si="258"/>
        <v>0</v>
      </c>
      <c r="BD194" s="773">
        <f t="shared" ca="1" si="272"/>
        <v>4</v>
      </c>
      <c r="BE194" s="773">
        <f t="shared" si="259"/>
        <v>0</v>
      </c>
      <c r="BF194" s="912" t="str">
        <f t="shared" si="260"/>
        <v>Địa Võng</v>
      </c>
    </row>
    <row r="195" spans="1:71" ht="15">
      <c r="A195" s="806" t="s">
        <v>7883</v>
      </c>
      <c r="B195" s="855" t="s">
        <v>506</v>
      </c>
      <c r="C195" s="855" t="s">
        <v>507</v>
      </c>
      <c r="D195" s="855" t="s">
        <v>9297</v>
      </c>
      <c r="E195" s="855" t="s">
        <v>9298</v>
      </c>
      <c r="F195" s="855" t="s">
        <v>9299</v>
      </c>
      <c r="G195" s="855" t="s">
        <v>9300</v>
      </c>
      <c r="H195" s="855" t="s">
        <v>1402</v>
      </c>
      <c r="I195" s="855" t="s">
        <v>9301</v>
      </c>
      <c r="J195" s="855" t="s">
        <v>353</v>
      </c>
      <c r="K195" s="855" t="s">
        <v>1399</v>
      </c>
      <c r="L195" s="855" t="s">
        <v>505</v>
      </c>
      <c r="M195" s="806" t="s">
        <v>7871</v>
      </c>
      <c r="O195" s="787">
        <v>7</v>
      </c>
      <c r="P195" s="773" t="s">
        <v>8429</v>
      </c>
      <c r="Q195" s="773">
        <v>3</v>
      </c>
      <c r="R195" s="796" t="e">
        <f t="shared" ca="1" si="280"/>
        <v>#N/A</v>
      </c>
      <c r="S195" s="773" t="e">
        <f t="shared" ca="1" si="281"/>
        <v>#N/A</v>
      </c>
      <c r="V195" s="773">
        <f t="shared" ca="1" si="236"/>
        <v>0</v>
      </c>
      <c r="W195" s="773">
        <f t="shared" ca="1" si="261"/>
        <v>6</v>
      </c>
      <c r="X195" s="773">
        <f t="shared" ca="1" si="237"/>
        <v>0</v>
      </c>
      <c r="Y195" s="773">
        <f t="shared" ca="1" si="238"/>
        <v>0</v>
      </c>
      <c r="Z195" s="773">
        <f t="shared" ca="1" si="262"/>
        <v>4</v>
      </c>
      <c r="AA195" s="773">
        <f t="shared" ca="1" si="239"/>
        <v>0</v>
      </c>
      <c r="AB195" s="773">
        <f t="shared" ca="1" si="240"/>
        <v>0</v>
      </c>
      <c r="AC195" s="773">
        <f t="shared" ca="1" si="263"/>
        <v>2</v>
      </c>
      <c r="AD195" s="773">
        <f t="shared" ca="1" si="241"/>
        <v>0</v>
      </c>
      <c r="AE195" s="773">
        <f t="shared" ca="1" si="242"/>
        <v>0</v>
      </c>
      <c r="AF195" s="773">
        <f t="shared" ca="1" si="264"/>
        <v>3</v>
      </c>
      <c r="AG195" s="773">
        <f t="shared" ca="1" si="243"/>
        <v>0</v>
      </c>
      <c r="AH195" s="773">
        <f t="shared" ca="1" si="244"/>
        <v>0</v>
      </c>
      <c r="AI195" s="773">
        <f t="shared" ca="1" si="265"/>
        <v>3</v>
      </c>
      <c r="AJ195" s="773">
        <f t="shared" ca="1" si="245"/>
        <v>0</v>
      </c>
      <c r="AK195" s="773">
        <f t="shared" ca="1" si="246"/>
        <v>0</v>
      </c>
      <c r="AL195" s="773">
        <f t="shared" ca="1" si="266"/>
        <v>3</v>
      </c>
      <c r="AM195" s="773">
        <f t="shared" ca="1" si="247"/>
        <v>0</v>
      </c>
      <c r="AN195" s="773">
        <f t="shared" ca="1" si="248"/>
        <v>0</v>
      </c>
      <c r="AO195" s="773">
        <f t="shared" ca="1" si="267"/>
        <v>1</v>
      </c>
      <c r="AP195" s="773">
        <f t="shared" ca="1" si="249"/>
        <v>0</v>
      </c>
      <c r="AQ195" s="773">
        <f t="shared" ca="1" si="250"/>
        <v>0</v>
      </c>
      <c r="AR195" s="773">
        <f t="shared" ca="1" si="268"/>
        <v>4</v>
      </c>
      <c r="AS195" s="773">
        <f t="shared" ca="1" si="251"/>
        <v>0</v>
      </c>
      <c r="AT195" s="773">
        <f t="shared" ca="1" si="252"/>
        <v>0</v>
      </c>
      <c r="AU195" s="773">
        <f t="shared" ca="1" si="269"/>
        <v>4</v>
      </c>
      <c r="AV195" s="773">
        <f t="shared" ca="1" si="253"/>
        <v>0</v>
      </c>
      <c r="AW195" s="773">
        <f t="shared" ca="1" si="254"/>
        <v>0</v>
      </c>
      <c r="AX195" s="773">
        <f t="shared" ca="1" si="270"/>
        <v>3</v>
      </c>
      <c r="AY195" s="773">
        <f t="shared" ca="1" si="255"/>
        <v>0</v>
      </c>
      <c r="AZ195" s="773">
        <f t="shared" ca="1" si="256"/>
        <v>1</v>
      </c>
      <c r="BA195" s="773">
        <f t="shared" ca="1" si="271"/>
        <v>5</v>
      </c>
      <c r="BB195" s="773">
        <f t="shared" ca="1" si="257"/>
        <v>5</v>
      </c>
      <c r="BC195" s="773">
        <f t="shared" ca="1" si="258"/>
        <v>0</v>
      </c>
      <c r="BD195" s="773">
        <f t="shared" ca="1" si="272"/>
        <v>4</v>
      </c>
      <c r="BE195" s="773">
        <f t="shared" ca="1" si="259"/>
        <v>0</v>
      </c>
      <c r="BF195" s="912" t="str">
        <f t="shared" si="260"/>
        <v>Đẩu Quân</v>
      </c>
    </row>
    <row r="196" spans="1:71" ht="15">
      <c r="A196" s="806" t="s">
        <v>7882</v>
      </c>
      <c r="B196" s="855" t="s">
        <v>507</v>
      </c>
      <c r="C196" s="855" t="s">
        <v>9297</v>
      </c>
      <c r="D196" s="855" t="s">
        <v>9298</v>
      </c>
      <c r="E196" s="855" t="s">
        <v>9299</v>
      </c>
      <c r="F196" s="855" t="s">
        <v>9300</v>
      </c>
      <c r="G196" s="855" t="s">
        <v>1402</v>
      </c>
      <c r="H196" s="855" t="s">
        <v>9301</v>
      </c>
      <c r="I196" s="855" t="s">
        <v>353</v>
      </c>
      <c r="J196" s="855" t="s">
        <v>1399</v>
      </c>
      <c r="K196" s="855" t="s">
        <v>505</v>
      </c>
      <c r="L196" s="806" t="s">
        <v>7871</v>
      </c>
      <c r="M196" s="855" t="s">
        <v>506</v>
      </c>
      <c r="O196" s="787">
        <v>8</v>
      </c>
      <c r="P196" s="773" t="s">
        <v>8431</v>
      </c>
      <c r="Q196" s="773">
        <v>2</v>
      </c>
      <c r="R196" s="796" t="e">
        <f t="shared" ca="1" si="280"/>
        <v>#N/A</v>
      </c>
      <c r="S196" s="773" t="e">
        <f t="shared" ca="1" si="281"/>
        <v>#N/A</v>
      </c>
    </row>
    <row r="197" spans="1:71" ht="30">
      <c r="A197" s="806" t="s">
        <v>7887</v>
      </c>
      <c r="B197" s="855" t="s">
        <v>9297</v>
      </c>
      <c r="C197" s="855" t="s">
        <v>9298</v>
      </c>
      <c r="D197" s="855" t="s">
        <v>9299</v>
      </c>
      <c r="E197" s="855" t="s">
        <v>9300</v>
      </c>
      <c r="F197" s="855" t="s">
        <v>1402</v>
      </c>
      <c r="G197" s="855" t="s">
        <v>9301</v>
      </c>
      <c r="H197" s="855" t="s">
        <v>353</v>
      </c>
      <c r="I197" s="855" t="s">
        <v>1399</v>
      </c>
      <c r="J197" s="855" t="s">
        <v>505</v>
      </c>
      <c r="K197" s="806" t="s">
        <v>7871</v>
      </c>
      <c r="L197" s="855" t="s">
        <v>506</v>
      </c>
      <c r="M197" s="855" t="s">
        <v>507</v>
      </c>
      <c r="O197" s="787">
        <v>9</v>
      </c>
      <c r="P197" s="773" t="s">
        <v>8292</v>
      </c>
      <c r="Q197" s="773">
        <v>3</v>
      </c>
      <c r="R197" s="796" t="e">
        <f ca="1">VLOOKUP(H34,$P$189:$Q$241,2,0)</f>
        <v>#N/A</v>
      </c>
      <c r="S197" s="773" t="e">
        <f t="shared" ca="1" si="281"/>
        <v>#N/A</v>
      </c>
    </row>
    <row r="198" spans="1:71" ht="15">
      <c r="A198" s="806" t="s">
        <v>7886</v>
      </c>
      <c r="B198" s="855" t="s">
        <v>9298</v>
      </c>
      <c r="C198" s="855" t="s">
        <v>9299</v>
      </c>
      <c r="D198" s="855" t="s">
        <v>9300</v>
      </c>
      <c r="E198" s="855" t="s">
        <v>1402</v>
      </c>
      <c r="F198" s="855" t="s">
        <v>9301</v>
      </c>
      <c r="G198" s="855" t="s">
        <v>353</v>
      </c>
      <c r="H198" s="855" t="s">
        <v>1399</v>
      </c>
      <c r="I198" s="855" t="s">
        <v>505</v>
      </c>
      <c r="J198" s="806" t="s">
        <v>7871</v>
      </c>
      <c r="K198" s="855" t="s">
        <v>506</v>
      </c>
      <c r="L198" s="855" t="s">
        <v>507</v>
      </c>
      <c r="M198" s="855" t="s">
        <v>9297</v>
      </c>
      <c r="O198" s="787">
        <v>10</v>
      </c>
      <c r="P198" s="773" t="s">
        <v>8300</v>
      </c>
      <c r="Q198" s="773">
        <v>5</v>
      </c>
      <c r="R198" s="796" t="e">
        <f ca="1">VLOOKUP(H35,$P$189:$Q$241,2,0)</f>
        <v>#N/A</v>
      </c>
      <c r="S198" s="773" t="e">
        <f t="shared" ca="1" si="281"/>
        <v>#N/A</v>
      </c>
      <c r="V198" s="773" t="str">
        <f t="shared" ref="V198:V206" ca="1" si="282">VLOOKUP(T63,$X$153:$BF$195,35,0)</f>
        <v>Kình Dương</v>
      </c>
      <c r="W198" s="773" t="b">
        <f t="shared" ref="W198:W206" ca="1" si="283">ISTEXT(V198)</f>
        <v>1</v>
      </c>
      <c r="X198" s="773">
        <f t="shared" ref="X198:X206" ca="1" si="284">IF(LEFT(W198,1)="T",1,0)</f>
        <v>1</v>
      </c>
      <c r="Y198" s="773" t="str">
        <f t="shared" ref="Y198:Y206" ca="1" si="285">IF(X198=1,V198," ")</f>
        <v>Kình Dương</v>
      </c>
      <c r="AA198" s="773" t="str">
        <f t="shared" ref="AA198:AA206" ca="1" si="286">VLOOKUP(T63,$AA$153:$BF$195,32,0)</f>
        <v>Hóa Kỵ</v>
      </c>
      <c r="AB198" s="773" t="b">
        <f t="shared" ref="AB198:AB206" ca="1" si="287">ISTEXT(AA198)</f>
        <v>1</v>
      </c>
      <c r="AC198" s="773">
        <f t="shared" ref="AC198:AC206" ca="1" si="288">IF(LEFT(AB198,1)="T",1,0)</f>
        <v>1</v>
      </c>
      <c r="AD198" s="773" t="str">
        <f t="shared" ref="AD198:AD206" ca="1" si="289">IF(AC198=1,AA198," ")</f>
        <v>Hóa Kỵ</v>
      </c>
      <c r="AF198" s="773" t="str">
        <f t="shared" ref="AF198:AF206" ca="1" si="290">VLOOKUP(T63,$AD$153:$BF$195,29,0)</f>
        <v>Bạch Hổ</v>
      </c>
      <c r="AG198" s="773" t="b">
        <f t="shared" ref="AG198:AG206" ca="1" si="291">ISTEXT(AF198)</f>
        <v>1</v>
      </c>
      <c r="AH198" s="773">
        <f t="shared" ref="AH198:AH206" ca="1" si="292">IF(LEFT(AG198,1)="T",1,0)</f>
        <v>1</v>
      </c>
      <c r="AI198" s="773" t="str">
        <f t="shared" ref="AI198:AI206" ca="1" si="293">IF(AH198=1,AF198," ")</f>
        <v>Bạch Hổ</v>
      </c>
      <c r="AJ198" s="773" t="str">
        <f t="shared" ref="AJ198:AJ206" ca="1" si="294">VLOOKUP(T63,$AG$153:$BF$195,26,0)</f>
        <v>Địa Kiếp</v>
      </c>
      <c r="AK198" s="773" t="b">
        <f t="shared" ref="AK198:AK206" ca="1" si="295">ISTEXT(AJ198)</f>
        <v>1</v>
      </c>
      <c r="AL198" s="773">
        <f t="shared" ref="AL198:AL206" ca="1" si="296">IF(LEFT(AK198,1)="T",1,0)</f>
        <v>1</v>
      </c>
      <c r="AM198" s="773" t="str">
        <f t="shared" ref="AM198:AM206" ca="1" si="297">IF(AL198=1,AJ198," ")</f>
        <v>Địa Kiếp</v>
      </c>
      <c r="AN198" s="773" t="str">
        <f t="shared" ref="AN198:AN206" ca="1" si="298">VLOOKUP(T63,$AJ$153:$BF$195,23,0)</f>
        <v>Quả Tú</v>
      </c>
      <c r="AO198" s="773" t="b">
        <f t="shared" ref="AO198:AO206" ca="1" si="299">ISTEXT(AN198)</f>
        <v>1</v>
      </c>
      <c r="AP198" s="773">
        <f t="shared" ref="AP198:AP206" ca="1" si="300">IF(LEFT(AO198,1)="T",1,0)</f>
        <v>1</v>
      </c>
      <c r="AQ198" s="773" t="str">
        <f t="shared" ref="AQ198:AQ206" ca="1" si="301">IF(AP198=1,AN198," ")</f>
        <v>Quả Tú</v>
      </c>
      <c r="AR198" s="773" t="str">
        <f t="shared" ref="AR198:AR206" ca="1" si="302">VLOOKUP(T63,$AM$153:$BF$195,20,0)</f>
        <v>Phá Toái</v>
      </c>
      <c r="AS198" s="773" t="b">
        <f t="shared" ref="AS198:AS206" ca="1" si="303">ISTEXT(AR198)</f>
        <v>1</v>
      </c>
      <c r="AT198" s="773">
        <f t="shared" ref="AT198:AT206" ca="1" si="304">IF(LEFT(AS198,1)="T",1,0)</f>
        <v>1</v>
      </c>
      <c r="AU198" s="773" t="str">
        <f t="shared" ref="AU198:AU206" ca="1" si="305">IF(AT198=1,AR198," ")</f>
        <v>Phá Toái</v>
      </c>
      <c r="AV198" s="773" t="str">
        <f t="shared" ref="AV198:AV206" ca="1" si="306">VLOOKUP(T63,$AP$153:$BF$195,17,0)</f>
        <v>Thái Tuế</v>
      </c>
      <c r="AW198" s="773" t="b">
        <f t="shared" ref="AW198:AW206" ca="1" si="307">ISTEXT(AV198)</f>
        <v>1</v>
      </c>
      <c r="AX198" s="773">
        <f t="shared" ref="AX198:AX206" ca="1" si="308">IF(LEFT(AW198,1)="T",1,0)</f>
        <v>1</v>
      </c>
      <c r="AY198" s="773" t="str">
        <f t="shared" ref="AY198:AY206" ca="1" si="309">IF(AX198=1,AV198," ")</f>
        <v>Thái Tuế</v>
      </c>
      <c r="AZ198" s="773" t="str">
        <f t="shared" ref="AZ198:AZ206" ca="1" si="310">VLOOKUP(T63,$AS$153:$BF$195,14,0)</f>
        <v>Địa Không</v>
      </c>
      <c r="BA198" s="773" t="b">
        <f t="shared" ref="BA198:BA206" ca="1" si="311">ISTEXT(AZ198)</f>
        <v>1</v>
      </c>
      <c r="BB198" s="773">
        <f t="shared" ref="BB198:BB206" ca="1" si="312">IF(LEFT(BA198,1)="T",1,0)</f>
        <v>1</v>
      </c>
      <c r="BC198" s="773" t="str">
        <f t="shared" ref="BC198:BC206" ca="1" si="313">IF(BB198=1,AZ198," ")</f>
        <v>Địa Không</v>
      </c>
      <c r="BD198" s="773" t="str">
        <f t="shared" ref="BD198:BD206" ca="1" si="314">VLOOKUP(T63,$AV$153:$BF$195,11,0)</f>
        <v>Tang Môn</v>
      </c>
      <c r="BE198" s="773" t="b">
        <f t="shared" ref="BE198:BE206" ca="1" si="315">ISTEXT(BD198)</f>
        <v>1</v>
      </c>
      <c r="BF198" s="773">
        <f t="shared" ref="BF198:BF206" ca="1" si="316">IF(LEFT(BE198,1)="T",1,0)</f>
        <v>1</v>
      </c>
      <c r="BG198" s="773" t="str">
        <f t="shared" ref="BG198:BG206" ca="1" si="317">IF(BF198=1,BD198," ")</f>
        <v>Tang Môn</v>
      </c>
      <c r="BH198" s="773" t="str">
        <f t="shared" ref="BH198:BH206" ca="1" si="318">VLOOKUP(T63,$AY$153:$BF$195,8,0)</f>
        <v>Hỏa Tinh</v>
      </c>
      <c r="BI198" s="773" t="b">
        <f t="shared" ref="BI198:BI206" ca="1" si="319">ISTEXT(BH198)</f>
        <v>1</v>
      </c>
      <c r="BJ198" s="773">
        <f t="shared" ref="BJ198:BJ206" ca="1" si="320">IF(LEFT(BI198,1)="T",1,0)</f>
        <v>1</v>
      </c>
      <c r="BK198" s="773" t="str">
        <f t="shared" ref="BK198:BK206" ca="1" si="321">IF(BJ198=1,BH198," ")</f>
        <v>Hỏa Tinh</v>
      </c>
      <c r="BL198" s="773" t="str">
        <f t="shared" ref="BL198:BL206" ca="1" si="322">VLOOKUP(T63,$BB$153:$BF$195,5,0)</f>
        <v>Đà La</v>
      </c>
      <c r="BM198" s="773" t="b">
        <f t="shared" ref="BM198:BM206" ca="1" si="323">ISTEXT(BL198)</f>
        <v>1</v>
      </c>
      <c r="BN198" s="773">
        <f t="shared" ref="BN198:BN206" ca="1" si="324">IF(LEFT(BM198,1)="T",1,0)</f>
        <v>1</v>
      </c>
      <c r="BO198" s="773" t="str">
        <f t="shared" ref="BO198:BO206" ca="1" si="325">IF(BN198=1,BL198," ")</f>
        <v>Đà La</v>
      </c>
      <c r="BP198" s="773" t="str">
        <f t="shared" ref="BP198:BP206" ca="1" si="326">VLOOKUP(T63,$BE$153:$BF$195,2,0)</f>
        <v>Kiếp Sát</v>
      </c>
      <c r="BQ198" s="773" t="b">
        <f t="shared" ref="BQ198:BQ206" ca="1" si="327">ISTEXT(BP198)</f>
        <v>1</v>
      </c>
      <c r="BR198" s="773">
        <f t="shared" ref="BR198:BR206" ca="1" si="328">IF(LEFT(BQ198,1)="T",1,0)</f>
        <v>1</v>
      </c>
      <c r="BS198" s="773" t="str">
        <f t="shared" ref="BS198:BS206" ca="1" si="329">IF(BR198=1,BP198," ")</f>
        <v>Kiếp Sát</v>
      </c>
    </row>
    <row r="199" spans="1:71" ht="15">
      <c r="A199" s="806" t="s">
        <v>7880</v>
      </c>
      <c r="B199" s="855" t="s">
        <v>9299</v>
      </c>
      <c r="C199" s="855" t="s">
        <v>9300</v>
      </c>
      <c r="D199" s="855" t="s">
        <v>1402</v>
      </c>
      <c r="E199" s="855" t="s">
        <v>9301</v>
      </c>
      <c r="F199" s="855" t="s">
        <v>353</v>
      </c>
      <c r="G199" s="855" t="s">
        <v>1399</v>
      </c>
      <c r="H199" s="855" t="s">
        <v>505</v>
      </c>
      <c r="I199" s="806" t="s">
        <v>7871</v>
      </c>
      <c r="J199" s="855" t="s">
        <v>506</v>
      </c>
      <c r="K199" s="855" t="s">
        <v>507</v>
      </c>
      <c r="L199" s="855" t="s">
        <v>9297</v>
      </c>
      <c r="M199" s="855" t="s">
        <v>9298</v>
      </c>
      <c r="O199" s="787">
        <v>11</v>
      </c>
      <c r="P199" s="773" t="s">
        <v>8434</v>
      </c>
      <c r="Q199" s="773">
        <v>2</v>
      </c>
      <c r="R199" s="796" t="e">
        <f ca="1">VLOOKUP(H36,$P$189:$Q$241,2,0)</f>
        <v>#N/A</v>
      </c>
      <c r="S199" s="773" t="e">
        <f t="shared" ca="1" si="281"/>
        <v>#N/A</v>
      </c>
      <c r="V199" s="773" t="str">
        <f t="shared" ca="1" si="282"/>
        <v>Thiên Hư</v>
      </c>
      <c r="W199" s="773" t="b">
        <f t="shared" ca="1" si="283"/>
        <v>1</v>
      </c>
      <c r="X199" s="773">
        <f t="shared" ca="1" si="284"/>
        <v>1</v>
      </c>
      <c r="Y199" s="773" t="str">
        <f t="shared" ca="1" si="285"/>
        <v>Thiên Hư</v>
      </c>
      <c r="AA199" s="773" t="str">
        <f t="shared" ca="1" si="286"/>
        <v>Thiên Riêu</v>
      </c>
      <c r="AB199" s="773" t="b">
        <f t="shared" ca="1" si="287"/>
        <v>1</v>
      </c>
      <c r="AC199" s="773">
        <f t="shared" ca="1" si="288"/>
        <v>1</v>
      </c>
      <c r="AD199" s="773" t="str">
        <f t="shared" ca="1" si="289"/>
        <v>Thiên Riêu</v>
      </c>
      <c r="AF199" s="773" t="str">
        <f t="shared" ca="1" si="290"/>
        <v>Đại Hao</v>
      </c>
      <c r="AG199" s="773" t="b">
        <f t="shared" ca="1" si="291"/>
        <v>1</v>
      </c>
      <c r="AH199" s="773">
        <f t="shared" ca="1" si="292"/>
        <v>1</v>
      </c>
      <c r="AI199" s="773" t="str">
        <f t="shared" ca="1" si="293"/>
        <v>Đại Hao</v>
      </c>
      <c r="AJ199" s="773" t="str">
        <f t="shared" ca="1" si="294"/>
        <v>Bệnh Phù</v>
      </c>
      <c r="AK199" s="773" t="b">
        <f t="shared" ca="1" si="295"/>
        <v>1</v>
      </c>
      <c r="AL199" s="773">
        <f t="shared" ca="1" si="296"/>
        <v>1</v>
      </c>
      <c r="AM199" s="773" t="str">
        <f t="shared" ca="1" si="297"/>
        <v>Bệnh Phù</v>
      </c>
      <c r="AN199" s="773" t="str">
        <f t="shared" ca="1" si="298"/>
        <v>Điếu Khách</v>
      </c>
      <c r="AO199" s="773" t="b">
        <f t="shared" ca="1" si="299"/>
        <v>1</v>
      </c>
      <c r="AP199" s="773">
        <f t="shared" ca="1" si="300"/>
        <v>1</v>
      </c>
      <c r="AQ199" s="773" t="str">
        <f t="shared" ca="1" si="301"/>
        <v>Điếu Khách</v>
      </c>
      <c r="AR199" s="773" t="str">
        <f t="shared" ca="1" si="302"/>
        <v>Trực Phù</v>
      </c>
      <c r="AS199" s="773" t="b">
        <f t="shared" ca="1" si="303"/>
        <v>1</v>
      </c>
      <c r="AT199" s="773">
        <f t="shared" ca="1" si="304"/>
        <v>1</v>
      </c>
      <c r="AU199" s="773" t="str">
        <f t="shared" ca="1" si="305"/>
        <v>Trực Phù</v>
      </c>
      <c r="AV199" s="773" t="e">
        <f t="shared" ca="1" si="306"/>
        <v>#N/A</v>
      </c>
      <c r="AW199" s="773" t="b">
        <f t="shared" ca="1" si="307"/>
        <v>0</v>
      </c>
      <c r="AX199" s="773">
        <f t="shared" ca="1" si="308"/>
        <v>0</v>
      </c>
      <c r="AY199" s="773" t="str">
        <f t="shared" ca="1" si="309"/>
        <v xml:space="preserve"> </v>
      </c>
      <c r="AZ199" s="773" t="str">
        <f t="shared" ca="1" si="310"/>
        <v>Linh Tinh</v>
      </c>
      <c r="BA199" s="773" t="b">
        <f t="shared" ca="1" si="311"/>
        <v>1</v>
      </c>
      <c r="BB199" s="773">
        <f t="shared" ca="1" si="312"/>
        <v>1</v>
      </c>
      <c r="BC199" s="773" t="str">
        <f t="shared" ca="1" si="313"/>
        <v>Linh Tinh</v>
      </c>
      <c r="BD199" s="773" t="str">
        <f t="shared" ca="1" si="314"/>
        <v>Cô Thần</v>
      </c>
      <c r="BE199" s="773" t="b">
        <f t="shared" ca="1" si="315"/>
        <v>1</v>
      </c>
      <c r="BF199" s="773">
        <f t="shared" ca="1" si="316"/>
        <v>1</v>
      </c>
      <c r="BG199" s="773" t="str">
        <f t="shared" ca="1" si="317"/>
        <v>Cô Thần</v>
      </c>
      <c r="BH199" s="773" t="str">
        <f t="shared" ca="1" si="318"/>
        <v>Thiên Hình</v>
      </c>
      <c r="BI199" s="773" t="b">
        <f t="shared" ca="1" si="319"/>
        <v>1</v>
      </c>
      <c r="BJ199" s="773">
        <f t="shared" ca="1" si="320"/>
        <v>1</v>
      </c>
      <c r="BK199" s="773" t="str">
        <f t="shared" ca="1" si="321"/>
        <v>Thiên Hình</v>
      </c>
      <c r="BL199" s="773" t="str">
        <f t="shared" ca="1" si="322"/>
        <v>Tử</v>
      </c>
      <c r="BM199" s="773" t="b">
        <f t="shared" ca="1" si="323"/>
        <v>1</v>
      </c>
      <c r="BN199" s="773">
        <f t="shared" ca="1" si="324"/>
        <v>1</v>
      </c>
      <c r="BO199" s="773" t="str">
        <f t="shared" ca="1" si="325"/>
        <v>Tử</v>
      </c>
      <c r="BP199" s="773" t="str">
        <f t="shared" ca="1" si="326"/>
        <v>Lưu Hà</v>
      </c>
      <c r="BQ199" s="773" t="b">
        <f t="shared" ca="1" si="327"/>
        <v>1</v>
      </c>
      <c r="BR199" s="773">
        <f t="shared" ca="1" si="328"/>
        <v>1</v>
      </c>
      <c r="BS199" s="773" t="str">
        <f t="shared" ca="1" si="329"/>
        <v>Lưu Hà</v>
      </c>
    </row>
    <row r="200" spans="1:71" ht="30">
      <c r="A200" s="806" t="s">
        <v>7877</v>
      </c>
      <c r="B200" s="855" t="s">
        <v>9300</v>
      </c>
      <c r="C200" s="855" t="s">
        <v>1402</v>
      </c>
      <c r="D200" s="855" t="s">
        <v>9301</v>
      </c>
      <c r="E200" s="855" t="s">
        <v>353</v>
      </c>
      <c r="F200" s="855" t="s">
        <v>1399</v>
      </c>
      <c r="G200" s="855" t="s">
        <v>505</v>
      </c>
      <c r="H200" s="806" t="s">
        <v>7871</v>
      </c>
      <c r="I200" s="855" t="s">
        <v>506</v>
      </c>
      <c r="J200" s="855" t="s">
        <v>507</v>
      </c>
      <c r="K200" s="855" t="s">
        <v>9297</v>
      </c>
      <c r="L200" s="855" t="s">
        <v>9298</v>
      </c>
      <c r="M200" s="855" t="s">
        <v>9299</v>
      </c>
      <c r="O200" s="787">
        <v>12</v>
      </c>
      <c r="P200" s="773" t="s">
        <v>8435</v>
      </c>
      <c r="Q200" s="773">
        <v>2</v>
      </c>
      <c r="R200" s="796" t="e">
        <f t="shared" ref="R200:R207" ca="1" si="330">VLOOKUP(D33,$P$189:$Q$241,2,0)</f>
        <v>#N/A</v>
      </c>
      <c r="S200" s="773" t="e">
        <f t="shared" ca="1" si="281"/>
        <v>#N/A</v>
      </c>
      <c r="V200" s="773" t="str">
        <f t="shared" ca="1" si="282"/>
        <v>Thiên Khốc</v>
      </c>
      <c r="W200" s="773" t="b">
        <f t="shared" ca="1" si="283"/>
        <v>1</v>
      </c>
      <c r="X200" s="773">
        <f t="shared" ca="1" si="284"/>
        <v>1</v>
      </c>
      <c r="Y200" s="773" t="str">
        <f t="shared" ca="1" si="285"/>
        <v>Thiên Khốc</v>
      </c>
      <c r="AA200" s="773" t="str">
        <f t="shared" ca="1" si="286"/>
        <v>Thiên Y</v>
      </c>
      <c r="AB200" s="773" t="b">
        <f t="shared" ca="1" si="287"/>
        <v>1</v>
      </c>
      <c r="AC200" s="773">
        <f t="shared" ca="1" si="288"/>
        <v>1</v>
      </c>
      <c r="AD200" s="773" t="str">
        <f t="shared" ca="1" si="289"/>
        <v>Thiên Y</v>
      </c>
      <c r="AF200" s="773" t="e">
        <f t="shared" ca="1" si="290"/>
        <v>#N/A</v>
      </c>
      <c r="AG200" s="773" t="b">
        <f t="shared" ca="1" si="291"/>
        <v>0</v>
      </c>
      <c r="AH200" s="773">
        <f t="shared" ca="1" si="292"/>
        <v>0</v>
      </c>
      <c r="AI200" s="773" t="str">
        <f t="shared" ca="1" si="293"/>
        <v xml:space="preserve"> </v>
      </c>
      <c r="AJ200" s="773" t="str">
        <f t="shared" ca="1" si="294"/>
        <v>Thiên Thương</v>
      </c>
      <c r="AK200" s="773" t="b">
        <f t="shared" ca="1" si="295"/>
        <v>1</v>
      </c>
      <c r="AL200" s="773">
        <f t="shared" ca="1" si="296"/>
        <v>1</v>
      </c>
      <c r="AM200" s="773" t="str">
        <f t="shared" ca="1" si="297"/>
        <v>Thiên Thương</v>
      </c>
      <c r="AN200" s="773" t="str">
        <f t="shared" ca="1" si="298"/>
        <v>Thiên La</v>
      </c>
      <c r="AO200" s="773" t="b">
        <f t="shared" ca="1" si="299"/>
        <v>1</v>
      </c>
      <c r="AP200" s="773">
        <f t="shared" ca="1" si="300"/>
        <v>1</v>
      </c>
      <c r="AQ200" s="773" t="str">
        <f t="shared" ca="1" si="301"/>
        <v>Thiên La</v>
      </c>
      <c r="AR200" s="773" t="str">
        <f t="shared" ca="1" si="302"/>
        <v>Thiên Sứ</v>
      </c>
      <c r="AS200" s="773" t="b">
        <f t="shared" ca="1" si="303"/>
        <v>1</v>
      </c>
      <c r="AT200" s="773">
        <f t="shared" ca="1" si="304"/>
        <v>1</v>
      </c>
      <c r="AU200" s="773" t="str">
        <f t="shared" ca="1" si="305"/>
        <v>Thiên Sứ</v>
      </c>
      <c r="AV200" s="773" t="e">
        <f t="shared" ca="1" si="306"/>
        <v>#N/A</v>
      </c>
      <c r="AW200" s="773" t="b">
        <f t="shared" ca="1" si="307"/>
        <v>0</v>
      </c>
      <c r="AX200" s="773">
        <f t="shared" ca="1" si="308"/>
        <v>0</v>
      </c>
      <c r="AY200" s="773" t="str">
        <f t="shared" ca="1" si="309"/>
        <v xml:space="preserve"> </v>
      </c>
      <c r="AZ200" s="773" t="str">
        <f t="shared" ca="1" si="310"/>
        <v>Thiên Không</v>
      </c>
      <c r="BA200" s="773" t="b">
        <f t="shared" ca="1" si="311"/>
        <v>1</v>
      </c>
      <c r="BB200" s="773">
        <f t="shared" ca="1" si="312"/>
        <v>1</v>
      </c>
      <c r="BC200" s="773" t="str">
        <f t="shared" ca="1" si="313"/>
        <v>Thiên Không</v>
      </c>
      <c r="BD200" s="773" t="str">
        <f t="shared" ca="1" si="314"/>
        <v>Tiểu Hao</v>
      </c>
      <c r="BE200" s="773" t="b">
        <f t="shared" ca="1" si="315"/>
        <v>1</v>
      </c>
      <c r="BF200" s="773">
        <f t="shared" ca="1" si="316"/>
        <v>1</v>
      </c>
      <c r="BG200" s="773" t="str">
        <f t="shared" ca="1" si="317"/>
        <v>Tiểu Hao</v>
      </c>
      <c r="BH200" s="773" t="str">
        <f t="shared" ca="1" si="318"/>
        <v>Mộ</v>
      </c>
      <c r="BI200" s="773" t="b">
        <f t="shared" ca="1" si="319"/>
        <v>1</v>
      </c>
      <c r="BJ200" s="773">
        <f t="shared" ca="1" si="320"/>
        <v>1</v>
      </c>
      <c r="BK200" s="773" t="str">
        <f t="shared" ca="1" si="321"/>
        <v>Mộ</v>
      </c>
      <c r="BL200" s="773" t="str">
        <f t="shared" ca="1" si="322"/>
        <v>Quan Phù</v>
      </c>
      <c r="BM200" s="773" t="b">
        <f t="shared" ca="1" si="323"/>
        <v>1</v>
      </c>
      <c r="BN200" s="773">
        <f t="shared" ca="1" si="324"/>
        <v>1</v>
      </c>
      <c r="BO200" s="773" t="str">
        <f t="shared" ca="1" si="325"/>
        <v>Quan Phù</v>
      </c>
      <c r="BP200" s="773" t="str">
        <f t="shared" ca="1" si="326"/>
        <v>Bệnh</v>
      </c>
      <c r="BQ200" s="773" t="b">
        <f t="shared" ca="1" si="327"/>
        <v>1</v>
      </c>
      <c r="BR200" s="773">
        <f t="shared" ca="1" si="328"/>
        <v>1</v>
      </c>
      <c r="BS200" s="773" t="str">
        <f t="shared" ca="1" si="329"/>
        <v>Bệnh</v>
      </c>
    </row>
    <row r="201" spans="1:71" ht="15">
      <c r="A201" s="855"/>
      <c r="B201" s="855"/>
      <c r="C201" s="855"/>
      <c r="D201" s="855"/>
      <c r="E201" s="855"/>
      <c r="F201" s="855"/>
      <c r="G201" s="855"/>
      <c r="H201" s="855"/>
      <c r="I201" s="855"/>
      <c r="J201" s="855"/>
      <c r="K201" s="855"/>
      <c r="L201" s="855"/>
      <c r="M201" s="855"/>
      <c r="O201" s="787">
        <v>13</v>
      </c>
      <c r="P201" s="773" t="s">
        <v>8436</v>
      </c>
      <c r="Q201" s="773">
        <v>5</v>
      </c>
      <c r="R201" s="796">
        <f t="shared" ca="1" si="330"/>
        <v>5</v>
      </c>
      <c r="S201" s="773" t="e">
        <f t="shared" ref="S201:S208" ca="1" si="331">VLOOKUP(I3,$P$145:$R$187,3,0)</f>
        <v>#N/A</v>
      </c>
      <c r="V201" s="773" t="str">
        <f t="shared" ca="1" si="282"/>
        <v>Suy</v>
      </c>
      <c r="W201" s="773" t="b">
        <f t="shared" ca="1" si="283"/>
        <v>1</v>
      </c>
      <c r="X201" s="773">
        <f t="shared" ca="1" si="284"/>
        <v>1</v>
      </c>
      <c r="Y201" s="773" t="str">
        <f t="shared" ca="1" si="285"/>
        <v>Suy</v>
      </c>
      <c r="AA201" s="773" t="str">
        <f t="shared" ca="1" si="286"/>
        <v>Phục Binh</v>
      </c>
      <c r="AB201" s="773" t="b">
        <f t="shared" ca="1" si="287"/>
        <v>1</v>
      </c>
      <c r="AC201" s="773">
        <f t="shared" ca="1" si="288"/>
        <v>1</v>
      </c>
      <c r="AD201" s="773" t="str">
        <f t="shared" ca="1" si="289"/>
        <v>Phục Binh</v>
      </c>
      <c r="AF201" s="773" t="e">
        <f t="shared" ca="1" si="290"/>
        <v>#N/A</v>
      </c>
      <c r="AG201" s="773" t="b">
        <f t="shared" ca="1" si="291"/>
        <v>0</v>
      </c>
      <c r="AH201" s="773">
        <f t="shared" ca="1" si="292"/>
        <v>0</v>
      </c>
      <c r="AI201" s="773" t="str">
        <f t="shared" ca="1" si="293"/>
        <v xml:space="preserve"> </v>
      </c>
      <c r="AJ201" s="773" t="e">
        <f t="shared" ca="1" si="294"/>
        <v>#N/A</v>
      </c>
      <c r="AK201" s="773" t="b">
        <f t="shared" ca="1" si="295"/>
        <v>0</v>
      </c>
      <c r="AL201" s="773">
        <f t="shared" ca="1" si="296"/>
        <v>0</v>
      </c>
      <c r="AM201" s="773" t="str">
        <f t="shared" ca="1" si="297"/>
        <v xml:space="preserve"> </v>
      </c>
      <c r="AN201" s="773" t="e">
        <f t="shared" ca="1" si="298"/>
        <v>#N/A</v>
      </c>
      <c r="AO201" s="773" t="b">
        <f t="shared" ca="1" si="299"/>
        <v>0</v>
      </c>
      <c r="AP201" s="773">
        <f t="shared" ca="1" si="300"/>
        <v>0</v>
      </c>
      <c r="AQ201" s="773" t="str">
        <f t="shared" ca="1" si="301"/>
        <v xml:space="preserve"> </v>
      </c>
      <c r="AR201" s="773" t="e">
        <f t="shared" ca="1" si="302"/>
        <v>#N/A</v>
      </c>
      <c r="AS201" s="773" t="b">
        <f t="shared" ca="1" si="303"/>
        <v>0</v>
      </c>
      <c r="AT201" s="773">
        <f t="shared" ca="1" si="304"/>
        <v>0</v>
      </c>
      <c r="AU201" s="773" t="str">
        <f t="shared" ca="1" si="305"/>
        <v xml:space="preserve"> </v>
      </c>
      <c r="AV201" s="773" t="e">
        <f t="shared" ca="1" si="306"/>
        <v>#N/A</v>
      </c>
      <c r="AW201" s="773" t="b">
        <f t="shared" ca="1" si="307"/>
        <v>0</v>
      </c>
      <c r="AX201" s="773">
        <f t="shared" ca="1" si="308"/>
        <v>0</v>
      </c>
      <c r="AY201" s="773" t="str">
        <f t="shared" ca="1" si="309"/>
        <v xml:space="preserve"> </v>
      </c>
      <c r="AZ201" s="773" t="str">
        <f t="shared" ca="1" si="310"/>
        <v>Thai</v>
      </c>
      <c r="BA201" s="773" t="b">
        <f t="shared" ca="1" si="311"/>
        <v>1</v>
      </c>
      <c r="BB201" s="773">
        <f t="shared" ca="1" si="312"/>
        <v>1</v>
      </c>
      <c r="BC201" s="773" t="str">
        <f t="shared" ca="1" si="313"/>
        <v>Thai</v>
      </c>
      <c r="BD201" s="773" t="str">
        <f t="shared" ca="1" si="314"/>
        <v>Tuyệt</v>
      </c>
      <c r="BE201" s="773" t="b">
        <f t="shared" ca="1" si="315"/>
        <v>1</v>
      </c>
      <c r="BF201" s="773">
        <f t="shared" ca="1" si="316"/>
        <v>1</v>
      </c>
      <c r="BG201" s="773" t="str">
        <f t="shared" ca="1" si="317"/>
        <v>Tuyệt</v>
      </c>
      <c r="BH201" s="773" t="e">
        <f t="shared" ca="1" si="318"/>
        <v>#N/A</v>
      </c>
      <c r="BI201" s="773" t="b">
        <f t="shared" ca="1" si="319"/>
        <v>0</v>
      </c>
      <c r="BJ201" s="773">
        <f t="shared" ca="1" si="320"/>
        <v>0</v>
      </c>
      <c r="BK201" s="773" t="str">
        <f t="shared" ca="1" si="321"/>
        <v xml:space="preserve"> </v>
      </c>
      <c r="BL201" s="773" t="str">
        <f t="shared" ca="1" si="322"/>
        <v>Địa Võng</v>
      </c>
      <c r="BM201" s="773" t="b">
        <f t="shared" ca="1" si="323"/>
        <v>1</v>
      </c>
      <c r="BN201" s="773">
        <f t="shared" ca="1" si="324"/>
        <v>1</v>
      </c>
      <c r="BO201" s="773" t="str">
        <f t="shared" ca="1" si="325"/>
        <v>Địa Võng</v>
      </c>
      <c r="BP201" s="773" t="str">
        <f t="shared" ca="1" si="326"/>
        <v>Tử Phù</v>
      </c>
      <c r="BQ201" s="773" t="b">
        <f t="shared" ca="1" si="327"/>
        <v>1</v>
      </c>
      <c r="BR201" s="773">
        <f t="shared" ca="1" si="328"/>
        <v>1</v>
      </c>
      <c r="BS201" s="773" t="str">
        <f t="shared" ca="1" si="329"/>
        <v>Tử Phù</v>
      </c>
    </row>
    <row r="202" spans="1:71" ht="25.5">
      <c r="A202" s="941"/>
      <c r="B202" s="912" t="str">
        <f t="shared" ref="B202:M202" ca="1" si="332">VLOOKUP($G$17,$A$187:$M$200,B123,0)</f>
        <v>Ngọ</v>
      </c>
      <c r="C202" s="912" t="str">
        <f t="shared" ca="1" si="332"/>
        <v>Mùi</v>
      </c>
      <c r="D202" s="912" t="str">
        <f t="shared" ca="1" si="332"/>
        <v>Thân</v>
      </c>
      <c r="E202" s="912" t="str">
        <f t="shared" ca="1" si="332"/>
        <v>Dậu</v>
      </c>
      <c r="F202" s="912" t="str">
        <f t="shared" ca="1" si="332"/>
        <v>Tuất</v>
      </c>
      <c r="G202" s="912" t="str">
        <f t="shared" ca="1" si="332"/>
        <v>Hợi</v>
      </c>
      <c r="H202" s="912" t="str">
        <f t="shared" ca="1" si="332"/>
        <v>Tý</v>
      </c>
      <c r="I202" s="912" t="str">
        <f t="shared" ca="1" si="332"/>
        <v>Sửu</v>
      </c>
      <c r="J202" s="912" t="str">
        <f t="shared" ca="1" si="332"/>
        <v>Dần</v>
      </c>
      <c r="K202" s="912" t="str">
        <f t="shared" ca="1" si="332"/>
        <v>Mão</v>
      </c>
      <c r="L202" s="912" t="str">
        <f t="shared" ca="1" si="332"/>
        <v>Thìn</v>
      </c>
      <c r="M202" s="912" t="str">
        <f t="shared" ca="1" si="332"/>
        <v>tỵ</v>
      </c>
      <c r="O202" s="787">
        <v>14</v>
      </c>
      <c r="P202" s="856" t="s">
        <v>8437</v>
      </c>
      <c r="Q202" s="773">
        <v>2</v>
      </c>
      <c r="R202" s="796">
        <f t="shared" ca="1" si="330"/>
        <v>4</v>
      </c>
      <c r="S202" s="773">
        <f t="shared" ca="1" si="331"/>
        <v>1</v>
      </c>
      <c r="V202" s="773" t="str">
        <f t="shared" ca="1" si="282"/>
        <v>Tuế Phá</v>
      </c>
      <c r="W202" s="773" t="b">
        <f t="shared" ca="1" si="283"/>
        <v>1</v>
      </c>
      <c r="X202" s="773">
        <f t="shared" ca="1" si="284"/>
        <v>1</v>
      </c>
      <c r="Y202" s="773" t="str">
        <f t="shared" ca="1" si="285"/>
        <v>Tuế Phá</v>
      </c>
      <c r="AA202" s="773" t="e">
        <f t="shared" ca="1" si="286"/>
        <v>#N/A</v>
      </c>
      <c r="AB202" s="773" t="b">
        <f t="shared" ca="1" si="287"/>
        <v>0</v>
      </c>
      <c r="AC202" s="773">
        <f t="shared" ca="1" si="288"/>
        <v>0</v>
      </c>
      <c r="AD202" s="773" t="str">
        <f t="shared" ca="1" si="289"/>
        <v xml:space="preserve"> </v>
      </c>
      <c r="AF202" s="773" t="e">
        <f t="shared" ca="1" si="290"/>
        <v>#N/A</v>
      </c>
      <c r="AG202" s="773" t="b">
        <f t="shared" ca="1" si="291"/>
        <v>0</v>
      </c>
      <c r="AH202" s="773">
        <f t="shared" ca="1" si="292"/>
        <v>0</v>
      </c>
      <c r="AI202" s="773" t="str">
        <f t="shared" ca="1" si="293"/>
        <v xml:space="preserve"> </v>
      </c>
      <c r="AJ202" s="773" t="e">
        <f t="shared" ca="1" si="294"/>
        <v>#N/A</v>
      </c>
      <c r="AK202" s="773" t="b">
        <f t="shared" ca="1" si="295"/>
        <v>0</v>
      </c>
      <c r="AL202" s="773">
        <f t="shared" ca="1" si="296"/>
        <v>0</v>
      </c>
      <c r="AM202" s="773" t="str">
        <f t="shared" ca="1" si="297"/>
        <v xml:space="preserve"> </v>
      </c>
      <c r="AN202" s="773" t="e">
        <f t="shared" ca="1" si="298"/>
        <v>#N/A</v>
      </c>
      <c r="AO202" s="773" t="b">
        <f t="shared" ca="1" si="299"/>
        <v>0</v>
      </c>
      <c r="AP202" s="773">
        <f t="shared" ca="1" si="300"/>
        <v>0</v>
      </c>
      <c r="AQ202" s="773" t="str">
        <f t="shared" ca="1" si="301"/>
        <v xml:space="preserve"> </v>
      </c>
      <c r="AR202" s="773" t="e">
        <f t="shared" ca="1" si="302"/>
        <v>#N/A</v>
      </c>
      <c r="AS202" s="773" t="b">
        <f t="shared" ca="1" si="303"/>
        <v>0</v>
      </c>
      <c r="AT202" s="773">
        <f t="shared" ca="1" si="304"/>
        <v>0</v>
      </c>
      <c r="AU202" s="773" t="str">
        <f t="shared" ca="1" si="305"/>
        <v xml:space="preserve"> </v>
      </c>
      <c r="AV202" s="773" t="e">
        <f t="shared" ca="1" si="306"/>
        <v>#N/A</v>
      </c>
      <c r="AW202" s="773" t="b">
        <f t="shared" ca="1" si="307"/>
        <v>0</v>
      </c>
      <c r="AX202" s="773">
        <f t="shared" ca="1" si="308"/>
        <v>0</v>
      </c>
      <c r="AY202" s="773" t="str">
        <f t="shared" ca="1" si="309"/>
        <v xml:space="preserve"> </v>
      </c>
      <c r="AZ202" s="773" t="e">
        <f t="shared" ca="1" si="310"/>
        <v>#N/A</v>
      </c>
      <c r="BA202" s="773" t="b">
        <f t="shared" ca="1" si="311"/>
        <v>0</v>
      </c>
      <c r="BB202" s="773">
        <f t="shared" ca="1" si="312"/>
        <v>0</v>
      </c>
      <c r="BC202" s="773" t="str">
        <f t="shared" ca="1" si="313"/>
        <v xml:space="preserve"> </v>
      </c>
      <c r="BD202" s="773" t="e">
        <f t="shared" ca="1" si="314"/>
        <v>#N/A</v>
      </c>
      <c r="BE202" s="773" t="b">
        <f t="shared" ca="1" si="315"/>
        <v>0</v>
      </c>
      <c r="BF202" s="773">
        <f t="shared" ca="1" si="316"/>
        <v>0</v>
      </c>
      <c r="BG202" s="773" t="str">
        <f t="shared" ca="1" si="317"/>
        <v xml:space="preserve"> </v>
      </c>
      <c r="BH202" s="773" t="e">
        <f t="shared" ca="1" si="318"/>
        <v>#N/A</v>
      </c>
      <c r="BI202" s="773" t="b">
        <f t="shared" ca="1" si="319"/>
        <v>0</v>
      </c>
      <c r="BJ202" s="773">
        <f t="shared" ca="1" si="320"/>
        <v>0</v>
      </c>
      <c r="BK202" s="773" t="str">
        <f t="shared" ca="1" si="321"/>
        <v xml:space="preserve"> </v>
      </c>
      <c r="BL202" s="773" t="str">
        <f t="shared" ca="1" si="322"/>
        <v>Đẩu Quân</v>
      </c>
      <c r="BM202" s="773" t="b">
        <f t="shared" ca="1" si="323"/>
        <v>1</v>
      </c>
      <c r="BN202" s="773">
        <f t="shared" ca="1" si="324"/>
        <v>1</v>
      </c>
      <c r="BO202" s="773" t="str">
        <f t="shared" ca="1" si="325"/>
        <v>Đẩu Quân</v>
      </c>
      <c r="BP202" s="773" t="e">
        <f t="shared" ca="1" si="326"/>
        <v>#N/A</v>
      </c>
      <c r="BQ202" s="773" t="b">
        <f t="shared" ca="1" si="327"/>
        <v>0</v>
      </c>
      <c r="BR202" s="773">
        <f t="shared" ca="1" si="328"/>
        <v>0</v>
      </c>
      <c r="BS202" s="773" t="str">
        <f t="shared" ca="1" si="329"/>
        <v xml:space="preserve"> </v>
      </c>
    </row>
    <row r="203" spans="1:71">
      <c r="A203" s="806"/>
      <c r="O203" s="787">
        <v>15</v>
      </c>
      <c r="P203" s="856" t="s">
        <v>6597</v>
      </c>
      <c r="Q203" s="773">
        <v>2</v>
      </c>
      <c r="R203" s="796" t="e">
        <f t="shared" ca="1" si="330"/>
        <v>#N/A</v>
      </c>
      <c r="S203" s="773">
        <f t="shared" ca="1" si="331"/>
        <v>1</v>
      </c>
      <c r="V203" s="773" t="str">
        <f t="shared" ca="1" si="282"/>
        <v>Quan Phủ</v>
      </c>
      <c r="W203" s="773" t="b">
        <f t="shared" ca="1" si="283"/>
        <v>1</v>
      </c>
      <c r="X203" s="773">
        <f t="shared" ca="1" si="284"/>
        <v>1</v>
      </c>
      <c r="Y203" s="773" t="str">
        <f t="shared" ca="1" si="285"/>
        <v>Quan Phủ</v>
      </c>
      <c r="AA203" s="773" t="e">
        <f t="shared" ca="1" si="286"/>
        <v>#N/A</v>
      </c>
      <c r="AB203" s="773" t="b">
        <f t="shared" ca="1" si="287"/>
        <v>0</v>
      </c>
      <c r="AC203" s="773">
        <f t="shared" ca="1" si="288"/>
        <v>0</v>
      </c>
      <c r="AD203" s="773" t="str">
        <f t="shared" ca="1" si="289"/>
        <v xml:space="preserve"> </v>
      </c>
      <c r="AF203" s="773" t="e">
        <f t="shared" ca="1" si="290"/>
        <v>#N/A</v>
      </c>
      <c r="AG203" s="773" t="b">
        <f t="shared" ca="1" si="291"/>
        <v>0</v>
      </c>
      <c r="AH203" s="773">
        <f t="shared" ca="1" si="292"/>
        <v>0</v>
      </c>
      <c r="AI203" s="773" t="str">
        <f t="shared" ca="1" si="293"/>
        <v xml:space="preserve"> </v>
      </c>
      <c r="AJ203" s="773" t="e">
        <f t="shared" ca="1" si="294"/>
        <v>#N/A</v>
      </c>
      <c r="AK203" s="773" t="b">
        <f t="shared" ca="1" si="295"/>
        <v>0</v>
      </c>
      <c r="AL203" s="773">
        <f t="shared" ca="1" si="296"/>
        <v>0</v>
      </c>
      <c r="AM203" s="773" t="str">
        <f t="shared" ca="1" si="297"/>
        <v xml:space="preserve"> </v>
      </c>
      <c r="AN203" s="773" t="e">
        <f t="shared" ca="1" si="298"/>
        <v>#N/A</v>
      </c>
      <c r="AO203" s="773" t="b">
        <f t="shared" ca="1" si="299"/>
        <v>0</v>
      </c>
      <c r="AP203" s="773">
        <f t="shared" ca="1" si="300"/>
        <v>0</v>
      </c>
      <c r="AQ203" s="773" t="str">
        <f t="shared" ca="1" si="301"/>
        <v xml:space="preserve"> </v>
      </c>
      <c r="AR203" s="773" t="e">
        <f t="shared" ca="1" si="302"/>
        <v>#N/A</v>
      </c>
      <c r="AS203" s="773" t="b">
        <f t="shared" ca="1" si="303"/>
        <v>0</v>
      </c>
      <c r="AT203" s="773">
        <f t="shared" ca="1" si="304"/>
        <v>0</v>
      </c>
      <c r="AU203" s="773" t="str">
        <f t="shared" ca="1" si="305"/>
        <v xml:space="preserve"> </v>
      </c>
      <c r="AV203" s="773" t="e">
        <f t="shared" ca="1" si="306"/>
        <v>#N/A</v>
      </c>
      <c r="AW203" s="773" t="b">
        <f t="shared" ca="1" si="307"/>
        <v>0</v>
      </c>
      <c r="AX203" s="773">
        <f t="shared" ca="1" si="308"/>
        <v>0</v>
      </c>
      <c r="AY203" s="773" t="str">
        <f t="shared" ca="1" si="309"/>
        <v xml:space="preserve"> </v>
      </c>
      <c r="AZ203" s="773" t="e">
        <f t="shared" ca="1" si="310"/>
        <v>#N/A</v>
      </c>
      <c r="BA203" s="773" t="b">
        <f t="shared" ca="1" si="311"/>
        <v>0</v>
      </c>
      <c r="BB203" s="773">
        <f t="shared" ca="1" si="312"/>
        <v>0</v>
      </c>
      <c r="BC203" s="773" t="str">
        <f t="shared" ca="1" si="313"/>
        <v xml:space="preserve"> </v>
      </c>
      <c r="BD203" s="773" t="e">
        <f t="shared" ca="1" si="314"/>
        <v>#N/A</v>
      </c>
      <c r="BE203" s="773" t="b">
        <f t="shared" ca="1" si="315"/>
        <v>0</v>
      </c>
      <c r="BF203" s="773">
        <f t="shared" ca="1" si="316"/>
        <v>0</v>
      </c>
      <c r="BG203" s="773" t="str">
        <f t="shared" ca="1" si="317"/>
        <v xml:space="preserve"> </v>
      </c>
      <c r="BH203" s="773" t="e">
        <f t="shared" ca="1" si="318"/>
        <v>#N/A</v>
      </c>
      <c r="BI203" s="773" t="b">
        <f t="shared" ca="1" si="319"/>
        <v>0</v>
      </c>
      <c r="BJ203" s="773">
        <f t="shared" ca="1" si="320"/>
        <v>0</v>
      </c>
      <c r="BK203" s="773" t="str">
        <f t="shared" ca="1" si="321"/>
        <v xml:space="preserve"> </v>
      </c>
      <c r="BL203" s="773" t="e">
        <f t="shared" ca="1" si="322"/>
        <v>#N/A</v>
      </c>
      <c r="BM203" s="773" t="b">
        <f t="shared" ca="1" si="323"/>
        <v>0</v>
      </c>
      <c r="BN203" s="773">
        <f t="shared" ca="1" si="324"/>
        <v>0</v>
      </c>
      <c r="BO203" s="773" t="str">
        <f t="shared" ca="1" si="325"/>
        <v xml:space="preserve"> </v>
      </c>
      <c r="BP203" s="773" t="e">
        <f t="shared" ca="1" si="326"/>
        <v>#N/A</v>
      </c>
      <c r="BQ203" s="773" t="b">
        <f t="shared" ca="1" si="327"/>
        <v>0</v>
      </c>
      <c r="BR203" s="773">
        <f t="shared" ca="1" si="328"/>
        <v>0</v>
      </c>
      <c r="BS203" s="773" t="str">
        <f t="shared" ca="1" si="329"/>
        <v xml:space="preserve"> </v>
      </c>
    </row>
    <row r="204" spans="1:71">
      <c r="A204" s="934" t="s">
        <v>8618</v>
      </c>
      <c r="O204" s="787">
        <v>16</v>
      </c>
      <c r="P204" s="856" t="s">
        <v>8438</v>
      </c>
      <c r="Q204" s="773">
        <v>5</v>
      </c>
      <c r="R204" s="796" t="e">
        <f t="shared" ca="1" si="330"/>
        <v>#N/A</v>
      </c>
      <c r="S204" s="773">
        <f t="shared" ca="1" si="331"/>
        <v>1</v>
      </c>
      <c r="V204" s="773" t="e">
        <f t="shared" ca="1" si="282"/>
        <v>#N/A</v>
      </c>
      <c r="W204" s="773" t="b">
        <f t="shared" ca="1" si="283"/>
        <v>0</v>
      </c>
      <c r="X204" s="773">
        <f t="shared" ca="1" si="284"/>
        <v>0</v>
      </c>
      <c r="Y204" s="773" t="str">
        <f t="shared" ca="1" si="285"/>
        <v xml:space="preserve"> </v>
      </c>
      <c r="AA204" s="773" t="e">
        <f t="shared" ca="1" si="286"/>
        <v>#N/A</v>
      </c>
      <c r="AB204" s="773" t="b">
        <f t="shared" ca="1" si="287"/>
        <v>0</v>
      </c>
      <c r="AC204" s="773">
        <f t="shared" ca="1" si="288"/>
        <v>0</v>
      </c>
      <c r="AD204" s="773" t="str">
        <f t="shared" ca="1" si="289"/>
        <v xml:space="preserve"> </v>
      </c>
      <c r="AF204" s="773" t="e">
        <f t="shared" ca="1" si="290"/>
        <v>#N/A</v>
      </c>
      <c r="AG204" s="773" t="b">
        <f t="shared" ca="1" si="291"/>
        <v>0</v>
      </c>
      <c r="AH204" s="773">
        <f t="shared" ca="1" si="292"/>
        <v>0</v>
      </c>
      <c r="AI204" s="773" t="str">
        <f t="shared" ca="1" si="293"/>
        <v xml:space="preserve"> </v>
      </c>
      <c r="AJ204" s="773" t="e">
        <f t="shared" ca="1" si="294"/>
        <v>#N/A</v>
      </c>
      <c r="AK204" s="773" t="b">
        <f t="shared" ca="1" si="295"/>
        <v>0</v>
      </c>
      <c r="AL204" s="773">
        <f t="shared" ca="1" si="296"/>
        <v>0</v>
      </c>
      <c r="AM204" s="773" t="str">
        <f t="shared" ca="1" si="297"/>
        <v xml:space="preserve"> </v>
      </c>
      <c r="AN204" s="773" t="e">
        <f t="shared" ca="1" si="298"/>
        <v>#N/A</v>
      </c>
      <c r="AO204" s="773" t="b">
        <f t="shared" ca="1" si="299"/>
        <v>0</v>
      </c>
      <c r="AP204" s="773">
        <f t="shared" ca="1" si="300"/>
        <v>0</v>
      </c>
      <c r="AQ204" s="773" t="str">
        <f t="shared" ca="1" si="301"/>
        <v xml:space="preserve"> </v>
      </c>
      <c r="AR204" s="773" t="e">
        <f t="shared" ca="1" si="302"/>
        <v>#N/A</v>
      </c>
      <c r="AS204" s="773" t="b">
        <f t="shared" ca="1" si="303"/>
        <v>0</v>
      </c>
      <c r="AT204" s="773">
        <f t="shared" ca="1" si="304"/>
        <v>0</v>
      </c>
      <c r="AU204" s="773" t="str">
        <f t="shared" ca="1" si="305"/>
        <v xml:space="preserve"> </v>
      </c>
      <c r="AV204" s="773" t="e">
        <f t="shared" ca="1" si="306"/>
        <v>#N/A</v>
      </c>
      <c r="AW204" s="773" t="b">
        <f t="shared" ca="1" si="307"/>
        <v>0</v>
      </c>
      <c r="AX204" s="773">
        <f t="shared" ca="1" si="308"/>
        <v>0</v>
      </c>
      <c r="AY204" s="773" t="str">
        <f t="shared" ca="1" si="309"/>
        <v xml:space="preserve"> </v>
      </c>
      <c r="AZ204" s="773" t="e">
        <f t="shared" ca="1" si="310"/>
        <v>#N/A</v>
      </c>
      <c r="BA204" s="773" t="b">
        <f t="shared" ca="1" si="311"/>
        <v>0</v>
      </c>
      <c r="BB204" s="773">
        <f t="shared" ca="1" si="312"/>
        <v>0</v>
      </c>
      <c r="BC204" s="773" t="str">
        <f t="shared" ca="1" si="313"/>
        <v xml:space="preserve"> </v>
      </c>
      <c r="BD204" s="773" t="e">
        <f t="shared" ca="1" si="314"/>
        <v>#N/A</v>
      </c>
      <c r="BE204" s="773" t="b">
        <f t="shared" ca="1" si="315"/>
        <v>0</v>
      </c>
      <c r="BF204" s="773">
        <f t="shared" ca="1" si="316"/>
        <v>0</v>
      </c>
      <c r="BG204" s="773" t="str">
        <f t="shared" ca="1" si="317"/>
        <v xml:space="preserve"> </v>
      </c>
      <c r="BH204" s="773" t="e">
        <f t="shared" ca="1" si="318"/>
        <v>#N/A</v>
      </c>
      <c r="BI204" s="773" t="b">
        <f t="shared" ca="1" si="319"/>
        <v>0</v>
      </c>
      <c r="BJ204" s="773">
        <f t="shared" ca="1" si="320"/>
        <v>0</v>
      </c>
      <c r="BK204" s="773" t="str">
        <f t="shared" ca="1" si="321"/>
        <v xml:space="preserve"> </v>
      </c>
      <c r="BL204" s="773" t="e">
        <f t="shared" ca="1" si="322"/>
        <v>#N/A</v>
      </c>
      <c r="BM204" s="773" t="b">
        <f t="shared" ca="1" si="323"/>
        <v>0</v>
      </c>
      <c r="BN204" s="773">
        <f t="shared" ca="1" si="324"/>
        <v>0</v>
      </c>
      <c r="BO204" s="773" t="str">
        <f t="shared" ca="1" si="325"/>
        <v xml:space="preserve"> </v>
      </c>
      <c r="BP204" s="773" t="e">
        <f t="shared" ca="1" si="326"/>
        <v>#N/A</v>
      </c>
      <c r="BQ204" s="773" t="b">
        <f t="shared" ca="1" si="327"/>
        <v>0</v>
      </c>
      <c r="BR204" s="773">
        <f t="shared" ca="1" si="328"/>
        <v>0</v>
      </c>
      <c r="BS204" s="773" t="str">
        <f t="shared" ca="1" si="329"/>
        <v xml:space="preserve"> </v>
      </c>
    </row>
    <row r="205" spans="1:71">
      <c r="A205" s="1035" t="s">
        <v>8619</v>
      </c>
      <c r="B205" s="1035"/>
      <c r="C205" s="1035"/>
      <c r="D205" s="1035"/>
      <c r="O205" s="787">
        <v>17</v>
      </c>
      <c r="P205" s="856" t="s">
        <v>8439</v>
      </c>
      <c r="Q205" s="773">
        <v>5</v>
      </c>
      <c r="R205" s="796" t="e">
        <f t="shared" ca="1" si="330"/>
        <v>#N/A</v>
      </c>
      <c r="S205" s="773">
        <f t="shared" ca="1" si="331"/>
        <v>3</v>
      </c>
      <c r="V205" s="773" t="e">
        <f t="shared" ca="1" si="282"/>
        <v>#N/A</v>
      </c>
      <c r="W205" s="773" t="b">
        <f t="shared" ca="1" si="283"/>
        <v>0</v>
      </c>
      <c r="X205" s="773">
        <f t="shared" ca="1" si="284"/>
        <v>0</v>
      </c>
      <c r="Y205" s="773" t="str">
        <f t="shared" ca="1" si="285"/>
        <v xml:space="preserve"> </v>
      </c>
      <c r="AA205" s="773" t="e">
        <f t="shared" ca="1" si="286"/>
        <v>#N/A</v>
      </c>
      <c r="AB205" s="773" t="b">
        <f t="shared" ca="1" si="287"/>
        <v>0</v>
      </c>
      <c r="AC205" s="773">
        <f t="shared" ca="1" si="288"/>
        <v>0</v>
      </c>
      <c r="AD205" s="773" t="str">
        <f t="shared" ca="1" si="289"/>
        <v xml:space="preserve"> </v>
      </c>
      <c r="AF205" s="773" t="e">
        <f t="shared" ca="1" si="290"/>
        <v>#N/A</v>
      </c>
      <c r="AG205" s="773" t="b">
        <f t="shared" ca="1" si="291"/>
        <v>0</v>
      </c>
      <c r="AH205" s="773">
        <f t="shared" ca="1" si="292"/>
        <v>0</v>
      </c>
      <c r="AI205" s="773" t="str">
        <f t="shared" ca="1" si="293"/>
        <v xml:space="preserve"> </v>
      </c>
      <c r="AJ205" s="773" t="e">
        <f t="shared" ca="1" si="294"/>
        <v>#N/A</v>
      </c>
      <c r="AK205" s="773" t="b">
        <f t="shared" ca="1" si="295"/>
        <v>0</v>
      </c>
      <c r="AL205" s="773">
        <f t="shared" ca="1" si="296"/>
        <v>0</v>
      </c>
      <c r="AM205" s="773" t="str">
        <f t="shared" ca="1" si="297"/>
        <v xml:space="preserve"> </v>
      </c>
      <c r="AN205" s="773" t="e">
        <f t="shared" ca="1" si="298"/>
        <v>#N/A</v>
      </c>
      <c r="AO205" s="773" t="b">
        <f t="shared" ca="1" si="299"/>
        <v>0</v>
      </c>
      <c r="AP205" s="773">
        <f t="shared" ca="1" si="300"/>
        <v>0</v>
      </c>
      <c r="AQ205" s="773" t="str">
        <f t="shared" ca="1" si="301"/>
        <v xml:space="preserve"> </v>
      </c>
      <c r="AR205" s="773" t="e">
        <f t="shared" ca="1" si="302"/>
        <v>#N/A</v>
      </c>
      <c r="AS205" s="773" t="b">
        <f t="shared" ca="1" si="303"/>
        <v>0</v>
      </c>
      <c r="AT205" s="773">
        <f t="shared" ca="1" si="304"/>
        <v>0</v>
      </c>
      <c r="AU205" s="773" t="str">
        <f t="shared" ca="1" si="305"/>
        <v xml:space="preserve"> </v>
      </c>
      <c r="AV205" s="773" t="e">
        <f t="shared" ca="1" si="306"/>
        <v>#N/A</v>
      </c>
      <c r="AW205" s="773" t="b">
        <f t="shared" ca="1" si="307"/>
        <v>0</v>
      </c>
      <c r="AX205" s="773">
        <f t="shared" ca="1" si="308"/>
        <v>0</v>
      </c>
      <c r="AY205" s="773" t="str">
        <f t="shared" ca="1" si="309"/>
        <v xml:space="preserve"> </v>
      </c>
      <c r="AZ205" s="773" t="e">
        <f t="shared" ca="1" si="310"/>
        <v>#N/A</v>
      </c>
      <c r="BA205" s="773" t="b">
        <f t="shared" ca="1" si="311"/>
        <v>0</v>
      </c>
      <c r="BB205" s="773">
        <f t="shared" ca="1" si="312"/>
        <v>0</v>
      </c>
      <c r="BC205" s="773" t="str">
        <f t="shared" ca="1" si="313"/>
        <v xml:space="preserve"> </v>
      </c>
      <c r="BD205" s="773" t="e">
        <f t="shared" ca="1" si="314"/>
        <v>#N/A</v>
      </c>
      <c r="BE205" s="773" t="b">
        <f t="shared" ca="1" si="315"/>
        <v>0</v>
      </c>
      <c r="BF205" s="773">
        <f t="shared" ca="1" si="316"/>
        <v>0</v>
      </c>
      <c r="BG205" s="773" t="str">
        <f t="shared" ca="1" si="317"/>
        <v xml:space="preserve"> </v>
      </c>
      <c r="BH205" s="773" t="e">
        <f t="shared" ca="1" si="318"/>
        <v>#N/A</v>
      </c>
      <c r="BI205" s="773" t="b">
        <f t="shared" ca="1" si="319"/>
        <v>0</v>
      </c>
      <c r="BJ205" s="773">
        <f t="shared" ca="1" si="320"/>
        <v>0</v>
      </c>
      <c r="BK205" s="773" t="str">
        <f t="shared" ca="1" si="321"/>
        <v xml:space="preserve"> </v>
      </c>
      <c r="BL205" s="773" t="e">
        <f t="shared" ca="1" si="322"/>
        <v>#N/A</v>
      </c>
      <c r="BM205" s="773" t="b">
        <f t="shared" ca="1" si="323"/>
        <v>0</v>
      </c>
      <c r="BN205" s="773">
        <f t="shared" ca="1" si="324"/>
        <v>0</v>
      </c>
      <c r="BO205" s="773" t="str">
        <f t="shared" ca="1" si="325"/>
        <v xml:space="preserve"> </v>
      </c>
      <c r="BP205" s="773" t="e">
        <f t="shared" ca="1" si="326"/>
        <v>#N/A</v>
      </c>
      <c r="BQ205" s="773" t="b">
        <f t="shared" ca="1" si="327"/>
        <v>0</v>
      </c>
      <c r="BR205" s="773">
        <f t="shared" ca="1" si="328"/>
        <v>0</v>
      </c>
      <c r="BS205" s="773" t="str">
        <f t="shared" ca="1" si="329"/>
        <v xml:space="preserve"> </v>
      </c>
    </row>
    <row r="206" spans="1:71" ht="15">
      <c r="A206" s="855" t="s">
        <v>459</v>
      </c>
      <c r="B206" s="1028" t="s">
        <v>8620</v>
      </c>
      <c r="C206" s="1028"/>
      <c r="D206" s="1028" t="s">
        <v>8621</v>
      </c>
      <c r="E206" s="1028"/>
      <c r="F206" s="1028" t="s">
        <v>8622</v>
      </c>
      <c r="G206" s="1028"/>
      <c r="H206" s="1028" t="s">
        <v>8623</v>
      </c>
      <c r="I206" s="1028"/>
      <c r="K206" s="773" t="s">
        <v>7874</v>
      </c>
      <c r="L206" s="773">
        <v>8</v>
      </c>
      <c r="M206" s="773">
        <v>9</v>
      </c>
      <c r="O206" s="787">
        <v>18</v>
      </c>
      <c r="P206" s="856" t="s">
        <v>8441</v>
      </c>
      <c r="Q206" s="773">
        <v>2</v>
      </c>
      <c r="R206" s="796" t="e">
        <f t="shared" ca="1" si="330"/>
        <v>#N/A</v>
      </c>
      <c r="S206" s="773" t="e">
        <f t="shared" ca="1" si="331"/>
        <v>#N/A</v>
      </c>
      <c r="V206" s="773" t="e">
        <f t="shared" ca="1" si="282"/>
        <v>#N/A</v>
      </c>
      <c r="W206" s="773" t="b">
        <f t="shared" ca="1" si="283"/>
        <v>0</v>
      </c>
      <c r="X206" s="773">
        <f t="shared" ca="1" si="284"/>
        <v>0</v>
      </c>
      <c r="Y206" s="773" t="str">
        <f t="shared" ca="1" si="285"/>
        <v xml:space="preserve"> </v>
      </c>
      <c r="AA206" s="773" t="e">
        <f t="shared" ca="1" si="286"/>
        <v>#N/A</v>
      </c>
      <c r="AB206" s="773" t="b">
        <f t="shared" ca="1" si="287"/>
        <v>0</v>
      </c>
      <c r="AC206" s="773">
        <f t="shared" ca="1" si="288"/>
        <v>0</v>
      </c>
      <c r="AD206" s="773" t="str">
        <f t="shared" ca="1" si="289"/>
        <v xml:space="preserve"> </v>
      </c>
      <c r="AF206" s="773" t="e">
        <f t="shared" ca="1" si="290"/>
        <v>#N/A</v>
      </c>
      <c r="AG206" s="773" t="b">
        <f t="shared" ca="1" si="291"/>
        <v>0</v>
      </c>
      <c r="AH206" s="773">
        <f t="shared" ca="1" si="292"/>
        <v>0</v>
      </c>
      <c r="AI206" s="773" t="str">
        <f t="shared" ca="1" si="293"/>
        <v xml:space="preserve"> </v>
      </c>
      <c r="AJ206" s="773" t="e">
        <f t="shared" ca="1" si="294"/>
        <v>#N/A</v>
      </c>
      <c r="AK206" s="773" t="b">
        <f t="shared" ca="1" si="295"/>
        <v>0</v>
      </c>
      <c r="AL206" s="773">
        <f t="shared" ca="1" si="296"/>
        <v>0</v>
      </c>
      <c r="AM206" s="773" t="str">
        <f t="shared" ca="1" si="297"/>
        <v xml:space="preserve"> </v>
      </c>
      <c r="AN206" s="773" t="e">
        <f t="shared" ca="1" si="298"/>
        <v>#N/A</v>
      </c>
      <c r="AO206" s="773" t="b">
        <f t="shared" ca="1" si="299"/>
        <v>0</v>
      </c>
      <c r="AP206" s="773">
        <f t="shared" ca="1" si="300"/>
        <v>0</v>
      </c>
      <c r="AQ206" s="773" t="str">
        <f t="shared" ca="1" si="301"/>
        <v xml:space="preserve"> </v>
      </c>
      <c r="AR206" s="773" t="e">
        <f t="shared" ca="1" si="302"/>
        <v>#N/A</v>
      </c>
      <c r="AS206" s="773" t="b">
        <f t="shared" ca="1" si="303"/>
        <v>0</v>
      </c>
      <c r="AT206" s="773">
        <f t="shared" ca="1" si="304"/>
        <v>0</v>
      </c>
      <c r="AU206" s="773" t="str">
        <f t="shared" ca="1" si="305"/>
        <v xml:space="preserve"> </v>
      </c>
      <c r="AV206" s="773" t="e">
        <f t="shared" ca="1" si="306"/>
        <v>#N/A</v>
      </c>
      <c r="AW206" s="773" t="b">
        <f t="shared" ca="1" si="307"/>
        <v>0</v>
      </c>
      <c r="AX206" s="773">
        <f t="shared" ca="1" si="308"/>
        <v>0</v>
      </c>
      <c r="AY206" s="773" t="str">
        <f t="shared" ca="1" si="309"/>
        <v xml:space="preserve"> </v>
      </c>
      <c r="AZ206" s="773" t="e">
        <f t="shared" ca="1" si="310"/>
        <v>#N/A</v>
      </c>
      <c r="BA206" s="773" t="b">
        <f t="shared" ca="1" si="311"/>
        <v>0</v>
      </c>
      <c r="BB206" s="773">
        <f t="shared" ca="1" si="312"/>
        <v>0</v>
      </c>
      <c r="BC206" s="773" t="str">
        <f t="shared" ca="1" si="313"/>
        <v xml:space="preserve"> </v>
      </c>
      <c r="BD206" s="773" t="e">
        <f t="shared" ca="1" si="314"/>
        <v>#N/A</v>
      </c>
      <c r="BE206" s="773" t="b">
        <f t="shared" ca="1" si="315"/>
        <v>0</v>
      </c>
      <c r="BF206" s="773">
        <f t="shared" ca="1" si="316"/>
        <v>0</v>
      </c>
      <c r="BG206" s="773" t="str">
        <f t="shared" ca="1" si="317"/>
        <v xml:space="preserve"> </v>
      </c>
      <c r="BH206" s="773" t="e">
        <f t="shared" ca="1" si="318"/>
        <v>#N/A</v>
      </c>
      <c r="BI206" s="773" t="b">
        <f t="shared" ca="1" si="319"/>
        <v>0</v>
      </c>
      <c r="BJ206" s="773">
        <f t="shared" ca="1" si="320"/>
        <v>0</v>
      </c>
      <c r="BK206" s="773" t="str">
        <f t="shared" ca="1" si="321"/>
        <v xml:space="preserve"> </v>
      </c>
      <c r="BL206" s="773" t="e">
        <f t="shared" ca="1" si="322"/>
        <v>#N/A</v>
      </c>
      <c r="BM206" s="773" t="b">
        <f t="shared" ca="1" si="323"/>
        <v>0</v>
      </c>
      <c r="BN206" s="773">
        <f t="shared" ca="1" si="324"/>
        <v>0</v>
      </c>
      <c r="BO206" s="773" t="str">
        <f t="shared" ca="1" si="325"/>
        <v xml:space="preserve"> </v>
      </c>
      <c r="BP206" s="773" t="e">
        <f t="shared" ca="1" si="326"/>
        <v>#N/A</v>
      </c>
      <c r="BQ206" s="773" t="b">
        <f t="shared" ca="1" si="327"/>
        <v>0</v>
      </c>
      <c r="BR206" s="773">
        <f t="shared" ca="1" si="328"/>
        <v>0</v>
      </c>
      <c r="BS206" s="773" t="str">
        <f t="shared" ca="1" si="329"/>
        <v xml:space="preserve"> </v>
      </c>
    </row>
    <row r="207" spans="1:71" ht="15">
      <c r="A207" s="855" t="s">
        <v>8624</v>
      </c>
      <c r="B207" s="1028"/>
      <c r="C207" s="1028"/>
      <c r="D207" s="1028"/>
      <c r="E207" s="1028"/>
      <c r="F207" s="1028"/>
      <c r="G207" s="1028"/>
      <c r="H207" s="1028"/>
      <c r="I207" s="1028"/>
      <c r="K207" s="773" t="s">
        <v>7883</v>
      </c>
      <c r="L207" s="773">
        <v>8</v>
      </c>
      <c r="M207" s="773">
        <v>9</v>
      </c>
      <c r="O207" s="787">
        <v>19</v>
      </c>
      <c r="P207" s="856" t="s">
        <v>8448</v>
      </c>
      <c r="Q207" s="773">
        <v>4</v>
      </c>
      <c r="R207" s="796" t="e">
        <f t="shared" ca="1" si="330"/>
        <v>#N/A</v>
      </c>
      <c r="S207" s="773" t="e">
        <f t="shared" ca="1" si="331"/>
        <v>#N/A</v>
      </c>
    </row>
    <row r="208" spans="1:71" ht="25.5">
      <c r="A208" s="855"/>
      <c r="B208" s="855" t="s">
        <v>6622</v>
      </c>
      <c r="C208" s="855" t="s">
        <v>8625</v>
      </c>
      <c r="D208" s="855" t="s">
        <v>6622</v>
      </c>
      <c r="E208" s="855" t="s">
        <v>8625</v>
      </c>
      <c r="F208" s="855" t="s">
        <v>6622</v>
      </c>
      <c r="G208" s="855" t="s">
        <v>8625</v>
      </c>
      <c r="H208" s="855" t="s">
        <v>6622</v>
      </c>
      <c r="I208" s="855" t="s">
        <v>8625</v>
      </c>
      <c r="K208" s="773" t="s">
        <v>7880</v>
      </c>
      <c r="L208" s="773">
        <v>8</v>
      </c>
      <c r="M208" s="773">
        <v>9</v>
      </c>
      <c r="O208" s="787">
        <v>20</v>
      </c>
      <c r="P208" s="856" t="s">
        <v>8450</v>
      </c>
      <c r="Q208" s="773">
        <v>3</v>
      </c>
      <c r="R208" s="796" t="e">
        <f ca="1">VLOOKUP(E34,$P$189:$Q$241,2,0)</f>
        <v>#N/A</v>
      </c>
      <c r="S208" s="773" t="e">
        <f t="shared" ca="1" si="331"/>
        <v>#N/A</v>
      </c>
    </row>
    <row r="209" spans="1:19" ht="15">
      <c r="A209" s="855" t="s">
        <v>8626</v>
      </c>
      <c r="B209" s="855"/>
      <c r="C209" s="855"/>
      <c r="D209" s="855"/>
      <c r="E209" s="855"/>
      <c r="F209" s="855"/>
      <c r="G209" s="855"/>
      <c r="H209" s="855"/>
      <c r="I209" s="855"/>
      <c r="K209" s="773" t="s">
        <v>7887</v>
      </c>
      <c r="L209" s="773">
        <v>6</v>
      </c>
      <c r="M209" s="773">
        <v>7</v>
      </c>
      <c r="O209" s="787">
        <v>21</v>
      </c>
      <c r="P209" s="856" t="s">
        <v>6546</v>
      </c>
      <c r="Q209" s="773">
        <v>3</v>
      </c>
      <c r="R209" s="796" t="e">
        <f ca="1">VLOOKUP(E35,$P$189:$Q$241,2,0)</f>
        <v>#N/A</v>
      </c>
      <c r="S209" s="773" t="e">
        <f t="shared" ref="S209:S216" ca="1" si="333">VLOOKUP(L3,$P$145:$R$187,3,0)</f>
        <v>#N/A</v>
      </c>
    </row>
    <row r="210" spans="1:19" ht="25.5">
      <c r="A210" s="806" t="s">
        <v>6548</v>
      </c>
      <c r="B210" s="855" t="s">
        <v>1399</v>
      </c>
      <c r="C210" s="855" t="s">
        <v>9299</v>
      </c>
      <c r="D210" s="855" t="s">
        <v>9298</v>
      </c>
      <c r="E210" s="855" t="s">
        <v>9299</v>
      </c>
      <c r="F210" s="855" t="s">
        <v>353</v>
      </c>
      <c r="G210" s="855" t="s">
        <v>9299</v>
      </c>
      <c r="H210" s="855" t="s">
        <v>9301</v>
      </c>
      <c r="I210" s="855" t="s">
        <v>1399</v>
      </c>
      <c r="K210" s="773" t="s">
        <v>6548</v>
      </c>
      <c r="L210" s="773">
        <v>6</v>
      </c>
      <c r="M210" s="773">
        <v>7</v>
      </c>
      <c r="O210" s="787">
        <v>22</v>
      </c>
      <c r="P210" s="856" t="s">
        <v>8451</v>
      </c>
      <c r="Q210" s="773">
        <v>2</v>
      </c>
      <c r="R210" s="796" t="e">
        <f ca="1">VLOOKUP(E36,$P$189:$Q$241,2,0)</f>
        <v>#N/A</v>
      </c>
      <c r="S210" s="773">
        <f t="shared" ca="1" si="333"/>
        <v>2</v>
      </c>
    </row>
    <row r="211" spans="1:19" ht="15">
      <c r="A211" s="806" t="s">
        <v>7875</v>
      </c>
      <c r="B211" s="855" t="s">
        <v>505</v>
      </c>
      <c r="C211" s="855" t="s">
        <v>9298</v>
      </c>
      <c r="D211" s="855" t="s">
        <v>9299</v>
      </c>
      <c r="E211" s="855" t="s">
        <v>9298</v>
      </c>
      <c r="F211" s="855" t="s">
        <v>1399</v>
      </c>
      <c r="G211" s="855" t="s">
        <v>9298</v>
      </c>
      <c r="H211" s="855" t="s">
        <v>353</v>
      </c>
      <c r="I211" s="855" t="s">
        <v>353</v>
      </c>
      <c r="K211" s="773" t="s">
        <v>7872</v>
      </c>
      <c r="L211" s="773">
        <v>6</v>
      </c>
      <c r="M211" s="773">
        <v>7</v>
      </c>
      <c r="O211" s="787">
        <v>23</v>
      </c>
      <c r="P211" s="856" t="s">
        <v>6559</v>
      </c>
      <c r="Q211" s="773">
        <v>1</v>
      </c>
      <c r="R211" s="796" t="e">
        <f t="shared" ref="R211:R219" ca="1" si="334">VLOOKUP(A32,$P$189:$Q$241,2,0)</f>
        <v>#N/A</v>
      </c>
      <c r="S211" s="773">
        <f t="shared" ca="1" si="333"/>
        <v>3</v>
      </c>
    </row>
    <row r="212" spans="1:19" ht="25.5">
      <c r="A212" s="806" t="s">
        <v>7874</v>
      </c>
      <c r="B212" s="806" t="s">
        <v>7871</v>
      </c>
      <c r="C212" s="855" t="s">
        <v>9297</v>
      </c>
      <c r="D212" s="855" t="s">
        <v>9300</v>
      </c>
      <c r="E212" s="855" t="s">
        <v>9297</v>
      </c>
      <c r="F212" s="855" t="s">
        <v>505</v>
      </c>
      <c r="G212" s="855" t="s">
        <v>9297</v>
      </c>
      <c r="H212" s="855" t="s">
        <v>1399</v>
      </c>
      <c r="I212" s="855" t="s">
        <v>9301</v>
      </c>
      <c r="K212" s="773" t="s">
        <v>7877</v>
      </c>
      <c r="L212" s="773">
        <v>4</v>
      </c>
      <c r="M212" s="773">
        <v>5</v>
      </c>
      <c r="O212" s="787">
        <v>24</v>
      </c>
      <c r="P212" s="856" t="s">
        <v>6560</v>
      </c>
      <c r="Q212" s="773">
        <v>1</v>
      </c>
      <c r="R212" s="796" t="e">
        <f t="shared" ca="1" si="334"/>
        <v>#N/A</v>
      </c>
      <c r="S212" s="773">
        <f t="shared" ca="1" si="333"/>
        <v>1</v>
      </c>
    </row>
    <row r="213" spans="1:19" ht="15">
      <c r="A213" s="806" t="s">
        <v>7873</v>
      </c>
      <c r="B213" s="855" t="s">
        <v>506</v>
      </c>
      <c r="C213" s="855" t="s">
        <v>507</v>
      </c>
      <c r="D213" s="855" t="s">
        <v>1402</v>
      </c>
      <c r="E213" s="855" t="s">
        <v>507</v>
      </c>
      <c r="F213" s="806" t="s">
        <v>7871</v>
      </c>
      <c r="G213" s="855" t="s">
        <v>507</v>
      </c>
      <c r="H213" s="855" t="s">
        <v>505</v>
      </c>
      <c r="I213" s="855" t="s">
        <v>1402</v>
      </c>
      <c r="K213" s="773" t="s">
        <v>7873</v>
      </c>
      <c r="L213" s="773">
        <v>4</v>
      </c>
      <c r="M213" s="773">
        <v>5</v>
      </c>
      <c r="O213" s="787">
        <v>25</v>
      </c>
      <c r="P213" s="856" t="s">
        <v>8452</v>
      </c>
      <c r="Q213" s="773">
        <v>3</v>
      </c>
      <c r="R213" s="796">
        <f t="shared" ca="1" si="334"/>
        <v>4</v>
      </c>
      <c r="S213" s="773">
        <f t="shared" ca="1" si="333"/>
        <v>3</v>
      </c>
    </row>
    <row r="214" spans="1:19" ht="15">
      <c r="A214" s="806" t="s">
        <v>7872</v>
      </c>
      <c r="B214" s="855" t="s">
        <v>507</v>
      </c>
      <c r="C214" s="855" t="s">
        <v>506</v>
      </c>
      <c r="D214" s="855" t="s">
        <v>9301</v>
      </c>
      <c r="E214" s="855" t="s">
        <v>506</v>
      </c>
      <c r="F214" s="855" t="s">
        <v>506</v>
      </c>
      <c r="G214" s="855" t="s">
        <v>506</v>
      </c>
      <c r="H214" s="806" t="s">
        <v>7871</v>
      </c>
      <c r="I214" s="855" t="s">
        <v>9300</v>
      </c>
      <c r="K214" s="773" t="s">
        <v>7882</v>
      </c>
      <c r="L214" s="773">
        <v>4</v>
      </c>
      <c r="M214" s="773">
        <v>5</v>
      </c>
      <c r="O214" s="787">
        <v>26</v>
      </c>
      <c r="P214" s="856" t="s">
        <v>8453</v>
      </c>
      <c r="Q214" s="773">
        <v>5</v>
      </c>
      <c r="R214" s="796" t="e">
        <f t="shared" ca="1" si="334"/>
        <v>#N/A</v>
      </c>
      <c r="S214" s="773" t="e">
        <f t="shared" ca="1" si="333"/>
        <v>#N/A</v>
      </c>
    </row>
    <row r="215" spans="1:19" ht="30">
      <c r="A215" s="806" t="s">
        <v>7871</v>
      </c>
      <c r="B215" s="855" t="s">
        <v>9297</v>
      </c>
      <c r="C215" s="806" t="s">
        <v>7871</v>
      </c>
      <c r="D215" s="855" t="s">
        <v>353</v>
      </c>
      <c r="E215" s="806" t="s">
        <v>7871</v>
      </c>
      <c r="F215" s="855" t="s">
        <v>507</v>
      </c>
      <c r="G215" s="806" t="s">
        <v>7871</v>
      </c>
      <c r="H215" s="855" t="s">
        <v>506</v>
      </c>
      <c r="I215" s="855" t="s">
        <v>9299</v>
      </c>
      <c r="K215" s="773" t="s">
        <v>7871</v>
      </c>
      <c r="L215" s="773">
        <v>2</v>
      </c>
      <c r="M215" s="773">
        <v>3</v>
      </c>
      <c r="O215" s="787">
        <v>27</v>
      </c>
      <c r="P215" s="856" t="s">
        <v>8454</v>
      </c>
      <c r="Q215" s="773">
        <v>1</v>
      </c>
      <c r="R215" s="796" t="e">
        <f t="shared" ca="1" si="334"/>
        <v>#N/A</v>
      </c>
      <c r="S215" s="773" t="e">
        <f t="shared" ca="1" si="333"/>
        <v>#N/A</v>
      </c>
    </row>
    <row r="216" spans="1:19" ht="15">
      <c r="A216" s="806" t="s">
        <v>7883</v>
      </c>
      <c r="B216" s="855" t="s">
        <v>9298</v>
      </c>
      <c r="C216" s="855" t="s">
        <v>505</v>
      </c>
      <c r="D216" s="855" t="s">
        <v>1399</v>
      </c>
      <c r="E216" s="855" t="s">
        <v>505</v>
      </c>
      <c r="F216" s="855" t="s">
        <v>9297</v>
      </c>
      <c r="G216" s="855" t="s">
        <v>505</v>
      </c>
      <c r="H216" s="855" t="s">
        <v>507</v>
      </c>
      <c r="I216" s="855" t="s">
        <v>9298</v>
      </c>
      <c r="K216" s="773" t="s">
        <v>7886</v>
      </c>
      <c r="L216" s="773">
        <v>2</v>
      </c>
      <c r="M216" s="773">
        <v>3</v>
      </c>
      <c r="O216" s="787">
        <v>28</v>
      </c>
      <c r="P216" s="856" t="s">
        <v>8456</v>
      </c>
      <c r="Q216" s="773">
        <v>3</v>
      </c>
      <c r="R216" s="796" t="e">
        <f t="shared" ca="1" si="334"/>
        <v>#N/A</v>
      </c>
      <c r="S216" s="773" t="e">
        <f t="shared" ca="1" si="333"/>
        <v>#N/A</v>
      </c>
    </row>
    <row r="217" spans="1:19" ht="15">
      <c r="A217" s="806" t="s">
        <v>7882</v>
      </c>
      <c r="B217" s="855" t="s">
        <v>9299</v>
      </c>
      <c r="C217" s="855" t="s">
        <v>1399</v>
      </c>
      <c r="D217" s="855" t="s">
        <v>505</v>
      </c>
      <c r="E217" s="855" t="s">
        <v>1399</v>
      </c>
      <c r="F217" s="855" t="s">
        <v>9298</v>
      </c>
      <c r="G217" s="855" t="s">
        <v>1399</v>
      </c>
      <c r="H217" s="855" t="s">
        <v>9297</v>
      </c>
      <c r="I217" s="855" t="s">
        <v>9297</v>
      </c>
      <c r="K217" s="773" t="s">
        <v>7875</v>
      </c>
      <c r="L217" s="773">
        <v>2</v>
      </c>
      <c r="M217" s="773">
        <v>3</v>
      </c>
      <c r="O217" s="787">
        <v>29</v>
      </c>
      <c r="P217" s="856" t="s">
        <v>8458</v>
      </c>
      <c r="Q217" s="773">
        <v>2</v>
      </c>
      <c r="R217" s="796" t="e">
        <f t="shared" ca="1" si="334"/>
        <v>#N/A</v>
      </c>
      <c r="S217" s="773">
        <f t="shared" ref="S217:S223" ca="1" si="335">VLOOKUP(L14,$P$145:$R$187,3,0)</f>
        <v>1</v>
      </c>
    </row>
    <row r="218" spans="1:19" ht="25.5">
      <c r="A218" s="806" t="s">
        <v>7887</v>
      </c>
      <c r="B218" s="855" t="s">
        <v>9300</v>
      </c>
      <c r="C218" s="855" t="s">
        <v>353</v>
      </c>
      <c r="D218" s="806" t="s">
        <v>7871</v>
      </c>
      <c r="E218" s="855" t="s">
        <v>353</v>
      </c>
      <c r="F218" s="855" t="s">
        <v>9299</v>
      </c>
      <c r="G218" s="855" t="s">
        <v>353</v>
      </c>
      <c r="H218" s="855" t="s">
        <v>9298</v>
      </c>
      <c r="I218" s="855" t="s">
        <v>507</v>
      </c>
      <c r="O218" s="787">
        <v>30</v>
      </c>
      <c r="P218" s="856" t="s">
        <v>8459</v>
      </c>
      <c r="Q218" s="773">
        <v>1</v>
      </c>
      <c r="R218" s="796" t="e">
        <f t="shared" ca="1" si="334"/>
        <v>#N/A</v>
      </c>
      <c r="S218" s="773">
        <f t="shared" ca="1" si="335"/>
        <v>1</v>
      </c>
    </row>
    <row r="219" spans="1:19" ht="25.5">
      <c r="A219" s="806" t="s">
        <v>7886</v>
      </c>
      <c r="B219" s="855" t="s">
        <v>1402</v>
      </c>
      <c r="C219" s="855" t="s">
        <v>9301</v>
      </c>
      <c r="D219" s="855" t="s">
        <v>506</v>
      </c>
      <c r="E219" s="855" t="s">
        <v>9301</v>
      </c>
      <c r="F219" s="855" t="s">
        <v>9300</v>
      </c>
      <c r="G219" s="855" t="s">
        <v>9301</v>
      </c>
      <c r="H219" s="855" t="s">
        <v>9299</v>
      </c>
      <c r="I219" s="855" t="s">
        <v>506</v>
      </c>
      <c r="J219" s="856" t="s">
        <v>8627</v>
      </c>
      <c r="K219" s="912">
        <f ca="1">VLOOKUP(G17,$K$206:$L$217,2,0)</f>
        <v>8</v>
      </c>
      <c r="L219" s="773" t="str">
        <f ca="1">VLOOKUP($G$18,$A$210:$I$221,K219,0)</f>
        <v>tỵ</v>
      </c>
      <c r="M219" s="912" t="str">
        <f ca="1">IF($N$63=1,L219,L221)</f>
        <v>Dậu</v>
      </c>
      <c r="O219" s="787">
        <v>31</v>
      </c>
      <c r="P219" s="856" t="s">
        <v>8460</v>
      </c>
      <c r="Q219" s="773">
        <v>3</v>
      </c>
      <c r="R219" s="796" t="e">
        <f t="shared" ca="1" si="334"/>
        <v>#N/A</v>
      </c>
      <c r="S219" s="773">
        <f t="shared" ca="1" si="335"/>
        <v>3</v>
      </c>
    </row>
    <row r="220" spans="1:19" ht="15">
      <c r="A220" s="806" t="s">
        <v>7880</v>
      </c>
      <c r="B220" s="855" t="s">
        <v>9301</v>
      </c>
      <c r="C220" s="855" t="s">
        <v>1402</v>
      </c>
      <c r="D220" s="855" t="s">
        <v>507</v>
      </c>
      <c r="E220" s="855" t="s">
        <v>1402</v>
      </c>
      <c r="F220" s="855" t="s">
        <v>1402</v>
      </c>
      <c r="G220" s="855" t="s">
        <v>1402</v>
      </c>
      <c r="H220" s="855" t="s">
        <v>9300</v>
      </c>
      <c r="I220" s="806" t="s">
        <v>7871</v>
      </c>
      <c r="J220" s="856" t="s">
        <v>8628</v>
      </c>
      <c r="K220" s="912">
        <f ca="1">VLOOKUP(G17,$K$206:$M$217,3,0)</f>
        <v>9</v>
      </c>
      <c r="L220" s="773" t="str">
        <f ca="1">VLOOKUP($G$18,$A$210:$I$221,K220,0)</f>
        <v>Hợi</v>
      </c>
      <c r="M220" s="912" t="str">
        <f ca="1">IF($N$63=1,L220,L222)</f>
        <v>Mùi</v>
      </c>
      <c r="O220" s="787">
        <v>32</v>
      </c>
      <c r="P220" s="856" t="s">
        <v>8462</v>
      </c>
      <c r="Q220" s="773">
        <v>3</v>
      </c>
      <c r="R220" s="796" t="e">
        <f ca="1">VLOOKUP(B35,$P$189:$Q$241,2,0)</f>
        <v>#N/A</v>
      </c>
      <c r="S220" s="773" t="e">
        <f t="shared" ca="1" si="335"/>
        <v>#N/A</v>
      </c>
    </row>
    <row r="221" spans="1:19" ht="15">
      <c r="A221" s="806" t="s">
        <v>7877</v>
      </c>
      <c r="B221" s="855" t="s">
        <v>353</v>
      </c>
      <c r="C221" s="855" t="s">
        <v>9300</v>
      </c>
      <c r="D221" s="855" t="s">
        <v>9297</v>
      </c>
      <c r="E221" s="855" t="s">
        <v>9300</v>
      </c>
      <c r="F221" s="855" t="s">
        <v>9301</v>
      </c>
      <c r="G221" s="855" t="s">
        <v>9300</v>
      </c>
      <c r="H221" s="855" t="s">
        <v>1402</v>
      </c>
      <c r="I221" s="855" t="s">
        <v>505</v>
      </c>
      <c r="L221" s="773" t="str">
        <f ca="1">VLOOKUP($G$18,$A$226:$I$239,K219,0)</f>
        <v>Dậu</v>
      </c>
      <c r="O221" s="787">
        <v>33</v>
      </c>
      <c r="P221" s="856" t="s">
        <v>8463</v>
      </c>
      <c r="Q221" s="773">
        <v>5</v>
      </c>
      <c r="R221" s="796" t="e">
        <f ca="1">VLOOKUP(B36,$P$189:$Q$241,2,0)</f>
        <v>#N/A</v>
      </c>
      <c r="S221" s="773" t="e">
        <f t="shared" ca="1" si="335"/>
        <v>#N/A</v>
      </c>
    </row>
    <row r="222" spans="1:19">
      <c r="A222" s="818"/>
      <c r="L222" s="773" t="str">
        <f ca="1">VLOOKUP($G$18,$A$226:$I$239,K220,0)</f>
        <v>Mùi</v>
      </c>
      <c r="O222" s="787">
        <v>34</v>
      </c>
      <c r="P222" s="856" t="s">
        <v>6555</v>
      </c>
      <c r="Q222" s="773">
        <v>1</v>
      </c>
      <c r="R222" s="796">
        <f t="shared" ref="R222:R229" ca="1" si="336">VLOOKUP(A23,$P$189:$Q$241,2,0)</f>
        <v>1</v>
      </c>
      <c r="S222" s="773" t="e">
        <f t="shared" ca="1" si="335"/>
        <v>#N/A</v>
      </c>
    </row>
    <row r="223" spans="1:19" ht="15.75">
      <c r="A223" s="936" t="s">
        <v>7912</v>
      </c>
      <c r="O223" s="787">
        <v>35</v>
      </c>
      <c r="P223" s="856" t="s">
        <v>6589</v>
      </c>
      <c r="Q223" s="773">
        <v>1</v>
      </c>
      <c r="R223" s="796">
        <f t="shared" ca="1" si="336"/>
        <v>2</v>
      </c>
      <c r="S223" s="773" t="e">
        <f t="shared" ca="1" si="335"/>
        <v>#N/A</v>
      </c>
    </row>
    <row r="224" spans="1:19" ht="15">
      <c r="A224" s="855" t="s">
        <v>459</v>
      </c>
      <c r="B224" s="1028" t="s">
        <v>8620</v>
      </c>
      <c r="C224" s="1028"/>
      <c r="D224" s="1028" t="s">
        <v>8621</v>
      </c>
      <c r="E224" s="1028"/>
      <c r="F224" s="1028" t="s">
        <v>8622</v>
      </c>
      <c r="G224" s="1028"/>
      <c r="H224" s="1028" t="s">
        <v>8623</v>
      </c>
      <c r="I224" s="1028"/>
      <c r="O224" s="787">
        <v>36</v>
      </c>
      <c r="P224" s="856" t="s">
        <v>6595</v>
      </c>
      <c r="Q224" s="773">
        <v>4</v>
      </c>
      <c r="R224" s="796">
        <f t="shared" ca="1" si="336"/>
        <v>1</v>
      </c>
      <c r="S224" s="773" t="e">
        <f ca="1">VLOOKUP(K20,$P$145:$R$187,3,0)</f>
        <v>#N/A</v>
      </c>
    </row>
    <row r="225" spans="1:19" ht="15">
      <c r="A225" s="855" t="s">
        <v>8624</v>
      </c>
      <c r="B225" s="1028"/>
      <c r="C225" s="1028"/>
      <c r="D225" s="1028"/>
      <c r="E225" s="1028"/>
      <c r="F225" s="1028"/>
      <c r="G225" s="1028"/>
      <c r="H225" s="1028"/>
      <c r="I225" s="1028"/>
      <c r="J225" s="773" t="str">
        <f ca="1">MID(H31,1,7)</f>
        <v>Thái Âm</v>
      </c>
      <c r="K225" s="796">
        <f t="shared" ref="K225:K248" ca="1" si="337">VLOOKUP(J225,$M$225:$N$238,2,0)</f>
        <v>5</v>
      </c>
      <c r="L225" s="773" t="s">
        <v>8629</v>
      </c>
      <c r="M225" s="773" t="str">
        <f t="shared" ref="M225:M238" si="338">MID(L225,1,7)</f>
        <v>Tử Vi (</v>
      </c>
      <c r="N225" s="773">
        <v>3</v>
      </c>
      <c r="O225" s="787">
        <v>37</v>
      </c>
      <c r="P225" s="856" t="s">
        <v>8473</v>
      </c>
      <c r="Q225" s="773">
        <v>5</v>
      </c>
      <c r="R225" s="796">
        <f t="shared" ca="1" si="336"/>
        <v>3</v>
      </c>
      <c r="S225" s="773">
        <f t="shared" ref="S225:S232" ca="1" si="339">VLOOKUP(L23,$P$145:$R$187,3,0)</f>
        <v>4</v>
      </c>
    </row>
    <row r="226" spans="1:19" ht="15">
      <c r="A226" s="855"/>
      <c r="B226" s="855" t="s">
        <v>6622</v>
      </c>
      <c r="C226" s="855" t="s">
        <v>8625</v>
      </c>
      <c r="D226" s="855" t="s">
        <v>6622</v>
      </c>
      <c r="E226" s="855" t="s">
        <v>8625</v>
      </c>
      <c r="F226" s="855" t="s">
        <v>6622</v>
      </c>
      <c r="G226" s="855" t="s">
        <v>8625</v>
      </c>
      <c r="H226" s="855" t="s">
        <v>6622</v>
      </c>
      <c r="I226" s="855" t="s">
        <v>8625</v>
      </c>
      <c r="J226" s="773" t="str">
        <f ca="1">MID(H32,1,7)</f>
        <v>Thiên Đ</v>
      </c>
      <c r="K226" s="796">
        <f t="shared" ca="1" si="337"/>
        <v>5</v>
      </c>
      <c r="L226" s="773" t="s">
        <v>8630</v>
      </c>
      <c r="M226" s="773" t="str">
        <f t="shared" si="338"/>
        <v>Thiên P</v>
      </c>
      <c r="N226" s="773">
        <v>3</v>
      </c>
      <c r="O226" s="787">
        <v>38</v>
      </c>
      <c r="P226" s="856" t="s">
        <v>8477</v>
      </c>
      <c r="Q226" s="773">
        <v>5</v>
      </c>
      <c r="R226" s="796">
        <f t="shared" ca="1" si="336"/>
        <v>5</v>
      </c>
      <c r="S226" s="773">
        <f t="shared" ca="1" si="339"/>
        <v>5</v>
      </c>
    </row>
    <row r="227" spans="1:19" ht="15">
      <c r="A227" s="855" t="s">
        <v>8626</v>
      </c>
      <c r="B227" s="855"/>
      <c r="C227" s="855"/>
      <c r="D227" s="855"/>
      <c r="E227" s="855"/>
      <c r="F227" s="855"/>
      <c r="G227" s="855"/>
      <c r="H227" s="855"/>
      <c r="I227" s="855"/>
      <c r="J227" s="773" t="str">
        <f ca="1">MID(E31,1,7)</f>
        <v>Vũ Khúc</v>
      </c>
      <c r="K227" s="796">
        <f t="shared" ca="1" si="337"/>
        <v>4</v>
      </c>
      <c r="L227" s="773" t="s">
        <v>8631</v>
      </c>
      <c r="M227" s="773" t="str">
        <f t="shared" si="338"/>
        <v>Vũ Khúc</v>
      </c>
      <c r="N227" s="773">
        <v>4</v>
      </c>
      <c r="O227" s="787">
        <v>39</v>
      </c>
      <c r="P227" s="856" t="s">
        <v>8479</v>
      </c>
      <c r="Q227" s="773">
        <v>4</v>
      </c>
      <c r="R227" s="796">
        <f t="shared" ca="1" si="336"/>
        <v>4</v>
      </c>
      <c r="S227" s="773">
        <f t="shared" ca="1" si="339"/>
        <v>1</v>
      </c>
    </row>
    <row r="228" spans="1:19" ht="15">
      <c r="A228" s="806" t="s">
        <v>6548</v>
      </c>
      <c r="B228" s="855" t="s">
        <v>1399</v>
      </c>
      <c r="C228" s="855" t="s">
        <v>9299</v>
      </c>
      <c r="D228" s="855" t="s">
        <v>9298</v>
      </c>
      <c r="E228" s="855" t="s">
        <v>9299</v>
      </c>
      <c r="F228" s="855" t="s">
        <v>353</v>
      </c>
      <c r="G228" s="855" t="s">
        <v>9299</v>
      </c>
      <c r="H228" s="855" t="s">
        <v>9301</v>
      </c>
      <c r="I228" s="855" t="s">
        <v>1399</v>
      </c>
      <c r="J228" s="773" t="str">
        <f ca="1">MID(E32,1,7)</f>
        <v>Tham La</v>
      </c>
      <c r="K228" s="796">
        <f t="shared" ca="1" si="337"/>
        <v>5</v>
      </c>
      <c r="L228" s="773" t="s">
        <v>8632</v>
      </c>
      <c r="M228" s="773" t="str">
        <f t="shared" si="338"/>
        <v>Thiên T</v>
      </c>
      <c r="N228" s="773">
        <v>5</v>
      </c>
      <c r="O228" s="787">
        <v>40</v>
      </c>
      <c r="P228" s="856" t="s">
        <v>8480</v>
      </c>
      <c r="Q228" s="773">
        <v>4</v>
      </c>
      <c r="R228" s="796" t="e">
        <f t="shared" ca="1" si="336"/>
        <v>#N/A</v>
      </c>
      <c r="S228" s="773">
        <f t="shared" ca="1" si="339"/>
        <v>3</v>
      </c>
    </row>
    <row r="229" spans="1:19" ht="15">
      <c r="A229" s="806" t="s">
        <v>7875</v>
      </c>
      <c r="B229" s="855" t="s">
        <v>353</v>
      </c>
      <c r="C229" s="855" t="s">
        <v>9300</v>
      </c>
      <c r="D229" s="855" t="s">
        <v>9297</v>
      </c>
      <c r="E229" s="855" t="s">
        <v>9300</v>
      </c>
      <c r="F229" s="855" t="s">
        <v>9301</v>
      </c>
      <c r="G229" s="855" t="s">
        <v>9300</v>
      </c>
      <c r="H229" s="855" t="s">
        <v>1402</v>
      </c>
      <c r="I229" s="855" t="s">
        <v>505</v>
      </c>
      <c r="J229" s="773" t="str">
        <f ca="1">MID(B32,1,7)</f>
        <v>Thái Dư</v>
      </c>
      <c r="K229" s="796">
        <f t="shared" ca="1" si="337"/>
        <v>1</v>
      </c>
      <c r="L229" s="773" t="s">
        <v>8633</v>
      </c>
      <c r="M229" s="773" t="str">
        <f t="shared" si="338"/>
        <v>Thất Sá</v>
      </c>
      <c r="N229" s="773">
        <v>4</v>
      </c>
      <c r="O229" s="787">
        <v>41</v>
      </c>
      <c r="P229" s="856" t="s">
        <v>8481</v>
      </c>
      <c r="Q229" s="773">
        <v>4</v>
      </c>
      <c r="R229" s="796" t="e">
        <f t="shared" ca="1" si="336"/>
        <v>#N/A</v>
      </c>
      <c r="S229" s="773">
        <f t="shared" ca="1" si="339"/>
        <v>1</v>
      </c>
    </row>
    <row r="230" spans="1:19" ht="15">
      <c r="A230" s="806" t="s">
        <v>7874</v>
      </c>
      <c r="B230" s="855" t="s">
        <v>9301</v>
      </c>
      <c r="C230" s="855" t="s">
        <v>1402</v>
      </c>
      <c r="D230" s="855" t="s">
        <v>507</v>
      </c>
      <c r="E230" s="855" t="s">
        <v>1402</v>
      </c>
      <c r="F230" s="855" t="s">
        <v>1402</v>
      </c>
      <c r="G230" s="855" t="s">
        <v>1402</v>
      </c>
      <c r="H230" s="855" t="s">
        <v>9300</v>
      </c>
      <c r="I230" s="806" t="s">
        <v>7871</v>
      </c>
      <c r="J230" s="773" t="str">
        <f ca="1">MID(B33,1,7)</f>
        <v>Cự Môn(</v>
      </c>
      <c r="K230" s="796">
        <f t="shared" ca="1" si="337"/>
        <v>5</v>
      </c>
      <c r="L230" s="773" t="s">
        <v>8634</v>
      </c>
      <c r="M230" s="773" t="str">
        <f t="shared" si="338"/>
        <v>Phá Quâ</v>
      </c>
      <c r="N230" s="773">
        <v>5</v>
      </c>
      <c r="O230" s="787">
        <v>42</v>
      </c>
      <c r="P230" s="856" t="s">
        <v>8483</v>
      </c>
      <c r="Q230" s="773">
        <v>5</v>
      </c>
      <c r="R230" s="796" t="e">
        <f ca="1">VLOOKUP(B24,$P$189:$Q$241,2,0)</f>
        <v>#N/A</v>
      </c>
      <c r="S230" s="773" t="e">
        <f t="shared" ca="1" si="339"/>
        <v>#N/A</v>
      </c>
    </row>
    <row r="231" spans="1:19" ht="15">
      <c r="A231" s="806" t="s">
        <v>7873</v>
      </c>
      <c r="B231" s="855" t="s">
        <v>1402</v>
      </c>
      <c r="C231" s="855" t="s">
        <v>9301</v>
      </c>
      <c r="D231" s="855" t="s">
        <v>506</v>
      </c>
      <c r="E231" s="855" t="s">
        <v>9301</v>
      </c>
      <c r="F231" s="855" t="s">
        <v>9300</v>
      </c>
      <c r="G231" s="855" t="s">
        <v>9301</v>
      </c>
      <c r="H231" s="855" t="s">
        <v>9299</v>
      </c>
      <c r="I231" s="855" t="s">
        <v>506</v>
      </c>
      <c r="J231" s="773" t="str">
        <f ca="1">MID(B21,1,7)</f>
        <v>Thiên T</v>
      </c>
      <c r="K231" s="796">
        <f t="shared" ca="1" si="337"/>
        <v>5</v>
      </c>
      <c r="L231" s="773" t="s">
        <v>8635</v>
      </c>
      <c r="M231" s="773" t="str">
        <f t="shared" si="338"/>
        <v>Liêm Tr</v>
      </c>
      <c r="N231" s="773">
        <v>1</v>
      </c>
      <c r="O231" s="787">
        <v>43</v>
      </c>
      <c r="P231" s="773" t="s">
        <v>8485</v>
      </c>
      <c r="Q231" s="773">
        <v>1</v>
      </c>
      <c r="R231" s="796" t="e">
        <f ca="1">VLOOKUP(B25,$P$189:$Q$241,2,0)</f>
        <v>#N/A</v>
      </c>
      <c r="S231" s="773" t="e">
        <f t="shared" ca="1" si="339"/>
        <v>#N/A</v>
      </c>
    </row>
    <row r="232" spans="1:19" ht="15">
      <c r="A232" s="806" t="s">
        <v>7872</v>
      </c>
      <c r="B232" s="855" t="s">
        <v>9300</v>
      </c>
      <c r="C232" s="855" t="s">
        <v>353</v>
      </c>
      <c r="D232" s="806" t="s">
        <v>7871</v>
      </c>
      <c r="E232" s="855" t="s">
        <v>353</v>
      </c>
      <c r="F232" s="855" t="s">
        <v>9299</v>
      </c>
      <c r="G232" s="855" t="s">
        <v>353</v>
      </c>
      <c r="H232" s="855" t="s">
        <v>9298</v>
      </c>
      <c r="I232" s="855" t="s">
        <v>507</v>
      </c>
      <c r="J232" s="773" t="str">
        <f ca="1">MID(B22,1,7)</f>
        <v xml:space="preserve"> </v>
      </c>
      <c r="K232" s="796" t="e">
        <f t="shared" ca="1" si="337"/>
        <v>#N/A</v>
      </c>
      <c r="L232" s="773" t="s">
        <v>8636</v>
      </c>
      <c r="M232" s="773" t="str">
        <f t="shared" si="338"/>
        <v>Tham La</v>
      </c>
      <c r="N232" s="773">
        <v>5</v>
      </c>
      <c r="O232" s="787">
        <v>44</v>
      </c>
      <c r="P232" s="773" t="s">
        <v>8486</v>
      </c>
      <c r="Q232" s="773">
        <v>5</v>
      </c>
      <c r="R232" s="796" t="e">
        <f ca="1">VLOOKUP(B26,$P$189:$Q$241,2,0)</f>
        <v>#N/A</v>
      </c>
      <c r="S232" s="773" t="e">
        <f t="shared" ca="1" si="339"/>
        <v>#N/A</v>
      </c>
    </row>
    <row r="233" spans="1:19" ht="15">
      <c r="A233" s="806" t="s">
        <v>7871</v>
      </c>
      <c r="B233" s="855" t="s">
        <v>9299</v>
      </c>
      <c r="C233" s="855" t="s">
        <v>1399</v>
      </c>
      <c r="D233" s="855" t="s">
        <v>505</v>
      </c>
      <c r="E233" s="855" t="s">
        <v>1399</v>
      </c>
      <c r="F233" s="855" t="s">
        <v>9298</v>
      </c>
      <c r="G233" s="855" t="s">
        <v>1399</v>
      </c>
      <c r="H233" s="855" t="s">
        <v>9297</v>
      </c>
      <c r="I233" s="855" t="s">
        <v>9297</v>
      </c>
      <c r="J233" s="773" t="str">
        <f ca="1">MID(B1,1,7)</f>
        <v>Tử Vi (</v>
      </c>
      <c r="K233" s="796">
        <f t="shared" ca="1" si="337"/>
        <v>3</v>
      </c>
      <c r="L233" s="773" t="s">
        <v>8637</v>
      </c>
      <c r="M233" s="773" t="str">
        <f t="shared" si="338"/>
        <v>Thái Âm</v>
      </c>
      <c r="N233" s="773">
        <v>5</v>
      </c>
      <c r="O233" s="787">
        <v>45</v>
      </c>
      <c r="P233" s="773" t="s">
        <v>8487</v>
      </c>
      <c r="Q233" s="773">
        <v>2</v>
      </c>
      <c r="R233" s="796">
        <f t="shared" ref="R233:R241" ca="1" si="340">VLOOKUP(A12,$P$189:$Q$241,2,0)</f>
        <v>1</v>
      </c>
      <c r="S233" s="773">
        <f t="shared" ref="S233:S239" ca="1" si="341">VLOOKUP(L34,$P$145:$R$187,3,0)</f>
        <v>1</v>
      </c>
    </row>
    <row r="234" spans="1:19" ht="15">
      <c r="A234" s="806" t="s">
        <v>7883</v>
      </c>
      <c r="B234" s="855" t="s">
        <v>9298</v>
      </c>
      <c r="C234" s="855" t="s">
        <v>505</v>
      </c>
      <c r="D234" s="855" t="s">
        <v>1399</v>
      </c>
      <c r="E234" s="855" t="s">
        <v>505</v>
      </c>
      <c r="F234" s="855" t="s">
        <v>9297</v>
      </c>
      <c r="G234" s="855" t="s">
        <v>505</v>
      </c>
      <c r="H234" s="855" t="s">
        <v>507</v>
      </c>
      <c r="I234" s="855" t="s">
        <v>9298</v>
      </c>
      <c r="J234" s="773" t="str">
        <f ca="1">MID(B2,1,7)</f>
        <v>Thất Sá</v>
      </c>
      <c r="K234" s="796">
        <f t="shared" ca="1" si="337"/>
        <v>4</v>
      </c>
      <c r="L234" s="773" t="s">
        <v>8638</v>
      </c>
      <c r="M234" s="773" t="str">
        <f t="shared" si="338"/>
        <v>Thiên C</v>
      </c>
      <c r="N234" s="773">
        <v>2</v>
      </c>
      <c r="O234" s="787">
        <v>46</v>
      </c>
      <c r="P234" s="773" t="s">
        <v>8488</v>
      </c>
      <c r="Q234" s="773">
        <v>4</v>
      </c>
      <c r="R234" s="796">
        <f t="shared" ca="1" si="340"/>
        <v>5</v>
      </c>
      <c r="S234" s="773">
        <f t="shared" ca="1" si="341"/>
        <v>5</v>
      </c>
    </row>
    <row r="235" spans="1:19" ht="30">
      <c r="A235" s="806" t="s">
        <v>7882</v>
      </c>
      <c r="B235" s="855" t="s">
        <v>9297</v>
      </c>
      <c r="C235" s="806" t="s">
        <v>7871</v>
      </c>
      <c r="D235" s="855" t="s">
        <v>353</v>
      </c>
      <c r="E235" s="806" t="s">
        <v>7871</v>
      </c>
      <c r="F235" s="855" t="s">
        <v>507</v>
      </c>
      <c r="G235" s="806" t="s">
        <v>7871</v>
      </c>
      <c r="H235" s="855" t="s">
        <v>506</v>
      </c>
      <c r="I235" s="855" t="s">
        <v>9299</v>
      </c>
      <c r="J235" s="773" t="str">
        <f ca="1">MID(E1,1,7)</f>
        <v xml:space="preserve"> </v>
      </c>
      <c r="K235" s="796" t="e">
        <f t="shared" ca="1" si="337"/>
        <v>#N/A</v>
      </c>
      <c r="L235" s="773" t="s">
        <v>8639</v>
      </c>
      <c r="M235" s="773" t="str">
        <f t="shared" si="338"/>
        <v>Thiên Đ</v>
      </c>
      <c r="N235" s="773">
        <v>5</v>
      </c>
      <c r="O235" s="787">
        <v>47</v>
      </c>
      <c r="P235" s="856" t="s">
        <v>8490</v>
      </c>
      <c r="Q235" s="773">
        <v>1</v>
      </c>
      <c r="R235" s="796">
        <f t="shared" ca="1" si="340"/>
        <v>3</v>
      </c>
      <c r="S235" s="773">
        <f t="shared" ca="1" si="341"/>
        <v>1</v>
      </c>
    </row>
    <row r="236" spans="1:19" ht="15">
      <c r="A236" s="806" t="s">
        <v>7887</v>
      </c>
      <c r="B236" s="855" t="s">
        <v>507</v>
      </c>
      <c r="C236" s="855" t="s">
        <v>506</v>
      </c>
      <c r="D236" s="855" t="s">
        <v>9301</v>
      </c>
      <c r="E236" s="855" t="s">
        <v>506</v>
      </c>
      <c r="F236" s="855" t="s">
        <v>506</v>
      </c>
      <c r="G236" s="855" t="s">
        <v>506</v>
      </c>
      <c r="H236" s="806" t="s">
        <v>7871</v>
      </c>
      <c r="I236" s="855" t="s">
        <v>9300</v>
      </c>
      <c r="J236" s="773" t="str">
        <f ca="1">MID(E2,1,7)</f>
        <v xml:space="preserve"> </v>
      </c>
      <c r="K236" s="796" t="e">
        <f t="shared" ca="1" si="337"/>
        <v>#N/A</v>
      </c>
      <c r="L236" s="773" t="s">
        <v>8640</v>
      </c>
      <c r="M236" s="773" t="str">
        <f t="shared" si="338"/>
        <v>Thiên L</v>
      </c>
      <c r="N236" s="773">
        <v>2</v>
      </c>
      <c r="O236" s="787">
        <v>48</v>
      </c>
      <c r="P236" s="856" t="s">
        <v>8493</v>
      </c>
      <c r="Q236" s="773">
        <v>1</v>
      </c>
      <c r="R236" s="796">
        <f t="shared" ca="1" si="340"/>
        <v>2</v>
      </c>
      <c r="S236" s="773">
        <f t="shared" ca="1" si="341"/>
        <v>1</v>
      </c>
    </row>
    <row r="237" spans="1:19" ht="15">
      <c r="A237" s="806" t="s">
        <v>7886</v>
      </c>
      <c r="B237" s="855" t="s">
        <v>506</v>
      </c>
      <c r="C237" s="855" t="s">
        <v>507</v>
      </c>
      <c r="D237" s="855" t="s">
        <v>1402</v>
      </c>
      <c r="E237" s="855" t="s">
        <v>507</v>
      </c>
      <c r="F237" s="806" t="s">
        <v>7871</v>
      </c>
      <c r="G237" s="855" t="s">
        <v>507</v>
      </c>
      <c r="H237" s="855" t="s">
        <v>505</v>
      </c>
      <c r="I237" s="855" t="s">
        <v>1402</v>
      </c>
      <c r="J237" s="773" t="str">
        <f ca="1">MID(H1,1,7)</f>
        <v xml:space="preserve"> </v>
      </c>
      <c r="K237" s="796" t="e">
        <f t="shared" ca="1" si="337"/>
        <v>#N/A</v>
      </c>
      <c r="L237" s="773" t="s">
        <v>8641</v>
      </c>
      <c r="M237" s="773" t="str">
        <f t="shared" si="338"/>
        <v>Thái Dư</v>
      </c>
      <c r="N237" s="773">
        <v>1</v>
      </c>
      <c r="O237" s="787">
        <v>49</v>
      </c>
      <c r="P237" s="773" t="s">
        <v>8501</v>
      </c>
      <c r="Q237" s="773">
        <v>1</v>
      </c>
      <c r="R237" s="796">
        <f t="shared" ca="1" si="340"/>
        <v>3</v>
      </c>
      <c r="S237" s="773" t="e">
        <f t="shared" ca="1" si="341"/>
        <v>#N/A</v>
      </c>
    </row>
    <row r="238" spans="1:19" ht="15">
      <c r="A238" s="806" t="s">
        <v>7880</v>
      </c>
      <c r="B238" s="806" t="s">
        <v>7871</v>
      </c>
      <c r="C238" s="855" t="s">
        <v>9297</v>
      </c>
      <c r="D238" s="855" t="s">
        <v>9300</v>
      </c>
      <c r="E238" s="855" t="s">
        <v>9297</v>
      </c>
      <c r="F238" s="855" t="s">
        <v>505</v>
      </c>
      <c r="G238" s="855" t="s">
        <v>9297</v>
      </c>
      <c r="H238" s="855" t="s">
        <v>1399</v>
      </c>
      <c r="I238" s="855" t="s">
        <v>9301</v>
      </c>
      <c r="J238" s="773" t="str">
        <f ca="1">MID(H2,1,7)</f>
        <v xml:space="preserve"> </v>
      </c>
      <c r="K238" s="796" t="e">
        <f t="shared" ca="1" si="337"/>
        <v>#N/A</v>
      </c>
      <c r="L238" s="773" t="s">
        <v>8642</v>
      </c>
      <c r="M238" s="773" t="str">
        <f t="shared" si="338"/>
        <v>Cự Môn(</v>
      </c>
      <c r="N238" s="773">
        <v>5</v>
      </c>
      <c r="O238" s="787">
        <v>50</v>
      </c>
      <c r="P238" s="773" t="s">
        <v>8514</v>
      </c>
      <c r="Q238" s="773">
        <v>5</v>
      </c>
      <c r="R238" s="796">
        <f t="shared" ca="1" si="340"/>
        <v>2</v>
      </c>
      <c r="S238" s="773" t="e">
        <f t="shared" ca="1" si="341"/>
        <v>#N/A</v>
      </c>
    </row>
    <row r="239" spans="1:19" ht="15">
      <c r="A239" s="806" t="s">
        <v>7877</v>
      </c>
      <c r="B239" s="855" t="s">
        <v>505</v>
      </c>
      <c r="C239" s="855" t="s">
        <v>9298</v>
      </c>
      <c r="D239" s="855" t="s">
        <v>9299</v>
      </c>
      <c r="E239" s="855" t="s">
        <v>9298</v>
      </c>
      <c r="F239" s="855" t="s">
        <v>1399</v>
      </c>
      <c r="G239" s="855" t="s">
        <v>9298</v>
      </c>
      <c r="H239" s="855" t="s">
        <v>353</v>
      </c>
      <c r="I239" s="855" t="s">
        <v>353</v>
      </c>
      <c r="J239" s="773" t="str">
        <f ca="1">MID(K1,1,7)</f>
        <v xml:space="preserve"> </v>
      </c>
      <c r="K239" s="796" t="e">
        <f t="shared" ca="1" si="337"/>
        <v>#N/A</v>
      </c>
      <c r="O239" s="787">
        <v>51</v>
      </c>
      <c r="P239" s="773" t="s">
        <v>8517</v>
      </c>
      <c r="Q239" s="773">
        <v>3</v>
      </c>
      <c r="R239" s="796">
        <f t="shared" ca="1" si="340"/>
        <v>2</v>
      </c>
      <c r="S239" s="773" t="e">
        <f t="shared" ca="1" si="341"/>
        <v>#N/A</v>
      </c>
    </row>
    <row r="240" spans="1:19">
      <c r="J240" s="773" t="str">
        <f ca="1">MID(K2,1,7)</f>
        <v xml:space="preserve"> </v>
      </c>
      <c r="K240" s="796" t="e">
        <f t="shared" ca="1" si="337"/>
        <v>#N/A</v>
      </c>
      <c r="O240" s="787">
        <v>52</v>
      </c>
      <c r="P240" s="773" t="s">
        <v>8519</v>
      </c>
      <c r="Q240" s="773">
        <v>2</v>
      </c>
      <c r="R240" s="796">
        <f t="shared" ca="1" si="340"/>
        <v>2</v>
      </c>
      <c r="S240" s="773" t="e">
        <f ca="1">VLOOKUP(K40,$P$145:$R$187,3,0)</f>
        <v>#N/A</v>
      </c>
    </row>
    <row r="241" spans="1:18">
      <c r="J241" s="773" t="str">
        <f ca="1">MID(K12,1,7)</f>
        <v>Phá Quâ</v>
      </c>
      <c r="K241" s="796">
        <f t="shared" ca="1" si="337"/>
        <v>5</v>
      </c>
      <c r="O241" s="915">
        <v>53</v>
      </c>
      <c r="P241" s="912" t="s">
        <v>8521</v>
      </c>
      <c r="Q241" s="773">
        <v>3</v>
      </c>
      <c r="R241" s="796">
        <f t="shared" ca="1" si="340"/>
        <v>2</v>
      </c>
    </row>
    <row r="242" spans="1:18">
      <c r="J242" s="773" t="str">
        <f ca="1">MID(K13,1,7)</f>
        <v>Liêm Tr</v>
      </c>
      <c r="K242" s="796">
        <f t="shared" ca="1" si="337"/>
        <v>1</v>
      </c>
      <c r="R242" s="796">
        <f ca="1">VLOOKUP(B15,$P$189:$Q$241,2,0)</f>
        <v>3</v>
      </c>
    </row>
    <row r="243" spans="1:18">
      <c r="A243" s="952" t="s">
        <v>8547</v>
      </c>
      <c r="B243" s="953">
        <v>1</v>
      </c>
      <c r="C243" s="954" t="e">
        <f>VLOOKUP(H37,$A$243:$B$251,2,0)</f>
        <v>#N/A</v>
      </c>
      <c r="J243" s="773" t="str">
        <f ca="1">MID(K21,1,7)</f>
        <v xml:space="preserve"> </v>
      </c>
      <c r="K243" s="796" t="e">
        <f t="shared" ca="1" si="337"/>
        <v>#N/A</v>
      </c>
      <c r="R243" s="796" t="e">
        <f ca="1">VLOOKUP(B16,$P$189:$Q$241,2,0)</f>
        <v>#N/A</v>
      </c>
    </row>
    <row r="244" spans="1:18">
      <c r="A244" s="952" t="s">
        <v>8548</v>
      </c>
      <c r="B244" s="953">
        <v>3</v>
      </c>
      <c r="C244" s="954" t="e">
        <f>VLOOKUP(H38,$A$243:$B$251,2,0)</f>
        <v>#N/A</v>
      </c>
      <c r="J244" s="773" t="str">
        <f ca="1">MID(K22,1,7)</f>
        <v xml:space="preserve"> </v>
      </c>
      <c r="K244" s="796" t="e">
        <f t="shared" ca="1" si="337"/>
        <v>#N/A</v>
      </c>
      <c r="R244" s="796" t="e">
        <f t="shared" ref="R244:R251" ca="1" si="342">VLOOKUP(A3,$P$189:$Q$241,2,0)</f>
        <v>#N/A</v>
      </c>
    </row>
    <row r="245" spans="1:18">
      <c r="A245" s="952" t="s">
        <v>8549</v>
      </c>
      <c r="B245" s="953">
        <v>4</v>
      </c>
      <c r="C245" s="954" t="e">
        <f>VLOOKUP(H39,$A$243:$B$251,2,0)</f>
        <v>#N/A</v>
      </c>
      <c r="J245" s="773" t="str">
        <f ca="1">MID(K32,1,7)</f>
        <v>Thiên P</v>
      </c>
      <c r="K245" s="796">
        <f t="shared" ca="1" si="337"/>
        <v>3</v>
      </c>
      <c r="R245" s="796">
        <f t="shared" ca="1" si="342"/>
        <v>1</v>
      </c>
    </row>
    <row r="246" spans="1:18">
      <c r="A246" s="952" t="s">
        <v>8550</v>
      </c>
      <c r="B246" s="953">
        <v>4</v>
      </c>
      <c r="C246" s="954" t="e">
        <f>VLOOKUP(E37,$A$243:$B$251,2,0)</f>
        <v>#N/A</v>
      </c>
      <c r="J246" s="773" t="str">
        <f ca="1">MID(K33,1,7)</f>
        <v xml:space="preserve"> </v>
      </c>
      <c r="K246" s="796" t="e">
        <f t="shared" ca="1" si="337"/>
        <v>#N/A</v>
      </c>
      <c r="R246" s="796">
        <f t="shared" ca="1" si="342"/>
        <v>2</v>
      </c>
    </row>
    <row r="247" spans="1:18" ht="15">
      <c r="A247" s="952" t="s">
        <v>8551</v>
      </c>
      <c r="B247" s="955">
        <v>5</v>
      </c>
      <c r="C247" s="954" t="e">
        <f>VLOOKUP(E38,$A$243:$B$251,2,0)</f>
        <v>#N/A</v>
      </c>
      <c r="D247" s="1028"/>
      <c r="E247" s="1028"/>
      <c r="F247" s="1028"/>
      <c r="G247" s="1028"/>
      <c r="H247" s="1028"/>
      <c r="I247" s="1028"/>
      <c r="J247" s="773" t="str">
        <f ca="1">MID(B12,1,7)</f>
        <v>Thiên C</v>
      </c>
      <c r="K247" s="796">
        <f t="shared" ca="1" si="337"/>
        <v>2</v>
      </c>
      <c r="L247" s="1028"/>
      <c r="M247" s="1028"/>
      <c r="R247" s="796">
        <f t="shared" ca="1" si="342"/>
        <v>2</v>
      </c>
    </row>
    <row r="248" spans="1:18" ht="15">
      <c r="A248" s="952" t="s">
        <v>8552</v>
      </c>
      <c r="B248" s="955">
        <v>5</v>
      </c>
      <c r="C248" s="954" t="e">
        <f>VLOOKUP(E39,$A$243:$B$251,2,0)</f>
        <v>#N/A</v>
      </c>
      <c r="D248" s="855"/>
      <c r="E248" s="855"/>
      <c r="F248" s="855"/>
      <c r="G248" s="855"/>
      <c r="H248" s="855"/>
      <c r="I248" s="855"/>
      <c r="J248" s="773" t="str">
        <f ca="1">MID(B13,1,7)</f>
        <v>Thiên L</v>
      </c>
      <c r="K248" s="796">
        <f t="shared" ca="1" si="337"/>
        <v>2</v>
      </c>
      <c r="L248" s="855"/>
      <c r="M248" s="855"/>
      <c r="R248" s="796">
        <f t="shared" ca="1" si="342"/>
        <v>5</v>
      </c>
    </row>
    <row r="249" spans="1:18" ht="15">
      <c r="A249" s="952" t="s">
        <v>8553</v>
      </c>
      <c r="B249" s="955">
        <v>1</v>
      </c>
      <c r="C249" s="954" t="e">
        <f>VLOOKUP(B37,$A$243:$B$251,2,0)</f>
        <v>#N/A</v>
      </c>
      <c r="D249" s="855"/>
      <c r="E249" s="855"/>
      <c r="F249" s="855"/>
      <c r="G249" s="855"/>
      <c r="H249" s="855"/>
      <c r="I249" s="855"/>
      <c r="J249" s="855"/>
      <c r="K249" s="855"/>
      <c r="L249" s="855"/>
      <c r="M249" s="855"/>
      <c r="R249" s="796">
        <f t="shared" ca="1" si="342"/>
        <v>1</v>
      </c>
    </row>
    <row r="250" spans="1:18" ht="15">
      <c r="A250" s="952" t="s">
        <v>8554</v>
      </c>
      <c r="B250" s="955">
        <v>2</v>
      </c>
      <c r="C250" s="954" t="e">
        <f>VLOOKUP(B38,$A$243:$B$251,2,0)</f>
        <v>#N/A</v>
      </c>
      <c r="D250" s="855"/>
      <c r="E250" s="855"/>
      <c r="F250" s="855"/>
      <c r="G250" s="855"/>
      <c r="H250" s="855"/>
      <c r="I250" s="855"/>
      <c r="J250" s="855"/>
      <c r="K250" s="855"/>
      <c r="L250" s="855"/>
      <c r="M250" s="855"/>
      <c r="R250" s="796" t="e">
        <f t="shared" ca="1" si="342"/>
        <v>#N/A</v>
      </c>
    </row>
    <row r="251" spans="1:18" ht="15">
      <c r="A251" s="952" t="s">
        <v>8555</v>
      </c>
      <c r="B251" s="955">
        <v>4</v>
      </c>
      <c r="C251" s="954" t="e">
        <f>VLOOKUP(B39,$A$243:$B$251,2,0)</f>
        <v>#N/A</v>
      </c>
      <c r="D251" s="855"/>
      <c r="E251" s="855"/>
      <c r="F251" s="855"/>
      <c r="G251" s="855"/>
      <c r="H251" s="855"/>
      <c r="I251" s="855"/>
      <c r="J251" s="855"/>
      <c r="K251" s="855"/>
      <c r="L251" s="855"/>
      <c r="M251" s="855"/>
      <c r="R251" s="796" t="e">
        <f t="shared" ca="1" si="342"/>
        <v>#N/A</v>
      </c>
    </row>
    <row r="252" spans="1:18" ht="15">
      <c r="A252" s="855"/>
      <c r="B252" s="855"/>
      <c r="C252" s="954">
        <f>VLOOKUP(B27,$A$243:$B$251,2,0)</f>
        <v>1</v>
      </c>
      <c r="D252" s="855"/>
      <c r="E252" s="855"/>
      <c r="F252" s="855"/>
      <c r="G252" s="855"/>
      <c r="H252" s="855"/>
      <c r="I252" s="855"/>
      <c r="J252" s="855"/>
      <c r="K252" s="855"/>
      <c r="L252" s="855"/>
      <c r="M252" s="855"/>
      <c r="R252" s="796" t="e">
        <f ca="1">VLOOKUP(B4,$P$189:$Q$241,2,0)</f>
        <v>#N/A</v>
      </c>
    </row>
    <row r="253" spans="1:18" ht="15">
      <c r="A253" s="855"/>
      <c r="B253" s="855"/>
      <c r="C253" s="954">
        <f>VLOOKUP(B28,$A$243:$B$251,2,0)</f>
        <v>5</v>
      </c>
      <c r="D253" s="855"/>
      <c r="E253" s="855"/>
      <c r="F253" s="855"/>
      <c r="G253" s="855"/>
      <c r="H253" s="855"/>
      <c r="I253" s="855"/>
      <c r="J253" s="855"/>
      <c r="K253" s="855"/>
      <c r="L253" s="855"/>
      <c r="M253" s="855"/>
      <c r="R253" s="796" t="e">
        <f ca="1">VLOOKUP(B5,$P$189:$Q$241,2,0)</f>
        <v>#N/A</v>
      </c>
    </row>
    <row r="254" spans="1:18" ht="15">
      <c r="A254" s="855"/>
      <c r="B254" s="855"/>
      <c r="C254" s="954" t="e">
        <f>VLOOKUP(B29,$A$243:$B$251,2,0)</f>
        <v>#N/A</v>
      </c>
      <c r="D254" s="855"/>
      <c r="E254" s="855"/>
      <c r="F254" s="855"/>
      <c r="G254" s="855"/>
      <c r="H254" s="855"/>
      <c r="I254" s="855"/>
      <c r="J254" s="855"/>
      <c r="K254" s="855"/>
      <c r="L254" s="855"/>
      <c r="M254" s="855"/>
      <c r="R254" s="796" t="e">
        <f ca="1">VLOOKUP(B6,$P$189:$Q$241,2,0)</f>
        <v>#N/A</v>
      </c>
    </row>
    <row r="255" spans="1:18" ht="15">
      <c r="A255" s="855"/>
      <c r="B255" s="855"/>
      <c r="C255" s="954" t="e">
        <f>VLOOKUP(B17,$A$243:$B$251,2,0)</f>
        <v>#N/A</v>
      </c>
      <c r="D255" s="855"/>
      <c r="E255" s="855"/>
      <c r="F255" s="855"/>
      <c r="G255" s="855"/>
      <c r="H255" s="855"/>
      <c r="I255" s="855"/>
      <c r="J255" s="855"/>
      <c r="K255" s="855"/>
      <c r="L255" s="855"/>
      <c r="M255" s="855"/>
      <c r="R255" s="796" t="e">
        <f t="shared" ref="R255:R262" ca="1" si="343">VLOOKUP(D3,$P$189:$Q$241,2,0)</f>
        <v>#N/A</v>
      </c>
    </row>
    <row r="256" spans="1:18" ht="15">
      <c r="A256" s="855"/>
      <c r="B256" s="855"/>
      <c r="C256" s="954" t="e">
        <f>VLOOKUP(B18,$A$243:$B$251,2,0)</f>
        <v>#N/A</v>
      </c>
      <c r="D256" s="855"/>
      <c r="E256" s="855"/>
      <c r="F256" s="855"/>
      <c r="G256" s="855"/>
      <c r="H256" s="855"/>
      <c r="I256" s="855"/>
      <c r="J256" s="855"/>
      <c r="K256" s="855"/>
      <c r="L256" s="855"/>
      <c r="M256" s="855"/>
      <c r="R256" s="796">
        <f t="shared" ca="1" si="343"/>
        <v>4</v>
      </c>
    </row>
    <row r="257" spans="1:18" ht="15">
      <c r="A257" s="855"/>
      <c r="B257" s="855"/>
      <c r="C257" s="954" t="e">
        <f>VLOOKUP(B19,$A$243:$B$251,2,0)</f>
        <v>#N/A</v>
      </c>
      <c r="D257" s="855"/>
      <c r="E257" s="855"/>
      <c r="F257" s="855"/>
      <c r="G257" s="855"/>
      <c r="H257" s="855"/>
      <c r="I257" s="855"/>
      <c r="J257" s="855"/>
      <c r="K257" s="855"/>
      <c r="L257" s="855"/>
      <c r="M257" s="855"/>
      <c r="R257" s="796">
        <f t="shared" ca="1" si="343"/>
        <v>3</v>
      </c>
    </row>
    <row r="258" spans="1:18" ht="15">
      <c r="A258" s="855"/>
      <c r="B258" s="855"/>
      <c r="C258" s="954">
        <f>VLOOKUP(B7,$A$243:$B$251,2,0)</f>
        <v>1</v>
      </c>
      <c r="D258" s="855"/>
      <c r="E258" s="855"/>
      <c r="F258" s="855"/>
      <c r="G258" s="855"/>
      <c r="H258" s="855"/>
      <c r="I258" s="855"/>
      <c r="J258" s="855"/>
      <c r="K258" s="855"/>
      <c r="L258" s="855"/>
      <c r="M258" s="855"/>
      <c r="R258" s="796">
        <f t="shared" ca="1" si="343"/>
        <v>3</v>
      </c>
    </row>
    <row r="259" spans="1:18" ht="15">
      <c r="A259" s="855"/>
      <c r="B259" s="855"/>
      <c r="C259" s="954">
        <f>VLOOKUP(B8,$A$243:$B$251,2,0)</f>
        <v>2</v>
      </c>
      <c r="D259" s="855"/>
      <c r="E259" s="855"/>
      <c r="F259" s="855"/>
      <c r="G259" s="855"/>
      <c r="H259" s="855"/>
      <c r="I259" s="855"/>
      <c r="J259" s="855"/>
      <c r="K259" s="855"/>
      <c r="L259" s="855"/>
      <c r="M259" s="855"/>
      <c r="R259" s="796">
        <f t="shared" ca="1" si="343"/>
        <v>4</v>
      </c>
    </row>
    <row r="260" spans="1:18" ht="15">
      <c r="A260" s="855"/>
      <c r="B260" s="855"/>
      <c r="C260" s="954" t="e">
        <f>VLOOKUP(B9,$A$243:$B$251,2,0)</f>
        <v>#N/A</v>
      </c>
      <c r="D260" s="855"/>
      <c r="E260" s="855"/>
      <c r="F260" s="855"/>
      <c r="G260" s="855"/>
      <c r="H260" s="855"/>
      <c r="I260" s="855"/>
      <c r="J260" s="855"/>
      <c r="K260" s="855"/>
      <c r="L260" s="855"/>
      <c r="M260" s="855"/>
      <c r="R260" s="796">
        <f t="shared" ca="1" si="343"/>
        <v>2</v>
      </c>
    </row>
    <row r="261" spans="1:18" ht="15">
      <c r="A261" s="855"/>
      <c r="B261" s="855"/>
      <c r="C261" s="954" t="e">
        <f>VLOOKUP(E8,$A$243:$B$251,2,0)</f>
        <v>#N/A</v>
      </c>
      <c r="D261" s="855"/>
      <c r="E261" s="855"/>
      <c r="F261" s="855"/>
      <c r="G261" s="855"/>
      <c r="H261" s="855"/>
      <c r="I261" s="855"/>
      <c r="J261" s="855"/>
      <c r="K261" s="855"/>
      <c r="L261" s="855"/>
      <c r="M261" s="855"/>
      <c r="R261" s="796" t="e">
        <f t="shared" ca="1" si="343"/>
        <v>#N/A</v>
      </c>
    </row>
    <row r="262" spans="1:18">
      <c r="A262" s="943"/>
      <c r="C262" s="954" t="e">
        <f>VLOOKUP(E9,$A$243:$B$251,2,0)</f>
        <v>#N/A</v>
      </c>
      <c r="R262" s="796" t="e">
        <f t="shared" ca="1" si="343"/>
        <v>#N/A</v>
      </c>
    </row>
    <row r="263" spans="1:18">
      <c r="A263" s="806"/>
      <c r="C263" s="954" t="e">
        <f>VLOOKUP(E10,$A$243:$B$251,2,0)</f>
        <v>#N/A</v>
      </c>
      <c r="R263" s="796" t="e">
        <f ca="1">VLOOKUP(E4,$P$189:$Q$241,2,0)</f>
        <v>#N/A</v>
      </c>
    </row>
    <row r="264" spans="1:18" ht="19.5">
      <c r="A264" s="944"/>
      <c r="C264" s="954" t="e">
        <f>VLOOKUP(H8,$A$243:$B$251,2,0)</f>
        <v>#N/A</v>
      </c>
      <c r="R264" s="796" t="e">
        <f ca="1">VLOOKUP(E5,$P$189:$Q$241,2,0)</f>
        <v>#N/A</v>
      </c>
    </row>
    <row r="265" spans="1:18">
      <c r="A265" s="806"/>
      <c r="C265" s="954" t="e">
        <f>VLOOKUP(H9,$A$243:$B$251,2,0)</f>
        <v>#N/A</v>
      </c>
      <c r="R265" s="796" t="e">
        <f ca="1">VLOOKUP(E6,$P$189:$Q$241,2,0)</f>
        <v>#N/A</v>
      </c>
    </row>
    <row r="266" spans="1:18" ht="14.25">
      <c r="A266" s="805"/>
      <c r="C266" s="954" t="e">
        <f>VLOOKUP(H10,$A$243:$B$251,2,0)</f>
        <v>#N/A</v>
      </c>
      <c r="R266" s="796" t="e">
        <f t="shared" ref="R266:R273" ca="1" si="344">VLOOKUP(G3,$P$189:$Q$241,2,0)</f>
        <v>#N/A</v>
      </c>
    </row>
    <row r="267" spans="1:18" ht="18">
      <c r="A267" s="855"/>
      <c r="B267" s="951"/>
      <c r="C267" s="954">
        <f>VLOOKUP(K7,$A$243:$B$251,2,0)</f>
        <v>4</v>
      </c>
      <c r="D267" s="1027"/>
      <c r="E267" s="1027"/>
      <c r="F267" s="1027"/>
      <c r="G267" s="1027"/>
      <c r="H267" s="1027"/>
      <c r="I267" s="1027"/>
      <c r="J267" s="1027"/>
      <c r="K267" s="1027"/>
      <c r="L267" s="1027"/>
      <c r="M267" s="1027"/>
      <c r="R267" s="796">
        <f t="shared" ca="1" si="344"/>
        <v>3</v>
      </c>
    </row>
    <row r="268" spans="1:18" ht="15">
      <c r="A268" s="855"/>
      <c r="B268" s="855"/>
      <c r="C268" s="954" t="e">
        <f>VLOOKUP(K8,$A$243:$B$251,2,0)</f>
        <v>#N/A</v>
      </c>
      <c r="D268" s="855"/>
      <c r="E268" s="855"/>
      <c r="F268" s="855"/>
      <c r="G268" s="855"/>
      <c r="H268" s="855"/>
      <c r="I268" s="855"/>
      <c r="J268" s="855"/>
      <c r="K268" s="855"/>
      <c r="L268" s="855"/>
      <c r="M268" s="855"/>
      <c r="R268" s="796">
        <f t="shared" ca="1" si="344"/>
        <v>3</v>
      </c>
    </row>
    <row r="269" spans="1:18" ht="18">
      <c r="A269" s="945"/>
      <c r="B269" s="855"/>
      <c r="C269" s="954" t="e">
        <f>VLOOKUP(K9,$A$243:$B$251,2,0)</f>
        <v>#N/A</v>
      </c>
      <c r="D269" s="855"/>
      <c r="E269" s="855"/>
      <c r="F269" s="855"/>
      <c r="G269" s="855"/>
      <c r="H269" s="855"/>
      <c r="I269" s="855"/>
      <c r="J269" s="855"/>
      <c r="K269" s="855"/>
      <c r="L269" s="855"/>
      <c r="M269" s="855"/>
      <c r="R269" s="796">
        <f t="shared" ca="1" si="344"/>
        <v>2</v>
      </c>
    </row>
    <row r="270" spans="1:18" ht="15">
      <c r="A270" s="855"/>
      <c r="B270" s="855"/>
      <c r="C270" s="954">
        <f>VLOOKUP(K17,$A$243:$B$251,2,0)</f>
        <v>3</v>
      </c>
      <c r="D270" s="855"/>
      <c r="E270" s="855"/>
      <c r="F270" s="855"/>
      <c r="G270" s="855"/>
      <c r="H270" s="855"/>
      <c r="I270" s="855"/>
      <c r="J270" s="855"/>
      <c r="K270" s="855"/>
      <c r="L270" s="855"/>
      <c r="M270" s="855"/>
      <c r="R270" s="796">
        <f t="shared" ca="1" si="344"/>
        <v>1</v>
      </c>
    </row>
    <row r="271" spans="1:18" ht="15">
      <c r="A271" s="855"/>
      <c r="B271" s="855"/>
      <c r="C271" s="954">
        <f>VLOOKUP(K18,$A$243:$B$251,2,0)</f>
        <v>5</v>
      </c>
      <c r="D271" s="855"/>
      <c r="E271" s="855"/>
      <c r="F271" s="855"/>
      <c r="G271" s="855"/>
      <c r="H271" s="855"/>
      <c r="I271" s="855"/>
      <c r="J271" s="855"/>
      <c r="K271" s="855"/>
      <c r="L271" s="855"/>
      <c r="M271" s="855"/>
      <c r="R271" s="796" t="e">
        <f t="shared" ca="1" si="344"/>
        <v>#N/A</v>
      </c>
    </row>
    <row r="272" spans="1:18" ht="15">
      <c r="A272" s="855"/>
      <c r="B272" s="855"/>
      <c r="C272" s="954" t="e">
        <f>VLOOKUP(K19,$A$243:$B$251,2,0)</f>
        <v>#N/A</v>
      </c>
      <c r="D272" s="855"/>
      <c r="E272" s="855"/>
      <c r="F272" s="855"/>
      <c r="G272" s="855"/>
      <c r="H272" s="855"/>
      <c r="I272" s="855"/>
      <c r="J272" s="855"/>
      <c r="K272" s="855"/>
      <c r="L272" s="855"/>
      <c r="M272" s="855"/>
      <c r="R272" s="796" t="e">
        <f t="shared" ca="1" si="344"/>
        <v>#N/A</v>
      </c>
    </row>
    <row r="273" spans="1:18" ht="15">
      <c r="A273" s="855"/>
      <c r="B273" s="855"/>
      <c r="C273" s="954">
        <f>VLOOKUP(K27,$A$243:$B$251,2,0)</f>
        <v>4</v>
      </c>
      <c r="D273" s="855"/>
      <c r="E273" s="855"/>
      <c r="F273" s="855"/>
      <c r="G273" s="855"/>
      <c r="H273" s="855"/>
      <c r="I273" s="855"/>
      <c r="J273" s="855"/>
      <c r="K273" s="855"/>
      <c r="L273" s="855"/>
      <c r="M273" s="855"/>
      <c r="R273" s="796" t="e">
        <f t="shared" ca="1" si="344"/>
        <v>#N/A</v>
      </c>
    </row>
    <row r="274" spans="1:18" ht="15">
      <c r="A274" s="855"/>
      <c r="B274" s="855"/>
      <c r="C274" s="954" t="e">
        <f>VLOOKUP(K28,$A$243:$B$251,2,0)</f>
        <v>#N/A</v>
      </c>
      <c r="D274" s="855"/>
      <c r="E274" s="855"/>
      <c r="F274" s="855"/>
      <c r="G274" s="855"/>
      <c r="H274" s="855"/>
      <c r="I274" s="855"/>
      <c r="J274" s="855"/>
      <c r="K274" s="855"/>
      <c r="L274" s="855"/>
      <c r="M274" s="855"/>
      <c r="R274" s="796" t="e">
        <f ca="1">VLOOKUP(H4,$P$189:$Q$241,2,0)</f>
        <v>#N/A</v>
      </c>
    </row>
    <row r="275" spans="1:18" ht="15">
      <c r="A275" s="855"/>
      <c r="B275" s="855"/>
      <c r="C275" s="954" t="e">
        <f>VLOOKUP(K29,$A$243:$B$251,2,0)</f>
        <v>#N/A</v>
      </c>
      <c r="D275" s="855"/>
      <c r="E275" s="855"/>
      <c r="F275" s="855"/>
      <c r="G275" s="855"/>
      <c r="H275" s="855"/>
      <c r="I275" s="855"/>
      <c r="J275" s="855"/>
      <c r="K275" s="855"/>
      <c r="L275" s="855"/>
      <c r="M275" s="855"/>
      <c r="R275" s="796" t="e">
        <f ca="1">VLOOKUP(H5,$P$189:$Q$241,2,0)</f>
        <v>#N/A</v>
      </c>
    </row>
    <row r="276" spans="1:18" ht="15">
      <c r="A276" s="855"/>
      <c r="B276" s="855"/>
      <c r="C276" s="954">
        <f>VLOOKUP(K37,$A$243:$B$251,2,0)</f>
        <v>4</v>
      </c>
      <c r="D276" s="855"/>
      <c r="E276" s="855"/>
      <c r="F276" s="855"/>
      <c r="G276" s="855"/>
      <c r="H276" s="855"/>
      <c r="I276" s="855"/>
      <c r="J276" s="855"/>
      <c r="K276" s="855"/>
      <c r="L276" s="855"/>
      <c r="M276" s="855"/>
      <c r="R276" s="796" t="e">
        <f ca="1">VLOOKUP(H6,$P$189:$Q$241,2,0)</f>
        <v>#N/A</v>
      </c>
    </row>
    <row r="277" spans="1:18" ht="15">
      <c r="A277" s="855"/>
      <c r="B277" s="855"/>
      <c r="C277" s="954" t="e">
        <f>VLOOKUP(K38,$A$243:$B$251,2,0)</f>
        <v>#N/A</v>
      </c>
      <c r="D277" s="855"/>
      <c r="E277" s="855"/>
      <c r="F277" s="855"/>
      <c r="G277" s="855"/>
      <c r="H277" s="855"/>
      <c r="I277" s="855"/>
      <c r="J277" s="855"/>
      <c r="K277" s="855"/>
      <c r="L277" s="855"/>
      <c r="M277" s="855"/>
      <c r="R277" s="796" t="e">
        <f t="shared" ref="R277:R284" ca="1" si="345">VLOOKUP(J3,$P$189:$Q$241,2,0)</f>
        <v>#N/A</v>
      </c>
    </row>
    <row r="278" spans="1:18" ht="15">
      <c r="A278" s="855"/>
      <c r="B278" s="855"/>
      <c r="C278" s="954" t="e">
        <f>VLOOKUP(K39,$A$243:$B$251,2,0)</f>
        <v>#N/A</v>
      </c>
      <c r="D278" s="855"/>
      <c r="E278" s="855"/>
      <c r="F278" s="855"/>
      <c r="G278" s="855"/>
      <c r="H278" s="855"/>
      <c r="I278" s="855"/>
      <c r="J278" s="855"/>
      <c r="K278" s="855"/>
      <c r="L278" s="855"/>
      <c r="M278" s="855"/>
      <c r="R278" s="796">
        <f t="shared" ca="1" si="345"/>
        <v>5</v>
      </c>
    </row>
    <row r="279" spans="1:18" ht="15">
      <c r="A279" s="855"/>
      <c r="B279" s="855"/>
      <c r="C279" s="855"/>
      <c r="D279" s="855"/>
      <c r="E279" s="855"/>
      <c r="F279" s="855"/>
      <c r="G279" s="855"/>
      <c r="H279" s="855"/>
      <c r="I279" s="855"/>
      <c r="J279" s="855"/>
      <c r="K279" s="855"/>
      <c r="L279" s="855"/>
      <c r="M279" s="855"/>
      <c r="R279" s="796">
        <f t="shared" ca="1" si="345"/>
        <v>1</v>
      </c>
    </row>
    <row r="280" spans="1:18" ht="15">
      <c r="A280" s="855"/>
      <c r="B280" s="855"/>
      <c r="C280" s="855"/>
      <c r="D280" s="855"/>
      <c r="E280" s="855"/>
      <c r="F280" s="855"/>
      <c r="G280" s="855"/>
      <c r="H280" s="855"/>
      <c r="I280" s="855"/>
      <c r="J280" s="855"/>
      <c r="K280" s="855"/>
      <c r="L280" s="855"/>
      <c r="M280" s="855"/>
      <c r="R280" s="796">
        <f t="shared" ca="1" si="345"/>
        <v>1</v>
      </c>
    </row>
    <row r="281" spans="1:18" ht="15">
      <c r="A281" s="855"/>
      <c r="B281" s="855"/>
      <c r="C281" s="855"/>
      <c r="D281" s="855"/>
      <c r="E281" s="855"/>
      <c r="F281" s="855"/>
      <c r="G281" s="855"/>
      <c r="H281" s="855"/>
      <c r="I281" s="855"/>
      <c r="J281" s="855"/>
      <c r="K281" s="855"/>
      <c r="L281" s="855"/>
      <c r="M281" s="855"/>
      <c r="R281" s="796" t="e">
        <f t="shared" ca="1" si="345"/>
        <v>#N/A</v>
      </c>
    </row>
    <row r="282" spans="1:18">
      <c r="A282" s="943"/>
      <c r="R282" s="796" t="e">
        <f t="shared" ca="1" si="345"/>
        <v>#N/A</v>
      </c>
    </row>
    <row r="283" spans="1:18">
      <c r="A283" s="806"/>
      <c r="R283" s="796" t="e">
        <f t="shared" ca="1" si="345"/>
        <v>#N/A</v>
      </c>
    </row>
    <row r="284" spans="1:18" ht="19.5">
      <c r="A284" s="944"/>
      <c r="R284" s="796" t="e">
        <f t="shared" ca="1" si="345"/>
        <v>#N/A</v>
      </c>
    </row>
    <row r="285" spans="1:18">
      <c r="A285" s="946"/>
      <c r="R285" s="796" t="e">
        <f ca="1">VLOOKUP(H4,$P$189:$Q$241,2,0)</f>
        <v>#N/A</v>
      </c>
    </row>
    <row r="286" spans="1:18" ht="16.5">
      <c r="A286" s="947"/>
      <c r="R286" s="796" t="e">
        <f ca="1">VLOOKUP(H5,$P$189:$Q$241,2,0)</f>
        <v>#N/A</v>
      </c>
    </row>
    <row r="287" spans="1:18">
      <c r="A287" s="806"/>
      <c r="R287" s="796" t="e">
        <f ca="1">VLOOKUP(H6,$P$189:$Q$241,2,0)</f>
        <v>#N/A</v>
      </c>
    </row>
    <row r="288" spans="1:18" ht="15">
      <c r="A288" s="948"/>
      <c r="R288" s="796" t="e">
        <f t="shared" ref="R288:R296" ca="1" si="346">VLOOKUP(J12,$P$189:$Q$241,2,0)</f>
        <v>#N/A</v>
      </c>
    </row>
    <row r="289" spans="1:18" ht="18">
      <c r="A289" s="945"/>
      <c r="B289" s="945"/>
      <c r="C289" s="945"/>
      <c r="D289" s="1026"/>
      <c r="E289" s="1026"/>
      <c r="F289" s="1026"/>
      <c r="G289" s="1026"/>
      <c r="H289" s="1026"/>
      <c r="I289" s="1026"/>
      <c r="J289" s="1026"/>
      <c r="K289" s="1026"/>
      <c r="L289" s="1026"/>
      <c r="M289" s="1026"/>
      <c r="R289" s="796" t="e">
        <f t="shared" ca="1" si="346"/>
        <v>#N/A</v>
      </c>
    </row>
    <row r="290" spans="1:18" ht="15">
      <c r="A290" s="855"/>
      <c r="B290" s="855"/>
      <c r="C290" s="855"/>
      <c r="D290" s="855"/>
      <c r="E290" s="855"/>
      <c r="F290" s="855"/>
      <c r="G290" s="855"/>
      <c r="H290" s="855"/>
      <c r="I290" s="855"/>
      <c r="J290" s="855"/>
      <c r="K290" s="855"/>
      <c r="L290" s="855"/>
      <c r="M290" s="855"/>
      <c r="R290" s="796">
        <f t="shared" ca="1" si="346"/>
        <v>5</v>
      </c>
    </row>
    <row r="291" spans="1:18" ht="15">
      <c r="A291" s="855"/>
      <c r="B291" s="855"/>
      <c r="C291" s="855"/>
      <c r="D291" s="855"/>
      <c r="E291" s="855"/>
      <c r="F291" s="855"/>
      <c r="G291" s="855"/>
      <c r="H291" s="855"/>
      <c r="I291" s="855"/>
      <c r="J291" s="855"/>
      <c r="K291" s="855"/>
      <c r="L291" s="855"/>
      <c r="M291" s="855"/>
      <c r="R291" s="796">
        <f t="shared" ca="1" si="346"/>
        <v>5</v>
      </c>
    </row>
    <row r="292" spans="1:18" ht="15">
      <c r="A292" s="855"/>
      <c r="B292" s="855"/>
      <c r="C292" s="855"/>
      <c r="D292" s="855"/>
      <c r="E292" s="855"/>
      <c r="F292" s="855"/>
      <c r="G292" s="855"/>
      <c r="H292" s="855"/>
      <c r="I292" s="855"/>
      <c r="J292" s="855"/>
      <c r="K292" s="855"/>
      <c r="L292" s="855"/>
      <c r="M292" s="855"/>
      <c r="R292" s="796">
        <f t="shared" ca="1" si="346"/>
        <v>3</v>
      </c>
    </row>
    <row r="293" spans="1:18" ht="15">
      <c r="A293" s="855"/>
      <c r="B293" s="855"/>
      <c r="C293" s="855"/>
      <c r="D293" s="855"/>
      <c r="E293" s="855"/>
      <c r="F293" s="855"/>
      <c r="G293" s="855"/>
      <c r="H293" s="855"/>
      <c r="I293" s="855"/>
      <c r="J293" s="855"/>
      <c r="K293" s="855"/>
      <c r="L293" s="855"/>
      <c r="M293" s="855"/>
      <c r="R293" s="796">
        <f t="shared" ca="1" si="346"/>
        <v>1</v>
      </c>
    </row>
    <row r="294" spans="1:18" ht="15">
      <c r="A294" s="855"/>
      <c r="B294" s="855"/>
      <c r="C294" s="855"/>
      <c r="D294" s="855"/>
      <c r="E294" s="855"/>
      <c r="F294" s="855"/>
      <c r="G294" s="855"/>
      <c r="H294" s="855"/>
      <c r="I294" s="855"/>
      <c r="J294" s="855"/>
      <c r="K294" s="855"/>
      <c r="L294" s="855"/>
      <c r="M294" s="855"/>
      <c r="R294" s="796">
        <f t="shared" ca="1" si="346"/>
        <v>5</v>
      </c>
    </row>
    <row r="295" spans="1:18" ht="15">
      <c r="A295" s="855"/>
      <c r="B295" s="855"/>
      <c r="C295" s="855"/>
      <c r="D295" s="855"/>
      <c r="E295" s="855"/>
      <c r="F295" s="855"/>
      <c r="G295" s="855"/>
      <c r="H295" s="855"/>
      <c r="I295" s="855"/>
      <c r="J295" s="855"/>
      <c r="K295" s="855"/>
      <c r="L295" s="855"/>
      <c r="M295" s="855"/>
      <c r="R295" s="796">
        <f t="shared" ca="1" si="346"/>
        <v>5</v>
      </c>
    </row>
    <row r="296" spans="1:18" ht="15">
      <c r="A296" s="855"/>
      <c r="B296" s="855"/>
      <c r="C296" s="855"/>
      <c r="D296" s="855"/>
      <c r="E296" s="855"/>
      <c r="F296" s="855"/>
      <c r="G296" s="855"/>
      <c r="H296" s="855"/>
      <c r="I296" s="855"/>
      <c r="J296" s="855"/>
      <c r="K296" s="855"/>
      <c r="L296" s="855"/>
      <c r="M296" s="855"/>
      <c r="R296" s="796" t="e">
        <f t="shared" ca="1" si="346"/>
        <v>#N/A</v>
      </c>
    </row>
    <row r="297" spans="1:18" ht="15">
      <c r="A297" s="855"/>
      <c r="B297" s="855"/>
      <c r="C297" s="855"/>
      <c r="D297" s="855"/>
      <c r="E297" s="855"/>
      <c r="F297" s="855"/>
      <c r="G297" s="855"/>
      <c r="H297" s="855"/>
      <c r="I297" s="855"/>
      <c r="J297" s="855"/>
      <c r="K297" s="855"/>
      <c r="L297" s="855"/>
      <c r="M297" s="855"/>
      <c r="R297" s="796" t="e">
        <f ca="1">VLOOKUP(K15,$P$189:$Q$241,2,0)</f>
        <v>#N/A</v>
      </c>
    </row>
    <row r="298" spans="1:18" ht="15">
      <c r="A298" s="855"/>
      <c r="B298" s="855"/>
      <c r="C298" s="855"/>
      <c r="D298" s="855"/>
      <c r="E298" s="855"/>
      <c r="F298" s="855"/>
      <c r="G298" s="855"/>
      <c r="H298" s="855"/>
      <c r="I298" s="855"/>
      <c r="J298" s="855"/>
      <c r="K298" s="855"/>
      <c r="L298" s="855"/>
      <c r="M298" s="855"/>
      <c r="R298" s="796" t="e">
        <f ca="1">VLOOKUP(K16,$P$189:$Q$241,2,0)</f>
        <v>#N/A</v>
      </c>
    </row>
    <row r="299" spans="1:18" ht="15">
      <c r="A299" s="855"/>
      <c r="B299" s="855"/>
      <c r="C299" s="855"/>
      <c r="D299" s="855"/>
      <c r="E299" s="855"/>
      <c r="F299" s="855"/>
      <c r="G299" s="855"/>
      <c r="H299" s="855"/>
      <c r="I299" s="855"/>
      <c r="J299" s="855"/>
      <c r="K299" s="855"/>
      <c r="L299" s="855"/>
      <c r="M299" s="855"/>
      <c r="R299" s="796">
        <f t="shared" ref="R299:R306" ca="1" si="347">VLOOKUP(J23,$P$189:$Q$241,2,0)</f>
        <v>2</v>
      </c>
    </row>
    <row r="300" spans="1:18" ht="15">
      <c r="A300" s="855"/>
      <c r="B300" s="855"/>
      <c r="C300" s="855"/>
      <c r="D300" s="855"/>
      <c r="E300" s="855"/>
      <c r="F300" s="855"/>
      <c r="G300" s="855"/>
      <c r="H300" s="855"/>
      <c r="I300" s="855"/>
      <c r="J300" s="855"/>
      <c r="K300" s="855"/>
      <c r="L300" s="855"/>
      <c r="M300" s="855"/>
      <c r="R300" s="796">
        <f t="shared" ca="1" si="347"/>
        <v>5</v>
      </c>
    </row>
    <row r="301" spans="1:18" ht="15">
      <c r="A301" s="855"/>
      <c r="B301" s="855"/>
      <c r="C301" s="855"/>
      <c r="D301" s="855"/>
      <c r="E301" s="855"/>
      <c r="F301" s="855"/>
      <c r="G301" s="855"/>
      <c r="H301" s="855"/>
      <c r="I301" s="855"/>
      <c r="J301" s="855"/>
      <c r="K301" s="855"/>
      <c r="L301" s="855"/>
      <c r="M301" s="855"/>
      <c r="R301" s="796">
        <f t="shared" ca="1" si="347"/>
        <v>5</v>
      </c>
    </row>
    <row r="302" spans="1:18" ht="15">
      <c r="A302" s="855"/>
      <c r="B302" s="855"/>
      <c r="C302" s="855"/>
      <c r="D302" s="855"/>
      <c r="E302" s="855"/>
      <c r="F302" s="855"/>
      <c r="G302" s="855"/>
      <c r="H302" s="855"/>
      <c r="I302" s="855"/>
      <c r="J302" s="855"/>
      <c r="K302" s="855"/>
      <c r="L302" s="855"/>
      <c r="M302" s="855"/>
      <c r="R302" s="796">
        <f t="shared" ca="1" si="347"/>
        <v>4</v>
      </c>
    </row>
    <row r="303" spans="1:18" ht="15">
      <c r="A303" s="855"/>
      <c r="B303" s="855"/>
      <c r="C303" s="855"/>
      <c r="D303" s="855"/>
      <c r="E303" s="855"/>
      <c r="F303" s="855"/>
      <c r="G303" s="855"/>
      <c r="H303" s="855"/>
      <c r="I303" s="855"/>
      <c r="J303" s="855"/>
      <c r="K303" s="855"/>
      <c r="L303" s="855"/>
      <c r="M303" s="855"/>
      <c r="R303" s="796">
        <f t="shared" ca="1" si="347"/>
        <v>1</v>
      </c>
    </row>
    <row r="304" spans="1:18">
      <c r="A304" s="943"/>
      <c r="R304" s="796">
        <f t="shared" ca="1" si="347"/>
        <v>4</v>
      </c>
    </row>
    <row r="305" spans="1:18">
      <c r="A305" s="806"/>
      <c r="R305" s="796">
        <f t="shared" ca="1" si="347"/>
        <v>1</v>
      </c>
    </row>
    <row r="306" spans="1:18" ht="19.5">
      <c r="A306" s="944"/>
      <c r="R306" s="796" t="e">
        <f t="shared" ca="1" si="347"/>
        <v>#N/A</v>
      </c>
    </row>
    <row r="307" spans="1:18">
      <c r="A307" s="949"/>
      <c r="R307" s="796" t="e">
        <f ca="1">VLOOKUP(K24,$P$189:$Q$241,2,0)</f>
        <v>#N/A</v>
      </c>
    </row>
    <row r="308" spans="1:18">
      <c r="A308" s="806"/>
      <c r="R308" s="796" t="e">
        <f ca="1">VLOOKUP(K25,$P$189:$Q$241,2,0)</f>
        <v>#N/A</v>
      </c>
    </row>
    <row r="309" spans="1:18">
      <c r="A309" s="806"/>
      <c r="R309" s="796" t="e">
        <f ca="1">VLOOKUP(K26,$P$189:$Q$241,2,0)</f>
        <v>#N/A</v>
      </c>
    </row>
    <row r="310" spans="1:18" ht="18">
      <c r="A310" s="945"/>
      <c r="B310" s="1027"/>
      <c r="C310" s="1027"/>
      <c r="D310" s="1027"/>
      <c r="E310" s="1027"/>
      <c r="F310" s="1027"/>
      <c r="G310" s="1027"/>
      <c r="H310" s="1027"/>
      <c r="I310" s="1027"/>
      <c r="J310" s="1027"/>
      <c r="K310" s="1027"/>
      <c r="L310" s="1027"/>
      <c r="M310" s="1027"/>
      <c r="R310" s="796" t="e">
        <f t="shared" ref="R310:R318" ca="1" si="348">VLOOKUP(J32,$P$189:$Q$241,2,0)</f>
        <v>#N/A</v>
      </c>
    </row>
    <row r="311" spans="1:18" ht="15">
      <c r="A311" s="773" t="s">
        <v>7814</v>
      </c>
      <c r="B311" s="773" t="s">
        <v>7880</v>
      </c>
      <c r="C311" s="773" t="s">
        <v>7877</v>
      </c>
      <c r="D311" s="773">
        <v>1</v>
      </c>
      <c r="E311" s="805" t="s">
        <v>6666</v>
      </c>
      <c r="F311" s="855"/>
      <c r="G311" s="855"/>
      <c r="H311" s="855"/>
      <c r="I311" s="855"/>
      <c r="J311" s="855"/>
      <c r="K311" s="855"/>
      <c r="L311" s="855"/>
      <c r="M311" s="855"/>
      <c r="R311" s="796" t="e">
        <f t="shared" ca="1" si="348"/>
        <v>#N/A</v>
      </c>
    </row>
    <row r="312" spans="1:18" ht="15">
      <c r="A312" s="773" t="s">
        <v>7818</v>
      </c>
      <c r="B312" s="773" t="s">
        <v>7880</v>
      </c>
      <c r="C312" s="773" t="s">
        <v>7877</v>
      </c>
      <c r="D312" s="773">
        <v>2</v>
      </c>
      <c r="E312" s="805" t="s">
        <v>6666</v>
      </c>
      <c r="F312" s="855"/>
      <c r="G312" s="855"/>
      <c r="H312" s="855"/>
      <c r="I312" s="855"/>
      <c r="J312" s="855"/>
      <c r="K312" s="855"/>
      <c r="L312" s="855"/>
      <c r="M312" s="855"/>
      <c r="R312" s="796">
        <f t="shared" ca="1" si="348"/>
        <v>3</v>
      </c>
    </row>
    <row r="313" spans="1:18" ht="15">
      <c r="A313" s="773" t="s">
        <v>7819</v>
      </c>
      <c r="B313" s="773" t="s">
        <v>7880</v>
      </c>
      <c r="C313" s="773" t="s">
        <v>7877</v>
      </c>
      <c r="D313" s="773">
        <v>3</v>
      </c>
      <c r="E313" s="805" t="s">
        <v>6622</v>
      </c>
      <c r="F313" s="855"/>
      <c r="G313" s="855"/>
      <c r="H313" s="855"/>
      <c r="I313" s="855"/>
      <c r="J313" s="855"/>
      <c r="K313" s="855"/>
      <c r="L313" s="855"/>
      <c r="M313" s="855"/>
      <c r="R313" s="796">
        <f t="shared" ca="1" si="348"/>
        <v>1</v>
      </c>
    </row>
    <row r="314" spans="1:18" ht="15">
      <c r="A314" s="773" t="s">
        <v>7820</v>
      </c>
      <c r="B314" s="773" t="s">
        <v>7880</v>
      </c>
      <c r="C314" s="773" t="s">
        <v>7877</v>
      </c>
      <c r="D314" s="773">
        <v>4</v>
      </c>
      <c r="E314" s="805" t="s">
        <v>6622</v>
      </c>
      <c r="F314" s="855"/>
      <c r="G314" s="855"/>
      <c r="H314" s="855"/>
      <c r="I314" s="855"/>
      <c r="J314" s="855"/>
      <c r="K314" s="855"/>
      <c r="L314" s="855"/>
      <c r="M314" s="855"/>
      <c r="R314" s="796">
        <f t="shared" ca="1" si="348"/>
        <v>5</v>
      </c>
    </row>
    <row r="315" spans="1:18" ht="15">
      <c r="A315" s="773" t="s">
        <v>7822</v>
      </c>
      <c r="B315" s="773" t="s">
        <v>7880</v>
      </c>
      <c r="C315" s="773" t="s">
        <v>7877</v>
      </c>
      <c r="D315" s="773">
        <v>5</v>
      </c>
      <c r="E315" s="805" t="s">
        <v>6667</v>
      </c>
      <c r="F315" s="855"/>
      <c r="G315" s="855"/>
      <c r="H315" s="855"/>
      <c r="I315" s="855"/>
      <c r="J315" s="855"/>
      <c r="K315" s="855"/>
      <c r="L315" s="855"/>
      <c r="M315" s="855"/>
      <c r="R315" s="796" t="e">
        <f t="shared" ca="1" si="348"/>
        <v>#N/A</v>
      </c>
    </row>
    <row r="316" spans="1:18" ht="15">
      <c r="A316" s="773" t="s">
        <v>7823</v>
      </c>
      <c r="B316" s="773" t="s">
        <v>7880</v>
      </c>
      <c r="C316" s="773" t="s">
        <v>7877</v>
      </c>
      <c r="D316" s="773">
        <v>6</v>
      </c>
      <c r="E316" s="805" t="s">
        <v>6667</v>
      </c>
      <c r="F316" s="855"/>
      <c r="G316" s="855"/>
      <c r="H316" s="855"/>
      <c r="I316" s="855"/>
      <c r="J316" s="855"/>
      <c r="K316" s="855"/>
      <c r="L316" s="855"/>
      <c r="M316" s="855"/>
      <c r="R316" s="796" t="e">
        <f t="shared" ca="1" si="348"/>
        <v>#N/A</v>
      </c>
    </row>
    <row r="317" spans="1:18" ht="15">
      <c r="A317" s="773" t="s">
        <v>7825</v>
      </c>
      <c r="B317" s="773" t="s">
        <v>7880</v>
      </c>
      <c r="C317" s="773" t="s">
        <v>7877</v>
      </c>
      <c r="D317" s="773">
        <v>7</v>
      </c>
      <c r="E317" s="805" t="s">
        <v>6625</v>
      </c>
      <c r="F317" s="855"/>
      <c r="G317" s="855"/>
      <c r="H317" s="855"/>
      <c r="I317" s="855"/>
      <c r="J317" s="855"/>
      <c r="K317" s="855"/>
      <c r="L317" s="855"/>
      <c r="M317" s="855"/>
      <c r="R317" s="796" t="e">
        <f t="shared" ca="1" si="348"/>
        <v>#N/A</v>
      </c>
    </row>
    <row r="318" spans="1:18" ht="15">
      <c r="A318" s="773" t="s">
        <v>7827</v>
      </c>
      <c r="B318" s="773" t="s">
        <v>7880</v>
      </c>
      <c r="C318" s="773" t="s">
        <v>7877</v>
      </c>
      <c r="D318" s="773">
        <v>8</v>
      </c>
      <c r="E318" s="805" t="s">
        <v>6625</v>
      </c>
      <c r="F318" s="855"/>
      <c r="G318" s="855"/>
      <c r="H318" s="855"/>
      <c r="I318" s="855"/>
      <c r="J318" s="855"/>
      <c r="K318" s="855"/>
      <c r="L318" s="855"/>
      <c r="M318" s="855"/>
      <c r="R318" s="796" t="e">
        <f t="shared" ca="1" si="348"/>
        <v>#N/A</v>
      </c>
    </row>
    <row r="319" spans="1:18" ht="15">
      <c r="A319" s="773" t="s">
        <v>7829</v>
      </c>
      <c r="B319" s="773" t="s">
        <v>7880</v>
      </c>
      <c r="C319" s="773" t="s">
        <v>7877</v>
      </c>
      <c r="D319" s="773">
        <v>9</v>
      </c>
      <c r="E319" s="805" t="s">
        <v>6666</v>
      </c>
      <c r="F319" s="855"/>
      <c r="G319" s="855"/>
      <c r="H319" s="855"/>
      <c r="I319" s="855"/>
      <c r="J319" s="855"/>
      <c r="K319" s="855"/>
      <c r="L319" s="855"/>
      <c r="M319" s="855"/>
      <c r="R319" s="796" t="e">
        <f ca="1">VLOOKUP(K35,$P$189:$Q$241,2,0)</f>
        <v>#N/A</v>
      </c>
    </row>
    <row r="320" spans="1:18" ht="15">
      <c r="A320" s="773" t="s">
        <v>7831</v>
      </c>
      <c r="B320" s="773" t="s">
        <v>7880</v>
      </c>
      <c r="C320" s="773" t="s">
        <v>7877</v>
      </c>
      <c r="D320" s="773">
        <v>10</v>
      </c>
      <c r="E320" s="805" t="s">
        <v>6666</v>
      </c>
      <c r="F320" s="855"/>
      <c r="G320" s="855"/>
      <c r="H320" s="855"/>
      <c r="I320" s="855"/>
      <c r="J320" s="855"/>
      <c r="K320" s="855"/>
      <c r="L320" s="855"/>
      <c r="M320" s="855"/>
      <c r="R320" s="796" t="e">
        <f ca="1">VLOOKUP(K36,$P$189:$Q$241,2,0)</f>
        <v>#N/A</v>
      </c>
    </row>
    <row r="321" spans="1:13" ht="15">
      <c r="A321" s="773" t="s">
        <v>7835</v>
      </c>
      <c r="B321" s="773" t="s">
        <v>7887</v>
      </c>
      <c r="C321" s="773" t="s">
        <v>7886</v>
      </c>
      <c r="D321" s="773">
        <v>11</v>
      </c>
      <c r="E321" s="805" t="s">
        <v>6622</v>
      </c>
      <c r="F321" s="855"/>
      <c r="G321" s="855"/>
      <c r="H321" s="855"/>
      <c r="I321" s="855"/>
      <c r="J321" s="855"/>
      <c r="K321" s="855"/>
      <c r="L321" s="855"/>
      <c r="M321" s="855"/>
    </row>
    <row r="322" spans="1:13" ht="15">
      <c r="A322" s="773" t="s">
        <v>7838</v>
      </c>
      <c r="B322" s="773" t="s">
        <v>7887</v>
      </c>
      <c r="C322" s="773" t="s">
        <v>7886</v>
      </c>
      <c r="D322" s="773">
        <v>12</v>
      </c>
      <c r="E322" s="805" t="s">
        <v>6622</v>
      </c>
      <c r="F322" s="855"/>
      <c r="G322" s="855"/>
      <c r="H322" s="855"/>
      <c r="I322" s="855"/>
      <c r="J322" s="855"/>
      <c r="K322" s="855"/>
      <c r="L322" s="855"/>
      <c r="M322" s="855"/>
    </row>
    <row r="323" spans="1:13" ht="15">
      <c r="A323" s="773" t="s">
        <v>7840</v>
      </c>
      <c r="B323" s="773" t="s">
        <v>7887</v>
      </c>
      <c r="C323" s="773" t="s">
        <v>7886</v>
      </c>
      <c r="D323" s="773">
        <v>13</v>
      </c>
      <c r="E323" s="805" t="s">
        <v>6675</v>
      </c>
      <c r="F323" s="855"/>
      <c r="G323" s="855"/>
      <c r="H323" s="855"/>
      <c r="I323" s="855"/>
      <c r="J323" s="855"/>
      <c r="K323" s="855"/>
      <c r="L323" s="855"/>
      <c r="M323" s="855"/>
    </row>
    <row r="324" spans="1:13" ht="15">
      <c r="A324" s="773" t="s">
        <v>7842</v>
      </c>
      <c r="B324" s="773" t="s">
        <v>7887</v>
      </c>
      <c r="C324" s="773" t="s">
        <v>7886</v>
      </c>
      <c r="D324" s="773">
        <v>14</v>
      </c>
      <c r="E324" s="805" t="s">
        <v>6675</v>
      </c>
      <c r="F324" s="855"/>
      <c r="G324" s="855"/>
      <c r="H324" s="855"/>
      <c r="I324" s="855"/>
      <c r="J324" s="855"/>
      <c r="K324" s="855"/>
      <c r="L324" s="855"/>
      <c r="M324" s="855"/>
    </row>
    <row r="325" spans="1:13" ht="14.25">
      <c r="A325" s="773" t="s">
        <v>7846</v>
      </c>
      <c r="B325" s="773" t="s">
        <v>7887</v>
      </c>
      <c r="C325" s="773" t="s">
        <v>7886</v>
      </c>
      <c r="D325" s="773">
        <v>15</v>
      </c>
      <c r="E325" s="805" t="s">
        <v>6625</v>
      </c>
    </row>
    <row r="326" spans="1:13" ht="14.25">
      <c r="A326" s="773" t="s">
        <v>7848</v>
      </c>
      <c r="B326" s="773" t="s">
        <v>7887</v>
      </c>
      <c r="C326" s="773" t="s">
        <v>7886</v>
      </c>
      <c r="D326" s="773">
        <v>16</v>
      </c>
      <c r="E326" s="805" t="s">
        <v>6625</v>
      </c>
    </row>
    <row r="327" spans="1:13" ht="14.25">
      <c r="A327" s="773" t="s">
        <v>7850</v>
      </c>
      <c r="B327" s="773" t="s">
        <v>7887</v>
      </c>
      <c r="C327" s="773" t="s">
        <v>7886</v>
      </c>
      <c r="D327" s="773">
        <v>17</v>
      </c>
      <c r="E327" s="805" t="s">
        <v>6666</v>
      </c>
    </row>
    <row r="328" spans="1:13" ht="14.25">
      <c r="A328" s="773" t="s">
        <v>7852</v>
      </c>
      <c r="B328" s="773" t="s">
        <v>7887</v>
      </c>
      <c r="C328" s="773" t="s">
        <v>7886</v>
      </c>
      <c r="D328" s="773">
        <v>18</v>
      </c>
      <c r="E328" s="805" t="s">
        <v>6666</v>
      </c>
    </row>
    <row r="329" spans="1:13" ht="14.25">
      <c r="A329" s="773" t="s">
        <v>7855</v>
      </c>
      <c r="B329" s="773" t="s">
        <v>7887</v>
      </c>
      <c r="C329" s="773" t="s">
        <v>7886</v>
      </c>
      <c r="D329" s="773">
        <v>19</v>
      </c>
      <c r="E329" s="805" t="s">
        <v>6667</v>
      </c>
    </row>
    <row r="330" spans="1:13" ht="14.25">
      <c r="A330" s="773" t="s">
        <v>7858</v>
      </c>
      <c r="B330" s="773" t="s">
        <v>7887</v>
      </c>
      <c r="C330" s="773" t="s">
        <v>7886</v>
      </c>
      <c r="D330" s="773">
        <v>20</v>
      </c>
      <c r="E330" s="805" t="s">
        <v>6667</v>
      </c>
    </row>
    <row r="331" spans="1:13" ht="14.25">
      <c r="A331" s="773" t="s">
        <v>7862</v>
      </c>
      <c r="B331" s="773" t="s">
        <v>7883</v>
      </c>
      <c r="C331" s="773" t="s">
        <v>7882</v>
      </c>
      <c r="D331" s="773">
        <v>21</v>
      </c>
      <c r="E331" s="805" t="s">
        <v>6675</v>
      </c>
    </row>
    <row r="332" spans="1:13" ht="14.25">
      <c r="A332" s="773" t="s">
        <v>7864</v>
      </c>
      <c r="B332" s="773" t="s">
        <v>7883</v>
      </c>
      <c r="C332" s="773" t="s">
        <v>7882</v>
      </c>
      <c r="D332" s="773">
        <v>22</v>
      </c>
      <c r="E332" s="805" t="s">
        <v>6675</v>
      </c>
    </row>
    <row r="333" spans="1:13" ht="14.25">
      <c r="A333" s="773" t="s">
        <v>7866</v>
      </c>
      <c r="B333" s="773" t="s">
        <v>7883</v>
      </c>
      <c r="C333" s="773" t="s">
        <v>7882</v>
      </c>
      <c r="D333" s="773">
        <v>23</v>
      </c>
      <c r="E333" s="805" t="s">
        <v>6625</v>
      </c>
    </row>
    <row r="334" spans="1:13" ht="14.25">
      <c r="A334" s="773" t="s">
        <v>7867</v>
      </c>
      <c r="B334" s="773" t="s">
        <v>7883</v>
      </c>
      <c r="C334" s="773" t="s">
        <v>7882</v>
      </c>
      <c r="D334" s="773">
        <v>24</v>
      </c>
      <c r="E334" s="805" t="s">
        <v>6625</v>
      </c>
    </row>
    <row r="335" spans="1:13" ht="14.25">
      <c r="A335" s="773" t="s">
        <v>7869</v>
      </c>
      <c r="B335" s="773" t="s">
        <v>7883</v>
      </c>
      <c r="C335" s="773" t="s">
        <v>7882</v>
      </c>
      <c r="D335" s="773">
        <v>25</v>
      </c>
      <c r="E335" s="805" t="s">
        <v>6622</v>
      </c>
    </row>
    <row r="336" spans="1:13" ht="14.25">
      <c r="A336" s="773" t="s">
        <v>7878</v>
      </c>
      <c r="B336" s="773" t="s">
        <v>7883</v>
      </c>
      <c r="C336" s="773" t="s">
        <v>7882</v>
      </c>
      <c r="D336" s="773">
        <v>26</v>
      </c>
      <c r="E336" s="805" t="s">
        <v>6622</v>
      </c>
    </row>
    <row r="337" spans="1:5" ht="14.25">
      <c r="A337" s="773" t="s">
        <v>7881</v>
      </c>
      <c r="B337" s="773" t="s">
        <v>7883</v>
      </c>
      <c r="C337" s="773" t="s">
        <v>7882</v>
      </c>
      <c r="D337" s="773">
        <v>27</v>
      </c>
      <c r="E337" s="805" t="s">
        <v>6667</v>
      </c>
    </row>
    <row r="338" spans="1:5" ht="14.25">
      <c r="A338" s="773" t="s">
        <v>7884</v>
      </c>
      <c r="B338" s="773" t="s">
        <v>7883</v>
      </c>
      <c r="C338" s="773" t="s">
        <v>7882</v>
      </c>
      <c r="D338" s="773">
        <v>28</v>
      </c>
      <c r="E338" s="805" t="s">
        <v>6667</v>
      </c>
    </row>
    <row r="339" spans="1:5" ht="14.25">
      <c r="A339" s="773" t="s">
        <v>7888</v>
      </c>
      <c r="B339" s="773" t="s">
        <v>7883</v>
      </c>
      <c r="C339" s="773" t="s">
        <v>7882</v>
      </c>
      <c r="D339" s="773">
        <v>29</v>
      </c>
      <c r="E339" s="805" t="s">
        <v>6675</v>
      </c>
    </row>
    <row r="340" spans="1:5" ht="14.25">
      <c r="A340" s="773" t="s">
        <v>7889</v>
      </c>
      <c r="B340" s="773" t="s">
        <v>7883</v>
      </c>
      <c r="C340" s="773" t="s">
        <v>7882</v>
      </c>
      <c r="D340" s="773">
        <v>30</v>
      </c>
      <c r="E340" s="805" t="s">
        <v>6675</v>
      </c>
    </row>
    <row r="341" spans="1:5" ht="14.25">
      <c r="A341" s="773" t="s">
        <v>7890</v>
      </c>
      <c r="B341" s="773" t="s">
        <v>7872</v>
      </c>
      <c r="C341" s="773" t="s">
        <v>7871</v>
      </c>
      <c r="D341" s="773">
        <v>31</v>
      </c>
      <c r="E341" s="805" t="s">
        <v>6666</v>
      </c>
    </row>
    <row r="342" spans="1:5" ht="14.25">
      <c r="A342" s="773" t="s">
        <v>7891</v>
      </c>
      <c r="B342" s="773" t="s">
        <v>7872</v>
      </c>
      <c r="C342" s="773" t="s">
        <v>7871</v>
      </c>
      <c r="D342" s="773">
        <v>32</v>
      </c>
      <c r="E342" s="805" t="s">
        <v>6666</v>
      </c>
    </row>
    <row r="343" spans="1:5" ht="14.25">
      <c r="A343" s="773" t="s">
        <v>7892</v>
      </c>
      <c r="B343" s="773" t="s">
        <v>7872</v>
      </c>
      <c r="C343" s="773" t="s">
        <v>7871</v>
      </c>
      <c r="D343" s="773">
        <v>33</v>
      </c>
      <c r="E343" s="805" t="s">
        <v>6622</v>
      </c>
    </row>
    <row r="344" spans="1:5" ht="14.25">
      <c r="A344" s="773" t="s">
        <v>7893</v>
      </c>
      <c r="B344" s="773" t="s">
        <v>7872</v>
      </c>
      <c r="C344" s="773" t="s">
        <v>7871</v>
      </c>
      <c r="D344" s="773">
        <v>34</v>
      </c>
      <c r="E344" s="805" t="s">
        <v>6622</v>
      </c>
    </row>
    <row r="345" spans="1:5" ht="14.25">
      <c r="A345" s="773" t="s">
        <v>7895</v>
      </c>
      <c r="B345" s="773" t="s">
        <v>7872</v>
      </c>
      <c r="C345" s="773" t="s">
        <v>7871</v>
      </c>
      <c r="D345" s="773">
        <v>35</v>
      </c>
      <c r="E345" s="805" t="s">
        <v>6667</v>
      </c>
    </row>
    <row r="346" spans="1:5" ht="14.25">
      <c r="A346" s="773" t="s">
        <v>7897</v>
      </c>
      <c r="B346" s="773" t="s">
        <v>7872</v>
      </c>
      <c r="C346" s="773" t="s">
        <v>7871</v>
      </c>
      <c r="D346" s="773">
        <v>36</v>
      </c>
      <c r="E346" s="805" t="s">
        <v>6667</v>
      </c>
    </row>
    <row r="347" spans="1:5" ht="14.25">
      <c r="A347" s="773" t="s">
        <v>7899</v>
      </c>
      <c r="B347" s="773" t="s">
        <v>7872</v>
      </c>
      <c r="C347" s="773" t="s">
        <v>7871</v>
      </c>
      <c r="D347" s="773">
        <v>37</v>
      </c>
      <c r="E347" s="805" t="s">
        <v>6625</v>
      </c>
    </row>
    <row r="348" spans="1:5" ht="14.25">
      <c r="A348" s="773" t="s">
        <v>7901</v>
      </c>
      <c r="B348" s="773" t="s">
        <v>7872</v>
      </c>
      <c r="C348" s="773" t="s">
        <v>7871</v>
      </c>
      <c r="D348" s="773">
        <v>38</v>
      </c>
      <c r="E348" s="805" t="s">
        <v>6625</v>
      </c>
    </row>
    <row r="349" spans="1:5" ht="14.25">
      <c r="A349" s="773" t="s">
        <v>7903</v>
      </c>
      <c r="B349" s="773" t="s">
        <v>7872</v>
      </c>
      <c r="C349" s="773" t="s">
        <v>7871</v>
      </c>
      <c r="D349" s="773">
        <v>39</v>
      </c>
      <c r="E349" s="805" t="s">
        <v>6666</v>
      </c>
    </row>
    <row r="350" spans="1:5" ht="14.25">
      <c r="A350" s="773" t="s">
        <v>7904</v>
      </c>
      <c r="B350" s="773" t="s">
        <v>7872</v>
      </c>
      <c r="C350" s="773" t="s">
        <v>7871</v>
      </c>
      <c r="D350" s="773">
        <v>40</v>
      </c>
      <c r="E350" s="805" t="s">
        <v>6666</v>
      </c>
    </row>
    <row r="351" spans="1:5" ht="14.25">
      <c r="A351" s="773" t="s">
        <v>7905</v>
      </c>
      <c r="B351" s="773" t="s">
        <v>7874</v>
      </c>
      <c r="C351" s="773" t="s">
        <v>7873</v>
      </c>
      <c r="D351" s="773">
        <v>41</v>
      </c>
      <c r="E351" s="805" t="s">
        <v>6622</v>
      </c>
    </row>
    <row r="352" spans="1:5" ht="14.25">
      <c r="A352" s="773" t="s">
        <v>7906</v>
      </c>
      <c r="B352" s="773" t="s">
        <v>7874</v>
      </c>
      <c r="C352" s="773" t="s">
        <v>7873</v>
      </c>
      <c r="D352" s="773">
        <v>42</v>
      </c>
      <c r="E352" s="805" t="s">
        <v>6622</v>
      </c>
    </row>
    <row r="353" spans="1:5" ht="14.25">
      <c r="A353" s="773" t="s">
        <v>7907</v>
      </c>
      <c r="B353" s="773" t="s">
        <v>7874</v>
      </c>
      <c r="C353" s="773" t="s">
        <v>7873</v>
      </c>
      <c r="D353" s="773">
        <v>43</v>
      </c>
      <c r="E353" s="805" t="s">
        <v>6675</v>
      </c>
    </row>
    <row r="354" spans="1:5" ht="14.25">
      <c r="A354" s="773" t="s">
        <v>7908</v>
      </c>
      <c r="B354" s="773" t="s">
        <v>7874</v>
      </c>
      <c r="C354" s="773" t="s">
        <v>7873</v>
      </c>
      <c r="D354" s="773">
        <v>44</v>
      </c>
      <c r="E354" s="805" t="s">
        <v>6675</v>
      </c>
    </row>
    <row r="355" spans="1:5" ht="14.25">
      <c r="A355" s="773" t="s">
        <v>7909</v>
      </c>
      <c r="B355" s="773" t="s">
        <v>7874</v>
      </c>
      <c r="C355" s="773" t="s">
        <v>7873</v>
      </c>
      <c r="D355" s="773">
        <v>45</v>
      </c>
      <c r="E355" s="805" t="s">
        <v>6625</v>
      </c>
    </row>
    <row r="356" spans="1:5" ht="14.25">
      <c r="A356" s="773" t="s">
        <v>7910</v>
      </c>
      <c r="B356" s="773" t="s">
        <v>7874</v>
      </c>
      <c r="C356" s="773" t="s">
        <v>7873</v>
      </c>
      <c r="D356" s="773">
        <v>46</v>
      </c>
      <c r="E356" s="805" t="s">
        <v>6625</v>
      </c>
    </row>
    <row r="357" spans="1:5" ht="14.25">
      <c r="A357" s="773" t="s">
        <v>7913</v>
      </c>
      <c r="B357" s="773" t="s">
        <v>7874</v>
      </c>
      <c r="C357" s="773" t="s">
        <v>7873</v>
      </c>
      <c r="D357" s="773">
        <v>47</v>
      </c>
      <c r="E357" s="805" t="s">
        <v>6666</v>
      </c>
    </row>
    <row r="358" spans="1:5" ht="14.25">
      <c r="A358" s="773" t="s">
        <v>7914</v>
      </c>
      <c r="B358" s="773" t="s">
        <v>7874</v>
      </c>
      <c r="C358" s="773" t="s">
        <v>7873</v>
      </c>
      <c r="D358" s="773">
        <v>48</v>
      </c>
      <c r="E358" s="805" t="s">
        <v>6666</v>
      </c>
    </row>
    <row r="359" spans="1:5" ht="14.25">
      <c r="A359" s="773" t="s">
        <v>7915</v>
      </c>
      <c r="B359" s="773" t="s">
        <v>7874</v>
      </c>
      <c r="C359" s="773" t="s">
        <v>7873</v>
      </c>
      <c r="D359" s="773">
        <v>49</v>
      </c>
      <c r="E359" s="805" t="s">
        <v>6667</v>
      </c>
    </row>
    <row r="360" spans="1:5" ht="14.25">
      <c r="A360" s="773" t="s">
        <v>7916</v>
      </c>
      <c r="B360" s="773" t="s">
        <v>7874</v>
      </c>
      <c r="C360" s="773" t="s">
        <v>7873</v>
      </c>
      <c r="D360" s="773">
        <v>50</v>
      </c>
      <c r="E360" s="805" t="s">
        <v>6667</v>
      </c>
    </row>
    <row r="361" spans="1:5" ht="14.25">
      <c r="A361" s="773" t="s">
        <v>7917</v>
      </c>
      <c r="B361" s="773" t="s">
        <v>7876</v>
      </c>
      <c r="C361" s="773" t="s">
        <v>7875</v>
      </c>
      <c r="D361" s="773">
        <v>51</v>
      </c>
      <c r="E361" s="805" t="s">
        <v>6675</v>
      </c>
    </row>
    <row r="362" spans="1:5" ht="14.25">
      <c r="A362" s="773" t="s">
        <v>7918</v>
      </c>
      <c r="B362" s="773" t="s">
        <v>7876</v>
      </c>
      <c r="C362" s="773" t="s">
        <v>7875</v>
      </c>
      <c r="D362" s="773">
        <v>52</v>
      </c>
      <c r="E362" s="805" t="s">
        <v>6675</v>
      </c>
    </row>
    <row r="363" spans="1:5" ht="14.25">
      <c r="A363" s="773" t="s">
        <v>7919</v>
      </c>
      <c r="B363" s="773" t="s">
        <v>7876</v>
      </c>
      <c r="C363" s="773" t="s">
        <v>7875</v>
      </c>
      <c r="D363" s="773">
        <v>53</v>
      </c>
      <c r="E363" s="805" t="s">
        <v>6625</v>
      </c>
    </row>
    <row r="364" spans="1:5" ht="14.25">
      <c r="A364" s="773" t="s">
        <v>7920</v>
      </c>
      <c r="B364" s="773" t="s">
        <v>7876</v>
      </c>
      <c r="C364" s="773" t="s">
        <v>7875</v>
      </c>
      <c r="D364" s="773">
        <v>54</v>
      </c>
      <c r="E364" s="805" t="s">
        <v>6625</v>
      </c>
    </row>
    <row r="365" spans="1:5" ht="14.25">
      <c r="A365" s="773" t="s">
        <v>7922</v>
      </c>
      <c r="B365" s="773" t="s">
        <v>7876</v>
      </c>
      <c r="C365" s="773" t="s">
        <v>7875</v>
      </c>
      <c r="D365" s="773">
        <v>55</v>
      </c>
      <c r="E365" s="805" t="s">
        <v>6622</v>
      </c>
    </row>
    <row r="366" spans="1:5" ht="30" customHeight="1">
      <c r="A366" s="773" t="s">
        <v>7923</v>
      </c>
      <c r="B366" s="773" t="s">
        <v>7876</v>
      </c>
      <c r="C366" s="773" t="s">
        <v>7875</v>
      </c>
      <c r="D366" s="773">
        <v>56</v>
      </c>
      <c r="E366" s="805" t="s">
        <v>6622</v>
      </c>
    </row>
    <row r="367" spans="1:5" ht="14.25">
      <c r="A367" s="773" t="s">
        <v>7924</v>
      </c>
      <c r="B367" s="773" t="s">
        <v>7876</v>
      </c>
      <c r="C367" s="773" t="s">
        <v>7875</v>
      </c>
      <c r="D367" s="773">
        <v>57</v>
      </c>
      <c r="E367" s="805" t="s">
        <v>6667</v>
      </c>
    </row>
    <row r="368" spans="1:5" ht="14.25">
      <c r="A368" s="773" t="s">
        <v>7925</v>
      </c>
      <c r="B368" s="773" t="s">
        <v>7876</v>
      </c>
      <c r="C368" s="773" t="s">
        <v>7875</v>
      </c>
      <c r="D368" s="773">
        <v>58</v>
      </c>
      <c r="E368" s="805" t="s">
        <v>6667</v>
      </c>
    </row>
    <row r="369" spans="1:5" ht="14.25">
      <c r="A369" s="773" t="s">
        <v>7927</v>
      </c>
      <c r="B369" s="773" t="s">
        <v>7876</v>
      </c>
      <c r="C369" s="773" t="s">
        <v>7875</v>
      </c>
      <c r="D369" s="773">
        <v>59</v>
      </c>
      <c r="E369" s="805" t="s">
        <v>6675</v>
      </c>
    </row>
    <row r="370" spans="1:5" ht="14.25">
      <c r="A370" s="773" t="s">
        <v>7928</v>
      </c>
      <c r="B370" s="773" t="s">
        <v>7876</v>
      </c>
      <c r="C370" s="773" t="s">
        <v>7875</v>
      </c>
      <c r="D370" s="773">
        <v>60</v>
      </c>
      <c r="E370" s="805" t="s">
        <v>6675</v>
      </c>
    </row>
  </sheetData>
  <mergeCells count="54">
    <mergeCell ref="N10:N11"/>
    <mergeCell ref="N14:N15"/>
    <mergeCell ref="R102:R103"/>
    <mergeCell ref="Q105:Q106"/>
    <mergeCell ref="A166:M166"/>
    <mergeCell ref="G164:G165"/>
    <mergeCell ref="I164:I165"/>
    <mergeCell ref="J164:J165"/>
    <mergeCell ref="L145:L146"/>
    <mergeCell ref="B10:B11"/>
    <mergeCell ref="K10:K11"/>
    <mergeCell ref="F11:G11"/>
    <mergeCell ref="B30:B31"/>
    <mergeCell ref="F30:G30"/>
    <mergeCell ref="K30:K31"/>
    <mergeCell ref="A145:A146"/>
    <mergeCell ref="F145:F146"/>
    <mergeCell ref="G145:G146"/>
    <mergeCell ref="H145:H146"/>
    <mergeCell ref="I145:I146"/>
    <mergeCell ref="B206:C207"/>
    <mergeCell ref="D206:E207"/>
    <mergeCell ref="F206:G207"/>
    <mergeCell ref="H206:I207"/>
    <mergeCell ref="X31:X32"/>
    <mergeCell ref="L66:L67"/>
    <mergeCell ref="J145:J146"/>
    <mergeCell ref="M145:M146"/>
    <mergeCell ref="K145:K146"/>
    <mergeCell ref="A205:D205"/>
    <mergeCell ref="J289:K289"/>
    <mergeCell ref="F267:G267"/>
    <mergeCell ref="H267:I267"/>
    <mergeCell ref="J267:K267"/>
    <mergeCell ref="B224:C225"/>
    <mergeCell ref="D224:E225"/>
    <mergeCell ref="F224:G225"/>
    <mergeCell ref="H224:I225"/>
    <mergeCell ref="L289:M289"/>
    <mergeCell ref="J310:K310"/>
    <mergeCell ref="L247:M247"/>
    <mergeCell ref="B310:C310"/>
    <mergeCell ref="D310:E310"/>
    <mergeCell ref="F310:G310"/>
    <mergeCell ref="H310:I310"/>
    <mergeCell ref="L310:M310"/>
    <mergeCell ref="D289:E289"/>
    <mergeCell ref="F289:G289"/>
    <mergeCell ref="D247:E247"/>
    <mergeCell ref="F247:G247"/>
    <mergeCell ref="H247:I247"/>
    <mergeCell ref="L267:M267"/>
    <mergeCell ref="D267:E267"/>
    <mergeCell ref="H289:I289"/>
  </mergeCells>
  <phoneticPr fontId="3" type="noConversion"/>
  <conditionalFormatting sqref="A3:A10">
    <cfRule type="expression" dxfId="416" priority="149" stopIfTrue="1">
      <formula>IF(R244=4,1,0)</formula>
    </cfRule>
    <cfRule type="expression" dxfId="415" priority="150" stopIfTrue="1">
      <formula>IF(R244=3,1,0)</formula>
    </cfRule>
    <cfRule type="expression" dxfId="414" priority="151" stopIfTrue="1">
      <formula>IF(R244=2,1,0)</formula>
    </cfRule>
    <cfRule type="expression" dxfId="413" priority="152" stopIfTrue="1">
      <formula>IF(R244=1,1,0)</formula>
    </cfRule>
  </conditionalFormatting>
  <conditionalFormatting sqref="A12:A20">
    <cfRule type="expression" dxfId="412" priority="157" stopIfTrue="1">
      <formula>IF(R233=4,1,0)</formula>
    </cfRule>
    <cfRule type="expression" dxfId="411" priority="158" stopIfTrue="1">
      <formula>IF(R233=3,1,0)</formula>
    </cfRule>
    <cfRule type="expression" dxfId="410" priority="159" stopIfTrue="1">
      <formula>IF(R233=2,1,0)</formula>
    </cfRule>
    <cfRule type="expression" dxfId="409" priority="160" stopIfTrue="1">
      <formula>IF(R233=1,1,0)</formula>
    </cfRule>
  </conditionalFormatting>
  <conditionalFormatting sqref="A23:A30">
    <cfRule type="expression" dxfId="408" priority="165" stopIfTrue="1">
      <formula>IF(R222=4,1,0)</formula>
    </cfRule>
    <cfRule type="expression" dxfId="407" priority="166" stopIfTrue="1">
      <formula>IF(R222=3,1,0)</formula>
    </cfRule>
    <cfRule type="expression" dxfId="406" priority="167" stopIfTrue="1">
      <formula>IF(R222=2,1,0)</formula>
    </cfRule>
    <cfRule type="expression" dxfId="405" priority="168" stopIfTrue="1">
      <formula>IF(R222=1,1,0)</formula>
    </cfRule>
  </conditionalFormatting>
  <conditionalFormatting sqref="A32:A40">
    <cfRule type="expression" dxfId="404" priority="173" stopIfTrue="1">
      <formula>IF(R211=4,1,0)</formula>
    </cfRule>
    <cfRule type="expression" dxfId="403" priority="174" stopIfTrue="1">
      <formula>IF(R211=3,1,0)</formula>
    </cfRule>
    <cfRule type="expression" dxfId="402" priority="175" stopIfTrue="1">
      <formula>IF(R211=2,1,0)</formula>
    </cfRule>
    <cfRule type="expression" dxfId="401" priority="176" stopIfTrue="1">
      <formula>IF(R211=1,1,0)</formula>
    </cfRule>
  </conditionalFormatting>
  <conditionalFormatting sqref="B1:B2">
    <cfRule type="expression" dxfId="400" priority="77" stopIfTrue="1">
      <formula>IF(K233=4,1,0)</formula>
    </cfRule>
    <cfRule type="expression" dxfId="399" priority="78" stopIfTrue="1">
      <formula>IF(K233=3,1,0)</formula>
    </cfRule>
    <cfRule type="expression" dxfId="398" priority="79" stopIfTrue="1">
      <formula>IF(K233=2,1,0)</formula>
    </cfRule>
    <cfRule type="expression" dxfId="397" priority="80" stopIfTrue="1">
      <formula>IF(K233=1,1,0)</formula>
    </cfRule>
  </conditionalFormatting>
  <conditionalFormatting sqref="B4:B6">
    <cfRule type="expression" dxfId="396" priority="145" stopIfTrue="1">
      <formula>IF(R252=4,1,0)</formula>
    </cfRule>
    <cfRule type="expression" dxfId="395" priority="146" stopIfTrue="1">
      <formula>IF(R252=3,1,0)</formula>
    </cfRule>
    <cfRule type="expression" dxfId="394" priority="147" stopIfTrue="1">
      <formula>IF(R252=2,1,0)</formula>
    </cfRule>
    <cfRule type="expression" dxfId="393" priority="148" stopIfTrue="1">
      <formula>IF(R252=1,1,0)</formula>
    </cfRule>
  </conditionalFormatting>
  <conditionalFormatting sqref="B7:B9">
    <cfRule type="expression" dxfId="392" priority="25" stopIfTrue="1">
      <formula>IF(C258=4,1,0)</formula>
    </cfRule>
    <cfRule type="expression" dxfId="391" priority="26" stopIfTrue="1">
      <formula>IF(C258=3,1,0)</formula>
    </cfRule>
    <cfRule type="expression" dxfId="390" priority="27" stopIfTrue="1">
      <formula>IF(C258=2,1,0)</formula>
    </cfRule>
    <cfRule type="expression" dxfId="389" priority="28" stopIfTrue="1">
      <formula>IF(C258=1,1,0)</formula>
    </cfRule>
  </conditionalFormatting>
  <conditionalFormatting sqref="B12:B13">
    <cfRule type="expression" dxfId="388" priority="49" stopIfTrue="1">
      <formula>IF(K247=4,1,0)</formula>
    </cfRule>
    <cfRule type="expression" dxfId="387" priority="50" stopIfTrue="1">
      <formula>IF(K247=3,1,0)</formula>
    </cfRule>
    <cfRule type="expression" dxfId="386" priority="51" stopIfTrue="1">
      <formula>IF(K247=2,1,0)</formula>
    </cfRule>
    <cfRule type="expression" dxfId="385" priority="52" stopIfTrue="1">
      <formula>IF(K247=1,1,0)</formula>
    </cfRule>
  </conditionalFormatting>
  <conditionalFormatting sqref="B15:B16">
    <cfRule type="expression" dxfId="384" priority="153" stopIfTrue="1">
      <formula>IF(R242=4,1,0)</formula>
    </cfRule>
    <cfRule type="expression" dxfId="383" priority="154" stopIfTrue="1">
      <formula>IF(R242=3,1,0)</formula>
    </cfRule>
    <cfRule type="expression" dxfId="382" priority="155" stopIfTrue="1">
      <formula>IF(R242=2,1,0)</formula>
    </cfRule>
    <cfRule type="expression" dxfId="381" priority="156" stopIfTrue="1">
      <formula>IF(R242=1,1,0)</formula>
    </cfRule>
  </conditionalFormatting>
  <conditionalFormatting sqref="B17:B19">
    <cfRule type="expression" dxfId="380" priority="29" stopIfTrue="1">
      <formula>IF(C255=4,1,0)</formula>
    </cfRule>
    <cfRule type="expression" dxfId="379" priority="30" stopIfTrue="1">
      <formula>IF(C255=3,1,0)</formula>
    </cfRule>
    <cfRule type="expression" dxfId="378" priority="31" stopIfTrue="1">
      <formula>IF(C255=2,1,0)</formula>
    </cfRule>
    <cfRule type="expression" dxfId="377" priority="32" stopIfTrue="1">
      <formula>IF(C255=1,1,0)</formula>
    </cfRule>
  </conditionalFormatting>
  <conditionalFormatting sqref="B21:B22">
    <cfRule type="expression" dxfId="376" priority="81" stopIfTrue="1">
      <formula>IF(K231=4,1,0)</formula>
    </cfRule>
    <cfRule type="expression" dxfId="375" priority="82" stopIfTrue="1">
      <formula>IF(K231=3,1,0)</formula>
    </cfRule>
    <cfRule type="expression" dxfId="374" priority="83" stopIfTrue="1">
      <formula>IF(K231=2,1,0)</formula>
    </cfRule>
    <cfRule type="expression" dxfId="373" priority="84" stopIfTrue="1">
      <formula>IF(K231=1,1,0)</formula>
    </cfRule>
  </conditionalFormatting>
  <conditionalFormatting sqref="B24:B26">
    <cfRule type="expression" dxfId="372" priority="161" stopIfTrue="1">
      <formula>IF(R230=4,1,0)</formula>
    </cfRule>
    <cfRule type="expression" dxfId="371" priority="162" stopIfTrue="1">
      <formula>IF(R230=3,1,0)</formula>
    </cfRule>
    <cfRule type="expression" dxfId="370" priority="163" stopIfTrue="1">
      <formula>IF(R230=2,1,0)</formula>
    </cfRule>
    <cfRule type="expression" dxfId="369" priority="164" stopIfTrue="1">
      <formula>IF(R230=1,1,0)</formula>
    </cfRule>
  </conditionalFormatting>
  <conditionalFormatting sqref="B27:B29">
    <cfRule type="expression" dxfId="368" priority="33" stopIfTrue="1">
      <formula>IF(C252=4,1,0)</formula>
    </cfRule>
    <cfRule type="expression" dxfId="367" priority="34" stopIfTrue="1">
      <formula>IF(C252=3,1,0)</formula>
    </cfRule>
    <cfRule type="expression" dxfId="366" priority="35" stopIfTrue="1">
      <formula>IF(C252=2,1,0)</formula>
    </cfRule>
    <cfRule type="expression" dxfId="365" priority="36" stopIfTrue="1">
      <formula>IF(C252=1,1,0)</formula>
    </cfRule>
  </conditionalFormatting>
  <conditionalFormatting sqref="B32:B33">
    <cfRule type="expression" dxfId="364" priority="85" stopIfTrue="1">
      <formula>IF(K229=4,1,0)</formula>
    </cfRule>
    <cfRule type="expression" dxfId="363" priority="86" stopIfTrue="1">
      <formula>IF(K229=3,1,0)</formula>
    </cfRule>
    <cfRule type="expression" dxfId="362" priority="87" stopIfTrue="1">
      <formula>IF(K229=2,1,0)</formula>
    </cfRule>
    <cfRule type="expression" dxfId="361" priority="88" stopIfTrue="1">
      <formula>IF(K229=1,1,0)</formula>
    </cfRule>
  </conditionalFormatting>
  <conditionalFormatting sqref="B35:B36">
    <cfRule type="expression" dxfId="360" priority="169" stopIfTrue="1">
      <formula>IF(R220=4,1,0)</formula>
    </cfRule>
    <cfRule type="expression" dxfId="359" priority="170" stopIfTrue="1">
      <formula>IF(R220=3,1,0)</formula>
    </cfRule>
    <cfRule type="expression" dxfId="358" priority="171" stopIfTrue="1">
      <formula>IF(R220=2,1,0)</formula>
    </cfRule>
    <cfRule type="expression" dxfId="357" priority="172" stopIfTrue="1">
      <formula>IF(R220=1,1,0)</formula>
    </cfRule>
  </conditionalFormatting>
  <conditionalFormatting sqref="B37:B39">
    <cfRule type="expression" dxfId="356" priority="37" stopIfTrue="1">
      <formula>IF(C249=4,1,0)</formula>
    </cfRule>
    <cfRule type="expression" dxfId="355" priority="38" stopIfTrue="1">
      <formula>IF(C249=3,1,0)</formula>
    </cfRule>
    <cfRule type="expression" dxfId="354" priority="39" stopIfTrue="1">
      <formula>IF(C249=2,1,0)</formula>
    </cfRule>
    <cfRule type="expression" dxfId="353" priority="40" stopIfTrue="1">
      <formula>IF(C249=1,1,0)</formula>
    </cfRule>
  </conditionalFormatting>
  <conditionalFormatting sqref="C3:C10">
    <cfRule type="expression" dxfId="352" priority="221" stopIfTrue="1">
      <formula>IF(S185=4,1,0)</formula>
    </cfRule>
    <cfRule type="expression" dxfId="351" priority="222" stopIfTrue="1">
      <formula>IF(S185=3,1,0)</formula>
    </cfRule>
    <cfRule type="expression" dxfId="350" priority="223" stopIfTrue="1">
      <formula>IF(S185=2,1,0)</formula>
    </cfRule>
    <cfRule type="expression" dxfId="349" priority="224" stopIfTrue="1">
      <formula>IF(S185=1,1,0)</formula>
    </cfRule>
  </conditionalFormatting>
  <conditionalFormatting sqref="C14:C20">
    <cfRule type="expression" dxfId="348" priority="225" stopIfTrue="1">
      <formula>IF(S177=4,1,0)</formula>
    </cfRule>
    <cfRule type="expression" dxfId="347" priority="226" stopIfTrue="1">
      <formula>IF(S177=3,1,0)</formula>
    </cfRule>
    <cfRule type="expression" dxfId="346" priority="227" stopIfTrue="1">
      <formula>IF(S177=2,1,0)</formula>
    </cfRule>
    <cfRule type="expression" dxfId="345" priority="228" stopIfTrue="1">
      <formula>IF(S177=1,1,0)</formula>
    </cfRule>
  </conditionalFormatting>
  <conditionalFormatting sqref="C23:C30">
    <cfRule type="expression" dxfId="344" priority="229" stopIfTrue="1">
      <formula>IF(S169=4,1,0)</formula>
    </cfRule>
    <cfRule type="expression" dxfId="343" priority="230" stopIfTrue="1">
      <formula>IF(S169=3,1,0)</formula>
    </cfRule>
    <cfRule type="expression" dxfId="342" priority="231" stopIfTrue="1">
      <formula>IF(S169=2,1,0)</formula>
    </cfRule>
    <cfRule type="expression" dxfId="341" priority="232" stopIfTrue="1">
      <formula>IF(S169=1,1,0)</formula>
    </cfRule>
  </conditionalFormatting>
  <conditionalFormatting sqref="C34:C40">
    <cfRule type="expression" dxfId="340" priority="233" stopIfTrue="1">
      <formula>IF(S161=4,1,0)</formula>
    </cfRule>
    <cfRule type="expression" dxfId="339" priority="234" stopIfTrue="1">
      <formula>IF(S161=3,1,0)</formula>
    </cfRule>
    <cfRule type="expression" dxfId="338" priority="235" stopIfTrue="1">
      <formula>IF(S161=2,1,0)</formula>
    </cfRule>
    <cfRule type="expression" dxfId="337" priority="236" stopIfTrue="1">
      <formula>IF(S161=1,1,0)</formula>
    </cfRule>
  </conditionalFormatting>
  <conditionalFormatting sqref="D3:D10">
    <cfRule type="expression" dxfId="336" priority="141" stopIfTrue="1">
      <formula>IF(R255=4,1,0)</formula>
    </cfRule>
    <cfRule type="expression" dxfId="335" priority="142" stopIfTrue="1">
      <formula>IF(R255=3,1,0)</formula>
    </cfRule>
    <cfRule type="expression" dxfId="334" priority="143" stopIfTrue="1">
      <formula>IF(R255=2,1,0)</formula>
    </cfRule>
    <cfRule type="expression" dxfId="333" priority="144" stopIfTrue="1">
      <formula>IF(R255=1,1,0)</formula>
    </cfRule>
  </conditionalFormatting>
  <conditionalFormatting sqref="D33:D40">
    <cfRule type="expression" dxfId="332" priority="181" stopIfTrue="1">
      <formula>IF(R200=4,1,0)</formula>
    </cfRule>
    <cfRule type="expression" dxfId="331" priority="182" stopIfTrue="1">
      <formula>IF(R200=3,1,0)</formula>
    </cfRule>
    <cfRule type="expression" dxfId="330" priority="183" stopIfTrue="1">
      <formula>IF(R200=2,1,0)</formula>
    </cfRule>
    <cfRule type="expression" dxfId="329" priority="184" stopIfTrue="1">
      <formula>IF(R200=1,1,0)</formula>
    </cfRule>
  </conditionalFormatting>
  <conditionalFormatting sqref="E1:E2">
    <cfRule type="expression" dxfId="328" priority="73" stopIfTrue="1">
      <formula>IF(K235=4,1,0)</formula>
    </cfRule>
    <cfRule type="expression" dxfId="327" priority="74" stopIfTrue="1">
      <formula>IF(K235=3,1,0)</formula>
    </cfRule>
    <cfRule type="expression" dxfId="326" priority="75" stopIfTrue="1">
      <formula>IF(K235=2,1,0)</formula>
    </cfRule>
    <cfRule type="expression" dxfId="325" priority="76" stopIfTrue="1">
      <formula>IF(K235=1,1,0)</formula>
    </cfRule>
  </conditionalFormatting>
  <conditionalFormatting sqref="E4:E6">
    <cfRule type="expression" dxfId="324" priority="137" stopIfTrue="1">
      <formula>IF(R263=4,1,0)</formula>
    </cfRule>
    <cfRule type="expression" dxfId="323" priority="138" stopIfTrue="1">
      <formula>IF(R263=3,1,0)</formula>
    </cfRule>
    <cfRule type="expression" dxfId="322" priority="139" stopIfTrue="1">
      <formula>IF(R263=2,1,0)</formula>
    </cfRule>
    <cfRule type="expression" dxfId="321" priority="140" stopIfTrue="1">
      <formula>IF(R263=1,1,0)</formula>
    </cfRule>
  </conditionalFormatting>
  <conditionalFormatting sqref="E8:E10">
    <cfRule type="expression" dxfId="320" priority="21" stopIfTrue="1">
      <formula>IF(C261=4,1,0)</formula>
    </cfRule>
    <cfRule type="expression" dxfId="319" priority="22" stopIfTrue="1">
      <formula>IF(C261=3,1,0)</formula>
    </cfRule>
    <cfRule type="expression" dxfId="318" priority="23" stopIfTrue="1">
      <formula>IF(C261=2,1,0)</formula>
    </cfRule>
    <cfRule type="expression" dxfId="317" priority="24" stopIfTrue="1">
      <formula>IF(C261=1,1,0)</formula>
    </cfRule>
  </conditionalFormatting>
  <conditionalFormatting sqref="E31:E32">
    <cfRule type="expression" dxfId="316" priority="89" stopIfTrue="1">
      <formula>IF(K227=4,1,0)</formula>
    </cfRule>
    <cfRule type="expression" dxfId="315" priority="90" stopIfTrue="1">
      <formula>IF(K227=3,1,0)</formula>
    </cfRule>
    <cfRule type="expression" dxfId="314" priority="91" stopIfTrue="1">
      <formula>IF(K227=2,1,0)</formula>
    </cfRule>
    <cfRule type="expression" dxfId="313" priority="92" stopIfTrue="1">
      <formula>IF(K227=1,1,0)</formula>
    </cfRule>
  </conditionalFormatting>
  <conditionalFormatting sqref="E34:E36">
    <cfRule type="expression" dxfId="312" priority="177" stopIfTrue="1">
      <formula>IF(R208=4,1,0)</formula>
    </cfRule>
    <cfRule type="expression" dxfId="311" priority="178" stopIfTrue="1">
      <formula>IF(R208=3,1,0)</formula>
    </cfRule>
    <cfRule type="expression" dxfId="310" priority="179" stopIfTrue="1">
      <formula>IF(R208=2,1,0)</formula>
    </cfRule>
    <cfRule type="expression" dxfId="309" priority="180" stopIfTrue="1">
      <formula>IF(R208=1,1,0)</formula>
    </cfRule>
  </conditionalFormatting>
  <conditionalFormatting sqref="E37:E39">
    <cfRule type="expression" dxfId="308" priority="41" stopIfTrue="1">
      <formula>IF(C246=4,1,0)</formula>
    </cfRule>
    <cfRule type="expression" dxfId="307" priority="42" stopIfTrue="1">
      <formula>IF(C246=3,1,0)</formula>
    </cfRule>
    <cfRule type="expression" dxfId="306" priority="43" stopIfTrue="1">
      <formula>IF(C246=2,1,0)</formula>
    </cfRule>
    <cfRule type="expression" dxfId="305" priority="44" stopIfTrue="1">
      <formula>IF(C246=1,1,0)</formula>
    </cfRule>
  </conditionalFormatting>
  <conditionalFormatting sqref="F3:F10">
    <cfRule type="expression" dxfId="304" priority="213" stopIfTrue="1">
      <formula>IF(S193=4,1,0)</formula>
    </cfRule>
    <cfRule type="expression" dxfId="303" priority="214" stopIfTrue="1">
      <formula>IF(S193=3,1,0)</formula>
    </cfRule>
    <cfRule type="expression" dxfId="302" priority="215" stopIfTrue="1">
      <formula>IF(S193=2,1,0)</formula>
    </cfRule>
    <cfRule type="expression" dxfId="301" priority="216" stopIfTrue="1">
      <formula>IF(S193=1,1,0)</formula>
    </cfRule>
  </conditionalFormatting>
  <conditionalFormatting sqref="F33:F40">
    <cfRule type="expression" dxfId="300" priority="237" stopIfTrue="1">
      <formula>IF(S153=4,1,0)</formula>
    </cfRule>
    <cfRule type="expression" dxfId="299" priority="238" stopIfTrue="1">
      <formula>IF(S153=1,1,0)</formula>
    </cfRule>
    <cfRule type="expression" dxfId="298" priority="239" stopIfTrue="1">
      <formula>IF(S153=2,1,0)</formula>
    </cfRule>
    <cfRule type="expression" dxfId="297" priority="240" stopIfTrue="1">
      <formula>IF(S153=3,1,0)</formula>
    </cfRule>
  </conditionalFormatting>
  <conditionalFormatting sqref="G3:G10">
    <cfRule type="expression" dxfId="296" priority="133" stopIfTrue="1">
      <formula>IF(R266=4,1,0)</formula>
    </cfRule>
    <cfRule type="expression" dxfId="295" priority="134" stopIfTrue="1">
      <formula>IF(R266=3,1,0)</formula>
    </cfRule>
    <cfRule type="expression" dxfId="294" priority="135" stopIfTrue="1">
      <formula>IF(R266=2,1,0)</formula>
    </cfRule>
    <cfRule type="expression" dxfId="293" priority="136" stopIfTrue="1">
      <formula>IF(R266=1,1,0)</formula>
    </cfRule>
  </conditionalFormatting>
  <conditionalFormatting sqref="G33:G40">
    <cfRule type="expression" dxfId="292" priority="189" stopIfTrue="1">
      <formula>IF(R189=4,1,0)</formula>
    </cfRule>
    <cfRule type="expression" dxfId="291" priority="190" stopIfTrue="1">
      <formula>IF(R189=3,1,0)</formula>
    </cfRule>
    <cfRule type="expression" dxfId="290" priority="191" stopIfTrue="1">
      <formula>IF(R189=2,1,0)</formula>
    </cfRule>
    <cfRule type="expression" dxfId="289" priority="192" stopIfTrue="1">
      <formula>IF(R189=1,1,0)</formula>
    </cfRule>
  </conditionalFormatting>
  <conditionalFormatting sqref="H1:H2">
    <cfRule type="expression" dxfId="288" priority="69" stopIfTrue="1">
      <formula>IF(K237=4,1,0)</formula>
    </cfRule>
    <cfRule type="expression" dxfId="287" priority="70" stopIfTrue="1">
      <formula>IF(K237=3,1,0)</formula>
    </cfRule>
    <cfRule type="expression" dxfId="286" priority="71" stopIfTrue="1">
      <formula>IF(K237=2,1,0)</formula>
    </cfRule>
    <cfRule type="expression" dxfId="285" priority="72" stopIfTrue="1">
      <formula>IF(K237=1,1,0)</formula>
    </cfRule>
  </conditionalFormatting>
  <conditionalFormatting sqref="H4:H6">
    <cfRule type="expression" dxfId="284" priority="129" stopIfTrue="1">
      <formula>IF(R274=4,1,0)</formula>
    </cfRule>
    <cfRule type="expression" dxfId="283" priority="130" stopIfTrue="1">
      <formula>IF(R274=3,1,0)</formula>
    </cfRule>
    <cfRule type="expression" dxfId="282" priority="131" stopIfTrue="1">
      <formula>IF(R274=2,1,0)</formula>
    </cfRule>
    <cfRule type="expression" dxfId="281" priority="132" stopIfTrue="1">
      <formula>IF(R274=1,1,0)</formula>
    </cfRule>
  </conditionalFormatting>
  <conditionalFormatting sqref="H8:H10">
    <cfRule type="expression" dxfId="280" priority="17" stopIfTrue="1">
      <formula>IF(C264=4,1,0)</formula>
    </cfRule>
    <cfRule type="expression" dxfId="279" priority="18" stopIfTrue="1">
      <formula>IF(C264=3,1,0)</formula>
    </cfRule>
    <cfRule type="expression" dxfId="278" priority="19" stopIfTrue="1">
      <formula>IF(C264=2,1,0)</formula>
    </cfRule>
    <cfRule type="expression" dxfId="277" priority="20" stopIfTrue="1">
      <formula>IF(C264=1,1,0)</formula>
    </cfRule>
  </conditionalFormatting>
  <conditionalFormatting sqref="H31:H32">
    <cfRule type="expression" dxfId="276" priority="93" stopIfTrue="1">
      <formula>IF(K225=4,1,0)</formula>
    </cfRule>
    <cfRule type="expression" dxfId="275" priority="94" stopIfTrue="1">
      <formula>IF(K225=3,1,0)</formula>
    </cfRule>
    <cfRule type="expression" dxfId="274" priority="95" stopIfTrue="1">
      <formula>IF(K225=2,1,0)</formula>
    </cfRule>
    <cfRule type="expression" dxfId="273" priority="96" stopIfTrue="1">
      <formula>IF(K225=1,1,0)</formula>
    </cfRule>
  </conditionalFormatting>
  <conditionalFormatting sqref="H34:H36">
    <cfRule type="expression" dxfId="272" priority="185" stopIfTrue="1">
      <formula>IF(R197=4,1,0)</formula>
    </cfRule>
    <cfRule type="expression" dxfId="271" priority="186" stopIfTrue="1">
      <formula>IF(R197=3,1,0)</formula>
    </cfRule>
    <cfRule type="expression" dxfId="270" priority="187" stopIfTrue="1">
      <formula>IF(R197=2,1,0)</formula>
    </cfRule>
    <cfRule type="expression" dxfId="269" priority="188" stopIfTrue="1">
      <formula>IF(R197=1,1,0)</formula>
    </cfRule>
  </conditionalFormatting>
  <conditionalFormatting sqref="H37:H39">
    <cfRule type="expression" dxfId="268" priority="45" stopIfTrue="1">
      <formula>IF(C243=4,1,0)</formula>
    </cfRule>
    <cfRule type="expression" dxfId="267" priority="46" stopIfTrue="1">
      <formula>IF(C243=3,1,0)</formula>
    </cfRule>
    <cfRule type="expression" dxfId="266" priority="47" stopIfTrue="1">
      <formula>IF(C243=2,1,0)</formula>
    </cfRule>
    <cfRule type="expression" dxfId="265" priority="48" stopIfTrue="1">
      <formula>IF(C243=1,1,0)</formula>
    </cfRule>
  </conditionalFormatting>
  <conditionalFormatting sqref="I3:I10">
    <cfRule type="expression" dxfId="264" priority="209" stopIfTrue="1">
      <formula>IF(S201=4,1,0)</formula>
    </cfRule>
    <cfRule type="expression" dxfId="263" priority="210" stopIfTrue="1">
      <formula>IF(S201=3,1,0)</formula>
    </cfRule>
    <cfRule type="expression" dxfId="262" priority="211" stopIfTrue="1">
      <formula>IF(S201=2,1,0)</formula>
    </cfRule>
    <cfRule type="expression" dxfId="261" priority="212" stopIfTrue="1">
      <formula>IF(S201=1,1,0)</formula>
    </cfRule>
  </conditionalFormatting>
  <conditionalFormatting sqref="I33:I40">
    <cfRule type="expression" dxfId="260" priority="217" stopIfTrue="1">
      <formula>IF(S145=4,1,0)</formula>
    </cfRule>
    <cfRule type="expression" dxfId="259" priority="218" stopIfTrue="1">
      <formula>IF(S145=3,1,0)</formula>
    </cfRule>
    <cfRule type="expression" dxfId="258" priority="219" stopIfTrue="1">
      <formula>IF(S145=2,1,0)</formula>
    </cfRule>
    <cfRule type="expression" dxfId="257" priority="220" stopIfTrue="1">
      <formula>IF(S145=1,1,0)</formula>
    </cfRule>
  </conditionalFormatting>
  <conditionalFormatting sqref="J3:J10">
    <cfRule type="expression" dxfId="256" priority="125" stopIfTrue="1">
      <formula>IF(R277=4,1,0)</formula>
    </cfRule>
    <cfRule type="expression" dxfId="255" priority="126" stopIfTrue="1">
      <formula>IF(R277=3,1,0)</formula>
    </cfRule>
    <cfRule type="expression" dxfId="254" priority="127" stopIfTrue="1">
      <formula>IF(R277=2,1,0)</formula>
    </cfRule>
    <cfRule type="expression" dxfId="253" priority="128" stopIfTrue="1">
      <formula>IF(R277=1,1,0)</formula>
    </cfRule>
  </conditionalFormatting>
  <conditionalFormatting sqref="J12:J20">
    <cfRule type="expression" dxfId="252" priority="117" stopIfTrue="1">
      <formula>IF(R288=4,1,0)</formula>
    </cfRule>
    <cfRule type="expression" dxfId="251" priority="118" stopIfTrue="1">
      <formula>IF(R288=3,1,0)</formula>
    </cfRule>
    <cfRule type="expression" dxfId="250" priority="119" stopIfTrue="1">
      <formula>IF(R288=2,1,0)</formula>
    </cfRule>
    <cfRule type="expression" dxfId="249" priority="120" stopIfTrue="1">
      <formula>IF(R288=1,1,0)</formula>
    </cfRule>
  </conditionalFormatting>
  <conditionalFormatting sqref="J23:J30">
    <cfRule type="expression" dxfId="248" priority="109" stopIfTrue="1">
      <formula>IF(R299=4,1,0)</formula>
    </cfRule>
    <cfRule type="expression" dxfId="247" priority="110" stopIfTrue="1">
      <formula>IF(R299=3,1,0)</formula>
    </cfRule>
    <cfRule type="expression" dxfId="246" priority="111" stopIfTrue="1">
      <formula>IF(R299=2,1,0)</formula>
    </cfRule>
    <cfRule type="expression" dxfId="245" priority="112" stopIfTrue="1">
      <formula>IF(R299=1,1,0)</formula>
    </cfRule>
  </conditionalFormatting>
  <conditionalFormatting sqref="J32:J40">
    <cfRule type="expression" dxfId="244" priority="101" stopIfTrue="1">
      <formula>IF(R310=4,1,0)</formula>
    </cfRule>
    <cfRule type="expression" dxfId="243" priority="102" stopIfTrue="1">
      <formula>IF(R310=3,1,0)</formula>
    </cfRule>
    <cfRule type="expression" dxfId="242" priority="103" stopIfTrue="1">
      <formula>IF(R310=2,1,0)</formula>
    </cfRule>
    <cfRule type="expression" dxfId="241" priority="104" stopIfTrue="1">
      <formula>IF(R310=1,1,0)</formula>
    </cfRule>
  </conditionalFormatting>
  <conditionalFormatting sqref="K1:K2">
    <cfRule type="expression" dxfId="240" priority="65" stopIfTrue="1">
      <formula>IF(K239=4,1,0)</formula>
    </cfRule>
    <cfRule type="expression" dxfId="239" priority="66" stopIfTrue="1">
      <formula>IF(K239=3,1,0)</formula>
    </cfRule>
    <cfRule type="expression" dxfId="238" priority="67" stopIfTrue="1">
      <formula>IF(K239=2,1,0)</formula>
    </cfRule>
    <cfRule type="expression" dxfId="237" priority="68" stopIfTrue="1">
      <formula>IF(K239=1,1,0)</formula>
    </cfRule>
  </conditionalFormatting>
  <conditionalFormatting sqref="K4:K6">
    <cfRule type="expression" dxfId="236" priority="121" stopIfTrue="1">
      <formula>IF(R285=4,1,0)</formula>
    </cfRule>
    <cfRule type="expression" dxfId="235" priority="122" stopIfTrue="1">
      <formula>IF(R285=3,1,0)</formula>
    </cfRule>
    <cfRule type="expression" dxfId="234" priority="123" stopIfTrue="1">
      <formula>IF(R285=2,1,0)</formula>
    </cfRule>
    <cfRule type="expression" dxfId="233" priority="124" stopIfTrue="1">
      <formula>IF(R285=1,1,0)</formula>
    </cfRule>
  </conditionalFormatting>
  <conditionalFormatting sqref="K7:K9">
    <cfRule type="expression" dxfId="232" priority="13" stopIfTrue="1">
      <formula>IF(C267=4,1,0)</formula>
    </cfRule>
    <cfRule type="expression" dxfId="231" priority="14" stopIfTrue="1">
      <formula>IF(C267=3,1,0)</formula>
    </cfRule>
    <cfRule type="expression" dxfId="230" priority="15" stopIfTrue="1">
      <formula>IF(C267=2,1,0)</formula>
    </cfRule>
    <cfRule type="expression" dxfId="229" priority="16" stopIfTrue="1">
      <formula>IF(C267=1,1,0)</formula>
    </cfRule>
  </conditionalFormatting>
  <conditionalFormatting sqref="K12:K13">
    <cfRule type="expression" dxfId="228" priority="61" stopIfTrue="1">
      <formula>IF(K241=4,1,0)</formula>
    </cfRule>
    <cfRule type="expression" dxfId="227" priority="62" stopIfTrue="1">
      <formula>IF(K241=3,1,0)</formula>
    </cfRule>
    <cfRule type="expression" dxfId="226" priority="63" stopIfTrue="1">
      <formula>IF(K241=2,1,0)</formula>
    </cfRule>
    <cfRule type="expression" dxfId="225" priority="64" stopIfTrue="1">
      <formula>IF(K241=1,1,0)</formula>
    </cfRule>
  </conditionalFormatting>
  <conditionalFormatting sqref="K15:K16">
    <cfRule type="expression" dxfId="224" priority="113" stopIfTrue="1">
      <formula>IF(R297=4,1,0)</formula>
    </cfRule>
    <cfRule type="expression" dxfId="223" priority="114" stopIfTrue="1">
      <formula>IF(R297=3,1,0)</formula>
    </cfRule>
    <cfRule type="expression" dxfId="222" priority="115" stopIfTrue="1">
      <formula>IF(R297=2,1,0)</formula>
    </cfRule>
    <cfRule type="expression" dxfId="221" priority="116" stopIfTrue="1">
      <formula>IF(R297=1,1,0)</formula>
    </cfRule>
  </conditionalFormatting>
  <conditionalFormatting sqref="K17:K19">
    <cfRule type="expression" dxfId="220" priority="9" stopIfTrue="1">
      <formula>IF(C270=4,1,0)</formula>
    </cfRule>
    <cfRule type="expression" dxfId="219" priority="10" stopIfTrue="1">
      <formula>IF(C270=3,1,0)</formula>
    </cfRule>
    <cfRule type="expression" dxfId="218" priority="11" stopIfTrue="1">
      <formula>IF(C270=2,1,0)</formula>
    </cfRule>
    <cfRule type="expression" dxfId="217" priority="12" stopIfTrue="1">
      <formula>IF(C270=1,1,0)</formula>
    </cfRule>
  </conditionalFormatting>
  <conditionalFormatting sqref="K21:K22">
    <cfRule type="expression" dxfId="216" priority="57" stopIfTrue="1">
      <formula>IF(K243=4,1,0)</formula>
    </cfRule>
    <cfRule type="expression" dxfId="215" priority="58" stopIfTrue="1">
      <formula>IF(K243=3,1,0)</formula>
    </cfRule>
    <cfRule type="expression" dxfId="214" priority="59" stopIfTrue="1">
      <formula>IF(K243=2,1,0)</formula>
    </cfRule>
    <cfRule type="expression" dxfId="213" priority="60" stopIfTrue="1">
      <formula>IF(K243=1,1,0)</formula>
    </cfRule>
  </conditionalFormatting>
  <conditionalFormatting sqref="K24:K26">
    <cfRule type="expression" dxfId="212" priority="105" stopIfTrue="1">
      <formula>IF(R307=4,1,0)</formula>
    </cfRule>
    <cfRule type="expression" dxfId="211" priority="106" stopIfTrue="1">
      <formula>IF(R307=3,1,0)</formula>
    </cfRule>
    <cfRule type="expression" dxfId="210" priority="107" stopIfTrue="1">
      <formula>IF(R307=2,1,0)</formula>
    </cfRule>
    <cfRule type="expression" dxfId="209" priority="108" stopIfTrue="1">
      <formula>IF(R307=1,1,0)</formula>
    </cfRule>
  </conditionalFormatting>
  <conditionalFormatting sqref="K27:K29">
    <cfRule type="expression" dxfId="208" priority="5" stopIfTrue="1">
      <formula>IF(C273=4,1,0)</formula>
    </cfRule>
    <cfRule type="expression" dxfId="207" priority="6" stopIfTrue="1">
      <formula>IF(C273=3,1,0)</formula>
    </cfRule>
    <cfRule type="expression" dxfId="206" priority="7" stopIfTrue="1">
      <formula>IF(C273=2,1,0)</formula>
    </cfRule>
    <cfRule type="expression" dxfId="205" priority="8" stopIfTrue="1">
      <formula>IF(C273=1,1,0)</formula>
    </cfRule>
  </conditionalFormatting>
  <conditionalFormatting sqref="K32:K33">
    <cfRule type="expression" dxfId="204" priority="53" stopIfTrue="1">
      <formula>IF(K245=4,1,0)</formula>
    </cfRule>
    <cfRule type="expression" dxfId="203" priority="54" stopIfTrue="1">
      <formula>IF(K245=3,1,0)</formula>
    </cfRule>
    <cfRule type="expression" dxfId="202" priority="55" stopIfTrue="1">
      <formula>IF(K245=2,1,0)</formula>
    </cfRule>
    <cfRule type="expression" dxfId="201" priority="56" stopIfTrue="1">
      <formula>IF(K245=1,1,0)</formula>
    </cfRule>
  </conditionalFormatting>
  <conditionalFormatting sqref="K35:K36">
    <cfRule type="expression" dxfId="200" priority="97" stopIfTrue="1">
      <formula>IF(R319=4,1,0)</formula>
    </cfRule>
    <cfRule type="expression" dxfId="199" priority="98" stopIfTrue="1">
      <formula>IF(R319=3,1,0)</formula>
    </cfRule>
    <cfRule type="expression" dxfId="198" priority="99" stopIfTrue="1">
      <formula>IF(R319=2,1,0)</formula>
    </cfRule>
    <cfRule type="expression" dxfId="197" priority="100" stopIfTrue="1">
      <formula>IF(R319=1,1,0)</formula>
    </cfRule>
  </conditionalFormatting>
  <conditionalFormatting sqref="K37:K39">
    <cfRule type="expression" dxfId="196" priority="1" stopIfTrue="1">
      <formula>IF(C276=4,1,0)</formula>
    </cfRule>
    <cfRule type="expression" dxfId="195" priority="2" stopIfTrue="1">
      <formula>IF(C276=3,1,0)</formula>
    </cfRule>
    <cfRule type="expression" dxfId="194" priority="3" stopIfTrue="1">
      <formula>IF(C276=2,1,0)</formula>
    </cfRule>
    <cfRule type="expression" dxfId="193" priority="4" stopIfTrue="1">
      <formula>IF(C276=1,1,0)</formula>
    </cfRule>
  </conditionalFormatting>
  <conditionalFormatting sqref="L3:L10">
    <cfRule type="expression" dxfId="192" priority="205" stopIfTrue="1">
      <formula>IF(S209=4,1,0)</formula>
    </cfRule>
    <cfRule type="expression" dxfId="191" priority="206" stopIfTrue="1">
      <formula>IF(S209=3,1,0)</formula>
    </cfRule>
    <cfRule type="expression" dxfId="190" priority="207" stopIfTrue="1">
      <formula>IF(S209=2,1,0)</formula>
    </cfRule>
    <cfRule type="expression" dxfId="189" priority="208" stopIfTrue="1">
      <formula>IF(S209=1,1,0)</formula>
    </cfRule>
  </conditionalFormatting>
  <conditionalFormatting sqref="L14:L20">
    <cfRule type="expression" dxfId="188" priority="201" stopIfTrue="1">
      <formula>IF(S217=4,1,0)</formula>
    </cfRule>
    <cfRule type="expression" dxfId="187" priority="202" stopIfTrue="1">
      <formula>IF(S217=3,1,0)</formula>
    </cfRule>
    <cfRule type="expression" dxfId="186" priority="203" stopIfTrue="1">
      <formula>IF(S217=2,1,0)</formula>
    </cfRule>
    <cfRule type="expression" dxfId="185" priority="204" stopIfTrue="1">
      <formula>IF(S217=1,1,0)</formula>
    </cfRule>
  </conditionalFormatting>
  <conditionalFormatting sqref="L23:L30">
    <cfRule type="expression" dxfId="184" priority="197" stopIfTrue="1">
      <formula>IF(S225=4,1,0)</formula>
    </cfRule>
    <cfRule type="expression" dxfId="183" priority="198" stopIfTrue="1">
      <formula>IF(S225=3,1,0)</formula>
    </cfRule>
    <cfRule type="expression" dxfId="182" priority="199" stopIfTrue="1">
      <formula>IF(S225=2,1,0)</formula>
    </cfRule>
    <cfRule type="expression" dxfId="181" priority="200" stopIfTrue="1">
      <formula>IF(S225=1,1,0)</formula>
    </cfRule>
  </conditionalFormatting>
  <conditionalFormatting sqref="L34:L40">
    <cfRule type="expression" dxfId="180" priority="193" stopIfTrue="1">
      <formula>IF(S233=4,1,0)</formula>
    </cfRule>
    <cfRule type="expression" dxfId="179" priority="194" stopIfTrue="1">
      <formula>IF(S233=3,1,0)</formula>
    </cfRule>
    <cfRule type="expression" dxfId="178" priority="195" stopIfTrue="1">
      <formula>IF(S233=2,1,0)</formula>
    </cfRule>
    <cfRule type="expression" dxfId="177" priority="196" stopIfTrue="1">
      <formula>IF(S233=1,1,0)</formula>
    </cfRule>
  </conditionalFormatting>
  <dataValidations count="2">
    <dataValidation type="list" allowBlank="1" showInputMessage="1" showErrorMessage="1" sqref="G24" xr:uid="{C155AA77-C487-4E73-8C82-38CFF634C383}">
      <formula1>$Q$2:$Q$3</formula1>
    </dataValidation>
    <dataValidation type="list" allowBlank="1" showInputMessage="1" showErrorMessage="1" sqref="G23" xr:uid="{D72AC27A-7CC9-4FFD-914E-5D40C2EA065D}">
      <formula1>$BX$62:$BX$142</formula1>
    </dataValidation>
  </dataValidations>
  <pageMargins left="0.75" right="0.75" top="1" bottom="1" header="0.5" footer="0.5"/>
  <pageSetup paperSize="9" orientation="portrait"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60EA-967F-4DC1-B4C8-A71A19ED2B02}">
  <sheetPr codeName="Sheet13"/>
  <dimension ref="A1:BY366"/>
  <sheetViews>
    <sheetView workbookViewId="0">
      <selection activeCell="G23" sqref="G23"/>
    </sheetView>
  </sheetViews>
  <sheetFormatPr defaultRowHeight="12.75"/>
  <cols>
    <col min="1" max="1" width="10.5703125" style="773" customWidth="1"/>
    <col min="2" max="2" width="5.85546875" style="773" customWidth="1"/>
    <col min="3" max="3" width="10.5703125" style="773" customWidth="1"/>
    <col min="4" max="4" width="10.7109375" style="773" customWidth="1"/>
    <col min="5" max="5" width="6.7109375" style="773" customWidth="1"/>
    <col min="6" max="6" width="10" style="773" customWidth="1"/>
    <col min="7" max="7" width="10.5703125" style="773" customWidth="1"/>
    <col min="8" max="8" width="6.28515625" style="773" customWidth="1"/>
    <col min="9" max="9" width="10.140625" style="773" customWidth="1"/>
    <col min="10" max="10" width="10.5703125" style="773" customWidth="1"/>
    <col min="11" max="11" width="5.85546875" style="773" customWidth="1"/>
    <col min="12" max="12" width="9.7109375" style="773" customWidth="1"/>
    <col min="13" max="16" width="9.140625" style="773"/>
    <col min="17" max="17" width="12.28515625" style="773" customWidth="1"/>
    <col min="18" max="18" width="11" style="773" customWidth="1"/>
    <col min="19" max="22" width="9.140625" style="773"/>
    <col min="23" max="23" width="5.7109375" style="773" customWidth="1"/>
    <col min="24" max="24" width="5.5703125" style="773" customWidth="1"/>
    <col min="25" max="25" width="5.42578125" style="773" customWidth="1"/>
    <col min="26" max="26" width="5.7109375" style="773" customWidth="1"/>
    <col min="27" max="27" width="6.7109375" style="773" customWidth="1"/>
    <col min="28" max="28" width="4.140625" style="773" customWidth="1"/>
    <col min="29" max="29" width="5.42578125" style="773" customWidth="1"/>
    <col min="30" max="30" width="4.85546875" style="773" customWidth="1"/>
    <col min="31" max="31" width="6.140625" style="773" customWidth="1"/>
    <col min="32" max="32" width="6.7109375" style="773" customWidth="1"/>
    <col min="33" max="33" width="5.5703125" style="773" customWidth="1"/>
    <col min="34" max="34" width="5" style="773" customWidth="1"/>
    <col min="35" max="35" width="9.140625" style="773"/>
    <col min="36" max="36" width="13.85546875" style="773" customWidth="1"/>
    <col min="37" max="16384" width="9.140625" style="773"/>
  </cols>
  <sheetData>
    <row r="1" spans="1:77" s="842" customFormat="1" ht="11.1" customHeight="1">
      <c r="A1" s="840" t="str">
        <f ca="1">S41</f>
        <v>Tật ách</v>
      </c>
      <c r="B1" s="841" t="str">
        <f ca="1">K87</f>
        <v>Tử Vi (M)</v>
      </c>
      <c r="D1" s="843" t="str">
        <f ca="1">S42</f>
        <v>Tài bạch</v>
      </c>
      <c r="E1" s="844" t="str">
        <f ca="1">K88</f>
        <v xml:space="preserve"> </v>
      </c>
      <c r="G1" s="845" t="str">
        <f ca="1">S43</f>
        <v>Tử tức</v>
      </c>
      <c r="H1" s="846" t="str">
        <f ca="1">K89</f>
        <v xml:space="preserve"> </v>
      </c>
      <c r="J1" s="843" t="str">
        <f ca="1">S44</f>
        <v>Phu quân</v>
      </c>
      <c r="K1" s="847" t="str">
        <f ca="1">K90</f>
        <v xml:space="preserve"> </v>
      </c>
      <c r="L1" s="848"/>
      <c r="Q1" s="849"/>
      <c r="R1" s="849"/>
      <c r="S1" s="849"/>
      <c r="T1" s="849"/>
      <c r="AP1" s="773"/>
      <c r="AQ1" s="803" t="s">
        <v>6665</v>
      </c>
      <c r="AR1" s="773"/>
      <c r="AS1" s="773"/>
      <c r="AT1" s="773"/>
      <c r="AU1" s="773"/>
      <c r="BX1" s="773">
        <v>1899</v>
      </c>
      <c r="BY1" s="773" t="s">
        <v>7897</v>
      </c>
    </row>
    <row r="2" spans="1:77" s="787" customFormat="1" ht="11.1" customHeight="1">
      <c r="A2" s="847" t="str">
        <f ca="1">T41</f>
        <v xml:space="preserve"> </v>
      </c>
      <c r="B2" s="841" t="str">
        <f ca="1">M87</f>
        <v>Thất Sát(V)</v>
      </c>
      <c r="C2" s="850"/>
      <c r="D2" s="851" t="str">
        <f ca="1">T42</f>
        <v>Thân</v>
      </c>
      <c r="E2" s="852" t="str">
        <f ca="1">M88</f>
        <v xml:space="preserve"> </v>
      </c>
      <c r="F2" s="850"/>
      <c r="G2" s="853" t="str">
        <f ca="1">T43</f>
        <v xml:space="preserve"> </v>
      </c>
      <c r="H2" s="852" t="str">
        <f ca="1">M89</f>
        <v xml:space="preserve"> </v>
      </c>
      <c r="I2" s="850"/>
      <c r="J2" s="851" t="str">
        <f ca="1">T44</f>
        <v xml:space="preserve"> </v>
      </c>
      <c r="K2" s="847" t="str">
        <f ca="1">M90</f>
        <v xml:space="preserve"> </v>
      </c>
      <c r="L2" s="854"/>
      <c r="Q2" s="787" t="s">
        <v>8265</v>
      </c>
      <c r="S2" s="855" t="s">
        <v>1402</v>
      </c>
      <c r="T2" s="855" t="s">
        <v>9301</v>
      </c>
      <c r="U2" s="855" t="s">
        <v>353</v>
      </c>
      <c r="V2" s="855" t="s">
        <v>1399</v>
      </c>
      <c r="W2" s="855" t="s">
        <v>505</v>
      </c>
      <c r="X2" s="856" t="s">
        <v>8266</v>
      </c>
      <c r="Y2" s="855" t="s">
        <v>506</v>
      </c>
      <c r="Z2" s="855" t="s">
        <v>507</v>
      </c>
      <c r="AA2" s="855" t="s">
        <v>9297</v>
      </c>
      <c r="AB2" s="855" t="s">
        <v>9298</v>
      </c>
      <c r="AC2" s="855" t="s">
        <v>9299</v>
      </c>
      <c r="AD2" s="855" t="s">
        <v>9300</v>
      </c>
      <c r="AP2" s="773">
        <v>1</v>
      </c>
      <c r="AQ2" s="773" t="s">
        <v>7814</v>
      </c>
      <c r="AR2" s="773" t="s">
        <v>7880</v>
      </c>
      <c r="AS2" s="773" t="s">
        <v>7877</v>
      </c>
      <c r="AT2" s="773">
        <v>1</v>
      </c>
      <c r="AU2" s="805" t="s">
        <v>6666</v>
      </c>
      <c r="BX2" s="773">
        <v>1900</v>
      </c>
      <c r="BY2" s="773" t="s">
        <v>7899</v>
      </c>
    </row>
    <row r="3" spans="1:77" s="787" customFormat="1" ht="11.1" customHeight="1">
      <c r="A3" s="857" t="str">
        <f ca="1">AU125</f>
        <v xml:space="preserve"> </v>
      </c>
      <c r="B3" s="850"/>
      <c r="C3" s="858" t="str">
        <f ca="1">AU205</f>
        <v xml:space="preserve"> </v>
      </c>
      <c r="D3" s="859" t="str">
        <f ca="1">AY125</f>
        <v xml:space="preserve"> </v>
      </c>
      <c r="E3" s="860"/>
      <c r="F3" s="860" t="str">
        <f ca="1">AY205</f>
        <v xml:space="preserve"> </v>
      </c>
      <c r="G3" s="861" t="str">
        <f ca="1">BC125</f>
        <v xml:space="preserve"> </v>
      </c>
      <c r="H3" s="860"/>
      <c r="I3" s="860" t="str">
        <f ca="1">BC205</f>
        <v xml:space="preserve"> </v>
      </c>
      <c r="J3" s="859" t="str">
        <f ca="1">BG125</f>
        <v xml:space="preserve"> </v>
      </c>
      <c r="K3" s="860"/>
      <c r="L3" s="862" t="str">
        <f ca="1">BG205</f>
        <v xml:space="preserve"> </v>
      </c>
      <c r="Q3" s="787" t="s">
        <v>8267</v>
      </c>
      <c r="S3" s="787">
        <v>1</v>
      </c>
      <c r="T3" s="787">
        <v>2</v>
      </c>
      <c r="U3" s="787">
        <v>3</v>
      </c>
      <c r="V3" s="787">
        <v>4</v>
      </c>
      <c r="W3" s="787">
        <v>5</v>
      </c>
      <c r="X3" s="787">
        <v>6</v>
      </c>
      <c r="Y3" s="787">
        <v>7</v>
      </c>
      <c r="Z3" s="787">
        <v>8</v>
      </c>
      <c r="AA3" s="787">
        <v>9</v>
      </c>
      <c r="AB3" s="787">
        <v>10</v>
      </c>
      <c r="AC3" s="787">
        <v>11</v>
      </c>
      <c r="AD3" s="787">
        <v>12</v>
      </c>
      <c r="AP3" s="773">
        <v>2</v>
      </c>
      <c r="AQ3" s="773" t="s">
        <v>7818</v>
      </c>
      <c r="AR3" s="773" t="s">
        <v>7880</v>
      </c>
      <c r="AS3" s="773" t="s">
        <v>7877</v>
      </c>
      <c r="AT3" s="773">
        <v>2</v>
      </c>
      <c r="AU3" s="805" t="s">
        <v>6666</v>
      </c>
      <c r="BX3" s="773">
        <v>1901</v>
      </c>
      <c r="BY3" s="773" t="s">
        <v>7901</v>
      </c>
    </row>
    <row r="4" spans="1:77" s="787" customFormat="1" ht="11.1" customHeight="1">
      <c r="A4" s="857" t="str">
        <f t="shared" ref="A4:A10" ca="1" si="0">AU118</f>
        <v>Thiên Việt</v>
      </c>
      <c r="B4" s="863" t="str">
        <f ca="1">AU126</f>
        <v xml:space="preserve"> </v>
      </c>
      <c r="C4" s="857" t="str">
        <f t="shared" ref="C4:C10" ca="1" si="1">AU198</f>
        <v>Phá Toái</v>
      </c>
      <c r="D4" s="859" t="str">
        <f t="shared" ref="D4:D10" ca="1" si="2">AY118</f>
        <v>Văn Xương</v>
      </c>
      <c r="E4" s="864" t="str">
        <f ca="1">AY126</f>
        <v xml:space="preserve"> </v>
      </c>
      <c r="F4" s="860" t="str">
        <f t="shared" ref="F4:F10" ca="1" si="3">AY198</f>
        <v>Thái Tuế</v>
      </c>
      <c r="G4" s="861" t="str">
        <f t="shared" ref="G4:G10" ca="1" si="4">BC118</f>
        <v>Quốc Ấn</v>
      </c>
      <c r="H4" s="864" t="str">
        <f ca="1">BC126</f>
        <v xml:space="preserve"> </v>
      </c>
      <c r="I4" s="860" t="str">
        <f t="shared" ref="I4:I10" ca="1" si="5">BC198</f>
        <v>Địa Không</v>
      </c>
      <c r="J4" s="859" t="str">
        <f t="shared" ref="J4:J10" ca="1" si="6">BG118</f>
        <v>Văn Khúc</v>
      </c>
      <c r="K4" s="864" t="str">
        <f ca="1">BG126</f>
        <v xml:space="preserve"> </v>
      </c>
      <c r="L4" s="862" t="str">
        <f t="shared" ref="L4:L10" ca="1" si="7">BG198</f>
        <v>Tang Môn</v>
      </c>
      <c r="Q4" s="773" t="s">
        <v>8268</v>
      </c>
      <c r="R4" s="773">
        <v>1</v>
      </c>
      <c r="S4" s="773" t="s">
        <v>8269</v>
      </c>
      <c r="T4" s="773" t="s">
        <v>8270</v>
      </c>
      <c r="U4" s="773" t="s">
        <v>8271</v>
      </c>
      <c r="V4" s="773" t="s">
        <v>8269</v>
      </c>
      <c r="W4" s="773" t="s">
        <v>8272</v>
      </c>
      <c r="X4" s="773" t="s">
        <v>8271</v>
      </c>
      <c r="Y4" s="773" t="s">
        <v>8271</v>
      </c>
      <c r="Z4" s="773" t="s">
        <v>8270</v>
      </c>
      <c r="AA4" s="773" t="s">
        <v>8271</v>
      </c>
      <c r="AB4" s="773" t="s">
        <v>8269</v>
      </c>
      <c r="AC4" s="773" t="s">
        <v>8272</v>
      </c>
      <c r="AD4" s="773" t="s">
        <v>8269</v>
      </c>
      <c r="AE4" s="773" t="str">
        <f ca="1">HLOOKUP(I83,$Q$2:$AD$17,3,0)</f>
        <v>M</v>
      </c>
      <c r="AF4" s="773" t="str">
        <f t="shared" ref="AF4:AF17" ca="1" si="8">CONCATENATE(Q4,"(",AE4,")")</f>
        <v>Tử Vi (M)</v>
      </c>
      <c r="AG4" s="773" t="str">
        <f ca="1">I83</f>
        <v>tỵ</v>
      </c>
      <c r="AH4" s="787">
        <f t="shared" ref="AH4:AH17" ca="1" si="9">VLOOKUP(AG4,$N$49:$O$60,2,0)</f>
        <v>6</v>
      </c>
      <c r="AI4" s="802">
        <f t="shared" ref="AI4:AI17" ca="1" si="10">VLOOKUP(AK4,$AJ$4:$AN$17,5,0)</f>
        <v>3</v>
      </c>
      <c r="AJ4" s="773">
        <v>1</v>
      </c>
      <c r="AK4" s="773">
        <v>14</v>
      </c>
      <c r="AL4" s="802" t="str">
        <f t="shared" ref="AL4:AL17" ca="1" si="11">VLOOKUP(AK4,$AJ$4:$AM$17,4,0)</f>
        <v>Cự Môn(V)</v>
      </c>
      <c r="AM4" s="773" t="str">
        <f t="shared" ref="AM4:AM17" ca="1" si="12">AF4</f>
        <v>Tử Vi (M)</v>
      </c>
      <c r="AN4" s="773">
        <f t="shared" ref="AN4:AN17" ca="1" si="13">AH4</f>
        <v>6</v>
      </c>
      <c r="AP4" s="773">
        <v>3</v>
      </c>
      <c r="AQ4" s="773" t="s">
        <v>7819</v>
      </c>
      <c r="AR4" s="773" t="s">
        <v>7880</v>
      </c>
      <c r="AS4" s="773" t="s">
        <v>7877</v>
      </c>
      <c r="AT4" s="773">
        <v>3</v>
      </c>
      <c r="AU4" s="805" t="s">
        <v>6622</v>
      </c>
      <c r="BX4" s="773">
        <v>1902</v>
      </c>
      <c r="BY4" s="773" t="s">
        <v>7903</v>
      </c>
    </row>
    <row r="5" spans="1:77" s="787" customFormat="1" ht="11.1" customHeight="1">
      <c r="A5" s="857" t="str">
        <f t="shared" ca="1" si="0"/>
        <v>Hóa Quyền</v>
      </c>
      <c r="B5" s="863" t="str">
        <f ca="1">AU127</f>
        <v xml:space="preserve"> </v>
      </c>
      <c r="C5" s="857" t="str">
        <f t="shared" ca="1" si="1"/>
        <v>Trực Phù</v>
      </c>
      <c r="D5" s="859" t="str">
        <f t="shared" ca="1" si="2"/>
        <v>Phong Cáo</v>
      </c>
      <c r="E5" s="864" t="str">
        <f ca="1">AY127</f>
        <v xml:space="preserve"> </v>
      </c>
      <c r="F5" s="860" t="str">
        <f t="shared" ca="1" si="3"/>
        <v xml:space="preserve"> </v>
      </c>
      <c r="G5" s="861" t="str">
        <f t="shared" ca="1" si="4"/>
        <v>Địa Giải</v>
      </c>
      <c r="H5" s="864" t="str">
        <f ca="1">BC127</f>
        <v xml:space="preserve"> </v>
      </c>
      <c r="I5" s="860" t="str">
        <f t="shared" ca="1" si="5"/>
        <v>Linh Tinh</v>
      </c>
      <c r="J5" s="859" t="str">
        <f t="shared" ca="1" si="6"/>
        <v>Thiên Giải</v>
      </c>
      <c r="K5" s="864" t="str">
        <f ca="1">BG127</f>
        <v xml:space="preserve"> </v>
      </c>
      <c r="L5" s="862" t="str">
        <f t="shared" ca="1" si="7"/>
        <v>Cô Thần</v>
      </c>
      <c r="Q5" s="773" t="s">
        <v>8273</v>
      </c>
      <c r="R5" s="773">
        <v>2</v>
      </c>
      <c r="S5" s="773" t="s">
        <v>8271</v>
      </c>
      <c r="T5" s="773" t="s">
        <v>8269</v>
      </c>
      <c r="U5" s="773" t="s">
        <v>8271</v>
      </c>
      <c r="V5" s="773" t="s">
        <v>8269</v>
      </c>
      <c r="W5" s="773" t="s">
        <v>8272</v>
      </c>
      <c r="X5" s="773" t="s">
        <v>8270</v>
      </c>
      <c r="Y5" s="773" t="s">
        <v>8271</v>
      </c>
      <c r="Z5" s="773" t="s">
        <v>8270</v>
      </c>
      <c r="AA5" s="773" t="s">
        <v>8271</v>
      </c>
      <c r="AB5" s="773" t="s">
        <v>8269</v>
      </c>
      <c r="AC5" s="773" t="s">
        <v>8272</v>
      </c>
      <c r="AD5" s="773" t="s">
        <v>8270</v>
      </c>
      <c r="AE5" s="773" t="str">
        <f ca="1">HLOOKUP(S$33,$Q$2:$AD$17,4,0)</f>
        <v>D</v>
      </c>
      <c r="AF5" s="773" t="str">
        <f t="shared" ca="1" si="8"/>
        <v>Thiên Phủ(D)</v>
      </c>
      <c r="AG5" s="773" t="str">
        <f ca="1">S33</f>
        <v>Hợi</v>
      </c>
      <c r="AH5" s="787">
        <f t="shared" ca="1" si="9"/>
        <v>12</v>
      </c>
      <c r="AI5" s="802">
        <f t="shared" ca="1" si="10"/>
        <v>3</v>
      </c>
      <c r="AJ5" s="773">
        <v>2</v>
      </c>
      <c r="AK5" s="773">
        <v>13</v>
      </c>
      <c r="AL5" s="802" t="str">
        <f t="shared" ca="1" si="11"/>
        <v>Thái Dương(V)</v>
      </c>
      <c r="AM5" s="773" t="str">
        <f t="shared" ca="1" si="12"/>
        <v>Thiên Phủ(D)</v>
      </c>
      <c r="AN5" s="773">
        <f t="shared" ca="1" si="13"/>
        <v>12</v>
      </c>
      <c r="AP5" s="773">
        <v>4</v>
      </c>
      <c r="AQ5" s="773" t="s">
        <v>7820</v>
      </c>
      <c r="AR5" s="773" t="s">
        <v>7880</v>
      </c>
      <c r="AS5" s="773" t="s">
        <v>7877</v>
      </c>
      <c r="AT5" s="773">
        <v>4</v>
      </c>
      <c r="AU5" s="805" t="s">
        <v>6622</v>
      </c>
      <c r="BX5" s="773">
        <v>1903</v>
      </c>
      <c r="BY5" s="773" t="s">
        <v>7904</v>
      </c>
    </row>
    <row r="6" spans="1:77" s="787" customFormat="1" ht="11.1" customHeight="1">
      <c r="A6" s="857" t="str">
        <f t="shared" ca="1" si="0"/>
        <v>Bát Tọa</v>
      </c>
      <c r="B6" s="863" t="str">
        <f ca="1">AU128</f>
        <v xml:space="preserve"> </v>
      </c>
      <c r="C6" s="857" t="str">
        <f t="shared" ca="1" si="1"/>
        <v>Thiên Sứ</v>
      </c>
      <c r="D6" s="859" t="str">
        <f t="shared" ca="1" si="2"/>
        <v>Thiên Phúc</v>
      </c>
      <c r="E6" s="864" t="str">
        <f ca="1">AY128</f>
        <v xml:space="preserve"> </v>
      </c>
      <c r="F6" s="860" t="str">
        <f t="shared" ca="1" si="3"/>
        <v xml:space="preserve"> </v>
      </c>
      <c r="G6" s="861" t="str">
        <f t="shared" ca="1" si="4"/>
        <v>Tướng Quân</v>
      </c>
      <c r="H6" s="864" t="str">
        <f ca="1">BC128</f>
        <v xml:space="preserve"> </v>
      </c>
      <c r="I6" s="860" t="str">
        <f t="shared" ca="1" si="5"/>
        <v>Thiên Không</v>
      </c>
      <c r="J6" s="859" t="str">
        <f t="shared" ca="1" si="6"/>
        <v>Thiên Mã</v>
      </c>
      <c r="K6" s="864" t="str">
        <f ca="1">BG128</f>
        <v xml:space="preserve"> </v>
      </c>
      <c r="L6" s="862" t="str">
        <f t="shared" ca="1" si="7"/>
        <v>Tiểu Hao</v>
      </c>
      <c r="Q6" s="773" t="s">
        <v>8274</v>
      </c>
      <c r="R6" s="773">
        <v>3</v>
      </c>
      <c r="S6" s="773" t="s">
        <v>8272</v>
      </c>
      <c r="T6" s="773" t="s">
        <v>8271</v>
      </c>
      <c r="U6" s="773" t="s">
        <v>8272</v>
      </c>
      <c r="V6" s="773" t="s">
        <v>8270</v>
      </c>
      <c r="W6" s="773" t="s">
        <v>8271</v>
      </c>
      <c r="X6" s="773" t="s">
        <v>8275</v>
      </c>
      <c r="Y6" s="773" t="s">
        <v>8272</v>
      </c>
      <c r="Z6" s="773" t="s">
        <v>8271</v>
      </c>
      <c r="AA6" s="773" t="s">
        <v>8272</v>
      </c>
      <c r="AB6" s="773" t="s">
        <v>8270</v>
      </c>
      <c r="AC6" s="773" t="s">
        <v>8271</v>
      </c>
      <c r="AD6" s="773" t="s">
        <v>8275</v>
      </c>
      <c r="AE6" s="773" t="str">
        <f ca="1">HLOOKUP(P$33,$Q$2:$AD$17,5,0)</f>
        <v>M</v>
      </c>
      <c r="AF6" s="773" t="str">
        <f t="shared" ca="1" si="8"/>
        <v>Vũ Khúc(M)</v>
      </c>
      <c r="AG6" s="773" t="str">
        <f ca="1">P33</f>
        <v>Sửu</v>
      </c>
      <c r="AH6" s="787">
        <f t="shared" ca="1" si="9"/>
        <v>2</v>
      </c>
      <c r="AI6" s="802">
        <f t="shared" ca="1" si="10"/>
        <v>5</v>
      </c>
      <c r="AJ6" s="773">
        <v>3</v>
      </c>
      <c r="AK6" s="773">
        <v>12</v>
      </c>
      <c r="AL6" s="802" t="str">
        <f t="shared" ca="1" si="11"/>
        <v>Thiên Lương(M)</v>
      </c>
      <c r="AM6" s="773" t="str">
        <f t="shared" ca="1" si="12"/>
        <v>Vũ Khúc(M)</v>
      </c>
      <c r="AN6" s="773">
        <f t="shared" ca="1" si="13"/>
        <v>2</v>
      </c>
      <c r="AP6" s="773">
        <v>5</v>
      </c>
      <c r="AQ6" s="773" t="s">
        <v>7822</v>
      </c>
      <c r="AR6" s="773" t="s">
        <v>7880</v>
      </c>
      <c r="AS6" s="773" t="s">
        <v>7877</v>
      </c>
      <c r="AT6" s="773">
        <v>5</v>
      </c>
      <c r="AU6" s="805" t="s">
        <v>6667</v>
      </c>
      <c r="BX6" s="773">
        <v>1904</v>
      </c>
      <c r="BY6" s="773" t="s">
        <v>7905</v>
      </c>
    </row>
    <row r="7" spans="1:77" s="787" customFormat="1" ht="11.1" customHeight="1">
      <c r="A7" s="857" t="str">
        <f t="shared" ca="1" si="0"/>
        <v>Tràng Sinh</v>
      </c>
      <c r="B7" s="957" t="str">
        <f>IF($G$24="có",AU142," ")</f>
        <v>L.Mã</v>
      </c>
      <c r="C7" s="857" t="str">
        <f t="shared" ca="1" si="1"/>
        <v xml:space="preserve"> </v>
      </c>
      <c r="D7" s="859" t="str">
        <f t="shared" ca="1" si="2"/>
        <v>Tấu Thư</v>
      </c>
      <c r="E7" s="864"/>
      <c r="F7" s="860" t="str">
        <f t="shared" ca="1" si="3"/>
        <v xml:space="preserve"> </v>
      </c>
      <c r="G7" s="861" t="str">
        <f t="shared" ca="1" si="4"/>
        <v>Thiếu Dương</v>
      </c>
      <c r="H7" s="864"/>
      <c r="I7" s="860" t="str">
        <f t="shared" ca="1" si="5"/>
        <v>Thai</v>
      </c>
      <c r="J7" s="859" t="str">
        <f t="shared" ca="1" si="6"/>
        <v xml:space="preserve"> </v>
      </c>
      <c r="K7" s="957" t="str">
        <f>IF($G$24="có",BG142," ")</f>
        <v>L.Đà</v>
      </c>
      <c r="L7" s="862" t="str">
        <f t="shared" ca="1" si="7"/>
        <v>Tuyệt</v>
      </c>
      <c r="Q7" s="773" t="s">
        <v>8276</v>
      </c>
      <c r="R7" s="773">
        <v>4</v>
      </c>
      <c r="S7" s="773" t="s">
        <v>8272</v>
      </c>
      <c r="T7" s="773" t="s">
        <v>8270</v>
      </c>
      <c r="U7" s="773" t="s">
        <v>8271</v>
      </c>
      <c r="V7" s="773" t="s">
        <v>8275</v>
      </c>
      <c r="W7" s="773" t="s">
        <v>8272</v>
      </c>
      <c r="X7" s="773" t="s">
        <v>8270</v>
      </c>
      <c r="Y7" s="773" t="s">
        <v>8272</v>
      </c>
      <c r="Z7" s="773" t="s">
        <v>8270</v>
      </c>
      <c r="AA7" s="773" t="s">
        <v>8271</v>
      </c>
      <c r="AB7" s="773" t="s">
        <v>8275</v>
      </c>
      <c r="AC7" s="773" t="s">
        <v>8272</v>
      </c>
      <c r="AD7" s="773" t="s">
        <v>8270</v>
      </c>
      <c r="AE7" s="773" t="str">
        <f ca="1">HLOOKUP(W$33,$Q$2:$AD$17,6,0)</f>
        <v>H</v>
      </c>
      <c r="AF7" s="773" t="str">
        <f t="shared" ca="1" si="8"/>
        <v>Thiên Tướng(H)</v>
      </c>
      <c r="AG7" s="773" t="str">
        <f ca="1">W33</f>
        <v>Mão</v>
      </c>
      <c r="AH7" s="787">
        <f t="shared" ca="1" si="9"/>
        <v>4</v>
      </c>
      <c r="AI7" s="802">
        <f t="shared" ca="1" si="10"/>
        <v>1</v>
      </c>
      <c r="AJ7" s="773">
        <v>4</v>
      </c>
      <c r="AK7" s="773">
        <v>11</v>
      </c>
      <c r="AL7" s="802" t="str">
        <f t="shared" ca="1" si="11"/>
        <v>Thiên Đồng(V)</v>
      </c>
      <c r="AM7" s="773" t="str">
        <f t="shared" ca="1" si="12"/>
        <v>Thiên Tướng(H)</v>
      </c>
      <c r="AN7" s="773">
        <f t="shared" ca="1" si="13"/>
        <v>4</v>
      </c>
      <c r="AP7" s="773">
        <v>6</v>
      </c>
      <c r="AQ7" s="773" t="s">
        <v>7823</v>
      </c>
      <c r="AR7" s="773" t="s">
        <v>7880</v>
      </c>
      <c r="AS7" s="773" t="s">
        <v>7877</v>
      </c>
      <c r="AT7" s="773">
        <v>6</v>
      </c>
      <c r="AU7" s="805" t="s">
        <v>6667</v>
      </c>
      <c r="BX7" s="773">
        <v>1905</v>
      </c>
      <c r="BY7" s="773" t="s">
        <v>7906</v>
      </c>
    </row>
    <row r="8" spans="1:77" s="787" customFormat="1" ht="11.1" customHeight="1">
      <c r="A8" s="857" t="str">
        <f t="shared" ca="1" si="0"/>
        <v>Phi Liêm</v>
      </c>
      <c r="B8" s="957" t="str">
        <f>IF($G$24="có",AU143," ")</f>
        <v>L.Tang</v>
      </c>
      <c r="C8" s="857" t="str">
        <f t="shared" ca="1" si="1"/>
        <v xml:space="preserve"> </v>
      </c>
      <c r="D8" s="859" t="str">
        <f t="shared" ca="1" si="2"/>
        <v>Dưỡng</v>
      </c>
      <c r="E8" s="957" t="str">
        <f>IF($G$24="có",AY142," ")</f>
        <v xml:space="preserve"> </v>
      </c>
      <c r="F8" s="860" t="str">
        <f t="shared" ca="1" si="3"/>
        <v xml:space="preserve"> </v>
      </c>
      <c r="G8" s="861" t="str">
        <f t="shared" ca="1" si="4"/>
        <v xml:space="preserve"> </v>
      </c>
      <c r="H8" s="957" t="str">
        <f>IF($G$24="có",BC142," ")</f>
        <v xml:space="preserve"> </v>
      </c>
      <c r="I8" s="860" t="str">
        <f t="shared" ca="1" si="5"/>
        <v xml:space="preserve"> </v>
      </c>
      <c r="J8" s="859" t="str">
        <f t="shared" ca="1" si="6"/>
        <v xml:space="preserve"> </v>
      </c>
      <c r="K8" s="957" t="str">
        <f>IF($G$24="có",BG143," ")</f>
        <v xml:space="preserve"> </v>
      </c>
      <c r="L8" s="862" t="str">
        <f t="shared" ca="1" si="7"/>
        <v xml:space="preserve"> </v>
      </c>
      <c r="Q8" s="773" t="s">
        <v>8277</v>
      </c>
      <c r="R8" s="773">
        <v>5</v>
      </c>
      <c r="S8" s="773" t="s">
        <v>8271</v>
      </c>
      <c r="T8" s="773" t="s">
        <v>8270</v>
      </c>
      <c r="U8" s="773" t="s">
        <v>8271</v>
      </c>
      <c r="V8" s="773" t="s">
        <v>8275</v>
      </c>
      <c r="W8" s="773" t="s">
        <v>8275</v>
      </c>
      <c r="X8" s="773" t="s">
        <v>8272</v>
      </c>
      <c r="Y8" s="773" t="s">
        <v>8271</v>
      </c>
      <c r="Z8" s="773" t="s">
        <v>8270</v>
      </c>
      <c r="AA8" s="773" t="s">
        <v>8271</v>
      </c>
      <c r="AB8" s="773" t="s">
        <v>8275</v>
      </c>
      <c r="AC8" s="773" t="s">
        <v>8275</v>
      </c>
      <c r="AD8" s="773" t="s">
        <v>8272</v>
      </c>
      <c r="AE8" s="773" t="str">
        <f ca="1">HLOOKUP(Y$33,$Q$2:$AD$17,7,0)</f>
        <v>V</v>
      </c>
      <c r="AF8" s="773" t="str">
        <f t="shared" ca="1" si="8"/>
        <v>Thất Sát(V)</v>
      </c>
      <c r="AG8" s="773" t="str">
        <f ca="1">Y33</f>
        <v>Tỵ</v>
      </c>
      <c r="AH8" s="787">
        <f t="shared" ca="1" si="9"/>
        <v>6</v>
      </c>
      <c r="AI8" s="802">
        <f t="shared" ca="1" si="10"/>
        <v>5</v>
      </c>
      <c r="AJ8" s="773">
        <v>5</v>
      </c>
      <c r="AK8" s="773">
        <v>10</v>
      </c>
      <c r="AL8" s="802" t="str">
        <f t="shared" ca="1" si="11"/>
        <v>Thiên Cơ(M)</v>
      </c>
      <c r="AM8" s="773" t="str">
        <f t="shared" ca="1" si="12"/>
        <v>Thất Sát(V)</v>
      </c>
      <c r="AN8" s="773">
        <f t="shared" ca="1" si="13"/>
        <v>6</v>
      </c>
      <c r="AP8" s="773">
        <v>7</v>
      </c>
      <c r="AQ8" s="773" t="s">
        <v>7825</v>
      </c>
      <c r="AR8" s="773" t="s">
        <v>7880</v>
      </c>
      <c r="AS8" s="773" t="s">
        <v>7877</v>
      </c>
      <c r="AT8" s="773">
        <v>7</v>
      </c>
      <c r="AU8" s="805" t="s">
        <v>6625</v>
      </c>
      <c r="BX8" s="773">
        <v>1906</v>
      </c>
      <c r="BY8" s="773" t="s">
        <v>7907</v>
      </c>
    </row>
    <row r="9" spans="1:77" s="865" customFormat="1" ht="11.1" customHeight="1">
      <c r="A9" s="857" t="str">
        <f t="shared" ca="1" si="0"/>
        <v xml:space="preserve"> </v>
      </c>
      <c r="B9" s="957" t="str">
        <f>IF($G$24="có",AU144," ")</f>
        <v xml:space="preserve"> </v>
      </c>
      <c r="C9" s="857" t="str">
        <f t="shared" ca="1" si="1"/>
        <v xml:space="preserve"> </v>
      </c>
      <c r="D9" s="859" t="str">
        <f t="shared" ca="1" si="2"/>
        <v xml:space="preserve"> </v>
      </c>
      <c r="E9" s="957" t="str">
        <f>IF($G$24="có",AY143," ")</f>
        <v xml:space="preserve"> </v>
      </c>
      <c r="F9" s="860" t="str">
        <f t="shared" ca="1" si="3"/>
        <v xml:space="preserve"> </v>
      </c>
      <c r="G9" s="861" t="str">
        <f t="shared" ca="1" si="4"/>
        <v xml:space="preserve"> </v>
      </c>
      <c r="H9" s="957" t="str">
        <f>IF($G$24="có",BC143," ")</f>
        <v xml:space="preserve"> </v>
      </c>
      <c r="I9" s="860" t="str">
        <f t="shared" ca="1" si="5"/>
        <v xml:space="preserve"> </v>
      </c>
      <c r="J9" s="859" t="str">
        <f t="shared" ca="1" si="6"/>
        <v xml:space="preserve"> </v>
      </c>
      <c r="K9" s="957" t="str">
        <f>IF($G$24="có",BG144," ")</f>
        <v xml:space="preserve"> </v>
      </c>
      <c r="L9" s="862" t="str">
        <f t="shared" ca="1" si="7"/>
        <v xml:space="preserve"> </v>
      </c>
      <c r="Q9" s="773" t="s">
        <v>8278</v>
      </c>
      <c r="R9" s="773">
        <v>6</v>
      </c>
      <c r="S9" s="773" t="s">
        <v>8271</v>
      </c>
      <c r="T9" s="773" t="s">
        <v>8272</v>
      </c>
      <c r="U9" s="773" t="s">
        <v>8275</v>
      </c>
      <c r="V9" s="773" t="s">
        <v>8275</v>
      </c>
      <c r="W9" s="773" t="s">
        <v>8270</v>
      </c>
      <c r="X9" s="773" t="s">
        <v>8275</v>
      </c>
      <c r="Y9" s="773" t="s">
        <v>8271</v>
      </c>
      <c r="Z9" s="773" t="s">
        <v>8272</v>
      </c>
      <c r="AA9" s="773" t="s">
        <v>8275</v>
      </c>
      <c r="AB9" s="773" t="s">
        <v>8275</v>
      </c>
      <c r="AC9" s="773" t="s">
        <v>8270</v>
      </c>
      <c r="AD9" s="773" t="s">
        <v>8275</v>
      </c>
      <c r="AE9" s="773" t="str">
        <f ca="1">HLOOKUP(Z$33,$Q$2:$AD$17,8,0)</f>
        <v>H</v>
      </c>
      <c r="AF9" s="773" t="str">
        <f t="shared" ca="1" si="8"/>
        <v>Phá Quân(H)</v>
      </c>
      <c r="AG9" s="773" t="str">
        <f ca="1">Z33</f>
        <v>Dậu</v>
      </c>
      <c r="AH9" s="787">
        <f t="shared" ca="1" si="9"/>
        <v>10</v>
      </c>
      <c r="AI9" s="773">
        <f t="shared" ca="1" si="10"/>
        <v>1</v>
      </c>
      <c r="AJ9" s="773">
        <v>6</v>
      </c>
      <c r="AK9" s="773">
        <v>9</v>
      </c>
      <c r="AL9" s="773" t="str">
        <f t="shared" ca="1" si="11"/>
        <v>Thái Âm(V)</v>
      </c>
      <c r="AM9" s="773" t="str">
        <f t="shared" ca="1" si="12"/>
        <v>Phá Quân(H)</v>
      </c>
      <c r="AN9" s="773">
        <f t="shared" ca="1" si="13"/>
        <v>10</v>
      </c>
      <c r="AP9" s="773">
        <v>8</v>
      </c>
      <c r="AQ9" s="773" t="s">
        <v>7827</v>
      </c>
      <c r="AR9" s="773" t="s">
        <v>7880</v>
      </c>
      <c r="AS9" s="773" t="s">
        <v>7877</v>
      </c>
      <c r="AT9" s="773">
        <v>8</v>
      </c>
      <c r="AU9" s="805" t="s">
        <v>6625</v>
      </c>
      <c r="BX9" s="773">
        <v>1907</v>
      </c>
      <c r="BY9" s="773" t="s">
        <v>7908</v>
      </c>
    </row>
    <row r="10" spans="1:77" s="787" customFormat="1" ht="12" customHeight="1">
      <c r="A10" s="857" t="str">
        <f t="shared" ca="1" si="0"/>
        <v xml:space="preserve"> </v>
      </c>
      <c r="B10" s="1041" t="str">
        <f ca="1">Q107</f>
        <v>———</v>
      </c>
      <c r="C10" s="857" t="str">
        <f t="shared" ca="1" si="1"/>
        <v xml:space="preserve"> </v>
      </c>
      <c r="D10" s="859" t="str">
        <f t="shared" ca="1" si="2"/>
        <v xml:space="preserve"> </v>
      </c>
      <c r="E10" s="957" t="str">
        <f>IF($G$24="có",AY144," ")</f>
        <v xml:space="preserve"> </v>
      </c>
      <c r="F10" s="860" t="str">
        <f t="shared" ca="1" si="3"/>
        <v xml:space="preserve"> </v>
      </c>
      <c r="G10" s="861" t="str">
        <f t="shared" ca="1" si="4"/>
        <v xml:space="preserve"> </v>
      </c>
      <c r="H10" s="957" t="str">
        <f>IF($G$24="có",BC144," ")</f>
        <v xml:space="preserve"> </v>
      </c>
      <c r="I10" s="860" t="str">
        <f t="shared" ca="1" si="5"/>
        <v xml:space="preserve"> </v>
      </c>
      <c r="J10" s="866" t="str">
        <f t="shared" ca="1" si="6"/>
        <v xml:space="preserve"> </v>
      </c>
      <c r="K10" s="1037" t="str">
        <f ca="1">Q109</f>
        <v xml:space="preserve">TUẦN </v>
      </c>
      <c r="L10" s="867" t="str">
        <f t="shared" ca="1" si="7"/>
        <v xml:space="preserve"> </v>
      </c>
      <c r="Q10" s="773" t="s">
        <v>8279</v>
      </c>
      <c r="R10" s="773">
        <v>7</v>
      </c>
      <c r="S10" s="773" t="s">
        <v>8272</v>
      </c>
      <c r="T10" s="773" t="s">
        <v>8270</v>
      </c>
      <c r="U10" s="773" t="s">
        <v>8272</v>
      </c>
      <c r="V10" s="773" t="s">
        <v>8275</v>
      </c>
      <c r="W10" s="773" t="s">
        <v>8271</v>
      </c>
      <c r="X10" s="773" t="s">
        <v>8275</v>
      </c>
      <c r="Y10" s="773" t="s">
        <v>8272</v>
      </c>
      <c r="Z10" s="773" t="s">
        <v>8270</v>
      </c>
      <c r="AA10" s="773" t="s">
        <v>8272</v>
      </c>
      <c r="AB10" s="773" t="s">
        <v>8275</v>
      </c>
      <c r="AC10" s="773" t="s">
        <v>8271</v>
      </c>
      <c r="AD10" s="773" t="s">
        <v>8275</v>
      </c>
      <c r="AE10" s="773" t="str">
        <f ca="1">HLOOKUP(N$33,$Q$2:$AD$17,9,0)</f>
        <v>H</v>
      </c>
      <c r="AF10" s="773" t="str">
        <f t="shared" ca="1" si="8"/>
        <v>Liêm Trinh(H)</v>
      </c>
      <c r="AG10" s="773" t="str">
        <f ca="1">N33</f>
        <v>Dậu</v>
      </c>
      <c r="AH10" s="787">
        <f t="shared" ca="1" si="9"/>
        <v>10</v>
      </c>
      <c r="AI10" s="802">
        <f t="shared" ca="1" si="10"/>
        <v>2</v>
      </c>
      <c r="AJ10" s="773">
        <v>7</v>
      </c>
      <c r="AK10" s="773">
        <v>8</v>
      </c>
      <c r="AL10" s="802" t="str">
        <f t="shared" ca="1" si="11"/>
        <v>Tham Lang(M)</v>
      </c>
      <c r="AM10" s="773" t="str">
        <f t="shared" ca="1" si="12"/>
        <v>Liêm Trinh(H)</v>
      </c>
      <c r="AN10" s="773">
        <f t="shared" ca="1" si="13"/>
        <v>10</v>
      </c>
      <c r="AP10" s="773">
        <v>9</v>
      </c>
      <c r="AQ10" s="773" t="s">
        <v>7829</v>
      </c>
      <c r="AR10" s="773" t="s">
        <v>7880</v>
      </c>
      <c r="AS10" s="773" t="s">
        <v>7877</v>
      </c>
      <c r="AT10" s="773">
        <v>9</v>
      </c>
      <c r="AU10" s="805" t="s">
        <v>6666</v>
      </c>
      <c r="BX10" s="773">
        <v>1908</v>
      </c>
      <c r="BY10" s="773" t="s">
        <v>7909</v>
      </c>
    </row>
    <row r="11" spans="1:77" s="787" customFormat="1" ht="12" customHeight="1">
      <c r="A11" s="868" t="str">
        <f ca="1">S40</f>
        <v>Di</v>
      </c>
      <c r="B11" s="1041"/>
      <c r="C11" s="869" t="str">
        <f ca="1">T40</f>
        <v xml:space="preserve"> </v>
      </c>
      <c r="D11" s="870" t="str">
        <f ca="1">AA54</f>
        <v>54 tỵ</v>
      </c>
      <c r="E11" s="871" t="str">
        <f ca="1">AA55</f>
        <v>44 thìn</v>
      </c>
      <c r="F11" s="1042" t="str">
        <f ca="1">P108</f>
        <v xml:space="preserve">  </v>
      </c>
      <c r="G11" s="1042"/>
      <c r="H11" s="871" t="str">
        <f ca="1">AA56</f>
        <v>34 mão</v>
      </c>
      <c r="I11" s="872" t="str">
        <f ca="1">AA57</f>
        <v>24 dần</v>
      </c>
      <c r="J11" s="873" t="str">
        <f ca="1">S45</f>
        <v>Huynh đệ</v>
      </c>
      <c r="K11" s="1037"/>
      <c r="L11" s="869" t="str">
        <f ca="1">T45</f>
        <v xml:space="preserve"> </v>
      </c>
      <c r="Q11" s="773" t="s">
        <v>8280</v>
      </c>
      <c r="R11" s="773">
        <v>8</v>
      </c>
      <c r="S11" s="773" t="s">
        <v>8275</v>
      </c>
      <c r="T11" s="773" t="s">
        <v>8271</v>
      </c>
      <c r="U11" s="773" t="s">
        <v>8270</v>
      </c>
      <c r="V11" s="773" t="s">
        <v>8275</v>
      </c>
      <c r="W11" s="773" t="s">
        <v>8272</v>
      </c>
      <c r="X11" s="773" t="s">
        <v>8275</v>
      </c>
      <c r="Y11" s="773" t="s">
        <v>8275</v>
      </c>
      <c r="Z11" s="773" t="s">
        <v>8271</v>
      </c>
      <c r="AA11" s="773" t="s">
        <v>8270</v>
      </c>
      <c r="AB11" s="773" t="s">
        <v>8275</v>
      </c>
      <c r="AC11" s="773" t="s">
        <v>8272</v>
      </c>
      <c r="AD11" s="773" t="s">
        <v>8275</v>
      </c>
      <c r="AE11" s="773" t="str">
        <f ca="1">HLOOKUP(U$33,$Q$2:$AD$17,10,0)</f>
        <v>M</v>
      </c>
      <c r="AF11" s="773" t="str">
        <f t="shared" ca="1" si="8"/>
        <v>Tham Lang(M)</v>
      </c>
      <c r="AG11" s="773" t="str">
        <f ca="1">U33</f>
        <v>Sửu</v>
      </c>
      <c r="AH11" s="787">
        <f t="shared" ca="1" si="9"/>
        <v>2</v>
      </c>
      <c r="AI11" s="802">
        <f t="shared" ca="1" si="10"/>
        <v>10</v>
      </c>
      <c r="AJ11" s="773">
        <v>8</v>
      </c>
      <c r="AK11" s="773">
        <v>7</v>
      </c>
      <c r="AL11" s="802" t="str">
        <f t="shared" ca="1" si="11"/>
        <v>Liêm Trinh(H)</v>
      </c>
      <c r="AM11" s="773" t="str">
        <f t="shared" ca="1" si="12"/>
        <v>Tham Lang(M)</v>
      </c>
      <c r="AN11" s="773">
        <f t="shared" ca="1" si="13"/>
        <v>2</v>
      </c>
      <c r="AP11" s="773">
        <v>10</v>
      </c>
      <c r="AQ11" s="773" t="s">
        <v>7831</v>
      </c>
      <c r="AR11" s="773" t="s">
        <v>7880</v>
      </c>
      <c r="AS11" s="773" t="s">
        <v>7877</v>
      </c>
      <c r="AT11" s="773">
        <v>10</v>
      </c>
      <c r="AU11" s="805" t="s">
        <v>6666</v>
      </c>
      <c r="BX11" s="773">
        <v>1909</v>
      </c>
      <c r="BY11" s="773" t="s">
        <v>7910</v>
      </c>
    </row>
    <row r="12" spans="1:77" s="787" customFormat="1" ht="11.1" customHeight="1">
      <c r="A12" s="857" t="str">
        <f ca="1">AQ126</f>
        <v>Hỷ Thần</v>
      </c>
      <c r="B12" s="874" t="str">
        <f ca="1">K86</f>
        <v>Thiên Cơ(M)</v>
      </c>
      <c r="D12" s="875"/>
      <c r="E12" s="850"/>
      <c r="F12" s="850"/>
      <c r="G12" s="850"/>
      <c r="H12" s="850"/>
      <c r="I12" s="850"/>
      <c r="J12" s="875" t="str">
        <f ca="1">BK126</f>
        <v xml:space="preserve"> </v>
      </c>
      <c r="K12" s="874" t="str">
        <f ca="1">K91</f>
        <v>Phá Quân(H)</v>
      </c>
      <c r="L12" s="867"/>
      <c r="Q12" s="773" t="s">
        <v>8281</v>
      </c>
      <c r="R12" s="773">
        <v>9</v>
      </c>
      <c r="S12" s="773" t="s">
        <v>8272</v>
      </c>
      <c r="T12" s="773" t="s">
        <v>8270</v>
      </c>
      <c r="U12" s="773" t="s">
        <v>8275</v>
      </c>
      <c r="V12" s="773" t="s">
        <v>8275</v>
      </c>
      <c r="W12" s="773" t="s">
        <v>8275</v>
      </c>
      <c r="X12" s="773" t="s">
        <v>8275</v>
      </c>
      <c r="Y12" s="773" t="s">
        <v>8275</v>
      </c>
      <c r="Z12" s="773" t="s">
        <v>8270</v>
      </c>
      <c r="AA12" s="773" t="s">
        <v>8272</v>
      </c>
      <c r="AB12" s="773" t="s">
        <v>8271</v>
      </c>
      <c r="AC12" s="773" t="s">
        <v>8271</v>
      </c>
      <c r="AD12" s="773" t="s">
        <v>8271</v>
      </c>
      <c r="AE12" s="773" t="str">
        <f ca="1">HLOOKUP(T$33,$Q$2:$AD$17,11,0)</f>
        <v>V</v>
      </c>
      <c r="AF12" s="773" t="str">
        <f t="shared" ca="1" si="8"/>
        <v>Thái Âm(V)</v>
      </c>
      <c r="AG12" s="773" t="str">
        <f ca="1">T33</f>
        <v>Tý</v>
      </c>
      <c r="AH12" s="787">
        <f t="shared" ca="1" si="9"/>
        <v>1</v>
      </c>
      <c r="AI12" s="802">
        <f t="shared" ca="1" si="10"/>
        <v>10</v>
      </c>
      <c r="AJ12" s="773">
        <v>9</v>
      </c>
      <c r="AK12" s="773">
        <v>6</v>
      </c>
      <c r="AL12" s="802" t="str">
        <f t="shared" ca="1" si="11"/>
        <v>Phá Quân(H)</v>
      </c>
      <c r="AM12" s="773" t="str">
        <f t="shared" ca="1" si="12"/>
        <v>Thái Âm(V)</v>
      </c>
      <c r="AN12" s="773">
        <f t="shared" ca="1" si="13"/>
        <v>1</v>
      </c>
      <c r="AP12" s="773">
        <v>11</v>
      </c>
      <c r="AQ12" s="773" t="s">
        <v>7835</v>
      </c>
      <c r="AR12" s="773" t="s">
        <v>7887</v>
      </c>
      <c r="AS12" s="773" t="s">
        <v>7886</v>
      </c>
      <c r="AT12" s="773">
        <v>11</v>
      </c>
      <c r="AU12" s="805" t="s">
        <v>6622</v>
      </c>
      <c r="BX12" s="773">
        <v>1910</v>
      </c>
      <c r="BY12" s="773" t="s">
        <v>7913</v>
      </c>
    </row>
    <row r="13" spans="1:77" s="787" customFormat="1" ht="11.1" customHeight="1">
      <c r="A13" s="876" t="str">
        <f ca="1">AQ125</f>
        <v>Mộc Dục</v>
      </c>
      <c r="B13" s="841" t="str">
        <f ca="1">M86</f>
        <v>Thiên Lương(M)</v>
      </c>
      <c r="C13" s="860"/>
      <c r="D13" s="875"/>
      <c r="E13" s="877" t="s">
        <v>8282</v>
      </c>
      <c r="F13" s="878" t="str">
        <f>qdich!B1</f>
        <v>Lá số</v>
      </c>
      <c r="G13" s="877"/>
      <c r="H13" s="850"/>
      <c r="I13" s="850"/>
      <c r="J13" s="875" t="str">
        <f ca="1">BK125</f>
        <v xml:space="preserve"> </v>
      </c>
      <c r="K13" s="841" t="str">
        <f ca="1">M91</f>
        <v>Liêm Trinh(H)</v>
      </c>
      <c r="L13" s="854"/>
      <c r="Q13" s="773" t="s">
        <v>8283</v>
      </c>
      <c r="R13" s="773">
        <v>10</v>
      </c>
      <c r="S13" s="773" t="s">
        <v>8270</v>
      </c>
      <c r="T13" s="773" t="s">
        <v>8270</v>
      </c>
      <c r="U13" s="773" t="s">
        <v>8275</v>
      </c>
      <c r="V13" s="773" t="s">
        <v>8271</v>
      </c>
      <c r="W13" s="773" t="s">
        <v>8271</v>
      </c>
      <c r="X13" s="773" t="s">
        <v>8272</v>
      </c>
      <c r="Y13" s="773" t="s">
        <v>8270</v>
      </c>
      <c r="Z13" s="773" t="s">
        <v>8270</v>
      </c>
      <c r="AA13" s="773" t="s">
        <v>8272</v>
      </c>
      <c r="AB13" s="773" t="s">
        <v>8271</v>
      </c>
      <c r="AC13" s="773" t="s">
        <v>8271</v>
      </c>
      <c r="AD13" s="773" t="s">
        <v>8275</v>
      </c>
      <c r="AE13" s="773" t="str">
        <f ca="1">HLOOKUP(R$33,$Q$2:$AD$17,12,0)</f>
        <v>M</v>
      </c>
      <c r="AF13" s="773" t="str">
        <f t="shared" ca="1" si="8"/>
        <v>Thiên Cơ(M)</v>
      </c>
      <c r="AG13" s="773" t="str">
        <f ca="1">R33</f>
        <v>Thìn</v>
      </c>
      <c r="AH13" s="787">
        <f t="shared" ca="1" si="9"/>
        <v>5</v>
      </c>
      <c r="AI13" s="802">
        <f t="shared" ca="1" si="10"/>
        <v>6</v>
      </c>
      <c r="AJ13" s="773">
        <v>10</v>
      </c>
      <c r="AK13" s="773">
        <v>5</v>
      </c>
      <c r="AL13" s="802" t="str">
        <f t="shared" ca="1" si="11"/>
        <v>Thất Sát(V)</v>
      </c>
      <c r="AM13" s="773" t="str">
        <f t="shared" ca="1" si="12"/>
        <v>Thiên Cơ(M)</v>
      </c>
      <c r="AN13" s="773">
        <f t="shared" ca="1" si="13"/>
        <v>5</v>
      </c>
      <c r="AP13" s="773">
        <v>12</v>
      </c>
      <c r="AQ13" s="773" t="s">
        <v>7838</v>
      </c>
      <c r="AR13" s="773" t="s">
        <v>7887</v>
      </c>
      <c r="AS13" s="773" t="s">
        <v>7886</v>
      </c>
      <c r="AT13" s="773">
        <v>12</v>
      </c>
      <c r="AU13" s="805" t="s">
        <v>6622</v>
      </c>
      <c r="BX13" s="773">
        <v>1911</v>
      </c>
      <c r="BY13" s="773" t="s">
        <v>7914</v>
      </c>
    </row>
    <row r="14" spans="1:77" s="787" customFormat="1" ht="11.1" customHeight="1">
      <c r="A14" s="860" t="str">
        <f t="shared" ref="A14:A20" ca="1" si="14">AQ118</f>
        <v>Thiên Quý</v>
      </c>
      <c r="B14" s="850"/>
      <c r="C14" s="860" t="str">
        <f t="shared" ref="C14:C20" ca="1" si="15">AQ198</f>
        <v>Quả Tú</v>
      </c>
      <c r="D14" s="879"/>
      <c r="E14" s="880" t="s">
        <v>8284</v>
      </c>
      <c r="F14" s="880" t="str">
        <f ca="1">qdich!P13</f>
        <v xml:space="preserve"> Nữ</v>
      </c>
      <c r="G14" s="880"/>
      <c r="H14" s="860"/>
      <c r="I14" s="850"/>
      <c r="J14" s="859" t="str">
        <f t="shared" ref="J14:J20" ca="1" si="16">BK118</f>
        <v>Hồng Loan</v>
      </c>
      <c r="K14" s="860"/>
      <c r="L14" s="862" t="str">
        <f t="shared" ref="L14:L20" ca="1" si="17">BK198</f>
        <v>Hỏa Tinh</v>
      </c>
      <c r="Q14" s="773" t="s">
        <v>8285</v>
      </c>
      <c r="R14" s="773">
        <v>11</v>
      </c>
      <c r="S14" s="773" t="s">
        <v>8272</v>
      </c>
      <c r="T14" s="773" t="s">
        <v>8275</v>
      </c>
      <c r="U14" s="773" t="s">
        <v>8271</v>
      </c>
      <c r="V14" s="773" t="s">
        <v>8270</v>
      </c>
      <c r="W14" s="773" t="s">
        <v>8275</v>
      </c>
      <c r="X14" s="773" t="s">
        <v>8270</v>
      </c>
      <c r="Y14" s="773" t="s">
        <v>8275</v>
      </c>
      <c r="Z14" s="773" t="s">
        <v>8275</v>
      </c>
      <c r="AA14" s="773" t="s">
        <v>8271</v>
      </c>
      <c r="AB14" s="773" t="s">
        <v>8275</v>
      </c>
      <c r="AC14" s="773" t="s">
        <v>8275</v>
      </c>
      <c r="AD14" s="773" t="s">
        <v>8270</v>
      </c>
      <c r="AE14" s="773" t="str">
        <f ca="1">HLOOKUP(O$33,$Q$2:$AD$17,13,0)</f>
        <v>V</v>
      </c>
      <c r="AF14" s="773" t="str">
        <f t="shared" ca="1" si="8"/>
        <v>Thiên Đồng(V)</v>
      </c>
      <c r="AG14" s="773" t="str">
        <f ca="1">O33</f>
        <v>Tý</v>
      </c>
      <c r="AH14" s="787">
        <f t="shared" ca="1" si="9"/>
        <v>1</v>
      </c>
      <c r="AI14" s="802">
        <f t="shared" ca="1" si="10"/>
        <v>4</v>
      </c>
      <c r="AJ14" s="773">
        <v>11</v>
      </c>
      <c r="AK14" s="773">
        <v>4</v>
      </c>
      <c r="AL14" s="802" t="str">
        <f t="shared" ca="1" si="11"/>
        <v>Thiên Tướng(H)</v>
      </c>
      <c r="AM14" s="773" t="str">
        <f t="shared" ca="1" si="12"/>
        <v>Thiên Đồng(V)</v>
      </c>
      <c r="AN14" s="773">
        <f t="shared" ca="1" si="13"/>
        <v>1</v>
      </c>
      <c r="AP14" s="773">
        <v>13</v>
      </c>
      <c r="AQ14" s="773" t="s">
        <v>7840</v>
      </c>
      <c r="AR14" s="773" t="s">
        <v>7887</v>
      </c>
      <c r="AS14" s="773" t="s">
        <v>7886</v>
      </c>
      <c r="AT14" s="773">
        <v>13</v>
      </c>
      <c r="AU14" s="805" t="s">
        <v>6675</v>
      </c>
      <c r="BX14" s="773">
        <v>1912</v>
      </c>
      <c r="BY14" s="773" t="s">
        <v>7915</v>
      </c>
    </row>
    <row r="15" spans="1:77" s="787" customFormat="1" ht="11.1" customHeight="1">
      <c r="A15" s="860" t="str">
        <f t="shared" ca="1" si="14"/>
        <v>Hóa Lộc</v>
      </c>
      <c r="B15" s="863" t="str">
        <f ca="1">AQ127</f>
        <v>Thiên Tài</v>
      </c>
      <c r="C15" s="860" t="str">
        <f t="shared" ca="1" si="15"/>
        <v>Điếu Khách</v>
      </c>
      <c r="D15" s="875"/>
      <c r="E15" s="880" t="s">
        <v>9303</v>
      </c>
      <c r="F15" s="880">
        <f ca="1">qdich!G103</f>
        <v>6</v>
      </c>
      <c r="G15" s="880"/>
      <c r="H15" s="860"/>
      <c r="I15" s="850"/>
      <c r="J15" s="859" t="str">
        <f t="shared" ca="1" si="16"/>
        <v>Tam Thai</v>
      </c>
      <c r="K15" s="864" t="str">
        <f ca="1">BK127</f>
        <v xml:space="preserve"> </v>
      </c>
      <c r="L15" s="862" t="str">
        <f t="shared" ca="1" si="17"/>
        <v>Thiên Hình</v>
      </c>
      <c r="Q15" s="773" t="s">
        <v>8286</v>
      </c>
      <c r="R15" s="773">
        <v>12</v>
      </c>
      <c r="S15" s="773" t="s">
        <v>8272</v>
      </c>
      <c r="T15" s="773" t="s">
        <v>8270</v>
      </c>
      <c r="U15" s="773" t="s">
        <v>8272</v>
      </c>
      <c r="V15" s="773" t="s">
        <v>8272</v>
      </c>
      <c r="W15" s="773" t="s">
        <v>8271</v>
      </c>
      <c r="X15" s="773" t="s">
        <v>8275</v>
      </c>
      <c r="Y15" s="773" t="s">
        <v>8271</v>
      </c>
      <c r="Z15" s="773" t="s">
        <v>8270</v>
      </c>
      <c r="AA15" s="773" t="s">
        <v>8272</v>
      </c>
      <c r="AB15" s="773" t="s">
        <v>8275</v>
      </c>
      <c r="AC15" s="773" t="s">
        <v>8271</v>
      </c>
      <c r="AD15" s="773" t="s">
        <v>8275</v>
      </c>
      <c r="AE15" s="773" t="str">
        <f ca="1">HLOOKUP(X$33,$Q$2:$AD$17,14,0)</f>
        <v>M</v>
      </c>
      <c r="AF15" s="773" t="str">
        <f t="shared" ca="1" si="8"/>
        <v>Thiên Lương(M)</v>
      </c>
      <c r="AG15" s="773" t="str">
        <f ca="1">X33</f>
        <v>Thìn</v>
      </c>
      <c r="AH15" s="787">
        <f t="shared" ca="1" si="9"/>
        <v>5</v>
      </c>
      <c r="AI15" s="802">
        <f t="shared" ca="1" si="10"/>
        <v>2</v>
      </c>
      <c r="AJ15" s="773">
        <v>12</v>
      </c>
      <c r="AK15" s="773">
        <v>3</v>
      </c>
      <c r="AL15" s="802" t="str">
        <f t="shared" ca="1" si="11"/>
        <v>Vũ Khúc(M)</v>
      </c>
      <c r="AM15" s="773" t="str">
        <f t="shared" ca="1" si="12"/>
        <v>Thiên Lương(M)</v>
      </c>
      <c r="AN15" s="773">
        <f t="shared" ca="1" si="13"/>
        <v>5</v>
      </c>
      <c r="AP15" s="773">
        <v>14</v>
      </c>
      <c r="AQ15" s="773" t="s">
        <v>7842</v>
      </c>
      <c r="AR15" s="773" t="s">
        <v>7887</v>
      </c>
      <c r="AS15" s="773" t="s">
        <v>7886</v>
      </c>
      <c r="AT15" s="773">
        <v>14</v>
      </c>
      <c r="AU15" s="805" t="s">
        <v>6675</v>
      </c>
      <c r="BX15" s="773">
        <v>1913</v>
      </c>
      <c r="BY15" s="773" t="s">
        <v>7916</v>
      </c>
    </row>
    <row r="16" spans="1:77" s="881" customFormat="1" ht="11.1" customHeight="1">
      <c r="A16" s="860" t="str">
        <f t="shared" ca="1" si="14"/>
        <v>Tả Phù</v>
      </c>
      <c r="B16" s="863" t="str">
        <f ca="1">AQ128</f>
        <v xml:space="preserve"> </v>
      </c>
      <c r="C16" s="860" t="str">
        <f t="shared" ca="1" si="15"/>
        <v>Thiên La</v>
      </c>
      <c r="D16" s="875"/>
      <c r="E16" s="880" t="s">
        <v>352</v>
      </c>
      <c r="F16" s="880">
        <f ca="1">qdich!I103</f>
        <v>1</v>
      </c>
      <c r="G16" s="880"/>
      <c r="H16" s="860"/>
      <c r="I16" s="850"/>
      <c r="J16" s="859" t="str">
        <f t="shared" ca="1" si="16"/>
        <v>Thiên Trù</v>
      </c>
      <c r="K16" s="864" t="str">
        <f ca="1">BK128</f>
        <v xml:space="preserve"> </v>
      </c>
      <c r="L16" s="862" t="str">
        <f t="shared" ca="1" si="17"/>
        <v>Mộ</v>
      </c>
      <c r="M16" s="787"/>
      <c r="N16" s="787"/>
      <c r="O16" s="787"/>
      <c r="P16" s="787"/>
      <c r="Q16" s="773" t="s">
        <v>8287</v>
      </c>
      <c r="R16" s="773">
        <v>13</v>
      </c>
      <c r="S16" s="773" t="s">
        <v>8275</v>
      </c>
      <c r="T16" s="773" t="s">
        <v>8270</v>
      </c>
      <c r="U16" s="773" t="s">
        <v>8272</v>
      </c>
      <c r="V16" s="773" t="s">
        <v>8272</v>
      </c>
      <c r="W16" s="773" t="s">
        <v>8272</v>
      </c>
      <c r="X16" s="773" t="s">
        <v>8271</v>
      </c>
      <c r="Y16" s="773" t="s">
        <v>8271</v>
      </c>
      <c r="Z16" s="773" t="s">
        <v>8270</v>
      </c>
      <c r="AA16" s="773" t="s">
        <v>8275</v>
      </c>
      <c r="AB16" s="773" t="s">
        <v>8275</v>
      </c>
      <c r="AC16" s="773" t="s">
        <v>8275</v>
      </c>
      <c r="AD16" s="773" t="s">
        <v>8275</v>
      </c>
      <c r="AE16" s="773" t="str">
        <f ca="1">HLOOKUP(Q$33,$Q$2:$AD$17,15,0)</f>
        <v>V</v>
      </c>
      <c r="AF16" s="773" t="str">
        <f t="shared" ca="1" si="8"/>
        <v>Thái Dương(V)</v>
      </c>
      <c r="AG16" s="773" t="str">
        <f ca="1">Q33</f>
        <v>Dần</v>
      </c>
      <c r="AH16" s="787">
        <f t="shared" ca="1" si="9"/>
        <v>3</v>
      </c>
      <c r="AI16" s="802">
        <f t="shared" ca="1" si="10"/>
        <v>12</v>
      </c>
      <c r="AJ16" s="773">
        <v>13</v>
      </c>
      <c r="AK16" s="773">
        <v>2</v>
      </c>
      <c r="AL16" s="802" t="str">
        <f t="shared" ca="1" si="11"/>
        <v>Thiên Phủ(D)</v>
      </c>
      <c r="AM16" s="773" t="str">
        <f t="shared" ca="1" si="12"/>
        <v>Thái Dương(V)</v>
      </c>
      <c r="AN16" s="773">
        <f t="shared" ca="1" si="13"/>
        <v>3</v>
      </c>
      <c r="AP16" s="773">
        <v>15</v>
      </c>
      <c r="AQ16" s="773" t="s">
        <v>7846</v>
      </c>
      <c r="AR16" s="773" t="s">
        <v>7887</v>
      </c>
      <c r="AS16" s="773" t="s">
        <v>7886</v>
      </c>
      <c r="AT16" s="773">
        <v>15</v>
      </c>
      <c r="AU16" s="805" t="s">
        <v>6625</v>
      </c>
      <c r="BX16" s="773">
        <v>1914</v>
      </c>
      <c r="BY16" s="773" t="s">
        <v>7917</v>
      </c>
    </row>
    <row r="17" spans="1:77" s="842" customFormat="1" ht="11.1" customHeight="1">
      <c r="A17" s="860" t="str">
        <f t="shared" ca="1" si="14"/>
        <v>Hóa Khoa</v>
      </c>
      <c r="B17" s="957" t="str">
        <f>IF($G$24="có",AQ142," ")</f>
        <v xml:space="preserve"> </v>
      </c>
      <c r="C17" s="860" t="str">
        <f t="shared" ca="1" si="15"/>
        <v xml:space="preserve"> </v>
      </c>
      <c r="D17" s="882" t="str">
        <f ca="1">AA53</f>
        <v>64 ngọ</v>
      </c>
      <c r="E17" s="880" t="s">
        <v>459</v>
      </c>
      <c r="F17" s="880" t="str">
        <f ca="1">qdich!J98</f>
        <v>Nhâm</v>
      </c>
      <c r="G17" s="880" t="str">
        <f ca="1">qdich!K98</f>
        <v>Ngọ</v>
      </c>
      <c r="I17" s="883" t="str">
        <f ca="1">AA58</f>
        <v>14 sửu</v>
      </c>
      <c r="J17" s="859" t="str">
        <f t="shared" ca="1" si="16"/>
        <v>Lưu Niên</v>
      </c>
      <c r="K17" s="957" t="str">
        <f>IF($G$24="có",BK142," ")</f>
        <v>L.Lộc</v>
      </c>
      <c r="L17" s="862" t="str">
        <f t="shared" ca="1" si="17"/>
        <v xml:space="preserve"> </v>
      </c>
      <c r="Q17" s="773" t="s">
        <v>8288</v>
      </c>
      <c r="R17" s="773">
        <v>14</v>
      </c>
      <c r="S17" s="773" t="s">
        <v>8272</v>
      </c>
      <c r="T17" s="773" t="s">
        <v>8275</v>
      </c>
      <c r="U17" s="773" t="s">
        <v>8272</v>
      </c>
      <c r="V17" s="773" t="s">
        <v>8271</v>
      </c>
      <c r="W17" s="773" t="s">
        <v>8275</v>
      </c>
      <c r="X17" s="773" t="s">
        <v>8275</v>
      </c>
      <c r="Y17" s="773" t="s">
        <v>8272</v>
      </c>
      <c r="Z17" s="773" t="s">
        <v>8275</v>
      </c>
      <c r="AA17" s="773" t="s">
        <v>8270</v>
      </c>
      <c r="AB17" s="773" t="s">
        <v>8271</v>
      </c>
      <c r="AC17" s="773" t="s">
        <v>8275</v>
      </c>
      <c r="AD17" s="773" t="s">
        <v>8270</v>
      </c>
      <c r="AE17" s="773" t="str">
        <f ca="1">HLOOKUP(V$33,$Q$2:$AD$17,16,0)</f>
        <v>V</v>
      </c>
      <c r="AF17" s="773" t="str">
        <f t="shared" ca="1" si="8"/>
        <v>Cự Môn(V)</v>
      </c>
      <c r="AG17" s="773" t="str">
        <f ca="1">V33</f>
        <v>Dần</v>
      </c>
      <c r="AH17" s="787">
        <f t="shared" ca="1" si="9"/>
        <v>3</v>
      </c>
      <c r="AI17" s="802">
        <f t="shared" ca="1" si="10"/>
        <v>6</v>
      </c>
      <c r="AJ17" s="773">
        <v>14</v>
      </c>
      <c r="AK17" s="773">
        <v>1</v>
      </c>
      <c r="AL17" s="802" t="str">
        <f t="shared" ca="1" si="11"/>
        <v>Tử Vi (M)</v>
      </c>
      <c r="AM17" s="773" t="str">
        <f t="shared" ca="1" si="12"/>
        <v>Cự Môn(V)</v>
      </c>
      <c r="AN17" s="773">
        <f t="shared" ca="1" si="13"/>
        <v>3</v>
      </c>
      <c r="AP17" s="773">
        <v>16</v>
      </c>
      <c r="AQ17" s="773" t="s">
        <v>7848</v>
      </c>
      <c r="AR17" s="773" t="s">
        <v>7887</v>
      </c>
      <c r="AS17" s="773" t="s">
        <v>7886</v>
      </c>
      <c r="AT17" s="773">
        <v>16</v>
      </c>
      <c r="AU17" s="805" t="s">
        <v>6625</v>
      </c>
      <c r="BX17" s="773">
        <v>1915</v>
      </c>
      <c r="BY17" s="773" t="s">
        <v>7918</v>
      </c>
    </row>
    <row r="18" spans="1:77" s="787" customFormat="1" ht="11.1" customHeight="1">
      <c r="A18" s="860" t="str">
        <f t="shared" ca="1" si="14"/>
        <v>Phượng Các</v>
      </c>
      <c r="B18" s="957" t="str">
        <f>IF($G$24="có",AQ143," ")</f>
        <v xml:space="preserve"> </v>
      </c>
      <c r="C18" s="860" t="str">
        <f t="shared" ca="1" si="15"/>
        <v xml:space="preserve"> </v>
      </c>
      <c r="D18" s="884"/>
      <c r="E18" s="880" t="s">
        <v>5021</v>
      </c>
      <c r="F18" s="880"/>
      <c r="G18" s="880" t="str">
        <f ca="1">qdich!N15</f>
        <v>Thìn</v>
      </c>
      <c r="H18" s="874"/>
      <c r="I18" s="885"/>
      <c r="J18" s="859" t="str">
        <f t="shared" ca="1" si="16"/>
        <v>Thanh Long</v>
      </c>
      <c r="K18" s="957" t="str">
        <f>IF($G$24="có",BK143," ")</f>
        <v>L.Hư</v>
      </c>
      <c r="L18" s="862" t="str">
        <f t="shared" ca="1" si="17"/>
        <v xml:space="preserve"> </v>
      </c>
      <c r="Q18" s="773" t="s">
        <v>6570</v>
      </c>
      <c r="R18" s="773"/>
      <c r="S18" s="773"/>
      <c r="T18" s="773"/>
      <c r="U18" s="773"/>
      <c r="V18" s="773"/>
      <c r="W18" s="773"/>
      <c r="X18" s="773"/>
      <c r="Y18" s="773"/>
      <c r="Z18" s="773"/>
      <c r="AA18" s="773"/>
      <c r="AB18" s="773"/>
      <c r="AC18" s="773"/>
      <c r="AD18" s="773"/>
      <c r="AE18" s="773"/>
      <c r="AF18" s="773"/>
      <c r="AG18" s="773" t="str">
        <f ca="1">S67</f>
        <v>Ngọ</v>
      </c>
      <c r="AH18" s="773"/>
      <c r="AI18" s="773"/>
      <c r="AJ18" s="773"/>
      <c r="AK18" s="773"/>
      <c r="AL18" s="773"/>
      <c r="AM18" s="773"/>
      <c r="AN18" s="773"/>
      <c r="AP18" s="773">
        <v>17</v>
      </c>
      <c r="AQ18" s="773" t="s">
        <v>7850</v>
      </c>
      <c r="AR18" s="773" t="s">
        <v>7887</v>
      </c>
      <c r="AS18" s="773" t="s">
        <v>7886</v>
      </c>
      <c r="AT18" s="773">
        <v>17</v>
      </c>
      <c r="AU18" s="805" t="s">
        <v>6666</v>
      </c>
      <c r="BX18" s="773">
        <v>1916</v>
      </c>
      <c r="BY18" s="773" t="s">
        <v>7919</v>
      </c>
    </row>
    <row r="19" spans="1:77" s="787" customFormat="1" ht="11.1" customHeight="1">
      <c r="A19" s="860" t="str">
        <f t="shared" ca="1" si="14"/>
        <v>Đường Phù</v>
      </c>
      <c r="B19" s="957" t="str">
        <f>IF($G$24="có",AQ144," ")</f>
        <v xml:space="preserve"> </v>
      </c>
      <c r="C19" s="860" t="str">
        <f t="shared" ca="1" si="15"/>
        <v xml:space="preserve"> </v>
      </c>
      <c r="D19" s="875"/>
      <c r="E19" s="880" t="s">
        <v>8289</v>
      </c>
      <c r="F19" s="886" t="str">
        <f ca="1">tuvi!F19</f>
        <v>Mộc</v>
      </c>
      <c r="G19" s="880"/>
      <c r="H19" s="860"/>
      <c r="I19" s="850"/>
      <c r="J19" s="859" t="str">
        <f t="shared" ca="1" si="16"/>
        <v>Thiếu âm</v>
      </c>
      <c r="K19" s="957" t="str">
        <f>IF($G$24="có",BK144," ")</f>
        <v xml:space="preserve"> </v>
      </c>
      <c r="L19" s="862" t="str">
        <f t="shared" ca="1" si="17"/>
        <v xml:space="preserve"> </v>
      </c>
      <c r="Q19" s="773" t="s">
        <v>8290</v>
      </c>
      <c r="R19" s="773"/>
      <c r="S19" s="773"/>
      <c r="T19" s="773"/>
      <c r="U19" s="787" t="s">
        <v>6718</v>
      </c>
      <c r="V19" s="787" t="s">
        <v>6719</v>
      </c>
      <c r="W19" s="787" t="s">
        <v>6720</v>
      </c>
      <c r="X19" s="787" t="s">
        <v>6711</v>
      </c>
      <c r="Y19" s="787" t="s">
        <v>6717</v>
      </c>
      <c r="AG19" s="773" t="str">
        <f ca="1">S68</f>
        <v>Thân</v>
      </c>
      <c r="AI19" s="773"/>
      <c r="AJ19" s="773" t="s">
        <v>6720</v>
      </c>
      <c r="AK19" s="773" t="s">
        <v>6719</v>
      </c>
      <c r="AL19" s="773" t="s">
        <v>6718</v>
      </c>
      <c r="AM19" s="773" t="s">
        <v>6717</v>
      </c>
      <c r="AN19" s="787" t="s">
        <v>6711</v>
      </c>
      <c r="AP19" s="773">
        <v>18</v>
      </c>
      <c r="AQ19" s="773" t="s">
        <v>7852</v>
      </c>
      <c r="AR19" s="773" t="s">
        <v>7887</v>
      </c>
      <c r="AS19" s="773" t="s">
        <v>7886</v>
      </c>
      <c r="AT19" s="773">
        <v>18</v>
      </c>
      <c r="AU19" s="805" t="s">
        <v>6666</v>
      </c>
      <c r="BX19" s="773">
        <v>1917</v>
      </c>
      <c r="BY19" s="773" t="s">
        <v>7920</v>
      </c>
    </row>
    <row r="20" spans="1:77" s="787" customFormat="1" ht="9" customHeight="1">
      <c r="A20" s="860" t="str">
        <f t="shared" ca="1" si="14"/>
        <v>Giải Thần</v>
      </c>
      <c r="B20" s="864" t="str">
        <f ca="1">AQ205</f>
        <v xml:space="preserve"> </v>
      </c>
      <c r="C20" s="860" t="str">
        <f t="shared" ca="1" si="15"/>
        <v xml:space="preserve"> </v>
      </c>
      <c r="D20" s="875"/>
      <c r="E20" s="880" t="s">
        <v>8291</v>
      </c>
      <c r="F20" s="887" t="str">
        <f ca="1">AC27</f>
        <v>kim tứ cục</v>
      </c>
      <c r="G20" s="880"/>
      <c r="H20" s="860"/>
      <c r="I20" s="850"/>
      <c r="J20" s="859" t="str">
        <f t="shared" ca="1" si="16"/>
        <v xml:space="preserve"> </v>
      </c>
      <c r="K20" s="860" t="str">
        <f ca="1">BK205</f>
        <v xml:space="preserve"> </v>
      </c>
      <c r="L20" s="862" t="str">
        <f t="shared" ca="1" si="17"/>
        <v xml:space="preserve"> </v>
      </c>
      <c r="Q20" s="773" t="s">
        <v>8292</v>
      </c>
      <c r="R20" s="773"/>
      <c r="S20" s="773" t="s">
        <v>8293</v>
      </c>
      <c r="T20" s="888" t="s">
        <v>6718</v>
      </c>
      <c r="U20" s="889" t="s">
        <v>8294</v>
      </c>
      <c r="V20" s="889" t="s">
        <v>8295</v>
      </c>
      <c r="W20" s="889" t="s">
        <v>8296</v>
      </c>
      <c r="X20" s="889" t="s">
        <v>8297</v>
      </c>
      <c r="Y20" s="889" t="s">
        <v>8298</v>
      </c>
      <c r="AC20" s="888" t="s">
        <v>6718</v>
      </c>
      <c r="AD20" s="787" t="s">
        <v>8299</v>
      </c>
      <c r="AE20" s="787">
        <v>2</v>
      </c>
      <c r="AG20" s="787" t="str">
        <f ca="1">S71</f>
        <v>Thìn</v>
      </c>
      <c r="AI20" s="773">
        <v>1</v>
      </c>
      <c r="AJ20" s="806" t="s">
        <v>7875</v>
      </c>
      <c r="AK20" s="773" t="s">
        <v>7872</v>
      </c>
      <c r="AL20" s="773" t="s">
        <v>7877</v>
      </c>
      <c r="AM20" s="773" t="s">
        <v>7883</v>
      </c>
      <c r="AN20" s="787" t="s">
        <v>7886</v>
      </c>
      <c r="AP20" s="773">
        <v>19</v>
      </c>
      <c r="AQ20" s="773" t="s">
        <v>7855</v>
      </c>
      <c r="AR20" s="773" t="s">
        <v>7887</v>
      </c>
      <c r="AS20" s="773" t="s">
        <v>7886</v>
      </c>
      <c r="AT20" s="773">
        <v>19</v>
      </c>
      <c r="AU20" s="805" t="s">
        <v>6667</v>
      </c>
      <c r="BX20" s="773">
        <v>1918</v>
      </c>
      <c r="BY20" s="773" t="s">
        <v>7922</v>
      </c>
    </row>
    <row r="21" spans="1:77" s="787" customFormat="1" ht="11.1" customHeight="1">
      <c r="A21" s="890" t="str">
        <f ca="1">S39</f>
        <v>Nô bộc</v>
      </c>
      <c r="B21" s="891" t="str">
        <f ca="1">K85</f>
        <v>Thiên Tướng(H)</v>
      </c>
      <c r="C21" s="892"/>
      <c r="D21" s="875"/>
      <c r="E21" s="860"/>
      <c r="F21" s="874" t="str">
        <f ca="1">AB31</f>
        <v>Âm dương thuận lý</v>
      </c>
      <c r="G21" s="860"/>
      <c r="H21" s="860"/>
      <c r="I21" s="850"/>
      <c r="J21" s="893" t="str">
        <f ca="1">S46</f>
        <v>Mệnh</v>
      </c>
      <c r="K21" s="894" t="str">
        <f ca="1">K92</f>
        <v xml:space="preserve"> </v>
      </c>
      <c r="L21" s="892"/>
      <c r="Q21" s="773" t="s">
        <v>8300</v>
      </c>
      <c r="R21" s="773"/>
      <c r="S21" s="773"/>
      <c r="T21" s="888" t="s">
        <v>6719</v>
      </c>
      <c r="U21" s="889" t="s">
        <v>8297</v>
      </c>
      <c r="V21" s="889" t="s">
        <v>8294</v>
      </c>
      <c r="W21" s="889" t="s">
        <v>8298</v>
      </c>
      <c r="X21" s="889" t="s">
        <v>8296</v>
      </c>
      <c r="Y21" s="889" t="s">
        <v>8295</v>
      </c>
      <c r="AC21" s="888" t="s">
        <v>6719</v>
      </c>
      <c r="AD21" s="787" t="s">
        <v>8301</v>
      </c>
      <c r="AE21" s="787">
        <v>3</v>
      </c>
      <c r="AG21" s="787" t="str">
        <f ca="1">S72</f>
        <v>Tuất</v>
      </c>
      <c r="AI21" s="773">
        <v>2</v>
      </c>
      <c r="AJ21" s="806" t="s">
        <v>7874</v>
      </c>
      <c r="AK21" s="806" t="s">
        <v>7875</v>
      </c>
      <c r="AL21" s="773" t="s">
        <v>7872</v>
      </c>
      <c r="AM21" s="773" t="s">
        <v>7877</v>
      </c>
      <c r="AN21" s="773" t="s">
        <v>7883</v>
      </c>
      <c r="AP21" s="773">
        <v>20</v>
      </c>
      <c r="AQ21" s="773" t="s">
        <v>7858</v>
      </c>
      <c r="AR21" s="773" t="s">
        <v>7887</v>
      </c>
      <c r="AS21" s="773" t="s">
        <v>7886</v>
      </c>
      <c r="AT21" s="773">
        <v>20</v>
      </c>
      <c r="AU21" s="805" t="s">
        <v>6667</v>
      </c>
      <c r="BX21" s="773">
        <v>1919</v>
      </c>
      <c r="BY21" s="773" t="s">
        <v>7923</v>
      </c>
    </row>
    <row r="22" spans="1:77" s="787" customFormat="1" ht="11.1" customHeight="1">
      <c r="A22" s="841" t="str">
        <f ca="1">T39</f>
        <v xml:space="preserve"> </v>
      </c>
      <c r="B22" s="874" t="str">
        <f ca="1">M85</f>
        <v xml:space="preserve"> </v>
      </c>
      <c r="C22" s="850"/>
      <c r="D22" s="875"/>
      <c r="E22" s="860"/>
      <c r="F22" s="874" t="str">
        <f ca="1">T26</f>
        <v>Cục khắc mệnh</v>
      </c>
      <c r="G22" s="860"/>
      <c r="H22" s="860"/>
      <c r="I22" s="850"/>
      <c r="J22" s="895" t="str">
        <f ca="1">T46</f>
        <v xml:space="preserve"> </v>
      </c>
      <c r="K22" s="841" t="str">
        <f ca="1">M92</f>
        <v xml:space="preserve"> </v>
      </c>
      <c r="L22" s="867"/>
      <c r="R22" s="773"/>
      <c r="S22" s="773"/>
      <c r="T22" s="888" t="s">
        <v>8302</v>
      </c>
      <c r="U22" s="889" t="s">
        <v>8298</v>
      </c>
      <c r="V22" s="889" t="s">
        <v>8296</v>
      </c>
      <c r="W22" s="889" t="s">
        <v>8294</v>
      </c>
      <c r="X22" s="889" t="s">
        <v>8295</v>
      </c>
      <c r="Y22" s="889" t="s">
        <v>8297</v>
      </c>
      <c r="AC22" s="888" t="s">
        <v>6720</v>
      </c>
      <c r="AD22" s="787" t="s">
        <v>8303</v>
      </c>
      <c r="AE22" s="787">
        <v>4</v>
      </c>
      <c r="AI22" s="773">
        <v>3</v>
      </c>
      <c r="AJ22" s="806" t="s">
        <v>7874</v>
      </c>
      <c r="AK22" s="806" t="s">
        <v>7874</v>
      </c>
      <c r="AL22" s="806" t="s">
        <v>7875</v>
      </c>
      <c r="AM22" s="773" t="s">
        <v>7872</v>
      </c>
      <c r="AN22" s="773" t="s">
        <v>7877</v>
      </c>
      <c r="AP22" s="773">
        <v>21</v>
      </c>
      <c r="AQ22" s="773" t="s">
        <v>7862</v>
      </c>
      <c r="AR22" s="773" t="s">
        <v>7883</v>
      </c>
      <c r="AS22" s="773" t="s">
        <v>7882</v>
      </c>
      <c r="AT22" s="773">
        <v>21</v>
      </c>
      <c r="AU22" s="805" t="s">
        <v>6675</v>
      </c>
      <c r="BX22" s="773">
        <v>1920</v>
      </c>
      <c r="BY22" s="773" t="s">
        <v>7924</v>
      </c>
    </row>
    <row r="23" spans="1:77" s="787" customFormat="1" ht="11.1" customHeight="1">
      <c r="A23" s="860" t="str">
        <f t="shared" ref="A23:A30" ca="1" si="18">AM118</f>
        <v>Thiên Khôi</v>
      </c>
      <c r="B23" s="850"/>
      <c r="C23" s="860" t="str">
        <f t="shared" ref="C23:C30" ca="1" si="19">AM198</f>
        <v>Địa Kiếp</v>
      </c>
      <c r="D23" s="896"/>
      <c r="E23" s="860" t="s">
        <v>8304</v>
      </c>
      <c r="F23" s="860"/>
      <c r="G23" s="897">
        <v>2011</v>
      </c>
      <c r="H23" s="860"/>
      <c r="I23" s="898"/>
      <c r="J23" s="861" t="str">
        <f t="shared" ref="J23:J30" ca="1" si="20">BO118</f>
        <v>Ấn Quang</v>
      </c>
      <c r="K23" s="850"/>
      <c r="L23" s="899" t="str">
        <f t="shared" ref="L23:L30" ca="1" si="21">BO198</f>
        <v>Đà La</v>
      </c>
      <c r="R23" s="773"/>
      <c r="S23" s="773"/>
      <c r="T23" s="888" t="s">
        <v>6711</v>
      </c>
      <c r="U23" s="889" t="s">
        <v>8295</v>
      </c>
      <c r="V23" s="889" t="s">
        <v>8298</v>
      </c>
      <c r="W23" s="889" t="s">
        <v>8297</v>
      </c>
      <c r="X23" s="889" t="s">
        <v>8294</v>
      </c>
      <c r="Y23" s="889" t="s">
        <v>8296</v>
      </c>
      <c r="AC23" s="888" t="s">
        <v>6711</v>
      </c>
      <c r="AD23" s="787" t="s">
        <v>8305</v>
      </c>
      <c r="AE23" s="787">
        <v>5</v>
      </c>
      <c r="AG23" s="806" t="s">
        <v>6548</v>
      </c>
      <c r="AH23" s="787">
        <v>1</v>
      </c>
      <c r="AI23" s="773">
        <v>4</v>
      </c>
      <c r="AJ23" s="806" t="s">
        <v>7873</v>
      </c>
      <c r="AK23" s="773" t="s">
        <v>7871</v>
      </c>
      <c r="AL23" s="773" t="s">
        <v>7874</v>
      </c>
      <c r="AM23" s="773" t="s">
        <v>7875</v>
      </c>
      <c r="AN23" s="787" t="s">
        <v>7872</v>
      </c>
      <c r="AP23" s="773">
        <v>22</v>
      </c>
      <c r="AQ23" s="773" t="s">
        <v>7864</v>
      </c>
      <c r="AR23" s="773" t="s">
        <v>7883</v>
      </c>
      <c r="AS23" s="773" t="s">
        <v>7882</v>
      </c>
      <c r="AT23" s="773">
        <v>22</v>
      </c>
      <c r="AU23" s="805" t="s">
        <v>6675</v>
      </c>
      <c r="BX23" s="773">
        <v>1921</v>
      </c>
      <c r="BY23" s="773" t="s">
        <v>7925</v>
      </c>
    </row>
    <row r="24" spans="1:77" s="787" customFormat="1" ht="11.1" customHeight="1">
      <c r="A24" s="860" t="str">
        <f t="shared" ca="1" si="18"/>
        <v>Đào Hoa</v>
      </c>
      <c r="B24" s="863" t="str">
        <f ca="1">AM126</f>
        <v xml:space="preserve"> </v>
      </c>
      <c r="C24" s="860" t="str">
        <f t="shared" ca="1" si="19"/>
        <v>Bệnh Phù</v>
      </c>
      <c r="D24" s="900" t="str">
        <f ca="1">AA52</f>
        <v>74 mùi</v>
      </c>
      <c r="E24" s="860" t="s">
        <v>8306</v>
      </c>
      <c r="F24" s="860"/>
      <c r="G24" s="897" t="s">
        <v>8265</v>
      </c>
      <c r="H24" s="860"/>
      <c r="I24" s="883" t="str">
        <f ca="1">AA59</f>
        <v>4 tý</v>
      </c>
      <c r="J24" s="861" t="str">
        <f t="shared" ca="1" si="20"/>
        <v>Hữu Bật</v>
      </c>
      <c r="K24" s="863" t="str">
        <f ca="1">BO126</f>
        <v xml:space="preserve"> </v>
      </c>
      <c r="L24" s="899" t="str">
        <f t="shared" ca="1" si="21"/>
        <v>Tử</v>
      </c>
      <c r="Q24" s="773"/>
      <c r="R24" s="773"/>
      <c r="S24" s="773"/>
      <c r="T24" s="888" t="s">
        <v>6717</v>
      </c>
      <c r="U24" s="889" t="s">
        <v>8296</v>
      </c>
      <c r="V24" s="889" t="s">
        <v>8297</v>
      </c>
      <c r="W24" s="889" t="s">
        <v>8295</v>
      </c>
      <c r="X24" s="889" t="s">
        <v>8298</v>
      </c>
      <c r="Y24" s="889" t="s">
        <v>8294</v>
      </c>
      <c r="AC24" s="888" t="s">
        <v>6717</v>
      </c>
      <c r="AD24" s="787" t="s">
        <v>8307</v>
      </c>
      <c r="AE24" s="787">
        <v>6</v>
      </c>
      <c r="AG24" s="806" t="s">
        <v>7875</v>
      </c>
      <c r="AH24" s="787">
        <v>0</v>
      </c>
      <c r="AI24" s="773">
        <v>5</v>
      </c>
      <c r="AJ24" s="806" t="s">
        <v>7873</v>
      </c>
      <c r="AK24" s="855" t="s">
        <v>7874</v>
      </c>
      <c r="AL24" s="855" t="s">
        <v>6548</v>
      </c>
      <c r="AM24" s="855" t="s">
        <v>7874</v>
      </c>
      <c r="AN24" s="787" t="s">
        <v>7875</v>
      </c>
      <c r="AP24" s="773">
        <v>23</v>
      </c>
      <c r="AQ24" s="773" t="s">
        <v>7866</v>
      </c>
      <c r="AR24" s="773" t="s">
        <v>7883</v>
      </c>
      <c r="AS24" s="773" t="s">
        <v>7882</v>
      </c>
      <c r="AT24" s="773">
        <v>23</v>
      </c>
      <c r="AU24" s="805" t="s">
        <v>6625</v>
      </c>
      <c r="BX24" s="773">
        <v>1922</v>
      </c>
      <c r="BY24" s="773" t="s">
        <v>7927</v>
      </c>
    </row>
    <row r="25" spans="1:77" s="902" customFormat="1" ht="11.1" customHeight="1">
      <c r="A25" s="860" t="str">
        <f t="shared" ca="1" si="18"/>
        <v>Thiên Đức</v>
      </c>
      <c r="B25" s="863" t="str">
        <f ca="1">AM127</f>
        <v xml:space="preserve"> </v>
      </c>
      <c r="C25" s="860" t="str">
        <f t="shared" ca="1" si="19"/>
        <v>Thiên Thương</v>
      </c>
      <c r="D25" s="875"/>
      <c r="E25" s="850"/>
      <c r="F25" s="850"/>
      <c r="G25" s="850"/>
      <c r="H25" s="850"/>
      <c r="I25" s="854"/>
      <c r="J25" s="861" t="str">
        <f t="shared" ca="1" si="20"/>
        <v>Long Trì</v>
      </c>
      <c r="K25" s="863" t="str">
        <f ca="1">BO127</f>
        <v xml:space="preserve"> </v>
      </c>
      <c r="L25" s="899" t="str">
        <f t="shared" ca="1" si="21"/>
        <v>Quan Phù</v>
      </c>
      <c r="M25" s="842"/>
      <c r="N25" s="842"/>
      <c r="O25" s="842"/>
      <c r="P25" s="842"/>
      <c r="Q25" s="860" t="str">
        <f ca="1">qdich!J100</f>
        <v>Nhâm Ngọ</v>
      </c>
      <c r="R25" s="849"/>
      <c r="S25" s="849"/>
      <c r="T25" s="901"/>
      <c r="AG25" s="806" t="s">
        <v>7874</v>
      </c>
      <c r="AH25" s="902">
        <v>1</v>
      </c>
      <c r="AI25" s="773">
        <v>6</v>
      </c>
      <c r="AJ25" s="806" t="s">
        <v>7872</v>
      </c>
      <c r="AK25" s="855" t="s">
        <v>7873</v>
      </c>
      <c r="AL25" s="855" t="s">
        <v>7871</v>
      </c>
      <c r="AM25" s="855" t="s">
        <v>7882</v>
      </c>
      <c r="AN25" s="787" t="s">
        <v>7874</v>
      </c>
      <c r="AP25" s="773">
        <v>24</v>
      </c>
      <c r="AQ25" s="773" t="s">
        <v>7867</v>
      </c>
      <c r="AR25" s="773" t="s">
        <v>7883</v>
      </c>
      <c r="AS25" s="773" t="s">
        <v>7882</v>
      </c>
      <c r="AT25" s="773">
        <v>24</v>
      </c>
      <c r="AU25" s="805" t="s">
        <v>6625</v>
      </c>
      <c r="BX25" s="773">
        <v>1923</v>
      </c>
      <c r="BY25" s="773" t="s">
        <v>7928</v>
      </c>
    </row>
    <row r="26" spans="1:77" s="787" customFormat="1" ht="11.1" customHeight="1">
      <c r="A26" s="860" t="str">
        <f t="shared" ca="1" si="18"/>
        <v>Phúc Đức</v>
      </c>
      <c r="B26" s="863" t="str">
        <f ca="1">AM128</f>
        <v xml:space="preserve"> </v>
      </c>
      <c r="C26" s="860" t="str">
        <f t="shared" ca="1" si="19"/>
        <v xml:space="preserve"> </v>
      </c>
      <c r="D26" s="884"/>
      <c r="E26" s="903"/>
      <c r="F26" s="903"/>
      <c r="G26" s="903"/>
      <c r="H26" s="903"/>
      <c r="I26" s="904"/>
      <c r="J26" s="861" t="str">
        <f t="shared" ca="1" si="20"/>
        <v>Thai Phụ</v>
      </c>
      <c r="K26" s="863" t="str">
        <f ca="1">BO128</f>
        <v xml:space="preserve"> </v>
      </c>
      <c r="L26" s="899" t="str">
        <f t="shared" ca="1" si="21"/>
        <v>Địa Võng</v>
      </c>
      <c r="Q26" s="773"/>
      <c r="R26" s="773"/>
      <c r="S26" s="787">
        <f ca="1">VLOOKUP(N42,AC20:AE24,3,0)</f>
        <v>2</v>
      </c>
      <c r="T26" s="787" t="str">
        <f ca="1">VLOOKUP(F19,T19:AC24,S26,0)</f>
        <v>Cục khắc mệnh</v>
      </c>
      <c r="AG26" s="806" t="s">
        <v>7873</v>
      </c>
      <c r="AH26" s="787">
        <v>0</v>
      </c>
      <c r="AI26" s="773">
        <v>7</v>
      </c>
      <c r="AJ26" s="806" t="s">
        <v>7872</v>
      </c>
      <c r="AK26" s="855" t="s">
        <v>7883</v>
      </c>
      <c r="AL26" s="855" t="s">
        <v>7874</v>
      </c>
      <c r="AM26" s="855" t="s">
        <v>6548</v>
      </c>
      <c r="AN26" s="787" t="s">
        <v>7880</v>
      </c>
      <c r="AP26" s="773">
        <v>25</v>
      </c>
      <c r="AQ26" s="773" t="s">
        <v>7869</v>
      </c>
      <c r="AR26" s="773" t="s">
        <v>7883</v>
      </c>
      <c r="AS26" s="773" t="s">
        <v>7882</v>
      </c>
      <c r="AT26" s="773">
        <v>25</v>
      </c>
      <c r="AU26" s="805" t="s">
        <v>6622</v>
      </c>
      <c r="BX26" s="773">
        <v>1924</v>
      </c>
      <c r="BY26" s="773" t="s">
        <v>7814</v>
      </c>
    </row>
    <row r="27" spans="1:77" s="787" customFormat="1" ht="11.1" customHeight="1">
      <c r="A27" s="860" t="str">
        <f t="shared" ca="1" si="18"/>
        <v>Thiên Hỷ</v>
      </c>
      <c r="B27" s="957" t="str">
        <f>IF($G$24="có",AM142," ")</f>
        <v>L.TTuế</v>
      </c>
      <c r="C27" s="860" t="str">
        <f t="shared" ca="1" si="19"/>
        <v xml:space="preserve"> </v>
      </c>
      <c r="D27" s="875"/>
      <c r="E27" s="905" t="s">
        <v>8308</v>
      </c>
      <c r="F27" s="850"/>
      <c r="G27" s="850"/>
      <c r="H27" s="850"/>
      <c r="I27" s="854"/>
      <c r="J27" s="861" t="str">
        <f t="shared" ca="1" si="20"/>
        <v>Thiên Quan</v>
      </c>
      <c r="K27" s="957" t="str">
        <f>IF($G$24="có",BO142," ")</f>
        <v>L.Kình</v>
      </c>
      <c r="L27" s="899" t="str">
        <f t="shared" ca="1" si="21"/>
        <v>Đẩu Quân</v>
      </c>
      <c r="Q27" s="773"/>
      <c r="R27" s="773"/>
      <c r="S27" s="773"/>
      <c r="T27" s="773"/>
      <c r="AA27" s="787" t="str">
        <f ca="1">N42</f>
        <v>kim</v>
      </c>
      <c r="AB27" s="787" t="str">
        <f ca="1">VLOOKUP(N42,AC20:AK25,2,0)</f>
        <v>tứ cục</v>
      </c>
      <c r="AC27" s="787" t="str">
        <f ca="1">CONCATENATE(AA27," ",AB27)</f>
        <v>kim tứ cục</v>
      </c>
      <c r="AG27" s="806" t="s">
        <v>7872</v>
      </c>
      <c r="AH27" s="787">
        <v>1</v>
      </c>
      <c r="AI27" s="773">
        <v>8</v>
      </c>
      <c r="AJ27" s="806" t="s">
        <v>7871</v>
      </c>
      <c r="AK27" s="855" t="s">
        <v>7873</v>
      </c>
      <c r="AL27" s="855" t="s">
        <v>7873</v>
      </c>
      <c r="AM27" s="855" t="s">
        <v>7871</v>
      </c>
      <c r="AN27" s="787" t="s">
        <v>7882</v>
      </c>
      <c r="AP27" s="773">
        <v>26</v>
      </c>
      <c r="AQ27" s="773" t="s">
        <v>7878</v>
      </c>
      <c r="AR27" s="773" t="s">
        <v>7883</v>
      </c>
      <c r="AS27" s="773" t="s">
        <v>7882</v>
      </c>
      <c r="AT27" s="773">
        <v>26</v>
      </c>
      <c r="AU27" s="805" t="s">
        <v>6622</v>
      </c>
      <c r="BX27" s="773">
        <v>1925</v>
      </c>
      <c r="BY27" s="773" t="s">
        <v>7818</v>
      </c>
    </row>
    <row r="28" spans="1:77" s="787" customFormat="1" ht="11.1" customHeight="1">
      <c r="A28" s="860" t="str">
        <f t="shared" ca="1" si="18"/>
        <v>Quan Đới</v>
      </c>
      <c r="B28" s="957" t="str">
        <f>IF($G$24="có",AM143," ")</f>
        <v>L.Khốc</v>
      </c>
      <c r="C28" s="860" t="str">
        <f t="shared" ca="1" si="19"/>
        <v xml:space="preserve"> </v>
      </c>
      <c r="D28" s="875"/>
      <c r="E28" s="850"/>
      <c r="F28" s="850"/>
      <c r="G28" s="850"/>
      <c r="H28" s="850"/>
      <c r="I28" s="850"/>
      <c r="J28" s="861" t="str">
        <f t="shared" ca="1" si="20"/>
        <v>Hoa Cái</v>
      </c>
      <c r="K28" s="957" t="str">
        <f>IF($G$24="có",BO143," ")</f>
        <v xml:space="preserve"> </v>
      </c>
      <c r="L28" s="899" t="str">
        <f t="shared" ca="1" si="21"/>
        <v xml:space="preserve"> </v>
      </c>
      <c r="Q28" s="773"/>
      <c r="R28" s="773"/>
      <c r="S28" s="773"/>
      <c r="T28" s="773"/>
      <c r="AG28" s="806" t="s">
        <v>7871</v>
      </c>
      <c r="AH28" s="787">
        <v>0</v>
      </c>
      <c r="AI28" s="773">
        <v>9</v>
      </c>
      <c r="AJ28" s="806" t="s">
        <v>7871</v>
      </c>
      <c r="AK28" s="855" t="s">
        <v>7872</v>
      </c>
      <c r="AL28" s="855" t="s">
        <v>7875</v>
      </c>
      <c r="AM28" s="855" t="s">
        <v>7874</v>
      </c>
      <c r="AN28" s="787" t="s">
        <v>6548</v>
      </c>
      <c r="AP28" s="773">
        <v>27</v>
      </c>
      <c r="AQ28" s="773" t="s">
        <v>7881</v>
      </c>
      <c r="AR28" s="773" t="s">
        <v>7883</v>
      </c>
      <c r="AS28" s="773" t="s">
        <v>7882</v>
      </c>
      <c r="AT28" s="773">
        <v>27</v>
      </c>
      <c r="AU28" s="805" t="s">
        <v>6667</v>
      </c>
      <c r="BX28" s="773">
        <v>1926</v>
      </c>
      <c r="BY28" s="773" t="s">
        <v>7819</v>
      </c>
    </row>
    <row r="29" spans="1:77" s="787" customFormat="1" ht="11.1" customHeight="1">
      <c r="A29" s="860" t="str">
        <f t="shared" ca="1" si="18"/>
        <v xml:space="preserve"> </v>
      </c>
      <c r="B29" s="957" t="str">
        <f>IF($G$24="có",AM144," ")</f>
        <v xml:space="preserve"> </v>
      </c>
      <c r="C29" s="860" t="str">
        <f t="shared" ca="1" si="19"/>
        <v xml:space="preserve"> </v>
      </c>
      <c r="D29" s="875"/>
      <c r="E29" s="850"/>
      <c r="F29" s="850"/>
      <c r="G29" s="850"/>
      <c r="H29" s="850"/>
      <c r="I29" s="850"/>
      <c r="J29" s="861" t="str">
        <f t="shared" ca="1" si="20"/>
        <v>Lực Sỹ</v>
      </c>
      <c r="K29" s="957" t="str">
        <f>IF($G$24="có",BO144," ")</f>
        <v xml:space="preserve"> </v>
      </c>
      <c r="L29" s="906" t="str">
        <f t="shared" ca="1" si="21"/>
        <v xml:space="preserve"> </v>
      </c>
      <c r="N29" s="787">
        <v>7</v>
      </c>
      <c r="O29" s="787">
        <v>11</v>
      </c>
      <c r="P29" s="787">
        <v>3</v>
      </c>
      <c r="Q29" s="787">
        <v>13</v>
      </c>
      <c r="R29" s="773">
        <v>9</v>
      </c>
      <c r="S29" s="773">
        <v>2</v>
      </c>
      <c r="T29" s="773">
        <v>10</v>
      </c>
      <c r="U29" s="787">
        <v>8</v>
      </c>
      <c r="V29" s="787">
        <v>14</v>
      </c>
      <c r="W29" s="787">
        <v>4</v>
      </c>
      <c r="X29" s="787">
        <v>12</v>
      </c>
      <c r="Y29" s="787">
        <v>5</v>
      </c>
      <c r="Z29" s="787">
        <v>6</v>
      </c>
      <c r="AG29" s="806" t="s">
        <v>7883</v>
      </c>
      <c r="AH29" s="787">
        <v>1</v>
      </c>
      <c r="AI29" s="773">
        <v>10</v>
      </c>
      <c r="AJ29" s="806" t="s">
        <v>7883</v>
      </c>
      <c r="AK29" s="855" t="s">
        <v>7882</v>
      </c>
      <c r="AL29" s="855" t="s">
        <v>7883</v>
      </c>
      <c r="AM29" s="855" t="s">
        <v>7873</v>
      </c>
      <c r="AN29" s="787" t="s">
        <v>7871</v>
      </c>
      <c r="AP29" s="773">
        <v>28</v>
      </c>
      <c r="AQ29" s="773" t="s">
        <v>7884</v>
      </c>
      <c r="AR29" s="773" t="s">
        <v>7883</v>
      </c>
      <c r="AS29" s="773" t="s">
        <v>7882</v>
      </c>
      <c r="AT29" s="773">
        <v>28</v>
      </c>
      <c r="AU29" s="805" t="s">
        <v>6667</v>
      </c>
      <c r="BX29" s="773">
        <v>1927</v>
      </c>
      <c r="BY29" s="773" t="s">
        <v>7820</v>
      </c>
    </row>
    <row r="30" spans="1:77" s="787" customFormat="1" ht="12" customHeight="1">
      <c r="A30" s="889" t="str">
        <f t="shared" ca="1" si="18"/>
        <v xml:space="preserve"> </v>
      </c>
      <c r="B30" s="1037" t="str">
        <f ca="1">Q106</f>
        <v xml:space="preserve"> TRIỆT</v>
      </c>
      <c r="C30" s="889" t="str">
        <f t="shared" ca="1" si="19"/>
        <v xml:space="preserve"> </v>
      </c>
      <c r="D30" s="907" t="str">
        <f ca="1">AA51</f>
        <v>84 thân</v>
      </c>
      <c r="E30" s="908" t="str">
        <f ca="1">AA50</f>
        <v>94 dậu</v>
      </c>
      <c r="F30" s="1039" t="str">
        <f ca="1">P105</f>
        <v xml:space="preserve">  </v>
      </c>
      <c r="G30" s="1039"/>
      <c r="H30" s="909" t="str">
        <f ca="1">AA49</f>
        <v>104 tuất</v>
      </c>
      <c r="I30" s="910" t="str">
        <f ca="1">AA60</f>
        <v>114 hợi</v>
      </c>
      <c r="J30" s="911" t="str">
        <f t="shared" ca="1" si="20"/>
        <v xml:space="preserve"> </v>
      </c>
      <c r="K30" s="1040" t="str">
        <f ca="1">Q110</f>
        <v>————</v>
      </c>
      <c r="L30" s="906" t="str">
        <f t="shared" ca="1" si="21"/>
        <v xml:space="preserve"> </v>
      </c>
      <c r="N30" s="787">
        <v>2</v>
      </c>
      <c r="O30" s="787">
        <v>3</v>
      </c>
      <c r="P30" s="787">
        <v>4</v>
      </c>
      <c r="Q30" s="787">
        <v>5</v>
      </c>
      <c r="R30" s="787">
        <v>6</v>
      </c>
      <c r="S30" s="787">
        <v>7</v>
      </c>
      <c r="T30" s="787">
        <v>8</v>
      </c>
      <c r="U30" s="787">
        <v>9</v>
      </c>
      <c r="V30" s="787">
        <v>10</v>
      </c>
      <c r="W30" s="787">
        <v>11</v>
      </c>
      <c r="X30" s="787">
        <v>12</v>
      </c>
      <c r="Y30" s="787">
        <v>13</v>
      </c>
      <c r="Z30" s="787">
        <v>14</v>
      </c>
      <c r="AB30" s="787">
        <f ca="1">N62</f>
        <v>1</v>
      </c>
      <c r="AC30" s="834">
        <f ca="1">VLOOKUP(N38,$AG$23:$AH$34,2,0)</f>
        <v>1</v>
      </c>
      <c r="AG30" s="806" t="s">
        <v>7882</v>
      </c>
      <c r="AH30" s="787">
        <v>0</v>
      </c>
      <c r="AI30" s="912">
        <v>11</v>
      </c>
      <c r="AJ30" s="913" t="s">
        <v>7883</v>
      </c>
      <c r="AK30" s="914" t="s">
        <v>7872</v>
      </c>
      <c r="AL30" s="914" t="s">
        <v>7873</v>
      </c>
      <c r="AM30" s="914" t="s">
        <v>7887</v>
      </c>
      <c r="AN30" s="915" t="s">
        <v>7874</v>
      </c>
      <c r="AP30" s="773">
        <v>29</v>
      </c>
      <c r="AQ30" s="773" t="s">
        <v>7888</v>
      </c>
      <c r="AR30" s="773" t="s">
        <v>7883</v>
      </c>
      <c r="AS30" s="773" t="s">
        <v>7882</v>
      </c>
      <c r="AT30" s="773">
        <v>29</v>
      </c>
      <c r="AU30" s="805" t="s">
        <v>6675</v>
      </c>
      <c r="BX30" s="773">
        <v>1928</v>
      </c>
      <c r="BY30" s="773" t="s">
        <v>7822</v>
      </c>
    </row>
    <row r="31" spans="1:77" s="787" customFormat="1" ht="12" customHeight="1">
      <c r="A31" s="890" t="str">
        <f ca="1">S38</f>
        <v>Quan lộc</v>
      </c>
      <c r="B31" s="1037"/>
      <c r="C31" s="916" t="str">
        <f ca="1">T38</f>
        <v xml:space="preserve"> </v>
      </c>
      <c r="D31" s="893" t="str">
        <f ca="1">S37</f>
        <v>Điền trạch</v>
      </c>
      <c r="E31" s="846" t="str">
        <f ca="1">K83</f>
        <v>Vũ Khúc(M)</v>
      </c>
      <c r="G31" s="893" t="str">
        <f ca="1">S36</f>
        <v>Phúc đức</v>
      </c>
      <c r="H31" s="807" t="str">
        <f ca="1">K82</f>
        <v>Thái Âm(V)</v>
      </c>
      <c r="J31" s="893" t="str">
        <f ca="1">S47</f>
        <v>Phụ mẫu</v>
      </c>
      <c r="K31" s="1040"/>
      <c r="L31" s="892" t="str">
        <f ca="1">T47</f>
        <v xml:space="preserve"> </v>
      </c>
      <c r="N31" s="917" t="s">
        <v>8309</v>
      </c>
      <c r="O31" s="917" t="s">
        <v>8310</v>
      </c>
      <c r="P31" s="917" t="s">
        <v>8311</v>
      </c>
      <c r="Q31" s="917" t="s">
        <v>5944</v>
      </c>
      <c r="R31" s="917" t="s">
        <v>8310</v>
      </c>
      <c r="S31" s="917" t="s">
        <v>8310</v>
      </c>
      <c r="T31" s="917" t="s">
        <v>5944</v>
      </c>
      <c r="U31" s="917" t="s">
        <v>8312</v>
      </c>
      <c r="V31" s="917" t="s">
        <v>8313</v>
      </c>
      <c r="W31" s="917" t="s">
        <v>8310</v>
      </c>
      <c r="X31" s="1029" t="s">
        <v>8314</v>
      </c>
      <c r="Y31" s="917" t="s">
        <v>8315</v>
      </c>
      <c r="Z31" s="917" t="s">
        <v>8316</v>
      </c>
      <c r="AB31" s="787" t="str">
        <f ca="1">IF(AB30=AC30,"Âm dương thuận lý","Âm dương nghịch lý")</f>
        <v>Âm dương thuận lý</v>
      </c>
      <c r="AG31" s="806" t="s">
        <v>7887</v>
      </c>
      <c r="AH31" s="787">
        <v>1</v>
      </c>
      <c r="AI31" s="773">
        <v>12</v>
      </c>
      <c r="AJ31" s="806" t="s">
        <v>7882</v>
      </c>
      <c r="AK31" s="855" t="s">
        <v>7871</v>
      </c>
      <c r="AL31" s="855" t="s">
        <v>7872</v>
      </c>
      <c r="AM31" s="855" t="s">
        <v>7875</v>
      </c>
      <c r="AN31" s="787" t="s">
        <v>7873</v>
      </c>
      <c r="AP31" s="773">
        <v>30</v>
      </c>
      <c r="AQ31" s="773" t="s">
        <v>7889</v>
      </c>
      <c r="AR31" s="773" t="s">
        <v>7883</v>
      </c>
      <c r="AS31" s="773" t="s">
        <v>7882</v>
      </c>
      <c r="AT31" s="773">
        <v>30</v>
      </c>
      <c r="AU31" s="805" t="s">
        <v>6675</v>
      </c>
      <c r="BX31" s="773">
        <v>1929</v>
      </c>
      <c r="BY31" s="773" t="s">
        <v>7823</v>
      </c>
    </row>
    <row r="32" spans="1:77" s="787" customFormat="1" ht="11.1" customHeight="1">
      <c r="A32" s="918" t="str">
        <f ca="1">AI126</f>
        <v xml:space="preserve"> </v>
      </c>
      <c r="B32" s="847" t="str">
        <f ca="1">K84</f>
        <v>Thái Dương(V)</v>
      </c>
      <c r="C32" s="850"/>
      <c r="D32" s="884" t="str">
        <f ca="1">T37</f>
        <v xml:space="preserve"> </v>
      </c>
      <c r="E32" s="841" t="str">
        <f ca="1">M83</f>
        <v>Tham Lang(M)</v>
      </c>
      <c r="F32" s="850"/>
      <c r="G32" s="884" t="str">
        <f ca="1">T36</f>
        <v xml:space="preserve"> </v>
      </c>
      <c r="H32" s="841" t="str">
        <f ca="1">M82</f>
        <v>Thiên Đồng(V)</v>
      </c>
      <c r="I32" s="854"/>
      <c r="J32" s="875" t="str">
        <f ca="1">BS126</f>
        <v xml:space="preserve"> </v>
      </c>
      <c r="K32" s="874" t="str">
        <f ca="1">K93</f>
        <v>Thiên Phủ(D)</v>
      </c>
      <c r="L32" s="854"/>
      <c r="N32" s="917" t="s">
        <v>8317</v>
      </c>
      <c r="O32" s="917" t="s">
        <v>8318</v>
      </c>
      <c r="P32" s="917" t="s">
        <v>8319</v>
      </c>
      <c r="Q32" s="917" t="s">
        <v>8320</v>
      </c>
      <c r="R32" s="917" t="s">
        <v>8321</v>
      </c>
      <c r="S32" s="917" t="s">
        <v>8322</v>
      </c>
      <c r="T32" s="917" t="s">
        <v>4213</v>
      </c>
      <c r="U32" s="917" t="s">
        <v>8323</v>
      </c>
      <c r="V32" s="917" t="s">
        <v>8324</v>
      </c>
      <c r="W32" s="917" t="s">
        <v>8325</v>
      </c>
      <c r="X32" s="1029"/>
      <c r="Y32" s="917" t="s">
        <v>6672</v>
      </c>
      <c r="Z32" s="917" t="s">
        <v>8326</v>
      </c>
      <c r="AG32" s="806" t="s">
        <v>7886</v>
      </c>
      <c r="AH32" s="787">
        <v>0</v>
      </c>
      <c r="AI32" s="773">
        <v>13</v>
      </c>
      <c r="AJ32" s="806" t="s">
        <v>7882</v>
      </c>
      <c r="AK32" s="855" t="s">
        <v>7887</v>
      </c>
      <c r="AL32" s="855" t="s">
        <v>7874</v>
      </c>
      <c r="AM32" s="855" t="s">
        <v>7883</v>
      </c>
      <c r="AN32" s="787" t="s">
        <v>7877</v>
      </c>
      <c r="AP32" s="773">
        <v>31</v>
      </c>
      <c r="AQ32" s="773" t="s">
        <v>7890</v>
      </c>
      <c r="AR32" s="773" t="s">
        <v>7872</v>
      </c>
      <c r="AS32" s="773" t="s">
        <v>7871</v>
      </c>
      <c r="AT32" s="773">
        <v>31</v>
      </c>
      <c r="AU32" s="805" t="s">
        <v>6666</v>
      </c>
      <c r="BX32" s="773">
        <v>1930</v>
      </c>
      <c r="BY32" s="773" t="s">
        <v>7825</v>
      </c>
    </row>
    <row r="33" spans="1:77" s="787" customFormat="1" ht="11.1" customHeight="1">
      <c r="A33" s="860" t="str">
        <f ca="1">AI125</f>
        <v xml:space="preserve"> </v>
      </c>
      <c r="B33" s="874" t="str">
        <f ca="1">M84</f>
        <v>Cự Môn(V)</v>
      </c>
      <c r="C33" s="850"/>
      <c r="D33" s="859" t="str">
        <f ca="1">AD125</f>
        <v xml:space="preserve"> </v>
      </c>
      <c r="E33" s="860"/>
      <c r="F33" s="860" t="str">
        <f ca="1">AD205</f>
        <v xml:space="preserve"> </v>
      </c>
      <c r="G33" s="859" t="str">
        <f ca="1">Y125</f>
        <v xml:space="preserve"> </v>
      </c>
      <c r="H33" s="860"/>
      <c r="I33" s="862" t="str">
        <f ca="1">Y205</f>
        <v xml:space="preserve"> </v>
      </c>
      <c r="J33" s="875" t="str">
        <f ca="1">BS125</f>
        <v xml:space="preserve"> </v>
      </c>
      <c r="K33" s="874" t="str">
        <f ca="1">M93</f>
        <v xml:space="preserve"> </v>
      </c>
      <c r="L33" s="854"/>
      <c r="N33" s="889" t="str">
        <f t="shared" ref="N33:Z33" ca="1" si="22">VLOOKUP($I$83,$A$66:$N$79,N30,0)</f>
        <v>Dậu</v>
      </c>
      <c r="O33" s="889" t="str">
        <f t="shared" ca="1" si="22"/>
        <v>Tý</v>
      </c>
      <c r="P33" s="889" t="str">
        <f t="shared" ca="1" si="22"/>
        <v>Sửu</v>
      </c>
      <c r="Q33" s="889" t="str">
        <f t="shared" ca="1" si="22"/>
        <v>Dần</v>
      </c>
      <c r="R33" s="889" t="str">
        <f t="shared" ca="1" si="22"/>
        <v>Thìn</v>
      </c>
      <c r="S33" s="889" t="str">
        <f t="shared" ca="1" si="22"/>
        <v>Hợi</v>
      </c>
      <c r="T33" s="889" t="str">
        <f t="shared" ca="1" si="22"/>
        <v>Tý</v>
      </c>
      <c r="U33" s="889" t="str">
        <f t="shared" ca="1" si="22"/>
        <v>Sửu</v>
      </c>
      <c r="V33" s="889" t="str">
        <f t="shared" ca="1" si="22"/>
        <v>Dần</v>
      </c>
      <c r="W33" s="889" t="str">
        <f t="shared" ca="1" si="22"/>
        <v>Mão</v>
      </c>
      <c r="X33" s="889" t="str">
        <f t="shared" ca="1" si="22"/>
        <v>Thìn</v>
      </c>
      <c r="Y33" s="889" t="str">
        <f t="shared" ca="1" si="22"/>
        <v>Tỵ</v>
      </c>
      <c r="Z33" s="889" t="str">
        <f t="shared" ca="1" si="22"/>
        <v>Dậu</v>
      </c>
      <c r="AG33" s="806" t="s">
        <v>7880</v>
      </c>
      <c r="AH33" s="787">
        <v>1</v>
      </c>
      <c r="AI33" s="773">
        <v>14</v>
      </c>
      <c r="AJ33" s="806" t="s">
        <v>7887</v>
      </c>
      <c r="AK33" s="855" t="s">
        <v>7871</v>
      </c>
      <c r="AL33" s="855" t="s">
        <v>7882</v>
      </c>
      <c r="AM33" s="855" t="s">
        <v>7873</v>
      </c>
      <c r="AN33" s="787" t="s">
        <v>7887</v>
      </c>
      <c r="AP33" s="773">
        <v>32</v>
      </c>
      <c r="AQ33" s="773" t="s">
        <v>7891</v>
      </c>
      <c r="AR33" s="773" t="s">
        <v>7872</v>
      </c>
      <c r="AS33" s="773" t="s">
        <v>7871</v>
      </c>
      <c r="AT33" s="773">
        <v>32</v>
      </c>
      <c r="AU33" s="805" t="s">
        <v>6666</v>
      </c>
      <c r="BX33" s="773">
        <v>1931</v>
      </c>
      <c r="BY33" s="773" t="s">
        <v>7827</v>
      </c>
    </row>
    <row r="34" spans="1:77" s="787" customFormat="1" ht="11.1" customHeight="1">
      <c r="A34" s="860" t="str">
        <f t="shared" ref="A34:A40" ca="1" si="23">AI118</f>
        <v>Lâm Quan</v>
      </c>
      <c r="B34" s="863"/>
      <c r="C34" s="857" t="str">
        <f t="shared" ref="C34:C40" ca="1" si="24">AI198</f>
        <v>Bạch Hổ</v>
      </c>
      <c r="D34" s="859" t="str">
        <f t="shared" ref="D34:D40" ca="1" si="25">AD118</f>
        <v>Long Đức</v>
      </c>
      <c r="E34" s="864" t="str">
        <f ca="1">AD126</f>
        <v xml:space="preserve"> </v>
      </c>
      <c r="F34" s="860" t="str">
        <f t="shared" ref="F34:F40" ca="1" si="26">AD198</f>
        <v>Hóa Kỵ</v>
      </c>
      <c r="G34" s="919" t="str">
        <f t="shared" ref="G34:G40" ca="1" si="27">Y118</f>
        <v>Thiên Thọ</v>
      </c>
      <c r="H34" s="864" t="str">
        <f ca="1">Y126</f>
        <v xml:space="preserve"> </v>
      </c>
      <c r="I34" s="862" t="str">
        <f t="shared" ref="I34:I40" ca="1" si="28">Y198</f>
        <v>Kình Dương</v>
      </c>
      <c r="J34" s="859" t="str">
        <f t="shared" ref="J34:J40" ca="1" si="29">BS118</f>
        <v>Lộc Tồn</v>
      </c>
      <c r="K34" s="860"/>
      <c r="L34" s="862" t="str">
        <f t="shared" ref="L34:L40" ca="1" si="30">BS198</f>
        <v>Kiếp Sát</v>
      </c>
      <c r="Q34" s="773"/>
      <c r="R34" s="773"/>
      <c r="S34" s="773"/>
      <c r="T34" s="773"/>
      <c r="AG34" s="806" t="s">
        <v>7877</v>
      </c>
      <c r="AH34" s="787">
        <v>0</v>
      </c>
      <c r="AI34" s="773">
        <v>15</v>
      </c>
      <c r="AJ34" s="806" t="s">
        <v>7887</v>
      </c>
      <c r="AK34" s="855" t="s">
        <v>7883</v>
      </c>
      <c r="AL34" s="855" t="s">
        <v>7872</v>
      </c>
      <c r="AM34" s="855" t="s">
        <v>7872</v>
      </c>
      <c r="AN34" s="787" t="s">
        <v>7875</v>
      </c>
      <c r="AP34" s="773">
        <v>33</v>
      </c>
      <c r="AQ34" s="773" t="s">
        <v>7892</v>
      </c>
      <c r="AR34" s="773" t="s">
        <v>7872</v>
      </c>
      <c r="AS34" s="773" t="s">
        <v>7871</v>
      </c>
      <c r="AT34" s="773">
        <v>33</v>
      </c>
      <c r="AU34" s="805" t="s">
        <v>6622</v>
      </c>
      <c r="BX34" s="773">
        <v>1932</v>
      </c>
      <c r="BY34" s="773" t="s">
        <v>7829</v>
      </c>
    </row>
    <row r="35" spans="1:77" s="787" customFormat="1" ht="11.1" customHeight="1">
      <c r="A35" s="860" t="str">
        <f t="shared" ca="1" si="23"/>
        <v xml:space="preserve"> </v>
      </c>
      <c r="B35" s="863" t="str">
        <f ca="1">AI127</f>
        <v xml:space="preserve"> </v>
      </c>
      <c r="C35" s="857" t="str">
        <f t="shared" ca="1" si="24"/>
        <v>Đại Hao</v>
      </c>
      <c r="D35" s="859" t="str">
        <f t="shared" ca="1" si="25"/>
        <v>Đế Vượng</v>
      </c>
      <c r="E35" s="864" t="str">
        <f ca="1">AD127</f>
        <v xml:space="preserve"> </v>
      </c>
      <c r="F35" s="860" t="str">
        <f t="shared" ca="1" si="26"/>
        <v>Thiên Riêu</v>
      </c>
      <c r="G35" s="859" t="str">
        <f t="shared" ca="1" si="27"/>
        <v xml:space="preserve"> </v>
      </c>
      <c r="H35" s="864" t="str">
        <f ca="1">Y127</f>
        <v xml:space="preserve"> </v>
      </c>
      <c r="I35" s="862" t="str">
        <f t="shared" ca="1" si="28"/>
        <v>Thiên Hư</v>
      </c>
      <c r="J35" s="859" t="str">
        <f t="shared" ca="1" si="29"/>
        <v>Nguyệt Đức</v>
      </c>
      <c r="K35" s="864" t="str">
        <f ca="1">BS127</f>
        <v xml:space="preserve"> </v>
      </c>
      <c r="L35" s="862" t="str">
        <f t="shared" ca="1" si="30"/>
        <v>Lưu Hà</v>
      </c>
      <c r="N35" s="810">
        <f ca="1">VLOOKUP(G18,N49:O60,2,0)</f>
        <v>5</v>
      </c>
      <c r="O35" s="787" t="s">
        <v>8327</v>
      </c>
      <c r="Q35" s="773"/>
      <c r="R35" s="773"/>
      <c r="S35" s="773"/>
      <c r="T35" s="773"/>
      <c r="AI35" s="773">
        <v>16</v>
      </c>
      <c r="AJ35" s="806" t="s">
        <v>7886</v>
      </c>
      <c r="AK35" s="855" t="s">
        <v>7886</v>
      </c>
      <c r="AL35" s="855" t="s">
        <v>7871</v>
      </c>
      <c r="AM35" s="855" t="s">
        <v>7886</v>
      </c>
      <c r="AN35" s="787" t="s">
        <v>7883</v>
      </c>
      <c r="AP35" s="773">
        <v>34</v>
      </c>
      <c r="AQ35" s="773" t="s">
        <v>7893</v>
      </c>
      <c r="AR35" s="773" t="s">
        <v>7872</v>
      </c>
      <c r="AS35" s="773" t="s">
        <v>7871</v>
      </c>
      <c r="AT35" s="773">
        <v>34</v>
      </c>
      <c r="AU35" s="805" t="s">
        <v>6622</v>
      </c>
      <c r="BX35" s="773">
        <v>1933</v>
      </c>
      <c r="BY35" s="773" t="s">
        <v>7831</v>
      </c>
    </row>
    <row r="36" spans="1:77" s="787" customFormat="1" ht="11.1" customHeight="1">
      <c r="A36" s="860" t="str">
        <f t="shared" ca="1" si="23"/>
        <v xml:space="preserve"> </v>
      </c>
      <c r="B36" s="863" t="str">
        <f ca="1">AI128</f>
        <v xml:space="preserve"> </v>
      </c>
      <c r="C36" s="857" t="str">
        <f t="shared" ca="1" si="24"/>
        <v xml:space="preserve"> </v>
      </c>
      <c r="D36" s="859" t="str">
        <f t="shared" ca="1" si="25"/>
        <v xml:space="preserve"> </v>
      </c>
      <c r="E36" s="864" t="str">
        <f ca="1">AD128</f>
        <v xml:space="preserve"> </v>
      </c>
      <c r="F36" s="860" t="str">
        <f t="shared" ca="1" si="26"/>
        <v>Thiên Y</v>
      </c>
      <c r="G36" s="859" t="str">
        <f t="shared" ca="1" si="27"/>
        <v xml:space="preserve"> </v>
      </c>
      <c r="H36" s="864" t="str">
        <f ca="1">Y128</f>
        <v xml:space="preserve"> </v>
      </c>
      <c r="I36" s="862" t="str">
        <f t="shared" ca="1" si="28"/>
        <v>Thiên Khốc</v>
      </c>
      <c r="J36" s="859" t="str">
        <f t="shared" ca="1" si="29"/>
        <v>Bác Sỹ</v>
      </c>
      <c r="K36" s="864" t="str">
        <f ca="1">BS128</f>
        <v xml:space="preserve"> </v>
      </c>
      <c r="L36" s="862" t="str">
        <f t="shared" ca="1" si="30"/>
        <v>Bệnh</v>
      </c>
      <c r="N36" s="787" t="str">
        <f ca="1">VLOOKUP(F16,A41:M53,N35+1,0)</f>
        <v>tuất ngọ</v>
      </c>
      <c r="O36" s="787">
        <f ca="1">IF(F14="nam",1,0)</f>
        <v>0</v>
      </c>
      <c r="P36" s="806">
        <v>1</v>
      </c>
      <c r="Q36" s="773" t="s">
        <v>8289</v>
      </c>
      <c r="R36" s="773">
        <f ca="1">IF(N41=1,1,14-N41)</f>
        <v>3</v>
      </c>
      <c r="S36" s="773" t="str">
        <f t="shared" ref="S36:S47" ca="1" si="31">VLOOKUP(R36,$P$36:$Q$47,2,0)</f>
        <v>Phúc đức</v>
      </c>
      <c r="T36" s="773" t="str">
        <f t="shared" ref="T36:T47" ca="1" si="32">IF($N$40=P36,"Thân"," ")</f>
        <v xml:space="preserve"> </v>
      </c>
      <c r="U36" s="806">
        <v>1</v>
      </c>
      <c r="V36" s="806" t="s">
        <v>6548</v>
      </c>
      <c r="W36" s="806">
        <v>1</v>
      </c>
      <c r="Y36" s="787" t="str">
        <f t="shared" ref="Y36:Y47" ca="1" si="33">VLOOKUP(W36,$AH$4:$AM$17,6,0)</f>
        <v>Thái Âm(V)</v>
      </c>
      <c r="AA36" s="787" t="b">
        <f t="shared" ref="AA36:AA47" ca="1" si="34">ISTEXT(Y36)</f>
        <v>1</v>
      </c>
      <c r="AB36" s="787">
        <f t="shared" ref="AB36:AB47" ca="1" si="35">IF(LEFT(AA36,1)="T",1,0)</f>
        <v>1</v>
      </c>
      <c r="AC36" s="787" t="str">
        <f t="shared" ref="AC36:AC47" ca="1" si="36">VLOOKUP(W36,$AI$4:$AL$17,4,0)</f>
        <v>Thiên Đồng(V)</v>
      </c>
      <c r="AE36" s="787">
        <f t="shared" ref="AE36:AE47" ca="1" si="37">IF(Y36=AC36,0,1)</f>
        <v>1</v>
      </c>
      <c r="AF36" s="787" t="b">
        <f t="shared" ref="AF36:AF47" ca="1" si="38">ISNUMBER(AE36)</f>
        <v>1</v>
      </c>
      <c r="AG36" s="787">
        <f t="shared" ref="AG36:AG47" ca="1" si="39">IF(LEFT(AF36,1)="T",AE36," ")</f>
        <v>1</v>
      </c>
      <c r="AI36" s="773">
        <v>17</v>
      </c>
      <c r="AJ36" s="806" t="s">
        <v>7886</v>
      </c>
      <c r="AK36" s="855" t="s">
        <v>7883</v>
      </c>
      <c r="AL36" s="855" t="s">
        <v>7873</v>
      </c>
      <c r="AM36" s="855" t="s">
        <v>7874</v>
      </c>
      <c r="AN36" s="787" t="s">
        <v>7873</v>
      </c>
      <c r="AP36" s="773">
        <v>35</v>
      </c>
      <c r="AQ36" s="773" t="s">
        <v>7895</v>
      </c>
      <c r="AR36" s="773" t="s">
        <v>7872</v>
      </c>
      <c r="AS36" s="773" t="s">
        <v>7871</v>
      </c>
      <c r="AT36" s="773">
        <v>35</v>
      </c>
      <c r="AU36" s="805" t="s">
        <v>6667</v>
      </c>
      <c r="BX36" s="773">
        <v>1934</v>
      </c>
      <c r="BY36" s="773" t="s">
        <v>7835</v>
      </c>
    </row>
    <row r="37" spans="1:77" s="787" customFormat="1" ht="11.1" customHeight="1">
      <c r="A37" s="860" t="str">
        <f t="shared" ca="1" si="23"/>
        <v xml:space="preserve"> </v>
      </c>
      <c r="B37" s="957" t="str">
        <f>IF($G$24="có",AI142," ")</f>
        <v xml:space="preserve"> </v>
      </c>
      <c r="C37" s="857" t="str">
        <f t="shared" ca="1" si="24"/>
        <v xml:space="preserve"> </v>
      </c>
      <c r="D37" s="859" t="str">
        <f t="shared" ca="1" si="25"/>
        <v xml:space="preserve"> </v>
      </c>
      <c r="E37" s="957" t="str">
        <f>IF($G$24="có",AD142," ")</f>
        <v xml:space="preserve"> </v>
      </c>
      <c r="F37" s="860" t="str">
        <f t="shared" ca="1" si="26"/>
        <v>Phục Binh</v>
      </c>
      <c r="G37" s="859" t="str">
        <f t="shared" ca="1" si="27"/>
        <v xml:space="preserve"> </v>
      </c>
      <c r="H37" s="957" t="str">
        <f>IF($G$24="có",Y142," ")</f>
        <v xml:space="preserve"> </v>
      </c>
      <c r="I37" s="862" t="str">
        <f t="shared" ca="1" si="28"/>
        <v>Suy</v>
      </c>
      <c r="J37" s="859" t="str">
        <f t="shared" ca="1" si="29"/>
        <v xml:space="preserve"> </v>
      </c>
      <c r="K37" s="957" t="str">
        <f>IF($G$24="có",BS142," ")</f>
        <v>L.Hổ</v>
      </c>
      <c r="L37" s="862" t="str">
        <f t="shared" ca="1" si="30"/>
        <v>Tử Phù</v>
      </c>
      <c r="N37" s="787">
        <f ca="1">FIND(" ",N36)</f>
        <v>5</v>
      </c>
      <c r="P37" s="806">
        <v>2</v>
      </c>
      <c r="Q37" s="773" t="s">
        <v>8328</v>
      </c>
      <c r="R37" s="773">
        <f t="shared" ref="R37:R47" ca="1" si="40">IF(R36&lt;12,R36+1,1)</f>
        <v>4</v>
      </c>
      <c r="S37" s="773" t="str">
        <f t="shared" ca="1" si="31"/>
        <v>Điền trạch</v>
      </c>
      <c r="T37" s="773" t="str">
        <f t="shared" ca="1" si="32"/>
        <v xml:space="preserve"> </v>
      </c>
      <c r="U37" s="806">
        <v>2</v>
      </c>
      <c r="V37" s="806" t="s">
        <v>7875</v>
      </c>
      <c r="W37" s="806">
        <v>2</v>
      </c>
      <c r="Y37" s="787" t="str">
        <f t="shared" ca="1" si="33"/>
        <v>Vũ Khúc(M)</v>
      </c>
      <c r="AA37" s="787" t="b">
        <f t="shared" ca="1" si="34"/>
        <v>1</v>
      </c>
      <c r="AB37" s="787">
        <f t="shared" ca="1" si="35"/>
        <v>1</v>
      </c>
      <c r="AC37" s="787" t="str">
        <f t="shared" ca="1" si="36"/>
        <v>Tham Lang(M)</v>
      </c>
      <c r="AE37" s="787">
        <f t="shared" ca="1" si="37"/>
        <v>1</v>
      </c>
      <c r="AF37" s="787" t="b">
        <f t="shared" ca="1" si="38"/>
        <v>1</v>
      </c>
      <c r="AG37" s="787">
        <f t="shared" ca="1" si="39"/>
        <v>1</v>
      </c>
      <c r="AI37" s="773">
        <v>18</v>
      </c>
      <c r="AJ37" s="806" t="s">
        <v>7880</v>
      </c>
      <c r="AK37" s="855" t="s">
        <v>7882</v>
      </c>
      <c r="AL37" s="855" t="s">
        <v>7887</v>
      </c>
      <c r="AM37" s="855" t="s">
        <v>7882</v>
      </c>
      <c r="AN37" s="787" t="s">
        <v>7872</v>
      </c>
      <c r="AP37" s="773">
        <v>36</v>
      </c>
      <c r="AQ37" s="773" t="s">
        <v>7897</v>
      </c>
      <c r="AR37" s="773" t="s">
        <v>7872</v>
      </c>
      <c r="AS37" s="773" t="s">
        <v>7871</v>
      </c>
      <c r="AT37" s="773">
        <v>36</v>
      </c>
      <c r="AU37" s="805" t="s">
        <v>6667</v>
      </c>
      <c r="BX37" s="773">
        <v>1935</v>
      </c>
      <c r="BY37" s="773" t="s">
        <v>7838</v>
      </c>
    </row>
    <row r="38" spans="1:77" s="787" customFormat="1" ht="11.1" customHeight="1">
      <c r="A38" s="860" t="str">
        <f t="shared" ca="1" si="23"/>
        <v xml:space="preserve"> </v>
      </c>
      <c r="B38" s="957" t="str">
        <f>IF($G$24="có",AI143," ")</f>
        <v xml:space="preserve"> </v>
      </c>
      <c r="C38" s="857" t="str">
        <f t="shared" ca="1" si="24"/>
        <v xml:space="preserve"> </v>
      </c>
      <c r="D38" s="859" t="str">
        <f t="shared" ca="1" si="25"/>
        <v xml:space="preserve"> </v>
      </c>
      <c r="E38" s="957" t="str">
        <f>IF($G$24="có",AD143," ")</f>
        <v xml:space="preserve"> </v>
      </c>
      <c r="F38" s="860" t="str">
        <f t="shared" ca="1" si="26"/>
        <v xml:space="preserve"> </v>
      </c>
      <c r="G38" s="859" t="str">
        <f t="shared" ca="1" si="27"/>
        <v xml:space="preserve"> </v>
      </c>
      <c r="H38" s="957" t="str">
        <f>IF($G$24="có",Y143," ")</f>
        <v xml:space="preserve"> </v>
      </c>
      <c r="I38" s="862" t="str">
        <f t="shared" ca="1" si="28"/>
        <v>Tuế Phá</v>
      </c>
      <c r="J38" s="859" t="str">
        <f t="shared" ca="1" si="29"/>
        <v xml:space="preserve"> </v>
      </c>
      <c r="K38" s="957" t="str">
        <f>IF($G$24="có",BS143," ")</f>
        <v xml:space="preserve"> </v>
      </c>
      <c r="L38" s="862" t="str">
        <f t="shared" ca="1" si="30"/>
        <v xml:space="preserve"> </v>
      </c>
      <c r="N38" s="787" t="str">
        <f ca="1">LEFT(N36,N37-1)</f>
        <v>tuất</v>
      </c>
      <c r="O38" s="807" t="s">
        <v>8293</v>
      </c>
      <c r="P38" s="806">
        <v>3</v>
      </c>
      <c r="Q38" s="787" t="s">
        <v>8329</v>
      </c>
      <c r="R38" s="773">
        <f t="shared" ca="1" si="40"/>
        <v>5</v>
      </c>
      <c r="S38" s="773" t="str">
        <f t="shared" ca="1" si="31"/>
        <v>Quan lộc</v>
      </c>
      <c r="T38" s="773" t="str">
        <f t="shared" ca="1" si="32"/>
        <v xml:space="preserve"> </v>
      </c>
      <c r="U38" s="806">
        <v>3</v>
      </c>
      <c r="V38" s="806" t="s">
        <v>7874</v>
      </c>
      <c r="W38" s="806">
        <v>3</v>
      </c>
      <c r="Y38" s="787" t="str">
        <f t="shared" ca="1" si="33"/>
        <v>Thái Dương(V)</v>
      </c>
      <c r="AA38" s="787" t="b">
        <f t="shared" ca="1" si="34"/>
        <v>1</v>
      </c>
      <c r="AB38" s="787">
        <f t="shared" ca="1" si="35"/>
        <v>1</v>
      </c>
      <c r="AC38" s="787" t="str">
        <f t="shared" ca="1" si="36"/>
        <v>Cự Môn(V)</v>
      </c>
      <c r="AE38" s="787">
        <f t="shared" ca="1" si="37"/>
        <v>1</v>
      </c>
      <c r="AF38" s="787" t="b">
        <f t="shared" ca="1" si="38"/>
        <v>1</v>
      </c>
      <c r="AG38" s="787">
        <f t="shared" ca="1" si="39"/>
        <v>1</v>
      </c>
      <c r="AI38" s="773">
        <v>19</v>
      </c>
      <c r="AJ38" s="806" t="s">
        <v>7880</v>
      </c>
      <c r="AK38" s="855" t="s">
        <v>7880</v>
      </c>
      <c r="AL38" s="855" t="s">
        <v>7871</v>
      </c>
      <c r="AM38" s="855" t="s">
        <v>7872</v>
      </c>
      <c r="AN38" s="787" t="s">
        <v>6548</v>
      </c>
      <c r="AP38" s="773">
        <v>37</v>
      </c>
      <c r="AQ38" s="773" t="s">
        <v>7899</v>
      </c>
      <c r="AR38" s="773" t="s">
        <v>7872</v>
      </c>
      <c r="AS38" s="773" t="s">
        <v>7871</v>
      </c>
      <c r="AT38" s="773">
        <v>37</v>
      </c>
      <c r="AU38" s="805" t="s">
        <v>6625</v>
      </c>
      <c r="BX38" s="773">
        <v>1936</v>
      </c>
      <c r="BY38" s="773" t="s">
        <v>7840</v>
      </c>
    </row>
    <row r="39" spans="1:77" s="787" customFormat="1" ht="9.9499999999999993" customHeight="1">
      <c r="A39" s="860" t="str">
        <f t="shared" ca="1" si="23"/>
        <v xml:space="preserve"> </v>
      </c>
      <c r="B39" s="957" t="str">
        <f>IF($G$24="có",AI144," ")</f>
        <v xml:space="preserve"> </v>
      </c>
      <c r="C39" s="857" t="str">
        <f t="shared" ca="1" si="24"/>
        <v xml:space="preserve"> </v>
      </c>
      <c r="D39" s="859" t="str">
        <f t="shared" ca="1" si="25"/>
        <v xml:space="preserve"> </v>
      </c>
      <c r="E39" s="957" t="str">
        <f>IF($G$24="có",AD144," ")</f>
        <v xml:space="preserve"> </v>
      </c>
      <c r="F39" s="860" t="str">
        <f t="shared" ca="1" si="26"/>
        <v xml:space="preserve"> </v>
      </c>
      <c r="G39" s="859" t="str">
        <f t="shared" ca="1" si="27"/>
        <v xml:space="preserve"> </v>
      </c>
      <c r="H39" s="957" t="str">
        <f>IF($G$24="có",Y144," ")</f>
        <v xml:space="preserve"> </v>
      </c>
      <c r="I39" s="862" t="str">
        <f t="shared" ca="1" si="28"/>
        <v>Quan Phủ</v>
      </c>
      <c r="J39" s="859" t="str">
        <f t="shared" ca="1" si="29"/>
        <v xml:space="preserve"> </v>
      </c>
      <c r="K39" s="957" t="str">
        <f>IF($G$24="có",BS144," ")</f>
        <v xml:space="preserve"> </v>
      </c>
      <c r="L39" s="862" t="str">
        <f t="shared" ca="1" si="30"/>
        <v xml:space="preserve"> </v>
      </c>
      <c r="N39" s="915" t="str">
        <f ca="1">RIGHT(N36,LEN(N36)-N37)</f>
        <v>ngọ</v>
      </c>
      <c r="O39" s="807" t="s">
        <v>7887</v>
      </c>
      <c r="P39" s="806">
        <v>4</v>
      </c>
      <c r="Q39" s="787" t="s">
        <v>8330</v>
      </c>
      <c r="R39" s="773">
        <f t="shared" ca="1" si="40"/>
        <v>6</v>
      </c>
      <c r="S39" s="773" t="str">
        <f t="shared" ca="1" si="31"/>
        <v>Nô bộc</v>
      </c>
      <c r="T39" s="773" t="str">
        <f t="shared" ca="1" si="32"/>
        <v xml:space="preserve"> </v>
      </c>
      <c r="U39" s="806">
        <v>4</v>
      </c>
      <c r="V39" s="806" t="s">
        <v>7873</v>
      </c>
      <c r="W39" s="806">
        <v>4</v>
      </c>
      <c r="Y39" s="787" t="str">
        <f t="shared" ca="1" si="33"/>
        <v>Thiên Tướng(H)</v>
      </c>
      <c r="AA39" s="787" t="b">
        <f t="shared" ca="1" si="34"/>
        <v>1</v>
      </c>
      <c r="AB39" s="787">
        <f t="shared" ca="1" si="35"/>
        <v>1</v>
      </c>
      <c r="AC39" s="787" t="str">
        <f t="shared" ca="1" si="36"/>
        <v>Thiên Tướng(H)</v>
      </c>
      <c r="AE39" s="787">
        <f t="shared" ca="1" si="37"/>
        <v>0</v>
      </c>
      <c r="AF39" s="787" t="b">
        <f t="shared" ca="1" si="38"/>
        <v>1</v>
      </c>
      <c r="AG39" s="787">
        <f t="shared" ca="1" si="39"/>
        <v>0</v>
      </c>
      <c r="AI39" s="773">
        <v>20</v>
      </c>
      <c r="AJ39" s="806" t="s">
        <v>7877</v>
      </c>
      <c r="AK39" s="855" t="s">
        <v>7882</v>
      </c>
      <c r="AL39" s="855" t="s">
        <v>7883</v>
      </c>
      <c r="AM39" s="855" t="s">
        <v>7871</v>
      </c>
      <c r="AN39" s="787" t="s">
        <v>7886</v>
      </c>
      <c r="AP39" s="773">
        <v>38</v>
      </c>
      <c r="AQ39" s="773" t="s">
        <v>7901</v>
      </c>
      <c r="AR39" s="773" t="s">
        <v>7872</v>
      </c>
      <c r="AS39" s="773" t="s">
        <v>7871</v>
      </c>
      <c r="AT39" s="773">
        <v>38</v>
      </c>
      <c r="AU39" s="805" t="s">
        <v>6625</v>
      </c>
      <c r="BX39" s="773">
        <v>1937</v>
      </c>
      <c r="BY39" s="773" t="s">
        <v>7842</v>
      </c>
    </row>
    <row r="40" spans="1:77" s="920" customFormat="1" ht="9" customHeight="1">
      <c r="A40" s="860" t="str">
        <f t="shared" ca="1" si="23"/>
        <v xml:space="preserve"> </v>
      </c>
      <c r="B40" s="850" t="str">
        <f ca="1">AI205</f>
        <v xml:space="preserve"> </v>
      </c>
      <c r="C40" s="857" t="str">
        <f t="shared" ca="1" si="24"/>
        <v xml:space="preserve"> </v>
      </c>
      <c r="D40" s="859" t="str">
        <f t="shared" ca="1" si="25"/>
        <v xml:space="preserve"> </v>
      </c>
      <c r="E40" s="860"/>
      <c r="F40" s="860" t="str">
        <f t="shared" ca="1" si="26"/>
        <v xml:space="preserve"> </v>
      </c>
      <c r="G40" s="859" t="str">
        <f t="shared" ca="1" si="27"/>
        <v xml:space="preserve"> </v>
      </c>
      <c r="H40" s="860"/>
      <c r="I40" s="862" t="str">
        <f t="shared" ca="1" si="28"/>
        <v xml:space="preserve"> </v>
      </c>
      <c r="J40" s="859" t="str">
        <f t="shared" ca="1" si="29"/>
        <v xml:space="preserve"> </v>
      </c>
      <c r="K40" s="860" t="str">
        <f ca="1">BS205</f>
        <v xml:space="preserve"> </v>
      </c>
      <c r="L40" s="862" t="str">
        <f t="shared" ca="1" si="30"/>
        <v xml:space="preserve"> </v>
      </c>
      <c r="M40" s="787"/>
      <c r="N40" s="787">
        <f ca="1">VLOOKUP(N39,$N$49:$O$60,2,0)</f>
        <v>7</v>
      </c>
      <c r="O40" s="807"/>
      <c r="P40" s="806">
        <v>5</v>
      </c>
      <c r="Q40" s="773" t="s">
        <v>8331</v>
      </c>
      <c r="R40" s="773">
        <f t="shared" ca="1" si="40"/>
        <v>7</v>
      </c>
      <c r="S40" s="773" t="str">
        <f t="shared" ca="1" si="31"/>
        <v>Di</v>
      </c>
      <c r="T40" s="773" t="str">
        <f t="shared" ca="1" si="32"/>
        <v xml:space="preserve"> </v>
      </c>
      <c r="U40" s="806">
        <v>5</v>
      </c>
      <c r="V40" s="806" t="s">
        <v>7872</v>
      </c>
      <c r="W40" s="806">
        <v>5</v>
      </c>
      <c r="X40" s="787"/>
      <c r="Y40" s="920" t="str">
        <f t="shared" ca="1" si="33"/>
        <v>Thiên Cơ(M)</v>
      </c>
      <c r="AA40" s="920" t="b">
        <f t="shared" ca="1" si="34"/>
        <v>1</v>
      </c>
      <c r="AB40" s="920">
        <f t="shared" ca="1" si="35"/>
        <v>1</v>
      </c>
      <c r="AC40" s="920" t="str">
        <f t="shared" ca="1" si="36"/>
        <v>Thiên Lương(M)</v>
      </c>
      <c r="AE40" s="920">
        <f t="shared" ca="1" si="37"/>
        <v>1</v>
      </c>
      <c r="AF40" s="920" t="b">
        <f t="shared" ca="1" si="38"/>
        <v>1</v>
      </c>
      <c r="AG40" s="920">
        <f t="shared" ca="1" si="39"/>
        <v>1</v>
      </c>
      <c r="AI40" s="921">
        <v>21</v>
      </c>
      <c r="AJ40" s="922" t="s">
        <v>7877</v>
      </c>
      <c r="AK40" s="923" t="s">
        <v>7887</v>
      </c>
      <c r="AL40" s="923" t="s">
        <v>7872</v>
      </c>
      <c r="AM40" s="923" t="s">
        <v>7880</v>
      </c>
      <c r="AN40" s="920" t="s">
        <v>7874</v>
      </c>
      <c r="AP40" s="921">
        <v>39</v>
      </c>
      <c r="AQ40" s="921" t="s">
        <v>7903</v>
      </c>
      <c r="AR40" s="921" t="s">
        <v>7872</v>
      </c>
      <c r="AS40" s="921" t="s">
        <v>7871</v>
      </c>
      <c r="AT40" s="921">
        <v>39</v>
      </c>
      <c r="AU40" s="924" t="s">
        <v>6666</v>
      </c>
      <c r="BX40" s="773">
        <v>1938</v>
      </c>
      <c r="BY40" s="773" t="s">
        <v>7846</v>
      </c>
    </row>
    <row r="41" spans="1:77" s="787" customFormat="1" ht="12.95" customHeight="1">
      <c r="A41" s="925" t="s">
        <v>8332</v>
      </c>
      <c r="B41" s="926" t="s">
        <v>6548</v>
      </c>
      <c r="C41" s="927" t="s">
        <v>7875</v>
      </c>
      <c r="D41" s="927" t="s">
        <v>7874</v>
      </c>
      <c r="E41" s="926" t="s">
        <v>7873</v>
      </c>
      <c r="F41" s="926" t="s">
        <v>7872</v>
      </c>
      <c r="G41" s="926" t="s">
        <v>7871</v>
      </c>
      <c r="H41" s="926" t="s">
        <v>7883</v>
      </c>
      <c r="I41" s="926" t="s">
        <v>7882</v>
      </c>
      <c r="J41" s="927" t="s">
        <v>7887</v>
      </c>
      <c r="K41" s="926" t="s">
        <v>7886</v>
      </c>
      <c r="L41" s="926" t="s">
        <v>7880</v>
      </c>
      <c r="M41" s="928" t="s">
        <v>7877</v>
      </c>
      <c r="N41" s="787">
        <f ca="1">VLOOKUP(N38,$N$49:$O$60,2,0)</f>
        <v>11</v>
      </c>
      <c r="O41" s="807"/>
      <c r="P41" s="806">
        <v>6</v>
      </c>
      <c r="Q41" s="773" t="s">
        <v>8333</v>
      </c>
      <c r="R41" s="773">
        <f t="shared" ca="1" si="40"/>
        <v>8</v>
      </c>
      <c r="S41" s="773" t="str">
        <f t="shared" ca="1" si="31"/>
        <v>Tật ách</v>
      </c>
      <c r="T41" s="773" t="str">
        <f t="shared" ca="1" si="32"/>
        <v xml:space="preserve"> </v>
      </c>
      <c r="U41" s="806">
        <v>6</v>
      </c>
      <c r="V41" s="806" t="s">
        <v>7871</v>
      </c>
      <c r="W41" s="806">
        <v>6</v>
      </c>
      <c r="Y41" s="787" t="str">
        <f t="shared" ca="1" si="33"/>
        <v>Tử Vi (M)</v>
      </c>
      <c r="AA41" s="787" t="b">
        <f t="shared" ca="1" si="34"/>
        <v>1</v>
      </c>
      <c r="AB41" s="787">
        <f t="shared" ca="1" si="35"/>
        <v>1</v>
      </c>
      <c r="AC41" s="787" t="str">
        <f t="shared" ca="1" si="36"/>
        <v>Thất Sát(V)</v>
      </c>
      <c r="AE41" s="787">
        <f t="shared" ca="1" si="37"/>
        <v>1</v>
      </c>
      <c r="AF41" s="787" t="b">
        <f t="shared" ca="1" si="38"/>
        <v>1</v>
      </c>
      <c r="AG41" s="787">
        <f t="shared" ca="1" si="39"/>
        <v>1</v>
      </c>
      <c r="AI41" s="912">
        <v>22</v>
      </c>
      <c r="AJ41" s="913" t="s">
        <v>6548</v>
      </c>
      <c r="AK41" s="914" t="s">
        <v>7877</v>
      </c>
      <c r="AL41" s="914" t="s">
        <v>7886</v>
      </c>
      <c r="AM41" s="914" t="s">
        <v>7873</v>
      </c>
      <c r="AN41" s="915" t="s">
        <v>7882</v>
      </c>
      <c r="AP41" s="773">
        <v>40</v>
      </c>
      <c r="AQ41" s="773" t="s">
        <v>7904</v>
      </c>
      <c r="AR41" s="773" t="s">
        <v>7872</v>
      </c>
      <c r="AS41" s="773" t="s">
        <v>7871</v>
      </c>
      <c r="AT41" s="773">
        <v>40</v>
      </c>
      <c r="AU41" s="805" t="s">
        <v>6666</v>
      </c>
      <c r="BX41" s="773">
        <v>1939</v>
      </c>
      <c r="BY41" s="773" t="s">
        <v>7848</v>
      </c>
    </row>
    <row r="42" spans="1:77" s="787" customFormat="1" ht="12.95" customHeight="1">
      <c r="A42" s="810">
        <v>1</v>
      </c>
      <c r="B42" s="787" t="s">
        <v>8334</v>
      </c>
      <c r="C42" s="787" t="s">
        <v>8335</v>
      </c>
      <c r="D42" s="787" t="s">
        <v>8336</v>
      </c>
      <c r="E42" s="787" t="s">
        <v>8337</v>
      </c>
      <c r="F42" s="787" t="s">
        <v>8338</v>
      </c>
      <c r="G42" s="787" t="s">
        <v>8339</v>
      </c>
      <c r="H42" s="787" t="s">
        <v>8340</v>
      </c>
      <c r="I42" s="787" t="s">
        <v>8341</v>
      </c>
      <c r="J42" s="787" t="s">
        <v>8342</v>
      </c>
      <c r="K42" s="787" t="s">
        <v>8343</v>
      </c>
      <c r="L42" s="787" t="s">
        <v>8344</v>
      </c>
      <c r="M42" s="787" t="s">
        <v>8345</v>
      </c>
      <c r="N42" s="787" t="str">
        <f ca="1">VLOOKUP(F17,A54:M64,N41+1,0)</f>
        <v>kim</v>
      </c>
      <c r="O42" s="807" t="s">
        <v>8346</v>
      </c>
      <c r="P42" s="806">
        <v>7</v>
      </c>
      <c r="Q42" s="787" t="s">
        <v>3030</v>
      </c>
      <c r="R42" s="773">
        <f t="shared" ca="1" si="40"/>
        <v>9</v>
      </c>
      <c r="S42" s="773" t="str">
        <f t="shared" ca="1" si="31"/>
        <v>Tài bạch</v>
      </c>
      <c r="T42" s="773" t="str">
        <f t="shared" ca="1" si="32"/>
        <v>Thân</v>
      </c>
      <c r="U42" s="806">
        <v>7</v>
      </c>
      <c r="V42" s="806" t="s">
        <v>7883</v>
      </c>
      <c r="W42" s="806">
        <v>7</v>
      </c>
      <c r="Y42" s="787" t="e">
        <f t="shared" ca="1" si="33"/>
        <v>#N/A</v>
      </c>
      <c r="AA42" s="787" t="b">
        <f t="shared" ca="1" si="34"/>
        <v>0</v>
      </c>
      <c r="AB42" s="787">
        <f t="shared" ca="1" si="35"/>
        <v>0</v>
      </c>
      <c r="AC42" s="787" t="e">
        <f t="shared" ca="1" si="36"/>
        <v>#N/A</v>
      </c>
      <c r="AE42" s="787" t="e">
        <f t="shared" ca="1" si="37"/>
        <v>#N/A</v>
      </c>
      <c r="AF42" s="787" t="b">
        <f t="shared" ca="1" si="38"/>
        <v>0</v>
      </c>
      <c r="AG42" s="787" t="str">
        <f t="shared" ca="1" si="39"/>
        <v xml:space="preserve"> </v>
      </c>
      <c r="AI42" s="773">
        <v>23</v>
      </c>
      <c r="AJ42" s="806" t="s">
        <v>6548</v>
      </c>
      <c r="AK42" s="855" t="s">
        <v>7887</v>
      </c>
      <c r="AL42" s="855" t="s">
        <v>7883</v>
      </c>
      <c r="AM42" s="855" t="s">
        <v>7887</v>
      </c>
      <c r="AN42" s="787" t="s">
        <v>7872</v>
      </c>
      <c r="AP42" s="773">
        <v>41</v>
      </c>
      <c r="AQ42" s="773" t="s">
        <v>7905</v>
      </c>
      <c r="AR42" s="773" t="s">
        <v>7874</v>
      </c>
      <c r="AS42" s="773" t="s">
        <v>7873</v>
      </c>
      <c r="AT42" s="773">
        <v>41</v>
      </c>
      <c r="AU42" s="805" t="s">
        <v>6622</v>
      </c>
      <c r="BX42" s="773">
        <v>1940</v>
      </c>
      <c r="BY42" s="773" t="s">
        <v>7850</v>
      </c>
    </row>
    <row r="43" spans="1:77" s="787" customFormat="1" ht="12.95" customHeight="1">
      <c r="A43" s="810">
        <v>2</v>
      </c>
      <c r="B43" s="787" t="s">
        <v>8347</v>
      </c>
      <c r="C43" s="787" t="s">
        <v>8348</v>
      </c>
      <c r="D43" s="787" t="s">
        <v>8349</v>
      </c>
      <c r="E43" s="787" t="s">
        <v>8350</v>
      </c>
      <c r="F43" s="787" t="s">
        <v>8351</v>
      </c>
      <c r="G43" s="787" t="s">
        <v>8352</v>
      </c>
      <c r="H43" s="787" t="s">
        <v>8353</v>
      </c>
      <c r="I43" s="787" t="s">
        <v>8354</v>
      </c>
      <c r="J43" s="787" t="s">
        <v>8355</v>
      </c>
      <c r="K43" s="787" t="s">
        <v>8356</v>
      </c>
      <c r="L43" s="787" t="s">
        <v>8357</v>
      </c>
      <c r="M43" s="787" t="s">
        <v>8358</v>
      </c>
      <c r="P43" s="806">
        <v>8</v>
      </c>
      <c r="Q43" s="787" t="s">
        <v>8359</v>
      </c>
      <c r="R43" s="773">
        <f t="shared" ca="1" si="40"/>
        <v>10</v>
      </c>
      <c r="S43" s="773" t="str">
        <f t="shared" ca="1" si="31"/>
        <v>Tử tức</v>
      </c>
      <c r="T43" s="773" t="str">
        <f t="shared" ca="1" si="32"/>
        <v xml:space="preserve"> </v>
      </c>
      <c r="U43" s="806">
        <v>8</v>
      </c>
      <c r="V43" s="806" t="s">
        <v>7882</v>
      </c>
      <c r="W43" s="806">
        <v>8</v>
      </c>
      <c r="Y43" s="787" t="e">
        <f t="shared" ca="1" si="33"/>
        <v>#N/A</v>
      </c>
      <c r="AA43" s="787" t="b">
        <f t="shared" ca="1" si="34"/>
        <v>0</v>
      </c>
      <c r="AB43" s="787">
        <f t="shared" ca="1" si="35"/>
        <v>0</v>
      </c>
      <c r="AC43" s="787" t="e">
        <f t="shared" ca="1" si="36"/>
        <v>#N/A</v>
      </c>
      <c r="AE43" s="787" t="e">
        <f t="shared" ca="1" si="37"/>
        <v>#N/A</v>
      </c>
      <c r="AF43" s="787" t="b">
        <f t="shared" ca="1" si="38"/>
        <v>0</v>
      </c>
      <c r="AG43" s="787" t="str">
        <f t="shared" ca="1" si="39"/>
        <v xml:space="preserve"> </v>
      </c>
      <c r="AI43" s="773">
        <v>24</v>
      </c>
      <c r="AJ43" s="806" t="s">
        <v>7875</v>
      </c>
      <c r="AK43" s="855" t="s">
        <v>7886</v>
      </c>
      <c r="AL43" s="855" t="s">
        <v>7882</v>
      </c>
      <c r="AM43" s="855" t="s">
        <v>7871</v>
      </c>
      <c r="AN43" s="787" t="s">
        <v>7871</v>
      </c>
      <c r="AP43" s="773">
        <v>42</v>
      </c>
      <c r="AQ43" s="773" t="s">
        <v>7906</v>
      </c>
      <c r="AR43" s="773" t="s">
        <v>7874</v>
      </c>
      <c r="AS43" s="773" t="s">
        <v>7873</v>
      </c>
      <c r="AT43" s="773">
        <v>42</v>
      </c>
      <c r="AU43" s="805" t="s">
        <v>6622</v>
      </c>
      <c r="BX43" s="773">
        <v>1941</v>
      </c>
      <c r="BY43" s="773" t="s">
        <v>7852</v>
      </c>
    </row>
    <row r="44" spans="1:77" s="787" customFormat="1" ht="12.95" customHeight="1">
      <c r="A44" s="810">
        <v>3</v>
      </c>
      <c r="B44" s="787" t="s">
        <v>8360</v>
      </c>
      <c r="C44" s="787" t="s">
        <v>8361</v>
      </c>
      <c r="D44" s="787" t="s">
        <v>8362</v>
      </c>
      <c r="E44" s="787" t="s">
        <v>8363</v>
      </c>
      <c r="F44" s="787" t="s">
        <v>8364</v>
      </c>
      <c r="G44" s="787" t="s">
        <v>8365</v>
      </c>
      <c r="H44" s="787" t="s">
        <v>8366</v>
      </c>
      <c r="I44" s="787" t="s">
        <v>8367</v>
      </c>
      <c r="J44" s="787" t="s">
        <v>8368</v>
      </c>
      <c r="K44" s="787" t="s">
        <v>8369</v>
      </c>
      <c r="L44" s="787" t="s">
        <v>8370</v>
      </c>
      <c r="M44" s="787" t="s">
        <v>8371</v>
      </c>
      <c r="N44" s="912" t="str">
        <f ca="1">VLOOKUP($Q$25,$AQ$2:AS61,3,0)</f>
        <v>dậu</v>
      </c>
      <c r="O44" s="787" t="s">
        <v>8372</v>
      </c>
      <c r="P44" s="806">
        <v>9</v>
      </c>
      <c r="Q44" s="787" t="s">
        <v>8373</v>
      </c>
      <c r="R44" s="773">
        <f t="shared" ca="1" si="40"/>
        <v>11</v>
      </c>
      <c r="S44" s="773" t="str">
        <f t="shared" ca="1" si="31"/>
        <v>Phu quân</v>
      </c>
      <c r="T44" s="773" t="str">
        <f t="shared" ca="1" si="32"/>
        <v xml:space="preserve"> </v>
      </c>
      <c r="U44" s="806">
        <v>9</v>
      </c>
      <c r="V44" s="806" t="s">
        <v>7887</v>
      </c>
      <c r="W44" s="806">
        <v>9</v>
      </c>
      <c r="Y44" s="787" t="e">
        <f t="shared" ca="1" si="33"/>
        <v>#N/A</v>
      </c>
      <c r="AA44" s="787" t="b">
        <f t="shared" ca="1" si="34"/>
        <v>0</v>
      </c>
      <c r="AB44" s="787">
        <f t="shared" ca="1" si="35"/>
        <v>0</v>
      </c>
      <c r="AC44" s="787" t="e">
        <f t="shared" ca="1" si="36"/>
        <v>#N/A</v>
      </c>
      <c r="AE44" s="787" t="e">
        <f t="shared" ca="1" si="37"/>
        <v>#N/A</v>
      </c>
      <c r="AF44" s="787" t="b">
        <f t="shared" ca="1" si="38"/>
        <v>0</v>
      </c>
      <c r="AG44" s="787" t="str">
        <f t="shared" ca="1" si="39"/>
        <v xml:space="preserve"> </v>
      </c>
      <c r="AI44" s="773">
        <v>25</v>
      </c>
      <c r="AJ44" s="806" t="s">
        <v>7875</v>
      </c>
      <c r="AK44" s="855" t="s">
        <v>6548</v>
      </c>
      <c r="AL44" s="855" t="s">
        <v>7871</v>
      </c>
      <c r="AM44" s="855" t="s">
        <v>7883</v>
      </c>
      <c r="AN44" s="787" t="s">
        <v>7875</v>
      </c>
      <c r="AP44" s="773">
        <v>43</v>
      </c>
      <c r="AQ44" s="773" t="s">
        <v>7907</v>
      </c>
      <c r="AR44" s="773" t="s">
        <v>7874</v>
      </c>
      <c r="AS44" s="773" t="s">
        <v>7873</v>
      </c>
      <c r="AT44" s="773">
        <v>43</v>
      </c>
      <c r="AU44" s="805" t="s">
        <v>6675</v>
      </c>
      <c r="BX44" s="773">
        <v>1942</v>
      </c>
      <c r="BY44" s="773" t="s">
        <v>7855</v>
      </c>
    </row>
    <row r="45" spans="1:77" s="787" customFormat="1" ht="12.95" customHeight="1">
      <c r="A45" s="810">
        <v>4</v>
      </c>
      <c r="B45" s="787" t="s">
        <v>8374</v>
      </c>
      <c r="C45" s="787" t="s">
        <v>8375</v>
      </c>
      <c r="D45" s="787" t="s">
        <v>8376</v>
      </c>
      <c r="E45" s="787" t="s">
        <v>8377</v>
      </c>
      <c r="F45" s="787" t="s">
        <v>8378</v>
      </c>
      <c r="G45" s="787" t="s">
        <v>8379</v>
      </c>
      <c r="H45" s="787" t="s">
        <v>8380</v>
      </c>
      <c r="I45" s="787" t="s">
        <v>8381</v>
      </c>
      <c r="J45" s="787" t="s">
        <v>8382</v>
      </c>
      <c r="K45" s="787" t="s">
        <v>8383</v>
      </c>
      <c r="L45" s="787" t="s">
        <v>8384</v>
      </c>
      <c r="M45" s="787" t="s">
        <v>8385</v>
      </c>
      <c r="N45" s="912" t="str">
        <f ca="1">VLOOKUP($Q$25,$AQ$2:AS62,2,0)</f>
        <v>thân</v>
      </c>
      <c r="O45" s="787" t="s">
        <v>8386</v>
      </c>
      <c r="P45" s="806">
        <v>10</v>
      </c>
      <c r="Q45" s="787" t="s">
        <v>8387</v>
      </c>
      <c r="R45" s="773">
        <f t="shared" ca="1" si="40"/>
        <v>12</v>
      </c>
      <c r="S45" s="773" t="str">
        <f t="shared" ca="1" si="31"/>
        <v>Huynh đệ</v>
      </c>
      <c r="T45" s="773" t="str">
        <f t="shared" ca="1" si="32"/>
        <v xml:space="preserve"> </v>
      </c>
      <c r="U45" s="806">
        <v>10</v>
      </c>
      <c r="V45" s="806" t="s">
        <v>7886</v>
      </c>
      <c r="W45" s="806">
        <v>10</v>
      </c>
      <c r="Y45" s="787" t="str">
        <f t="shared" ca="1" si="33"/>
        <v>Phá Quân(H)</v>
      </c>
      <c r="AA45" s="787" t="b">
        <f t="shared" ca="1" si="34"/>
        <v>1</v>
      </c>
      <c r="AB45" s="787">
        <f t="shared" ca="1" si="35"/>
        <v>1</v>
      </c>
      <c r="AC45" s="787" t="str">
        <f t="shared" ca="1" si="36"/>
        <v>Liêm Trinh(H)</v>
      </c>
      <c r="AE45" s="787">
        <f t="shared" ca="1" si="37"/>
        <v>1</v>
      </c>
      <c r="AF45" s="787" t="b">
        <f t="shared" ca="1" si="38"/>
        <v>1</v>
      </c>
      <c r="AG45" s="787">
        <f t="shared" ca="1" si="39"/>
        <v>1</v>
      </c>
      <c r="AI45" s="773">
        <v>26</v>
      </c>
      <c r="AJ45" s="806" t="s">
        <v>7874</v>
      </c>
      <c r="AK45" s="855" t="s">
        <v>7886</v>
      </c>
      <c r="AL45" s="855" t="s">
        <v>7880</v>
      </c>
      <c r="AM45" s="855" t="s">
        <v>7877</v>
      </c>
      <c r="AN45" s="787" t="s">
        <v>7880</v>
      </c>
      <c r="AP45" s="773">
        <v>44</v>
      </c>
      <c r="AQ45" s="773" t="s">
        <v>7908</v>
      </c>
      <c r="AR45" s="773" t="s">
        <v>7874</v>
      </c>
      <c r="AS45" s="773" t="s">
        <v>7873</v>
      </c>
      <c r="AT45" s="773">
        <v>44</v>
      </c>
      <c r="AU45" s="805" t="s">
        <v>6675</v>
      </c>
      <c r="BX45" s="773">
        <v>1943</v>
      </c>
      <c r="BY45" s="773" t="s">
        <v>7858</v>
      </c>
    </row>
    <row r="46" spans="1:77" s="787" customFormat="1" ht="12.95" customHeight="1">
      <c r="A46" s="810">
        <v>5</v>
      </c>
      <c r="B46" s="787" t="s">
        <v>8388</v>
      </c>
      <c r="C46" s="787" t="s">
        <v>8389</v>
      </c>
      <c r="D46" s="787" t="s">
        <v>8390</v>
      </c>
      <c r="E46" s="787" t="s">
        <v>8391</v>
      </c>
      <c r="F46" s="787" t="s">
        <v>8392</v>
      </c>
      <c r="G46" s="787" t="s">
        <v>8393</v>
      </c>
      <c r="H46" s="787" t="s">
        <v>8394</v>
      </c>
      <c r="I46" s="787" t="s">
        <v>8395</v>
      </c>
      <c r="J46" s="787" t="s">
        <v>8396</v>
      </c>
      <c r="K46" s="787" t="s">
        <v>8397</v>
      </c>
      <c r="L46" s="787" t="s">
        <v>8398</v>
      </c>
      <c r="M46" s="787" t="s">
        <v>8399</v>
      </c>
      <c r="N46" s="787" t="str">
        <f ca="1">R124</f>
        <v>Dần mão</v>
      </c>
      <c r="O46" s="787">
        <f ca="1">FIND(" ",N46)</f>
        <v>4</v>
      </c>
      <c r="P46" s="806">
        <v>11</v>
      </c>
      <c r="Q46" s="787" t="str">
        <f ca="1">IF(O36=1,"Thê thiếp","Phu quân")</f>
        <v>Phu quân</v>
      </c>
      <c r="R46" s="773">
        <f t="shared" ca="1" si="40"/>
        <v>1</v>
      </c>
      <c r="S46" s="773" t="str">
        <f t="shared" ca="1" si="31"/>
        <v>Mệnh</v>
      </c>
      <c r="T46" s="773" t="str">
        <f t="shared" ca="1" si="32"/>
        <v xml:space="preserve"> </v>
      </c>
      <c r="U46" s="806">
        <v>11</v>
      </c>
      <c r="V46" s="806" t="s">
        <v>7880</v>
      </c>
      <c r="W46" s="806">
        <v>11</v>
      </c>
      <c r="Y46" s="787" t="e">
        <f t="shared" ca="1" si="33"/>
        <v>#N/A</v>
      </c>
      <c r="AA46" s="787" t="b">
        <f t="shared" ca="1" si="34"/>
        <v>0</v>
      </c>
      <c r="AB46" s="787">
        <f t="shared" ca="1" si="35"/>
        <v>0</v>
      </c>
      <c r="AC46" s="787" t="e">
        <f t="shared" ca="1" si="36"/>
        <v>#N/A</v>
      </c>
      <c r="AE46" s="787" t="e">
        <f t="shared" ca="1" si="37"/>
        <v>#N/A</v>
      </c>
      <c r="AF46" s="787" t="b">
        <f t="shared" ca="1" si="38"/>
        <v>0</v>
      </c>
      <c r="AG46" s="787" t="str">
        <f t="shared" ca="1" si="39"/>
        <v xml:space="preserve"> </v>
      </c>
      <c r="AI46" s="773">
        <v>27</v>
      </c>
      <c r="AJ46" s="806" t="s">
        <v>7874</v>
      </c>
      <c r="AK46" s="855" t="s">
        <v>7880</v>
      </c>
      <c r="AL46" s="855" t="s">
        <v>7882</v>
      </c>
      <c r="AM46" s="855" t="s">
        <v>7872</v>
      </c>
      <c r="AN46" s="787" t="s">
        <v>7873</v>
      </c>
      <c r="AP46" s="773">
        <v>45</v>
      </c>
      <c r="AQ46" s="773" t="s">
        <v>7909</v>
      </c>
      <c r="AR46" s="773" t="s">
        <v>7874</v>
      </c>
      <c r="AS46" s="773" t="s">
        <v>7873</v>
      </c>
      <c r="AT46" s="773">
        <v>45</v>
      </c>
      <c r="AU46" s="805" t="s">
        <v>6625</v>
      </c>
      <c r="BX46" s="773">
        <v>1944</v>
      </c>
      <c r="BY46" s="773" t="s">
        <v>7862</v>
      </c>
    </row>
    <row r="47" spans="1:77" s="787" customFormat="1" ht="12.95" customHeight="1">
      <c r="A47" s="810">
        <v>6</v>
      </c>
      <c r="B47" s="787" t="s">
        <v>8400</v>
      </c>
      <c r="C47" s="787" t="s">
        <v>8401</v>
      </c>
      <c r="D47" s="787" t="s">
        <v>8402</v>
      </c>
      <c r="E47" s="787" t="s">
        <v>8403</v>
      </c>
      <c r="F47" s="787" t="s">
        <v>8404</v>
      </c>
      <c r="G47" s="787" t="s">
        <v>8405</v>
      </c>
      <c r="H47" s="787" t="s">
        <v>8406</v>
      </c>
      <c r="I47" s="787" t="s">
        <v>8407</v>
      </c>
      <c r="J47" s="787" t="s">
        <v>8408</v>
      </c>
      <c r="K47" s="787" t="s">
        <v>8409</v>
      </c>
      <c r="L47" s="787" t="s">
        <v>8410</v>
      </c>
      <c r="M47" s="787" t="s">
        <v>8411</v>
      </c>
      <c r="N47" s="787" t="s">
        <v>8412</v>
      </c>
      <c r="O47" s="915" t="str">
        <f ca="1">LEFT(N46,O46-1)</f>
        <v>Dần</v>
      </c>
      <c r="P47" s="806">
        <v>12</v>
      </c>
      <c r="Q47" s="787" t="s">
        <v>8413</v>
      </c>
      <c r="R47" s="773">
        <f t="shared" ca="1" si="40"/>
        <v>2</v>
      </c>
      <c r="S47" s="773" t="str">
        <f t="shared" ca="1" si="31"/>
        <v>Phụ mẫu</v>
      </c>
      <c r="T47" s="773" t="str">
        <f t="shared" ca="1" si="32"/>
        <v xml:space="preserve"> </v>
      </c>
      <c r="U47" s="806">
        <v>12</v>
      </c>
      <c r="V47" s="806" t="s">
        <v>7877</v>
      </c>
      <c r="W47" s="806">
        <v>12</v>
      </c>
      <c r="Y47" s="787" t="str">
        <f t="shared" ca="1" si="33"/>
        <v>Thiên Phủ(D)</v>
      </c>
      <c r="AA47" s="787" t="b">
        <f t="shared" ca="1" si="34"/>
        <v>1</v>
      </c>
      <c r="AB47" s="787">
        <f t="shared" ca="1" si="35"/>
        <v>1</v>
      </c>
      <c r="AC47" s="787" t="str">
        <f t="shared" ca="1" si="36"/>
        <v>Thiên Phủ(D)</v>
      </c>
      <c r="AE47" s="787">
        <f t="shared" ca="1" si="37"/>
        <v>0</v>
      </c>
      <c r="AF47" s="787" t="b">
        <f t="shared" ca="1" si="38"/>
        <v>1</v>
      </c>
      <c r="AG47" s="787">
        <f t="shared" ca="1" si="39"/>
        <v>0</v>
      </c>
      <c r="AI47" s="773">
        <v>28</v>
      </c>
      <c r="AJ47" s="806" t="s">
        <v>7873</v>
      </c>
      <c r="AK47" s="855" t="s">
        <v>7875</v>
      </c>
      <c r="AL47" s="855" t="s">
        <v>7887</v>
      </c>
      <c r="AM47" s="855" t="s">
        <v>7886</v>
      </c>
      <c r="AN47" s="787" t="s">
        <v>7887</v>
      </c>
      <c r="AP47" s="773">
        <v>46</v>
      </c>
      <c r="AQ47" s="773" t="s">
        <v>7910</v>
      </c>
      <c r="AR47" s="773" t="s">
        <v>7874</v>
      </c>
      <c r="AS47" s="773" t="s">
        <v>7873</v>
      </c>
      <c r="AT47" s="773">
        <v>46</v>
      </c>
      <c r="AU47" s="805" t="s">
        <v>6625</v>
      </c>
      <c r="BX47" s="773">
        <v>1945</v>
      </c>
      <c r="BY47" s="773" t="s">
        <v>7864</v>
      </c>
    </row>
    <row r="48" spans="1:77" s="787" customFormat="1" ht="12.95" customHeight="1">
      <c r="A48" s="810">
        <v>7</v>
      </c>
      <c r="B48" s="787" t="s">
        <v>8340</v>
      </c>
      <c r="C48" s="787" t="s">
        <v>8341</v>
      </c>
      <c r="D48" s="787" t="s">
        <v>8342</v>
      </c>
      <c r="E48" s="787" t="s">
        <v>8343</v>
      </c>
      <c r="F48" s="787" t="s">
        <v>8344</v>
      </c>
      <c r="G48" s="787" t="s">
        <v>8345</v>
      </c>
      <c r="H48" s="787" t="s">
        <v>8334</v>
      </c>
      <c r="I48" s="787" t="s">
        <v>8335</v>
      </c>
      <c r="J48" s="787" t="s">
        <v>8336</v>
      </c>
      <c r="K48" s="787" t="s">
        <v>8337</v>
      </c>
      <c r="L48" s="787" t="s">
        <v>8338</v>
      </c>
      <c r="M48" s="787" t="s">
        <v>8339</v>
      </c>
      <c r="O48" s="915" t="str">
        <f ca="1">RIGHT(N46,LEN(N46)-O46)</f>
        <v>mão</v>
      </c>
      <c r="Q48" s="773"/>
      <c r="R48" s="773"/>
      <c r="S48" s="773"/>
      <c r="T48" s="773" t="s">
        <v>7911</v>
      </c>
      <c r="AI48" s="773">
        <v>29</v>
      </c>
      <c r="AJ48" s="806" t="s">
        <v>7873</v>
      </c>
      <c r="AK48" s="855" t="s">
        <v>7880</v>
      </c>
      <c r="AL48" s="855" t="s">
        <v>7883</v>
      </c>
      <c r="AM48" s="855" t="s">
        <v>7883</v>
      </c>
      <c r="AN48" s="787" t="s">
        <v>7871</v>
      </c>
      <c r="AP48" s="773">
        <v>47</v>
      </c>
      <c r="AQ48" s="773" t="s">
        <v>7913</v>
      </c>
      <c r="AR48" s="773" t="s">
        <v>7874</v>
      </c>
      <c r="AS48" s="773" t="s">
        <v>7873</v>
      </c>
      <c r="AT48" s="773">
        <v>47</v>
      </c>
      <c r="AU48" s="805" t="s">
        <v>6666</v>
      </c>
      <c r="BX48" s="773">
        <v>1946</v>
      </c>
      <c r="BY48" s="773" t="s">
        <v>7866</v>
      </c>
    </row>
    <row r="49" spans="1:77" s="787" customFormat="1" ht="12.95" customHeight="1">
      <c r="A49" s="810">
        <v>8</v>
      </c>
      <c r="B49" s="787" t="s">
        <v>8353</v>
      </c>
      <c r="C49" s="787" t="s">
        <v>8354</v>
      </c>
      <c r="D49" s="787" t="s">
        <v>8355</v>
      </c>
      <c r="E49" s="787" t="s">
        <v>8356</v>
      </c>
      <c r="F49" s="787" t="s">
        <v>8357</v>
      </c>
      <c r="G49" s="787" t="s">
        <v>8358</v>
      </c>
      <c r="H49" s="787" t="s">
        <v>8347</v>
      </c>
      <c r="I49" s="787" t="s">
        <v>8348</v>
      </c>
      <c r="J49" s="787" t="s">
        <v>8349</v>
      </c>
      <c r="K49" s="787" t="s">
        <v>8350</v>
      </c>
      <c r="L49" s="787" t="s">
        <v>8351</v>
      </c>
      <c r="M49" s="787" t="s">
        <v>8352</v>
      </c>
      <c r="N49" s="806" t="s">
        <v>6548</v>
      </c>
      <c r="O49" s="806">
        <v>1</v>
      </c>
      <c r="P49" s="787" t="s">
        <v>6720</v>
      </c>
      <c r="Q49" s="773">
        <v>2</v>
      </c>
      <c r="R49" s="773">
        <f ca="1">VLOOKUP(Q36,S36:U47,3,0)</f>
        <v>11</v>
      </c>
      <c r="S49" s="773">
        <f ca="1">Q55</f>
        <v>4</v>
      </c>
      <c r="T49" s="834">
        <f t="shared" ref="T49:T60" ca="1" si="41">VLOOKUP(P36,$R$49:$S$60,2,0)</f>
        <v>24</v>
      </c>
      <c r="U49" s="787">
        <f ca="1">R49</f>
        <v>11</v>
      </c>
      <c r="V49" s="773">
        <f ca="1">S49</f>
        <v>4</v>
      </c>
      <c r="W49" s="834">
        <f t="shared" ref="W49:W60" ca="1" si="42">VLOOKUP(P36,$U$49:$V$60,2,0)</f>
        <v>104</v>
      </c>
      <c r="X49" s="787" t="s">
        <v>7912</v>
      </c>
      <c r="Y49" s="915">
        <f t="shared" ref="Y49:Y60" ca="1" si="43">IF($N$63=1,T49,W49)</f>
        <v>104</v>
      </c>
      <c r="Z49" s="834" t="str">
        <f t="shared" ref="Z49:Z60" ca="1" si="44">VLOOKUP(R77,$U$36:$V$47,2,0)</f>
        <v>tuất</v>
      </c>
      <c r="AA49" s="787" t="str">
        <f t="shared" ref="AA49:AA60" ca="1" si="45">CONCATENATE(Y49," ",Z49)</f>
        <v>104 tuất</v>
      </c>
      <c r="AI49" s="773">
        <v>30</v>
      </c>
      <c r="AJ49" s="806" t="s">
        <v>7872</v>
      </c>
      <c r="AK49" s="855" t="s">
        <v>7877</v>
      </c>
      <c r="AL49" s="855" t="s">
        <v>7877</v>
      </c>
      <c r="AM49" s="855" t="s">
        <v>7882</v>
      </c>
      <c r="AN49" s="787" t="s">
        <v>7883</v>
      </c>
      <c r="AP49" s="773">
        <v>48</v>
      </c>
      <c r="AQ49" s="773" t="s">
        <v>7914</v>
      </c>
      <c r="AR49" s="773" t="s">
        <v>7874</v>
      </c>
      <c r="AS49" s="773" t="s">
        <v>7873</v>
      </c>
      <c r="AT49" s="773">
        <v>48</v>
      </c>
      <c r="AU49" s="805" t="s">
        <v>6666</v>
      </c>
      <c r="BX49" s="773">
        <v>1947</v>
      </c>
      <c r="BY49" s="773" t="s">
        <v>7867</v>
      </c>
    </row>
    <row r="50" spans="1:77" s="787" customFormat="1" ht="12.95" customHeight="1">
      <c r="A50" s="810">
        <v>9</v>
      </c>
      <c r="B50" s="787" t="s">
        <v>8366</v>
      </c>
      <c r="C50" s="787" t="s">
        <v>8367</v>
      </c>
      <c r="D50" s="787" t="s">
        <v>8368</v>
      </c>
      <c r="E50" s="787" t="s">
        <v>8369</v>
      </c>
      <c r="F50" s="787" t="s">
        <v>8370</v>
      </c>
      <c r="G50" s="787" t="s">
        <v>8371</v>
      </c>
      <c r="H50" s="787" t="s">
        <v>8360</v>
      </c>
      <c r="I50" s="787" t="s">
        <v>8361</v>
      </c>
      <c r="J50" s="787" t="s">
        <v>8362</v>
      </c>
      <c r="K50" s="787" t="s">
        <v>8363</v>
      </c>
      <c r="L50" s="787" t="s">
        <v>8364</v>
      </c>
      <c r="M50" s="787" t="s">
        <v>8365</v>
      </c>
      <c r="N50" s="806" t="s">
        <v>7875</v>
      </c>
      <c r="O50" s="806">
        <v>2</v>
      </c>
      <c r="P50" s="787" t="s">
        <v>6719</v>
      </c>
      <c r="Q50" s="773">
        <v>3</v>
      </c>
      <c r="R50" s="773">
        <f t="shared" ref="R50:R60" ca="1" si="46">IF(R49&lt;12,R49+1,1)</f>
        <v>12</v>
      </c>
      <c r="S50" s="773">
        <f t="shared" ref="S50:S60" ca="1" si="47">S49+10</f>
        <v>14</v>
      </c>
      <c r="T50" s="773">
        <f t="shared" ca="1" si="41"/>
        <v>34</v>
      </c>
      <c r="U50" s="773">
        <f t="shared" ref="U50:U60" ca="1" si="48">IF(U49&gt;1,U49-1,12)</f>
        <v>10</v>
      </c>
      <c r="V50" s="773">
        <f t="shared" ref="V50:V60" ca="1" si="49">S50</f>
        <v>14</v>
      </c>
      <c r="W50" s="773">
        <f t="shared" ca="1" si="42"/>
        <v>94</v>
      </c>
      <c r="Y50" s="915">
        <f t="shared" ca="1" si="43"/>
        <v>94</v>
      </c>
      <c r="Z50" s="834" t="str">
        <f t="shared" ca="1" si="44"/>
        <v>dậu</v>
      </c>
      <c r="AA50" s="787" t="str">
        <f t="shared" ca="1" si="45"/>
        <v>94 dậu</v>
      </c>
      <c r="AP50" s="773">
        <v>49</v>
      </c>
      <c r="AQ50" s="773" t="s">
        <v>7915</v>
      </c>
      <c r="AR50" s="773" t="s">
        <v>7874</v>
      </c>
      <c r="AS50" s="773" t="s">
        <v>7873</v>
      </c>
      <c r="AT50" s="773">
        <v>49</v>
      </c>
      <c r="AU50" s="805" t="s">
        <v>6667</v>
      </c>
      <c r="BX50" s="773">
        <v>1948</v>
      </c>
      <c r="BY50" s="773" t="s">
        <v>7869</v>
      </c>
    </row>
    <row r="51" spans="1:77" s="787" customFormat="1" ht="12.95" customHeight="1">
      <c r="A51" s="810">
        <v>10</v>
      </c>
      <c r="B51" s="787" t="s">
        <v>8380</v>
      </c>
      <c r="C51" s="787" t="s">
        <v>8381</v>
      </c>
      <c r="D51" s="787" t="s">
        <v>8382</v>
      </c>
      <c r="E51" s="787" t="s">
        <v>8383</v>
      </c>
      <c r="F51" s="787" t="s">
        <v>8384</v>
      </c>
      <c r="G51" s="787" t="s">
        <v>8385</v>
      </c>
      <c r="H51" s="787" t="s">
        <v>8374</v>
      </c>
      <c r="I51" s="787" t="s">
        <v>8375</v>
      </c>
      <c r="J51" s="787" t="s">
        <v>8376</v>
      </c>
      <c r="K51" s="787" t="s">
        <v>8377</v>
      </c>
      <c r="L51" s="787" t="s">
        <v>8378</v>
      </c>
      <c r="M51" s="787" t="s">
        <v>8379</v>
      </c>
      <c r="N51" s="806" t="s">
        <v>7874</v>
      </c>
      <c r="O51" s="806">
        <v>3</v>
      </c>
      <c r="P51" s="787" t="s">
        <v>6718</v>
      </c>
      <c r="Q51" s="773">
        <v>4</v>
      </c>
      <c r="R51" s="773">
        <f t="shared" ca="1" si="46"/>
        <v>1</v>
      </c>
      <c r="S51" s="773">
        <f t="shared" ca="1" si="47"/>
        <v>24</v>
      </c>
      <c r="T51" s="773">
        <f t="shared" ca="1" si="41"/>
        <v>44</v>
      </c>
      <c r="U51" s="773">
        <f t="shared" ca="1" si="48"/>
        <v>9</v>
      </c>
      <c r="V51" s="773">
        <f t="shared" ca="1" si="49"/>
        <v>24</v>
      </c>
      <c r="W51" s="773">
        <f t="shared" ca="1" si="42"/>
        <v>84</v>
      </c>
      <c r="Y51" s="915">
        <f t="shared" ca="1" si="43"/>
        <v>84</v>
      </c>
      <c r="Z51" s="834" t="str">
        <f t="shared" ca="1" si="44"/>
        <v>thân</v>
      </c>
      <c r="AA51" s="787" t="str">
        <f t="shared" ca="1" si="45"/>
        <v>84 thân</v>
      </c>
      <c r="AP51" s="773">
        <v>50</v>
      </c>
      <c r="AQ51" s="773" t="s">
        <v>7916</v>
      </c>
      <c r="AR51" s="773" t="s">
        <v>7874</v>
      </c>
      <c r="AS51" s="773" t="s">
        <v>7873</v>
      </c>
      <c r="AT51" s="773">
        <v>50</v>
      </c>
      <c r="AU51" s="805" t="s">
        <v>6667</v>
      </c>
      <c r="BX51" s="773">
        <v>1949</v>
      </c>
      <c r="BY51" s="773" t="s">
        <v>7878</v>
      </c>
    </row>
    <row r="52" spans="1:77" s="787" customFormat="1" ht="12.95" customHeight="1">
      <c r="A52" s="810">
        <v>11</v>
      </c>
      <c r="B52" s="787" t="s">
        <v>8394</v>
      </c>
      <c r="C52" s="787" t="s">
        <v>8395</v>
      </c>
      <c r="D52" s="787" t="s">
        <v>8396</v>
      </c>
      <c r="E52" s="787" t="s">
        <v>8397</v>
      </c>
      <c r="F52" s="787" t="s">
        <v>8398</v>
      </c>
      <c r="G52" s="787" t="s">
        <v>8399</v>
      </c>
      <c r="H52" s="787" t="s">
        <v>8388</v>
      </c>
      <c r="I52" s="787" t="s">
        <v>8389</v>
      </c>
      <c r="J52" s="787" t="s">
        <v>8390</v>
      </c>
      <c r="K52" s="787" t="s">
        <v>8391</v>
      </c>
      <c r="L52" s="787" t="s">
        <v>8392</v>
      </c>
      <c r="M52" s="787" t="s">
        <v>8393</v>
      </c>
      <c r="N52" s="806" t="s">
        <v>7873</v>
      </c>
      <c r="O52" s="806">
        <v>4</v>
      </c>
      <c r="P52" s="787" t="s">
        <v>6717</v>
      </c>
      <c r="Q52" s="773">
        <v>5</v>
      </c>
      <c r="R52" s="773">
        <f t="shared" ca="1" si="46"/>
        <v>2</v>
      </c>
      <c r="S52" s="773">
        <f t="shared" ca="1" si="47"/>
        <v>34</v>
      </c>
      <c r="T52" s="773">
        <f t="shared" ca="1" si="41"/>
        <v>54</v>
      </c>
      <c r="U52" s="773">
        <f t="shared" ca="1" si="48"/>
        <v>8</v>
      </c>
      <c r="V52" s="773">
        <f t="shared" ca="1" si="49"/>
        <v>34</v>
      </c>
      <c r="W52" s="773">
        <f t="shared" ca="1" si="42"/>
        <v>74</v>
      </c>
      <c r="Y52" s="915">
        <f t="shared" ca="1" si="43"/>
        <v>74</v>
      </c>
      <c r="Z52" s="834" t="str">
        <f t="shared" ca="1" si="44"/>
        <v>mùi</v>
      </c>
      <c r="AA52" s="787" t="str">
        <f t="shared" ca="1" si="45"/>
        <v>74 mùi</v>
      </c>
      <c r="AP52" s="773">
        <v>51</v>
      </c>
      <c r="AQ52" s="773" t="s">
        <v>7917</v>
      </c>
      <c r="AR52" s="806" t="s">
        <v>6548</v>
      </c>
      <c r="AS52" s="773" t="s">
        <v>7875</v>
      </c>
      <c r="AT52" s="773">
        <v>51</v>
      </c>
      <c r="AU52" s="805" t="s">
        <v>6675</v>
      </c>
      <c r="BX52" s="773">
        <v>1950</v>
      </c>
      <c r="BY52" s="773" t="s">
        <v>7881</v>
      </c>
    </row>
    <row r="53" spans="1:77" ht="12.95" customHeight="1">
      <c r="A53" s="810">
        <v>12</v>
      </c>
      <c r="B53" s="787" t="s">
        <v>8406</v>
      </c>
      <c r="C53" s="787" t="s">
        <v>8407</v>
      </c>
      <c r="D53" s="787" t="s">
        <v>8408</v>
      </c>
      <c r="E53" s="787" t="s">
        <v>8409</v>
      </c>
      <c r="F53" s="787" t="s">
        <v>8410</v>
      </c>
      <c r="G53" s="787" t="s">
        <v>8411</v>
      </c>
      <c r="H53" s="787" t="s">
        <v>8400</v>
      </c>
      <c r="I53" s="787" t="s">
        <v>8401</v>
      </c>
      <c r="J53" s="787" t="s">
        <v>8402</v>
      </c>
      <c r="K53" s="787" t="s">
        <v>8403</v>
      </c>
      <c r="L53" s="787" t="s">
        <v>8404</v>
      </c>
      <c r="M53" s="787" t="s">
        <v>8405</v>
      </c>
      <c r="N53" s="806" t="s">
        <v>7872</v>
      </c>
      <c r="O53" s="806">
        <v>5</v>
      </c>
      <c r="P53" s="787" t="s">
        <v>6711</v>
      </c>
      <c r="Q53" s="773">
        <v>6</v>
      </c>
      <c r="R53" s="773">
        <f t="shared" ca="1" si="46"/>
        <v>3</v>
      </c>
      <c r="S53" s="773">
        <f t="shared" ca="1" si="47"/>
        <v>44</v>
      </c>
      <c r="T53" s="773">
        <f t="shared" ca="1" si="41"/>
        <v>64</v>
      </c>
      <c r="U53" s="773">
        <f t="shared" ca="1" si="48"/>
        <v>7</v>
      </c>
      <c r="V53" s="773">
        <f t="shared" ca="1" si="49"/>
        <v>44</v>
      </c>
      <c r="W53" s="773">
        <f t="shared" ca="1" si="42"/>
        <v>64</v>
      </c>
      <c r="Y53" s="915">
        <f t="shared" ca="1" si="43"/>
        <v>64</v>
      </c>
      <c r="Z53" s="834" t="str">
        <f t="shared" ca="1" si="44"/>
        <v>ngọ</v>
      </c>
      <c r="AA53" s="787" t="str">
        <f t="shared" ca="1" si="45"/>
        <v>64 ngọ</v>
      </c>
      <c r="AP53" s="773">
        <v>52</v>
      </c>
      <c r="AQ53" s="773" t="s">
        <v>7918</v>
      </c>
      <c r="AR53" s="806" t="s">
        <v>6548</v>
      </c>
      <c r="AS53" s="773" t="s">
        <v>7875</v>
      </c>
      <c r="AT53" s="773">
        <v>52</v>
      </c>
      <c r="AU53" s="805" t="s">
        <v>6675</v>
      </c>
      <c r="BX53" s="773">
        <v>1951</v>
      </c>
      <c r="BY53" s="773" t="s">
        <v>7884</v>
      </c>
    </row>
    <row r="54" spans="1:77" ht="12.95" customHeight="1">
      <c r="A54" s="807" t="s">
        <v>8414</v>
      </c>
      <c r="B54" s="806" t="s">
        <v>6548</v>
      </c>
      <c r="C54" s="818" t="s">
        <v>7875</v>
      </c>
      <c r="D54" s="818" t="s">
        <v>7874</v>
      </c>
      <c r="E54" s="806" t="s">
        <v>7873</v>
      </c>
      <c r="F54" s="806" t="s">
        <v>7872</v>
      </c>
      <c r="G54" s="806" t="s">
        <v>7871</v>
      </c>
      <c r="H54" s="806" t="s">
        <v>7883</v>
      </c>
      <c r="I54" s="806" t="s">
        <v>7882</v>
      </c>
      <c r="J54" s="818" t="s">
        <v>7887</v>
      </c>
      <c r="K54" s="806" t="s">
        <v>7886</v>
      </c>
      <c r="L54" s="806" t="s">
        <v>7880</v>
      </c>
      <c r="M54" s="806" t="s">
        <v>7877</v>
      </c>
      <c r="N54" s="806" t="s">
        <v>7871</v>
      </c>
      <c r="O54" s="806">
        <v>6</v>
      </c>
      <c r="R54" s="773">
        <f t="shared" ca="1" si="46"/>
        <v>4</v>
      </c>
      <c r="S54" s="773">
        <f t="shared" ca="1" si="47"/>
        <v>54</v>
      </c>
      <c r="T54" s="773">
        <f t="shared" ca="1" si="41"/>
        <v>74</v>
      </c>
      <c r="U54" s="773">
        <f t="shared" ca="1" si="48"/>
        <v>6</v>
      </c>
      <c r="V54" s="773">
        <f t="shared" ca="1" si="49"/>
        <v>54</v>
      </c>
      <c r="W54" s="773">
        <f t="shared" ca="1" si="42"/>
        <v>54</v>
      </c>
      <c r="Y54" s="915">
        <f t="shared" ca="1" si="43"/>
        <v>54</v>
      </c>
      <c r="Z54" s="834" t="str">
        <f t="shared" ca="1" si="44"/>
        <v>tỵ</v>
      </c>
      <c r="AA54" s="787" t="str">
        <f t="shared" ca="1" si="45"/>
        <v>54 tỵ</v>
      </c>
      <c r="AP54" s="773">
        <v>53</v>
      </c>
      <c r="AQ54" s="773" t="s">
        <v>7919</v>
      </c>
      <c r="AR54" s="806" t="s">
        <v>6548</v>
      </c>
      <c r="AS54" s="773" t="s">
        <v>7875</v>
      </c>
      <c r="AT54" s="773">
        <v>53</v>
      </c>
      <c r="AU54" s="805" t="s">
        <v>6625</v>
      </c>
      <c r="BX54" s="773">
        <v>1952</v>
      </c>
      <c r="BY54" s="773" t="s">
        <v>7888</v>
      </c>
    </row>
    <row r="55" spans="1:77" ht="12.95" customHeight="1">
      <c r="A55" s="806" t="s">
        <v>7844</v>
      </c>
      <c r="B55" s="787" t="s">
        <v>6720</v>
      </c>
      <c r="C55" s="787" t="s">
        <v>6720</v>
      </c>
      <c r="D55" s="787" t="s">
        <v>6711</v>
      </c>
      <c r="E55" s="787" t="s">
        <v>6711</v>
      </c>
      <c r="F55" s="787" t="s">
        <v>6719</v>
      </c>
      <c r="G55" s="787" t="s">
        <v>6719</v>
      </c>
      <c r="H55" s="787" t="s">
        <v>6717</v>
      </c>
      <c r="I55" s="787" t="s">
        <v>6717</v>
      </c>
      <c r="J55" s="787" t="s">
        <v>6718</v>
      </c>
      <c r="K55" s="787" t="s">
        <v>6718</v>
      </c>
      <c r="L55" s="787" t="s">
        <v>6711</v>
      </c>
      <c r="M55" s="787" t="s">
        <v>6711</v>
      </c>
      <c r="N55" s="806" t="s">
        <v>7883</v>
      </c>
      <c r="O55" s="806">
        <v>7</v>
      </c>
      <c r="Q55" s="929">
        <f ca="1">VLOOKUP(N42,P49:Q53,2,0)</f>
        <v>4</v>
      </c>
      <c r="R55" s="773">
        <f t="shared" ca="1" si="46"/>
        <v>5</v>
      </c>
      <c r="S55" s="773">
        <f t="shared" ca="1" si="47"/>
        <v>64</v>
      </c>
      <c r="T55" s="773">
        <f t="shared" ca="1" si="41"/>
        <v>84</v>
      </c>
      <c r="U55" s="773">
        <f t="shared" ca="1" si="48"/>
        <v>5</v>
      </c>
      <c r="V55" s="773">
        <f t="shared" ca="1" si="49"/>
        <v>64</v>
      </c>
      <c r="W55" s="773">
        <f t="shared" ca="1" si="42"/>
        <v>44</v>
      </c>
      <c r="Y55" s="915">
        <f t="shared" ca="1" si="43"/>
        <v>44</v>
      </c>
      <c r="Z55" s="834" t="str">
        <f t="shared" ca="1" si="44"/>
        <v>thìn</v>
      </c>
      <c r="AA55" s="787" t="str">
        <f t="shared" ca="1" si="45"/>
        <v>44 thìn</v>
      </c>
      <c r="AP55" s="773">
        <v>54</v>
      </c>
      <c r="AQ55" s="773" t="s">
        <v>7920</v>
      </c>
      <c r="AR55" s="806" t="s">
        <v>6548</v>
      </c>
      <c r="AS55" s="773" t="s">
        <v>7875</v>
      </c>
      <c r="AT55" s="773">
        <v>54</v>
      </c>
      <c r="AU55" s="805" t="s">
        <v>6625</v>
      </c>
      <c r="BX55" s="773">
        <v>1953</v>
      </c>
      <c r="BY55" s="773" t="s">
        <v>7889</v>
      </c>
    </row>
    <row r="56" spans="1:77" ht="12.95" customHeight="1">
      <c r="A56" s="806" t="s">
        <v>7847</v>
      </c>
      <c r="B56" s="787" t="s">
        <v>6711</v>
      </c>
      <c r="C56" s="787" t="s">
        <v>6711</v>
      </c>
      <c r="D56" s="787" t="s">
        <v>6717</v>
      </c>
      <c r="E56" s="787" t="s">
        <v>6717</v>
      </c>
      <c r="F56" s="787" t="s">
        <v>6718</v>
      </c>
      <c r="G56" s="787" t="s">
        <v>6718</v>
      </c>
      <c r="H56" s="787" t="s">
        <v>6719</v>
      </c>
      <c r="I56" s="787" t="s">
        <v>6719</v>
      </c>
      <c r="J56" s="787" t="s">
        <v>6720</v>
      </c>
      <c r="K56" s="787" t="s">
        <v>6720</v>
      </c>
      <c r="L56" s="787" t="s">
        <v>6717</v>
      </c>
      <c r="M56" s="787" t="s">
        <v>6717</v>
      </c>
      <c r="N56" s="806" t="s">
        <v>7882</v>
      </c>
      <c r="O56" s="806">
        <v>8</v>
      </c>
      <c r="R56" s="773">
        <f t="shared" ca="1" si="46"/>
        <v>6</v>
      </c>
      <c r="S56" s="773">
        <f t="shared" ca="1" si="47"/>
        <v>74</v>
      </c>
      <c r="T56" s="773">
        <f t="shared" ca="1" si="41"/>
        <v>94</v>
      </c>
      <c r="U56" s="773">
        <f t="shared" ca="1" si="48"/>
        <v>4</v>
      </c>
      <c r="V56" s="773">
        <f t="shared" ca="1" si="49"/>
        <v>74</v>
      </c>
      <c r="W56" s="773">
        <f t="shared" ca="1" si="42"/>
        <v>34</v>
      </c>
      <c r="Y56" s="915">
        <f t="shared" ca="1" si="43"/>
        <v>34</v>
      </c>
      <c r="Z56" s="834" t="str">
        <f t="shared" ca="1" si="44"/>
        <v>mão</v>
      </c>
      <c r="AA56" s="787" t="str">
        <f t="shared" ca="1" si="45"/>
        <v>34 mão</v>
      </c>
      <c r="AP56" s="773">
        <v>55</v>
      </c>
      <c r="AQ56" s="773" t="s">
        <v>7922</v>
      </c>
      <c r="AR56" s="806" t="s">
        <v>6548</v>
      </c>
      <c r="AS56" s="773" t="s">
        <v>7875</v>
      </c>
      <c r="AT56" s="773">
        <v>55</v>
      </c>
      <c r="AU56" s="805" t="s">
        <v>6622</v>
      </c>
      <c r="BX56" s="773">
        <v>1954</v>
      </c>
      <c r="BY56" s="773" t="s">
        <v>7890</v>
      </c>
    </row>
    <row r="57" spans="1:77" ht="12.95" customHeight="1">
      <c r="A57" s="806" t="s">
        <v>7849</v>
      </c>
      <c r="B57" s="787" t="s">
        <v>6717</v>
      </c>
      <c r="C57" s="787" t="s">
        <v>6717</v>
      </c>
      <c r="D57" s="787" t="s">
        <v>6719</v>
      </c>
      <c r="E57" s="787" t="s">
        <v>6719</v>
      </c>
      <c r="F57" s="787" t="s">
        <v>6720</v>
      </c>
      <c r="G57" s="787" t="s">
        <v>6720</v>
      </c>
      <c r="H57" s="787" t="s">
        <v>6718</v>
      </c>
      <c r="I57" s="787" t="s">
        <v>6718</v>
      </c>
      <c r="J57" s="787" t="s">
        <v>6711</v>
      </c>
      <c r="K57" s="787" t="s">
        <v>6711</v>
      </c>
      <c r="L57" s="787" t="s">
        <v>6719</v>
      </c>
      <c r="M57" s="787" t="s">
        <v>6719</v>
      </c>
      <c r="N57" s="806" t="s">
        <v>7887</v>
      </c>
      <c r="O57" s="806">
        <v>9</v>
      </c>
      <c r="R57" s="773">
        <f t="shared" ca="1" si="46"/>
        <v>7</v>
      </c>
      <c r="S57" s="773">
        <f t="shared" ca="1" si="47"/>
        <v>84</v>
      </c>
      <c r="T57" s="773">
        <f t="shared" ca="1" si="41"/>
        <v>104</v>
      </c>
      <c r="U57" s="773">
        <f t="shared" ca="1" si="48"/>
        <v>3</v>
      </c>
      <c r="V57" s="773">
        <f t="shared" ca="1" si="49"/>
        <v>84</v>
      </c>
      <c r="W57" s="773">
        <f t="shared" ca="1" si="42"/>
        <v>24</v>
      </c>
      <c r="Y57" s="915">
        <f t="shared" ca="1" si="43"/>
        <v>24</v>
      </c>
      <c r="Z57" s="834" t="str">
        <f t="shared" ca="1" si="44"/>
        <v>dần</v>
      </c>
      <c r="AA57" s="787" t="str">
        <f t="shared" ca="1" si="45"/>
        <v>24 dần</v>
      </c>
      <c r="AP57" s="773">
        <v>56</v>
      </c>
      <c r="AQ57" s="773" t="s">
        <v>7923</v>
      </c>
      <c r="AR57" s="806" t="s">
        <v>6548</v>
      </c>
      <c r="AS57" s="773" t="s">
        <v>7875</v>
      </c>
      <c r="AT57" s="773">
        <v>56</v>
      </c>
      <c r="AU57" s="805" t="s">
        <v>6622</v>
      </c>
      <c r="BX57" s="773">
        <v>1955</v>
      </c>
      <c r="BY57" s="773" t="s">
        <v>7891</v>
      </c>
    </row>
    <row r="58" spans="1:77" ht="12.95" customHeight="1">
      <c r="A58" s="806" t="s">
        <v>7851</v>
      </c>
      <c r="B58" s="787" t="s">
        <v>6719</v>
      </c>
      <c r="C58" s="787" t="s">
        <v>6719</v>
      </c>
      <c r="D58" s="787" t="s">
        <v>6718</v>
      </c>
      <c r="E58" s="787" t="s">
        <v>6718</v>
      </c>
      <c r="F58" s="787" t="s">
        <v>6711</v>
      </c>
      <c r="G58" s="787" t="s">
        <v>6711</v>
      </c>
      <c r="H58" s="787" t="s">
        <v>6720</v>
      </c>
      <c r="I58" s="787" t="s">
        <v>6720</v>
      </c>
      <c r="J58" s="787" t="s">
        <v>6717</v>
      </c>
      <c r="K58" s="787" t="s">
        <v>6717</v>
      </c>
      <c r="L58" s="787" t="s">
        <v>6718</v>
      </c>
      <c r="M58" s="787" t="s">
        <v>6718</v>
      </c>
      <c r="N58" s="806" t="s">
        <v>7886</v>
      </c>
      <c r="O58" s="806">
        <v>10</v>
      </c>
      <c r="R58" s="773">
        <f t="shared" ca="1" si="46"/>
        <v>8</v>
      </c>
      <c r="S58" s="773">
        <f t="shared" ca="1" si="47"/>
        <v>94</v>
      </c>
      <c r="T58" s="773">
        <f t="shared" ca="1" si="41"/>
        <v>114</v>
      </c>
      <c r="U58" s="773">
        <f t="shared" ca="1" si="48"/>
        <v>2</v>
      </c>
      <c r="V58" s="773">
        <f t="shared" ca="1" si="49"/>
        <v>94</v>
      </c>
      <c r="W58" s="773">
        <f t="shared" ca="1" si="42"/>
        <v>14</v>
      </c>
      <c r="Y58" s="915">
        <f t="shared" ca="1" si="43"/>
        <v>14</v>
      </c>
      <c r="Z58" s="834" t="str">
        <f t="shared" ca="1" si="44"/>
        <v>sửu</v>
      </c>
      <c r="AA58" s="787" t="str">
        <f t="shared" ca="1" si="45"/>
        <v>14 sửu</v>
      </c>
      <c r="AP58" s="773">
        <v>57</v>
      </c>
      <c r="AQ58" s="773" t="s">
        <v>7924</v>
      </c>
      <c r="AR58" s="806" t="s">
        <v>6548</v>
      </c>
      <c r="AS58" s="773" t="s">
        <v>7875</v>
      </c>
      <c r="AT58" s="773">
        <v>57</v>
      </c>
      <c r="AU58" s="805" t="s">
        <v>6667</v>
      </c>
      <c r="BX58" s="773">
        <v>1956</v>
      </c>
      <c r="BY58" s="773" t="s">
        <v>7892</v>
      </c>
    </row>
    <row r="59" spans="1:77" ht="14.25">
      <c r="A59" s="806" t="s">
        <v>6549</v>
      </c>
      <c r="B59" s="787" t="s">
        <v>6718</v>
      </c>
      <c r="C59" s="787" t="s">
        <v>6718</v>
      </c>
      <c r="D59" s="787" t="s">
        <v>6720</v>
      </c>
      <c r="E59" s="787" t="s">
        <v>6720</v>
      </c>
      <c r="F59" s="787" t="s">
        <v>6717</v>
      </c>
      <c r="G59" s="787" t="s">
        <v>6717</v>
      </c>
      <c r="H59" s="787" t="s">
        <v>6711</v>
      </c>
      <c r="I59" s="787" t="s">
        <v>6711</v>
      </c>
      <c r="J59" s="787" t="s">
        <v>6719</v>
      </c>
      <c r="K59" s="787" t="s">
        <v>6719</v>
      </c>
      <c r="L59" s="787" t="s">
        <v>6720</v>
      </c>
      <c r="M59" s="787" t="s">
        <v>6720</v>
      </c>
      <c r="N59" s="806" t="s">
        <v>7880</v>
      </c>
      <c r="O59" s="806">
        <v>11</v>
      </c>
      <c r="R59" s="773">
        <f t="shared" ca="1" si="46"/>
        <v>9</v>
      </c>
      <c r="S59" s="773">
        <f t="shared" ca="1" si="47"/>
        <v>104</v>
      </c>
      <c r="T59" s="773">
        <f t="shared" ca="1" si="41"/>
        <v>4</v>
      </c>
      <c r="U59" s="773">
        <f t="shared" ca="1" si="48"/>
        <v>1</v>
      </c>
      <c r="V59" s="773">
        <f t="shared" ca="1" si="49"/>
        <v>104</v>
      </c>
      <c r="W59" s="773">
        <f t="shared" ca="1" si="42"/>
        <v>4</v>
      </c>
      <c r="Y59" s="915">
        <f t="shared" ca="1" si="43"/>
        <v>4</v>
      </c>
      <c r="Z59" s="834" t="str">
        <f t="shared" ca="1" si="44"/>
        <v>tý</v>
      </c>
      <c r="AA59" s="787" t="str">
        <f t="shared" ca="1" si="45"/>
        <v>4 tý</v>
      </c>
      <c r="AP59" s="773">
        <v>58</v>
      </c>
      <c r="AQ59" s="773" t="s">
        <v>7925</v>
      </c>
      <c r="AR59" s="806" t="s">
        <v>6548</v>
      </c>
      <c r="AS59" s="773" t="s">
        <v>7875</v>
      </c>
      <c r="AT59" s="773">
        <v>58</v>
      </c>
      <c r="AU59" s="805" t="s">
        <v>6667</v>
      </c>
      <c r="BX59" s="773">
        <v>1957</v>
      </c>
      <c r="BY59" s="773" t="s">
        <v>7893</v>
      </c>
    </row>
    <row r="60" spans="1:77" ht="14.25">
      <c r="A60" s="806" t="s">
        <v>7856</v>
      </c>
      <c r="B60" s="787" t="s">
        <v>6720</v>
      </c>
      <c r="C60" s="787" t="s">
        <v>6720</v>
      </c>
      <c r="D60" s="787" t="s">
        <v>6711</v>
      </c>
      <c r="E60" s="787" t="s">
        <v>6711</v>
      </c>
      <c r="F60" s="787" t="s">
        <v>6719</v>
      </c>
      <c r="G60" s="787" t="s">
        <v>6719</v>
      </c>
      <c r="H60" s="787" t="s">
        <v>6717</v>
      </c>
      <c r="I60" s="787" t="s">
        <v>6717</v>
      </c>
      <c r="J60" s="787" t="s">
        <v>6718</v>
      </c>
      <c r="K60" s="787" t="s">
        <v>6718</v>
      </c>
      <c r="L60" s="787" t="s">
        <v>6711</v>
      </c>
      <c r="M60" s="787" t="s">
        <v>6711</v>
      </c>
      <c r="N60" s="806" t="s">
        <v>7877</v>
      </c>
      <c r="O60" s="806">
        <v>12</v>
      </c>
      <c r="R60" s="773">
        <f t="shared" ca="1" si="46"/>
        <v>10</v>
      </c>
      <c r="S60" s="773">
        <f t="shared" ca="1" si="47"/>
        <v>114</v>
      </c>
      <c r="T60" s="834">
        <f t="shared" ca="1" si="41"/>
        <v>14</v>
      </c>
      <c r="U60" s="773">
        <f t="shared" ca="1" si="48"/>
        <v>12</v>
      </c>
      <c r="V60" s="773">
        <f t="shared" ca="1" si="49"/>
        <v>114</v>
      </c>
      <c r="W60" s="834">
        <f t="shared" ca="1" si="42"/>
        <v>114</v>
      </c>
      <c r="Y60" s="915">
        <f t="shared" ca="1" si="43"/>
        <v>114</v>
      </c>
      <c r="Z60" s="834" t="str">
        <f t="shared" ca="1" si="44"/>
        <v>hợi</v>
      </c>
      <c r="AA60" s="787" t="str">
        <f t="shared" ca="1" si="45"/>
        <v>114 hợi</v>
      </c>
      <c r="AP60" s="773">
        <v>59</v>
      </c>
      <c r="AQ60" s="773" t="s">
        <v>7927</v>
      </c>
      <c r="AR60" s="806" t="s">
        <v>6548</v>
      </c>
      <c r="AS60" s="773" t="s">
        <v>7875</v>
      </c>
      <c r="AT60" s="773">
        <v>59</v>
      </c>
      <c r="AU60" s="805" t="s">
        <v>6675</v>
      </c>
      <c r="BX60" s="773">
        <v>1958</v>
      </c>
      <c r="BY60" s="773" t="s">
        <v>7895</v>
      </c>
    </row>
    <row r="61" spans="1:77" ht="14.25">
      <c r="A61" s="806" t="s">
        <v>7860</v>
      </c>
      <c r="B61" s="787" t="s">
        <v>6711</v>
      </c>
      <c r="C61" s="787" t="s">
        <v>6711</v>
      </c>
      <c r="D61" s="787" t="s">
        <v>6717</v>
      </c>
      <c r="E61" s="787" t="s">
        <v>6717</v>
      </c>
      <c r="F61" s="787" t="s">
        <v>6718</v>
      </c>
      <c r="G61" s="787" t="s">
        <v>6718</v>
      </c>
      <c r="H61" s="787" t="s">
        <v>6719</v>
      </c>
      <c r="I61" s="787" t="s">
        <v>6719</v>
      </c>
      <c r="J61" s="787" t="s">
        <v>6720</v>
      </c>
      <c r="K61" s="787" t="s">
        <v>6720</v>
      </c>
      <c r="L61" s="787" t="s">
        <v>6717</v>
      </c>
      <c r="M61" s="787" t="s">
        <v>6717</v>
      </c>
      <c r="Q61" s="773" t="s">
        <v>8415</v>
      </c>
      <c r="R61" s="773" t="str">
        <f>VLOOKUP(G23,BX1:BY145,2,0)</f>
        <v>tân mão</v>
      </c>
      <c r="AP61" s="773">
        <v>60</v>
      </c>
      <c r="AQ61" s="773" t="s">
        <v>7928</v>
      </c>
      <c r="AR61" s="806" t="s">
        <v>6548</v>
      </c>
      <c r="AS61" s="773" t="s">
        <v>7875</v>
      </c>
      <c r="AT61" s="773">
        <v>60</v>
      </c>
      <c r="AU61" s="805" t="s">
        <v>6675</v>
      </c>
      <c r="BX61" s="773">
        <v>1959</v>
      </c>
      <c r="BY61" s="773" t="s">
        <v>7897</v>
      </c>
    </row>
    <row r="62" spans="1:77">
      <c r="A62" s="806" t="s">
        <v>6562</v>
      </c>
      <c r="B62" s="787" t="s">
        <v>6717</v>
      </c>
      <c r="C62" s="787" t="s">
        <v>6717</v>
      </c>
      <c r="D62" s="787" t="s">
        <v>6719</v>
      </c>
      <c r="E62" s="787" t="s">
        <v>6719</v>
      </c>
      <c r="F62" s="787" t="s">
        <v>6720</v>
      </c>
      <c r="G62" s="787" t="s">
        <v>6720</v>
      </c>
      <c r="H62" s="787" t="s">
        <v>6718</v>
      </c>
      <c r="I62" s="787" t="s">
        <v>6718</v>
      </c>
      <c r="J62" s="787" t="s">
        <v>6711</v>
      </c>
      <c r="K62" s="787" t="s">
        <v>6711</v>
      </c>
      <c r="L62" s="787" t="s">
        <v>6719</v>
      </c>
      <c r="M62" s="787" t="s">
        <v>6719</v>
      </c>
      <c r="N62" s="773">
        <f ca="1">IF(OR(F17="Canh",F17="Giáp",F17="Bính",F17="Mậu",F17="Nhâm"),1,0)</f>
        <v>1</v>
      </c>
      <c r="O62" s="773" t="s">
        <v>7874</v>
      </c>
      <c r="P62" s="787" t="s">
        <v>7872</v>
      </c>
      <c r="Q62" s="787" t="str">
        <f>LEFT(R61,R62-1)</f>
        <v>tân</v>
      </c>
      <c r="R62" s="773">
        <f>FIND(" ",R61)</f>
        <v>4</v>
      </c>
      <c r="V62" s="912">
        <v>1</v>
      </c>
      <c r="Y62" s="912">
        <v>2</v>
      </c>
      <c r="AB62" s="773">
        <v>3</v>
      </c>
      <c r="AE62" s="773">
        <v>4</v>
      </c>
      <c r="AH62" s="773">
        <v>5</v>
      </c>
      <c r="AK62" s="773">
        <v>6</v>
      </c>
      <c r="AN62" s="773">
        <v>7</v>
      </c>
      <c r="AQ62" s="773">
        <v>8</v>
      </c>
      <c r="AT62" s="773">
        <v>9</v>
      </c>
      <c r="AW62" s="773">
        <v>10</v>
      </c>
      <c r="AZ62" s="773">
        <v>11</v>
      </c>
      <c r="BC62" s="773">
        <v>12</v>
      </c>
      <c r="BX62" s="773">
        <v>1960</v>
      </c>
      <c r="BY62" s="773" t="s">
        <v>7899</v>
      </c>
    </row>
    <row r="63" spans="1:77">
      <c r="A63" s="806" t="s">
        <v>7865</v>
      </c>
      <c r="B63" s="787" t="s">
        <v>6719</v>
      </c>
      <c r="C63" s="787" t="s">
        <v>6719</v>
      </c>
      <c r="D63" s="787" t="s">
        <v>6718</v>
      </c>
      <c r="E63" s="787" t="s">
        <v>6718</v>
      </c>
      <c r="F63" s="787" t="s">
        <v>6711</v>
      </c>
      <c r="G63" s="787" t="s">
        <v>6711</v>
      </c>
      <c r="H63" s="787" t="s">
        <v>6720</v>
      </c>
      <c r="I63" s="787" t="s">
        <v>6720</v>
      </c>
      <c r="J63" s="787" t="s">
        <v>6717</v>
      </c>
      <c r="K63" s="787" t="s">
        <v>6717</v>
      </c>
      <c r="L63" s="787" t="s">
        <v>6718</v>
      </c>
      <c r="M63" s="787" t="s">
        <v>6718</v>
      </c>
      <c r="N63" s="930">
        <f ca="1">IF(AND(O36=1,N62=1),1,IF(AND(O36=0,N62=0),1,0))</f>
        <v>0</v>
      </c>
      <c r="O63" s="773" t="s">
        <v>7883</v>
      </c>
      <c r="P63" s="787" t="s">
        <v>7872</v>
      </c>
      <c r="Q63" s="787" t="str">
        <f>RIGHT(R61,LEN(R61)-R62)</f>
        <v>mão</v>
      </c>
      <c r="S63" s="773" t="str">
        <f ca="1">H92</f>
        <v>tuất</v>
      </c>
      <c r="T63" s="787">
        <v>1</v>
      </c>
      <c r="U63" s="773" t="s">
        <v>8416</v>
      </c>
      <c r="V63" s="773">
        <f t="shared" ref="V63:V115" ca="1" si="50">IF($N$49=S63,1,0)</f>
        <v>0</v>
      </c>
      <c r="W63" s="773">
        <f ca="1">IF(V63=1,1,0)</f>
        <v>0</v>
      </c>
      <c r="X63" s="773">
        <f t="shared" ref="X63:X115" ca="1" si="51">IF(V63=1,W63,0)</f>
        <v>0</v>
      </c>
      <c r="Y63" s="773">
        <f t="shared" ref="Y63:Y115" ca="1" si="52">IF($N$50=S63,1,0)</f>
        <v>0</v>
      </c>
      <c r="Z63" s="773">
        <f ca="1">IF(Y63=1,1,0)</f>
        <v>0</v>
      </c>
      <c r="AA63" s="773">
        <f t="shared" ref="AA63:AA115" ca="1" si="53">IF(Y63=1,Z63,0)</f>
        <v>0</v>
      </c>
      <c r="AB63" s="773">
        <f t="shared" ref="AB63:AB115" ca="1" si="54">IF($N$51=S63,1,0)</f>
        <v>0</v>
      </c>
      <c r="AC63" s="773">
        <f ca="1">IF(AB63=1,1,0)</f>
        <v>0</v>
      </c>
      <c r="AD63" s="773">
        <f t="shared" ref="AD63:AD115" ca="1" si="55">IF(AB63=1,AC63,0)</f>
        <v>0</v>
      </c>
      <c r="AE63" s="773">
        <f t="shared" ref="AE63:AE115" ca="1" si="56">IF($N$52=S63,1,0)</f>
        <v>0</v>
      </c>
      <c r="AF63" s="773">
        <f ca="1">IF(AE63=1,1,0)</f>
        <v>0</v>
      </c>
      <c r="AG63" s="773">
        <f t="shared" ref="AG63:AG115" ca="1" si="57">IF(AE63=1,AF63,0)</f>
        <v>0</v>
      </c>
      <c r="AH63" s="773">
        <f t="shared" ref="AH63:AH115" ca="1" si="58">IF($N$53=S63,1,0)</f>
        <v>0</v>
      </c>
      <c r="AI63" s="773">
        <f ca="1">IF(AH63=1,1,0)</f>
        <v>0</v>
      </c>
      <c r="AJ63" s="773">
        <f t="shared" ref="AJ63:AJ115" ca="1" si="59">IF(AH63=1,AI63,0)</f>
        <v>0</v>
      </c>
      <c r="AK63" s="773">
        <f t="shared" ref="AK63:AK115" ca="1" si="60">IF($N$54=S63,1,0)</f>
        <v>0</v>
      </c>
      <c r="AL63" s="773">
        <f ca="1">IF(AK63=1,1,0)</f>
        <v>0</v>
      </c>
      <c r="AM63" s="773">
        <f t="shared" ref="AM63:AM115" ca="1" si="61">IF(AK63=1,AL63,0)</f>
        <v>0</v>
      </c>
      <c r="AN63" s="773">
        <f t="shared" ref="AN63:AN115" ca="1" si="62">IF($N$55=S63,1,0)</f>
        <v>0</v>
      </c>
      <c r="AO63" s="773">
        <f ca="1">IF(AN63=1,1,0)</f>
        <v>0</v>
      </c>
      <c r="AP63" s="773">
        <f t="shared" ref="AP63:AP115" ca="1" si="63">IF(AN63=1,AO63,0)</f>
        <v>0</v>
      </c>
      <c r="AQ63" s="773">
        <f t="shared" ref="AQ63:AQ115" ca="1" si="64">IF($N$56=S63,1,0)</f>
        <v>0</v>
      </c>
      <c r="AR63" s="773">
        <f ca="1">IF(AQ63=1,1,0)</f>
        <v>0</v>
      </c>
      <c r="AS63" s="773">
        <f t="shared" ref="AS63:AS115" ca="1" si="65">IF(AQ63=1,AR63,0)</f>
        <v>0</v>
      </c>
      <c r="AT63" s="773">
        <f t="shared" ref="AT63:AT115" ca="1" si="66">IF($N$57=S63,1,0)</f>
        <v>0</v>
      </c>
      <c r="AU63" s="773">
        <f ca="1">IF(AT63=1,1,0)</f>
        <v>0</v>
      </c>
      <c r="AV63" s="773">
        <f t="shared" ref="AV63:AV115" ca="1" si="67">IF(AT63=1,AU63,0)</f>
        <v>0</v>
      </c>
      <c r="AW63" s="773">
        <f t="shared" ref="AW63:AW115" ca="1" si="68">IF($N$58=S63,1,0)</f>
        <v>0</v>
      </c>
      <c r="AX63" s="773">
        <f ca="1">IF(AW63=1,1,0)</f>
        <v>0</v>
      </c>
      <c r="AY63" s="773">
        <f t="shared" ref="AY63:AY115" ca="1" si="69">IF(AW63=1,AX63,0)</f>
        <v>0</v>
      </c>
      <c r="AZ63" s="773">
        <f t="shared" ref="AZ63:AZ115" ca="1" si="70">IF($N$59=S63,1,0)</f>
        <v>1</v>
      </c>
      <c r="BA63" s="773">
        <f ca="1">IF(AZ63=1,1,0)</f>
        <v>1</v>
      </c>
      <c r="BB63" s="773">
        <f t="shared" ref="BB63:BB115" ca="1" si="71">IF(AZ63=1,BA63,0)</f>
        <v>1</v>
      </c>
      <c r="BC63" s="773">
        <f t="shared" ref="BC63:BC115" ca="1" si="72">IF($N$60=S63,1,0)</f>
        <v>0</v>
      </c>
      <c r="BD63" s="773">
        <f ca="1">IF(BC63=1,1,0)</f>
        <v>0</v>
      </c>
      <c r="BE63" s="773">
        <f t="shared" ref="BE63:BE115" ca="1" si="73">IF(BC63=1,BD63,0)</f>
        <v>0</v>
      </c>
      <c r="BF63" s="773" t="s">
        <v>8417</v>
      </c>
      <c r="BX63" s="773">
        <v>1961</v>
      </c>
      <c r="BY63" s="773" t="s">
        <v>7901</v>
      </c>
    </row>
    <row r="64" spans="1:77">
      <c r="A64" s="806" t="s">
        <v>6567</v>
      </c>
      <c r="B64" s="787" t="s">
        <v>6718</v>
      </c>
      <c r="C64" s="787" t="s">
        <v>6718</v>
      </c>
      <c r="D64" s="787" t="s">
        <v>6720</v>
      </c>
      <c r="E64" s="787" t="s">
        <v>6720</v>
      </c>
      <c r="F64" s="787" t="s">
        <v>6717</v>
      </c>
      <c r="G64" s="787" t="s">
        <v>6717</v>
      </c>
      <c r="H64" s="787" t="s">
        <v>6711</v>
      </c>
      <c r="I64" s="787" t="s">
        <v>6711</v>
      </c>
      <c r="J64" s="787" t="s">
        <v>6719</v>
      </c>
      <c r="K64" s="787" t="s">
        <v>6719</v>
      </c>
      <c r="L64" s="787" t="s">
        <v>6720</v>
      </c>
      <c r="M64" s="787" t="s">
        <v>6720</v>
      </c>
      <c r="O64" s="773" t="s">
        <v>7880</v>
      </c>
      <c r="P64" s="787" t="s">
        <v>7872</v>
      </c>
      <c r="Q64" s="787" t="s">
        <v>8418</v>
      </c>
      <c r="R64" s="929" t="str">
        <f>Q63</f>
        <v>mão</v>
      </c>
      <c r="S64" s="773" t="str">
        <f ca="1">H93</f>
        <v>thìn</v>
      </c>
      <c r="T64" s="787">
        <v>2</v>
      </c>
      <c r="U64" s="773" t="s">
        <v>8419</v>
      </c>
      <c r="V64" s="773">
        <f t="shared" ca="1" si="50"/>
        <v>0</v>
      </c>
      <c r="W64" s="773">
        <f t="shared" ref="W64:W115" ca="1" si="74">IF(V64=1,W63+1,W63)</f>
        <v>0</v>
      </c>
      <c r="X64" s="773">
        <f t="shared" ca="1" si="51"/>
        <v>0</v>
      </c>
      <c r="Y64" s="773">
        <f t="shared" ca="1" si="52"/>
        <v>0</v>
      </c>
      <c r="Z64" s="773">
        <f t="shared" ref="Z64:Z115" ca="1" si="75">IF(Y64=1,Z63+1,Z63)</f>
        <v>0</v>
      </c>
      <c r="AA64" s="773">
        <f t="shared" ca="1" si="53"/>
        <v>0</v>
      </c>
      <c r="AB64" s="773">
        <f t="shared" ca="1" si="54"/>
        <v>0</v>
      </c>
      <c r="AC64" s="773">
        <f t="shared" ref="AC64:AC115" ca="1" si="76">IF(AB64=1,AC63+1,AC63)</f>
        <v>0</v>
      </c>
      <c r="AD64" s="773">
        <f t="shared" ca="1" si="55"/>
        <v>0</v>
      </c>
      <c r="AE64" s="773">
        <f t="shared" ca="1" si="56"/>
        <v>0</v>
      </c>
      <c r="AF64" s="773">
        <f t="shared" ref="AF64:AF115" ca="1" si="77">IF(AE64=1,AF63+1,AF63)</f>
        <v>0</v>
      </c>
      <c r="AG64" s="773">
        <f t="shared" ca="1" si="57"/>
        <v>0</v>
      </c>
      <c r="AH64" s="773">
        <f t="shared" ca="1" si="58"/>
        <v>1</v>
      </c>
      <c r="AI64" s="773">
        <f t="shared" ref="AI64:AI115" ca="1" si="78">IF(AH64=1,AI63+1,AI63)</f>
        <v>1</v>
      </c>
      <c r="AJ64" s="773">
        <f t="shared" ca="1" si="59"/>
        <v>1</v>
      </c>
      <c r="AK64" s="773">
        <f t="shared" ca="1" si="60"/>
        <v>0</v>
      </c>
      <c r="AL64" s="773">
        <f t="shared" ref="AL64:AL115" ca="1" si="79">IF(AK64=1,AL63+1,AL63)</f>
        <v>0</v>
      </c>
      <c r="AM64" s="773">
        <f t="shared" ca="1" si="61"/>
        <v>0</v>
      </c>
      <c r="AN64" s="773">
        <f t="shared" ca="1" si="62"/>
        <v>0</v>
      </c>
      <c r="AO64" s="773">
        <f t="shared" ref="AO64:AO115" ca="1" si="80">IF(AN64=1,AO63+1,AO63)</f>
        <v>0</v>
      </c>
      <c r="AP64" s="773">
        <f t="shared" ca="1" si="63"/>
        <v>0</v>
      </c>
      <c r="AQ64" s="773">
        <f t="shared" ca="1" si="64"/>
        <v>0</v>
      </c>
      <c r="AR64" s="773">
        <f t="shared" ref="AR64:AR115" ca="1" si="81">IF(AQ64=1,AR63+1,AR63)</f>
        <v>0</v>
      </c>
      <c r="AS64" s="773">
        <f t="shared" ca="1" si="65"/>
        <v>0</v>
      </c>
      <c r="AT64" s="773">
        <f t="shared" ca="1" si="66"/>
        <v>0</v>
      </c>
      <c r="AU64" s="773">
        <f t="shared" ref="AU64:AU115" ca="1" si="82">IF(AT64=1,AU63+1,AU63)</f>
        <v>0</v>
      </c>
      <c r="AV64" s="773">
        <f t="shared" ca="1" si="67"/>
        <v>0</v>
      </c>
      <c r="AW64" s="773">
        <f t="shared" ca="1" si="68"/>
        <v>0</v>
      </c>
      <c r="AX64" s="773">
        <f t="shared" ref="AX64:AX115" ca="1" si="83">IF(AW64=1,AX63+1,AX63)</f>
        <v>0</v>
      </c>
      <c r="AY64" s="773">
        <f t="shared" ca="1" si="69"/>
        <v>0</v>
      </c>
      <c r="AZ64" s="773">
        <f t="shared" ca="1" si="70"/>
        <v>0</v>
      </c>
      <c r="BA64" s="773">
        <f t="shared" ref="BA64:BA115" ca="1" si="84">IF(AZ64=1,BA63+1,BA63)</f>
        <v>1</v>
      </c>
      <c r="BB64" s="773">
        <f t="shared" ca="1" si="71"/>
        <v>0</v>
      </c>
      <c r="BC64" s="773">
        <f t="shared" ca="1" si="72"/>
        <v>0</v>
      </c>
      <c r="BD64" s="773">
        <f t="shared" ref="BD64:BD115" ca="1" si="85">IF(BC64=1,BD63+1,BD63)</f>
        <v>0</v>
      </c>
      <c r="BE64" s="773">
        <f t="shared" ca="1" si="73"/>
        <v>0</v>
      </c>
      <c r="BF64" s="773" t="str">
        <f t="shared" ref="BF64:BF111" si="86">PROPER(U64)</f>
        <v>Thiên Quý</v>
      </c>
      <c r="BX64" s="773">
        <v>1962</v>
      </c>
      <c r="BY64" s="773" t="s">
        <v>7903</v>
      </c>
    </row>
    <row r="65" spans="1:77" ht="15.75">
      <c r="A65" s="931" t="s">
        <v>8420</v>
      </c>
      <c r="N65" s="787"/>
      <c r="O65" s="773" t="s">
        <v>7887</v>
      </c>
      <c r="P65" s="773" t="s">
        <v>7880</v>
      </c>
      <c r="Q65" s="787" t="s">
        <v>8421</v>
      </c>
      <c r="R65" s="929" t="str">
        <f>VLOOKUP($Q$62,$A$111:$D$122,2,0)</f>
        <v>Dậu</v>
      </c>
      <c r="S65" s="773" t="str">
        <f ca="1">G124</f>
        <v>Mão</v>
      </c>
      <c r="T65" s="787">
        <v>3</v>
      </c>
      <c r="U65" s="773" t="s">
        <v>8422</v>
      </c>
      <c r="V65" s="773">
        <f t="shared" ca="1" si="50"/>
        <v>0</v>
      </c>
      <c r="W65" s="773">
        <f t="shared" ca="1" si="74"/>
        <v>0</v>
      </c>
      <c r="X65" s="773">
        <f t="shared" ca="1" si="51"/>
        <v>0</v>
      </c>
      <c r="Y65" s="773">
        <f t="shared" ca="1" si="52"/>
        <v>0</v>
      </c>
      <c r="Z65" s="773">
        <f t="shared" ca="1" si="75"/>
        <v>0</v>
      </c>
      <c r="AA65" s="773">
        <f t="shared" ca="1" si="53"/>
        <v>0</v>
      </c>
      <c r="AB65" s="773">
        <f t="shared" ca="1" si="54"/>
        <v>0</v>
      </c>
      <c r="AC65" s="773">
        <f t="shared" ca="1" si="76"/>
        <v>0</v>
      </c>
      <c r="AD65" s="773">
        <f t="shared" ca="1" si="55"/>
        <v>0</v>
      </c>
      <c r="AE65" s="773">
        <f t="shared" ca="1" si="56"/>
        <v>1</v>
      </c>
      <c r="AF65" s="773">
        <f t="shared" ca="1" si="77"/>
        <v>1</v>
      </c>
      <c r="AG65" s="773">
        <f t="shared" ca="1" si="57"/>
        <v>1</v>
      </c>
      <c r="AH65" s="773">
        <f t="shared" ca="1" si="58"/>
        <v>0</v>
      </c>
      <c r="AI65" s="773">
        <f t="shared" ca="1" si="78"/>
        <v>1</v>
      </c>
      <c r="AJ65" s="773">
        <f t="shared" ca="1" si="59"/>
        <v>0</v>
      </c>
      <c r="AK65" s="773">
        <f t="shared" ca="1" si="60"/>
        <v>0</v>
      </c>
      <c r="AL65" s="773">
        <f t="shared" ca="1" si="79"/>
        <v>0</v>
      </c>
      <c r="AM65" s="773">
        <f t="shared" ca="1" si="61"/>
        <v>0</v>
      </c>
      <c r="AN65" s="773">
        <f t="shared" ca="1" si="62"/>
        <v>0</v>
      </c>
      <c r="AO65" s="773">
        <f t="shared" ca="1" si="80"/>
        <v>0</v>
      </c>
      <c r="AP65" s="773">
        <f t="shared" ca="1" si="63"/>
        <v>0</v>
      </c>
      <c r="AQ65" s="773">
        <f t="shared" ca="1" si="64"/>
        <v>0</v>
      </c>
      <c r="AR65" s="773">
        <f t="shared" ca="1" si="81"/>
        <v>0</v>
      </c>
      <c r="AS65" s="773">
        <f t="shared" ca="1" si="65"/>
        <v>0</v>
      </c>
      <c r="AT65" s="773">
        <f t="shared" ca="1" si="66"/>
        <v>0</v>
      </c>
      <c r="AU65" s="773">
        <f t="shared" ca="1" si="82"/>
        <v>0</v>
      </c>
      <c r="AV65" s="773">
        <f t="shared" ca="1" si="67"/>
        <v>0</v>
      </c>
      <c r="AW65" s="773">
        <f t="shared" ca="1" si="68"/>
        <v>0</v>
      </c>
      <c r="AX65" s="773">
        <f t="shared" ca="1" si="83"/>
        <v>0</v>
      </c>
      <c r="AY65" s="773">
        <f t="shared" ca="1" si="69"/>
        <v>0</v>
      </c>
      <c r="AZ65" s="773">
        <f t="shared" ca="1" si="70"/>
        <v>0</v>
      </c>
      <c r="BA65" s="773">
        <f t="shared" ca="1" si="84"/>
        <v>1</v>
      </c>
      <c r="BB65" s="773">
        <f t="shared" ca="1" si="71"/>
        <v>0</v>
      </c>
      <c r="BC65" s="773">
        <f t="shared" ca="1" si="72"/>
        <v>0</v>
      </c>
      <c r="BD65" s="773">
        <f t="shared" ca="1" si="85"/>
        <v>0</v>
      </c>
      <c r="BE65" s="773">
        <f t="shared" ca="1" si="73"/>
        <v>0</v>
      </c>
      <c r="BF65" s="773" t="str">
        <f t="shared" si="86"/>
        <v>Thiên Khôi</v>
      </c>
      <c r="BX65" s="773">
        <v>1963</v>
      </c>
      <c r="BY65" s="773" t="s">
        <v>7904</v>
      </c>
    </row>
    <row r="66" spans="1:77" ht="30">
      <c r="A66" s="855" t="s">
        <v>6657</v>
      </c>
      <c r="B66" s="855" t="s">
        <v>8309</v>
      </c>
      <c r="C66" s="855" t="s">
        <v>8310</v>
      </c>
      <c r="D66" s="855" t="s">
        <v>8311</v>
      </c>
      <c r="E66" s="855" t="s">
        <v>5944</v>
      </c>
      <c r="F66" s="855" t="s">
        <v>8310</v>
      </c>
      <c r="G66" s="855" t="s">
        <v>8310</v>
      </c>
      <c r="H66" s="855" t="s">
        <v>5944</v>
      </c>
      <c r="I66" s="855" t="s">
        <v>8312</v>
      </c>
      <c r="J66" s="855" t="s">
        <v>8313</v>
      </c>
      <c r="K66" s="855" t="s">
        <v>8310</v>
      </c>
      <c r="L66" s="1028" t="s">
        <v>8314</v>
      </c>
      <c r="M66" s="855" t="s">
        <v>8315</v>
      </c>
      <c r="N66" s="855" t="s">
        <v>8316</v>
      </c>
      <c r="O66" s="773" t="s">
        <v>6548</v>
      </c>
      <c r="P66" s="773" t="s">
        <v>7880</v>
      </c>
      <c r="Q66" s="787" t="s">
        <v>8423</v>
      </c>
      <c r="R66" s="929" t="str">
        <f>VLOOKUP($Q$62,$A$111:$D$122,3,0)</f>
        <v>Tuất</v>
      </c>
      <c r="S66" s="773" t="str">
        <f ca="1">H124</f>
        <v>tỵ</v>
      </c>
      <c r="T66" s="787">
        <v>4</v>
      </c>
      <c r="U66" s="773" t="s">
        <v>8424</v>
      </c>
      <c r="V66" s="773">
        <f t="shared" ca="1" si="50"/>
        <v>0</v>
      </c>
      <c r="W66" s="773">
        <f t="shared" ca="1" si="74"/>
        <v>0</v>
      </c>
      <c r="X66" s="773">
        <f t="shared" ca="1" si="51"/>
        <v>0</v>
      </c>
      <c r="Y66" s="773">
        <f t="shared" ca="1" si="52"/>
        <v>0</v>
      </c>
      <c r="Z66" s="773">
        <f t="shared" ca="1" si="75"/>
        <v>0</v>
      </c>
      <c r="AA66" s="773">
        <f t="shared" ca="1" si="53"/>
        <v>0</v>
      </c>
      <c r="AB66" s="773">
        <f t="shared" ca="1" si="54"/>
        <v>0</v>
      </c>
      <c r="AC66" s="773">
        <f t="shared" ca="1" si="76"/>
        <v>0</v>
      </c>
      <c r="AD66" s="773">
        <f t="shared" ca="1" si="55"/>
        <v>0</v>
      </c>
      <c r="AE66" s="773">
        <f t="shared" ca="1" si="56"/>
        <v>0</v>
      </c>
      <c r="AF66" s="773">
        <f t="shared" ca="1" si="77"/>
        <v>1</v>
      </c>
      <c r="AG66" s="773">
        <f t="shared" ca="1" si="57"/>
        <v>0</v>
      </c>
      <c r="AH66" s="773">
        <f t="shared" ca="1" si="58"/>
        <v>0</v>
      </c>
      <c r="AI66" s="773">
        <f t="shared" ca="1" si="78"/>
        <v>1</v>
      </c>
      <c r="AJ66" s="773">
        <f t="shared" ca="1" si="59"/>
        <v>0</v>
      </c>
      <c r="AK66" s="773">
        <f t="shared" ca="1" si="60"/>
        <v>1</v>
      </c>
      <c r="AL66" s="773">
        <f t="shared" ca="1" si="79"/>
        <v>1</v>
      </c>
      <c r="AM66" s="773">
        <f t="shared" ca="1" si="61"/>
        <v>1</v>
      </c>
      <c r="AN66" s="773">
        <f t="shared" ca="1" si="62"/>
        <v>0</v>
      </c>
      <c r="AO66" s="773">
        <f t="shared" ca="1" si="80"/>
        <v>0</v>
      </c>
      <c r="AP66" s="773">
        <f t="shared" ca="1" si="63"/>
        <v>0</v>
      </c>
      <c r="AQ66" s="773">
        <f t="shared" ca="1" si="64"/>
        <v>0</v>
      </c>
      <c r="AR66" s="773">
        <f t="shared" ca="1" si="81"/>
        <v>0</v>
      </c>
      <c r="AS66" s="773">
        <f t="shared" ca="1" si="65"/>
        <v>0</v>
      </c>
      <c r="AT66" s="773">
        <f t="shared" ca="1" si="66"/>
        <v>0</v>
      </c>
      <c r="AU66" s="773">
        <f t="shared" ca="1" si="82"/>
        <v>0</v>
      </c>
      <c r="AV66" s="773">
        <f t="shared" ca="1" si="67"/>
        <v>0</v>
      </c>
      <c r="AW66" s="773">
        <f t="shared" ca="1" si="68"/>
        <v>0</v>
      </c>
      <c r="AX66" s="773">
        <f t="shared" ca="1" si="83"/>
        <v>0</v>
      </c>
      <c r="AY66" s="773">
        <f t="shared" ca="1" si="69"/>
        <v>0</v>
      </c>
      <c r="AZ66" s="773">
        <f t="shared" ca="1" si="70"/>
        <v>0</v>
      </c>
      <c r="BA66" s="773">
        <f t="shared" ca="1" si="84"/>
        <v>1</v>
      </c>
      <c r="BB66" s="773">
        <f t="shared" ca="1" si="71"/>
        <v>0</v>
      </c>
      <c r="BC66" s="773">
        <f t="shared" ca="1" si="72"/>
        <v>0</v>
      </c>
      <c r="BD66" s="773">
        <f t="shared" ca="1" si="85"/>
        <v>0</v>
      </c>
      <c r="BE66" s="773">
        <f t="shared" ca="1" si="73"/>
        <v>0</v>
      </c>
      <c r="BF66" s="773" t="str">
        <f t="shared" si="86"/>
        <v>Thiên Việt</v>
      </c>
      <c r="BX66" s="773">
        <v>1964</v>
      </c>
      <c r="BY66" s="773" t="s">
        <v>7905</v>
      </c>
    </row>
    <row r="67" spans="1:77" ht="30">
      <c r="A67" s="855" t="s">
        <v>8425</v>
      </c>
      <c r="B67" s="855" t="s">
        <v>8317</v>
      </c>
      <c r="C67" s="855" t="s">
        <v>8318</v>
      </c>
      <c r="D67" s="855" t="s">
        <v>8319</v>
      </c>
      <c r="E67" s="855" t="s">
        <v>8320</v>
      </c>
      <c r="F67" s="855" t="s">
        <v>8321</v>
      </c>
      <c r="G67" s="855" t="s">
        <v>8322</v>
      </c>
      <c r="H67" s="855" t="s">
        <v>4213</v>
      </c>
      <c r="I67" s="855" t="s">
        <v>8323</v>
      </c>
      <c r="J67" s="855" t="s">
        <v>8324</v>
      </c>
      <c r="K67" s="855" t="s">
        <v>8325</v>
      </c>
      <c r="L67" s="1028"/>
      <c r="M67" s="855" t="s">
        <v>6672</v>
      </c>
      <c r="N67" s="855" t="s">
        <v>8326</v>
      </c>
      <c r="O67" s="773" t="s">
        <v>7872</v>
      </c>
      <c r="P67" s="773" t="s">
        <v>7880</v>
      </c>
      <c r="Q67" s="787" t="s">
        <v>8426</v>
      </c>
      <c r="R67" s="929" t="str">
        <f>VLOOKUP($Q$62,$A$111:$D$122,4,0)</f>
        <v>Thân</v>
      </c>
      <c r="S67" s="773" t="str">
        <f ca="1">H81</f>
        <v>Ngọ</v>
      </c>
      <c r="T67" s="787">
        <v>5</v>
      </c>
      <c r="U67" s="773" t="s">
        <v>6570</v>
      </c>
      <c r="V67" s="773">
        <f t="shared" ca="1" si="50"/>
        <v>0</v>
      </c>
      <c r="W67" s="773">
        <f t="shared" ca="1" si="74"/>
        <v>0</v>
      </c>
      <c r="X67" s="773">
        <f t="shared" ca="1" si="51"/>
        <v>0</v>
      </c>
      <c r="Y67" s="773">
        <f t="shared" ca="1" si="52"/>
        <v>0</v>
      </c>
      <c r="Z67" s="773">
        <f t="shared" ca="1" si="75"/>
        <v>0</v>
      </c>
      <c r="AA67" s="773">
        <f t="shared" ca="1" si="53"/>
        <v>0</v>
      </c>
      <c r="AB67" s="773">
        <f t="shared" ca="1" si="54"/>
        <v>0</v>
      </c>
      <c r="AC67" s="773">
        <f t="shared" ca="1" si="76"/>
        <v>0</v>
      </c>
      <c r="AD67" s="773">
        <f t="shared" ca="1" si="55"/>
        <v>0</v>
      </c>
      <c r="AE67" s="773">
        <f t="shared" ca="1" si="56"/>
        <v>0</v>
      </c>
      <c r="AF67" s="773">
        <f t="shared" ca="1" si="77"/>
        <v>1</v>
      </c>
      <c r="AG67" s="773">
        <f t="shared" ca="1" si="57"/>
        <v>0</v>
      </c>
      <c r="AH67" s="773">
        <f t="shared" ca="1" si="58"/>
        <v>0</v>
      </c>
      <c r="AI67" s="773">
        <f t="shared" ca="1" si="78"/>
        <v>1</v>
      </c>
      <c r="AJ67" s="773">
        <f t="shared" ca="1" si="59"/>
        <v>0</v>
      </c>
      <c r="AK67" s="773">
        <f t="shared" ca="1" si="60"/>
        <v>0</v>
      </c>
      <c r="AL67" s="773">
        <f t="shared" ca="1" si="79"/>
        <v>1</v>
      </c>
      <c r="AM67" s="773">
        <f t="shared" ca="1" si="61"/>
        <v>0</v>
      </c>
      <c r="AN67" s="773">
        <f t="shared" ca="1" si="62"/>
        <v>1</v>
      </c>
      <c r="AO67" s="773">
        <f t="shared" ca="1" si="80"/>
        <v>1</v>
      </c>
      <c r="AP67" s="773">
        <f t="shared" ca="1" si="63"/>
        <v>1</v>
      </c>
      <c r="AQ67" s="773">
        <f t="shared" ca="1" si="64"/>
        <v>0</v>
      </c>
      <c r="AR67" s="773">
        <f t="shared" ca="1" si="81"/>
        <v>0</v>
      </c>
      <c r="AS67" s="773">
        <f t="shared" ca="1" si="65"/>
        <v>0</v>
      </c>
      <c r="AT67" s="773">
        <f t="shared" ca="1" si="66"/>
        <v>0</v>
      </c>
      <c r="AU67" s="773">
        <f t="shared" ca="1" si="82"/>
        <v>0</v>
      </c>
      <c r="AV67" s="773">
        <f t="shared" ca="1" si="67"/>
        <v>0</v>
      </c>
      <c r="AW67" s="773">
        <f t="shared" ca="1" si="68"/>
        <v>0</v>
      </c>
      <c r="AX67" s="773">
        <f t="shared" ca="1" si="83"/>
        <v>0</v>
      </c>
      <c r="AY67" s="773">
        <f t="shared" ca="1" si="69"/>
        <v>0</v>
      </c>
      <c r="AZ67" s="773">
        <f t="shared" ca="1" si="70"/>
        <v>0</v>
      </c>
      <c r="BA67" s="773">
        <f t="shared" ca="1" si="84"/>
        <v>1</v>
      </c>
      <c r="BB67" s="773">
        <f t="shared" ca="1" si="71"/>
        <v>0</v>
      </c>
      <c r="BC67" s="773">
        <f t="shared" ca="1" si="72"/>
        <v>0</v>
      </c>
      <c r="BD67" s="773">
        <f t="shared" ca="1" si="85"/>
        <v>0</v>
      </c>
      <c r="BE67" s="773">
        <f t="shared" ca="1" si="73"/>
        <v>0</v>
      </c>
      <c r="BF67" s="773" t="str">
        <f t="shared" si="86"/>
        <v>Văn Xương</v>
      </c>
      <c r="BX67" s="773">
        <v>1965</v>
      </c>
      <c r="BY67" s="773" t="s">
        <v>7906</v>
      </c>
    </row>
    <row r="68" spans="1:77" ht="30">
      <c r="A68" s="806" t="s">
        <v>6548</v>
      </c>
      <c r="B68" s="855" t="s">
        <v>505</v>
      </c>
      <c r="C68" s="855" t="s">
        <v>507</v>
      </c>
      <c r="D68" s="855" t="s">
        <v>9297</v>
      </c>
      <c r="E68" s="855" t="s">
        <v>9298</v>
      </c>
      <c r="F68" s="855" t="s">
        <v>9300</v>
      </c>
      <c r="G68" s="855" t="s">
        <v>505</v>
      </c>
      <c r="H68" s="855" t="s">
        <v>9011</v>
      </c>
      <c r="I68" s="855" t="s">
        <v>506</v>
      </c>
      <c r="J68" s="855" t="s">
        <v>507</v>
      </c>
      <c r="K68" s="855" t="s">
        <v>9297</v>
      </c>
      <c r="L68" s="855" t="s">
        <v>9298</v>
      </c>
      <c r="M68" s="855" t="s">
        <v>9299</v>
      </c>
      <c r="N68" s="855" t="s">
        <v>353</v>
      </c>
      <c r="O68" s="773" t="s">
        <v>7877</v>
      </c>
      <c r="P68" s="773" t="s">
        <v>7875</v>
      </c>
      <c r="Q68" s="787" t="s">
        <v>8427</v>
      </c>
      <c r="R68" s="929" t="str">
        <f>VLOOKUP($Q$63,$A$128:$N$140,5,0)</f>
        <v>Mão</v>
      </c>
      <c r="S68" s="773" t="str">
        <f ca="1">H82</f>
        <v>Thân</v>
      </c>
      <c r="T68" s="787">
        <v>6</v>
      </c>
      <c r="U68" s="773" t="s">
        <v>8290</v>
      </c>
      <c r="V68" s="773">
        <f t="shared" ca="1" si="50"/>
        <v>0</v>
      </c>
      <c r="W68" s="773">
        <f t="shared" ca="1" si="74"/>
        <v>0</v>
      </c>
      <c r="X68" s="773">
        <f t="shared" ca="1" si="51"/>
        <v>0</v>
      </c>
      <c r="Y68" s="773">
        <f t="shared" ca="1" si="52"/>
        <v>0</v>
      </c>
      <c r="Z68" s="773">
        <f t="shared" ca="1" si="75"/>
        <v>0</v>
      </c>
      <c r="AA68" s="773">
        <f t="shared" ca="1" si="53"/>
        <v>0</v>
      </c>
      <c r="AB68" s="773">
        <f t="shared" ca="1" si="54"/>
        <v>0</v>
      </c>
      <c r="AC68" s="773">
        <f t="shared" ca="1" si="76"/>
        <v>0</v>
      </c>
      <c r="AD68" s="773">
        <f t="shared" ca="1" si="55"/>
        <v>0</v>
      </c>
      <c r="AE68" s="773">
        <f t="shared" ca="1" si="56"/>
        <v>0</v>
      </c>
      <c r="AF68" s="773">
        <f t="shared" ca="1" si="77"/>
        <v>1</v>
      </c>
      <c r="AG68" s="773">
        <f t="shared" ca="1" si="57"/>
        <v>0</v>
      </c>
      <c r="AH68" s="773">
        <f t="shared" ca="1" si="58"/>
        <v>0</v>
      </c>
      <c r="AI68" s="773">
        <f t="shared" ca="1" si="78"/>
        <v>1</v>
      </c>
      <c r="AJ68" s="773">
        <f t="shared" ca="1" si="59"/>
        <v>0</v>
      </c>
      <c r="AK68" s="773">
        <f t="shared" ca="1" si="60"/>
        <v>0</v>
      </c>
      <c r="AL68" s="773">
        <f t="shared" ca="1" si="79"/>
        <v>1</v>
      </c>
      <c r="AM68" s="773">
        <f t="shared" ca="1" si="61"/>
        <v>0</v>
      </c>
      <c r="AN68" s="773">
        <f t="shared" ca="1" si="62"/>
        <v>0</v>
      </c>
      <c r="AO68" s="773">
        <f t="shared" ca="1" si="80"/>
        <v>1</v>
      </c>
      <c r="AP68" s="773">
        <f t="shared" ca="1" si="63"/>
        <v>0</v>
      </c>
      <c r="AQ68" s="773">
        <f t="shared" ca="1" si="64"/>
        <v>0</v>
      </c>
      <c r="AR68" s="773">
        <f t="shared" ca="1" si="81"/>
        <v>0</v>
      </c>
      <c r="AS68" s="773">
        <f t="shared" ca="1" si="65"/>
        <v>0</v>
      </c>
      <c r="AT68" s="773">
        <f t="shared" ca="1" si="66"/>
        <v>1</v>
      </c>
      <c r="AU68" s="773">
        <f t="shared" ca="1" si="82"/>
        <v>1</v>
      </c>
      <c r="AV68" s="773">
        <f t="shared" ca="1" si="67"/>
        <v>1</v>
      </c>
      <c r="AW68" s="773">
        <f t="shared" ca="1" si="68"/>
        <v>0</v>
      </c>
      <c r="AX68" s="773">
        <f t="shared" ca="1" si="83"/>
        <v>0</v>
      </c>
      <c r="AY68" s="773">
        <f t="shared" ca="1" si="69"/>
        <v>0</v>
      </c>
      <c r="AZ68" s="773">
        <f t="shared" ca="1" si="70"/>
        <v>0</v>
      </c>
      <c r="BA68" s="773">
        <f t="shared" ca="1" si="84"/>
        <v>1</v>
      </c>
      <c r="BB68" s="773">
        <f t="shared" ca="1" si="71"/>
        <v>0</v>
      </c>
      <c r="BC68" s="773">
        <f t="shared" ca="1" si="72"/>
        <v>0</v>
      </c>
      <c r="BD68" s="773">
        <f t="shared" ca="1" si="85"/>
        <v>0</v>
      </c>
      <c r="BE68" s="773">
        <f t="shared" ca="1" si="73"/>
        <v>0</v>
      </c>
      <c r="BF68" s="773" t="str">
        <f t="shared" si="86"/>
        <v>Văn Khúc</v>
      </c>
      <c r="BX68" s="773">
        <v>1966</v>
      </c>
      <c r="BY68" s="773" t="s">
        <v>7907</v>
      </c>
    </row>
    <row r="69" spans="1:77" ht="15">
      <c r="A69" s="806" t="s">
        <v>7875</v>
      </c>
      <c r="B69" s="855" t="s">
        <v>9011</v>
      </c>
      <c r="C69" s="855" t="s">
        <v>9297</v>
      </c>
      <c r="D69" s="855" t="s">
        <v>9298</v>
      </c>
      <c r="E69" s="855" t="s">
        <v>9299</v>
      </c>
      <c r="F69" s="855" t="s">
        <v>1402</v>
      </c>
      <c r="G69" s="855" t="s">
        <v>1399</v>
      </c>
      <c r="H69" s="855" t="s">
        <v>505</v>
      </c>
      <c r="I69" s="855" t="s">
        <v>9011</v>
      </c>
      <c r="J69" s="855" t="s">
        <v>506</v>
      </c>
      <c r="K69" s="855" t="s">
        <v>507</v>
      </c>
      <c r="L69" s="855" t="s">
        <v>9297</v>
      </c>
      <c r="M69" s="855" t="s">
        <v>9298</v>
      </c>
      <c r="N69" s="855" t="s">
        <v>9301</v>
      </c>
      <c r="O69" s="773" t="s">
        <v>7873</v>
      </c>
      <c r="P69" s="773" t="s">
        <v>7875</v>
      </c>
      <c r="Q69" s="787" t="s">
        <v>8428</v>
      </c>
      <c r="R69" s="929" t="str">
        <f>VLOOKUP($Q$63,$A$128:$N$140,6,0)</f>
        <v>Dậu</v>
      </c>
      <c r="S69" s="773" t="str">
        <f ca="1">B124</f>
        <v>Hợi</v>
      </c>
      <c r="T69" s="787">
        <v>7</v>
      </c>
      <c r="U69" s="773" t="s">
        <v>8429</v>
      </c>
      <c r="V69" s="773">
        <f t="shared" ca="1" si="50"/>
        <v>0</v>
      </c>
      <c r="W69" s="773">
        <f t="shared" ca="1" si="74"/>
        <v>0</v>
      </c>
      <c r="X69" s="773">
        <f t="shared" ca="1" si="51"/>
        <v>0</v>
      </c>
      <c r="Y69" s="773">
        <f t="shared" ca="1" si="52"/>
        <v>0</v>
      </c>
      <c r="Z69" s="773">
        <f t="shared" ca="1" si="75"/>
        <v>0</v>
      </c>
      <c r="AA69" s="773">
        <f t="shared" ca="1" si="53"/>
        <v>0</v>
      </c>
      <c r="AB69" s="773">
        <f t="shared" ca="1" si="54"/>
        <v>0</v>
      </c>
      <c r="AC69" s="773">
        <f t="shared" ca="1" si="76"/>
        <v>0</v>
      </c>
      <c r="AD69" s="773">
        <f t="shared" ca="1" si="55"/>
        <v>0</v>
      </c>
      <c r="AE69" s="773">
        <f t="shared" ca="1" si="56"/>
        <v>0</v>
      </c>
      <c r="AF69" s="773">
        <f t="shared" ca="1" si="77"/>
        <v>1</v>
      </c>
      <c r="AG69" s="773">
        <f t="shared" ca="1" si="57"/>
        <v>0</v>
      </c>
      <c r="AH69" s="773">
        <f t="shared" ca="1" si="58"/>
        <v>0</v>
      </c>
      <c r="AI69" s="773">
        <f t="shared" ca="1" si="78"/>
        <v>1</v>
      </c>
      <c r="AJ69" s="773">
        <f t="shared" ca="1" si="59"/>
        <v>0</v>
      </c>
      <c r="AK69" s="773">
        <f t="shared" ca="1" si="60"/>
        <v>0</v>
      </c>
      <c r="AL69" s="773">
        <f t="shared" ca="1" si="79"/>
        <v>1</v>
      </c>
      <c r="AM69" s="773">
        <f t="shared" ca="1" si="61"/>
        <v>0</v>
      </c>
      <c r="AN69" s="773">
        <f t="shared" ca="1" si="62"/>
        <v>0</v>
      </c>
      <c r="AO69" s="773">
        <f t="shared" ca="1" si="80"/>
        <v>1</v>
      </c>
      <c r="AP69" s="773">
        <f t="shared" ca="1" si="63"/>
        <v>0</v>
      </c>
      <c r="AQ69" s="773">
        <f t="shared" ca="1" si="64"/>
        <v>0</v>
      </c>
      <c r="AR69" s="773">
        <f t="shared" ca="1" si="81"/>
        <v>0</v>
      </c>
      <c r="AS69" s="773">
        <f t="shared" ca="1" si="65"/>
        <v>0</v>
      </c>
      <c r="AT69" s="773">
        <f t="shared" ca="1" si="66"/>
        <v>0</v>
      </c>
      <c r="AU69" s="773">
        <f t="shared" ca="1" si="82"/>
        <v>1</v>
      </c>
      <c r="AV69" s="773">
        <f t="shared" ca="1" si="67"/>
        <v>0</v>
      </c>
      <c r="AW69" s="773">
        <f t="shared" ca="1" si="68"/>
        <v>0</v>
      </c>
      <c r="AX69" s="773">
        <f t="shared" ca="1" si="83"/>
        <v>0</v>
      </c>
      <c r="AY69" s="773">
        <f t="shared" ca="1" si="69"/>
        <v>0</v>
      </c>
      <c r="AZ69" s="773">
        <f t="shared" ca="1" si="70"/>
        <v>0</v>
      </c>
      <c r="BA69" s="773">
        <f t="shared" ca="1" si="84"/>
        <v>1</v>
      </c>
      <c r="BB69" s="773">
        <f t="shared" ca="1" si="71"/>
        <v>0</v>
      </c>
      <c r="BC69" s="773">
        <f t="shared" ca="1" si="72"/>
        <v>1</v>
      </c>
      <c r="BD69" s="773">
        <f t="shared" ca="1" si="85"/>
        <v>1</v>
      </c>
      <c r="BE69" s="773">
        <f t="shared" ca="1" si="73"/>
        <v>1</v>
      </c>
      <c r="BF69" s="773" t="str">
        <f t="shared" si="86"/>
        <v>Lộc Tồn</v>
      </c>
      <c r="BX69" s="773">
        <v>1967</v>
      </c>
      <c r="BY69" s="773" t="s">
        <v>7908</v>
      </c>
    </row>
    <row r="70" spans="1:77" ht="15">
      <c r="A70" s="806" t="s">
        <v>7874</v>
      </c>
      <c r="B70" s="855" t="s">
        <v>506</v>
      </c>
      <c r="C70" s="855" t="s">
        <v>9298</v>
      </c>
      <c r="D70" s="855" t="s">
        <v>9299</v>
      </c>
      <c r="E70" s="855" t="s">
        <v>9300</v>
      </c>
      <c r="F70" s="855" t="s">
        <v>9301</v>
      </c>
      <c r="G70" s="855" t="s">
        <v>353</v>
      </c>
      <c r="H70" s="855" t="s">
        <v>1399</v>
      </c>
      <c r="I70" s="855" t="s">
        <v>505</v>
      </c>
      <c r="J70" s="855" t="s">
        <v>9011</v>
      </c>
      <c r="K70" s="855" t="s">
        <v>506</v>
      </c>
      <c r="L70" s="855" t="s">
        <v>507</v>
      </c>
      <c r="M70" s="855" t="s">
        <v>9297</v>
      </c>
      <c r="N70" s="855" t="s">
        <v>1402</v>
      </c>
      <c r="O70" s="773" t="s">
        <v>7882</v>
      </c>
      <c r="P70" s="773" t="s">
        <v>7875</v>
      </c>
      <c r="Q70" s="787" t="s">
        <v>8430</v>
      </c>
      <c r="R70" s="929" t="str">
        <f>VLOOKUP($Q$63,$A$128:$N$140,14,0)</f>
        <v>tỵ</v>
      </c>
      <c r="S70" s="773" t="str">
        <f ca="1">N125</f>
        <v>Thìn</v>
      </c>
      <c r="T70" s="787">
        <v>8</v>
      </c>
      <c r="U70" s="773" t="s">
        <v>8431</v>
      </c>
      <c r="V70" s="773">
        <f t="shared" ca="1" si="50"/>
        <v>0</v>
      </c>
      <c r="W70" s="773">
        <f t="shared" ca="1" si="74"/>
        <v>0</v>
      </c>
      <c r="X70" s="773">
        <f t="shared" ca="1" si="51"/>
        <v>0</v>
      </c>
      <c r="Y70" s="773">
        <f t="shared" ca="1" si="52"/>
        <v>0</v>
      </c>
      <c r="Z70" s="773">
        <f t="shared" ca="1" si="75"/>
        <v>0</v>
      </c>
      <c r="AA70" s="773">
        <f t="shared" ca="1" si="53"/>
        <v>0</v>
      </c>
      <c r="AB70" s="773">
        <f t="shared" ca="1" si="54"/>
        <v>0</v>
      </c>
      <c r="AC70" s="773">
        <f t="shared" ca="1" si="76"/>
        <v>0</v>
      </c>
      <c r="AD70" s="773">
        <f t="shared" ca="1" si="55"/>
        <v>0</v>
      </c>
      <c r="AE70" s="773">
        <f t="shared" ca="1" si="56"/>
        <v>0</v>
      </c>
      <c r="AF70" s="773">
        <f t="shared" ca="1" si="77"/>
        <v>1</v>
      </c>
      <c r="AG70" s="773">
        <f t="shared" ca="1" si="57"/>
        <v>0</v>
      </c>
      <c r="AH70" s="773">
        <f t="shared" ca="1" si="58"/>
        <v>1</v>
      </c>
      <c r="AI70" s="773">
        <f t="shared" ca="1" si="78"/>
        <v>2</v>
      </c>
      <c r="AJ70" s="773">
        <f t="shared" ca="1" si="59"/>
        <v>2</v>
      </c>
      <c r="AK70" s="773">
        <f t="shared" ca="1" si="60"/>
        <v>0</v>
      </c>
      <c r="AL70" s="773">
        <f t="shared" ca="1" si="79"/>
        <v>1</v>
      </c>
      <c r="AM70" s="773">
        <f t="shared" ca="1" si="61"/>
        <v>0</v>
      </c>
      <c r="AN70" s="773">
        <f t="shared" ca="1" si="62"/>
        <v>0</v>
      </c>
      <c r="AO70" s="773">
        <f t="shared" ca="1" si="80"/>
        <v>1</v>
      </c>
      <c r="AP70" s="773">
        <f t="shared" ca="1" si="63"/>
        <v>0</v>
      </c>
      <c r="AQ70" s="773">
        <f t="shared" ca="1" si="64"/>
        <v>0</v>
      </c>
      <c r="AR70" s="773">
        <f t="shared" ca="1" si="81"/>
        <v>0</v>
      </c>
      <c r="AS70" s="773">
        <f t="shared" ca="1" si="65"/>
        <v>0</v>
      </c>
      <c r="AT70" s="773">
        <f t="shared" ca="1" si="66"/>
        <v>0</v>
      </c>
      <c r="AU70" s="773">
        <f t="shared" ca="1" si="82"/>
        <v>1</v>
      </c>
      <c r="AV70" s="773">
        <f t="shared" ca="1" si="67"/>
        <v>0</v>
      </c>
      <c r="AW70" s="773">
        <f t="shared" ca="1" si="68"/>
        <v>0</v>
      </c>
      <c r="AX70" s="773">
        <f t="shared" ca="1" si="83"/>
        <v>0</v>
      </c>
      <c r="AY70" s="773">
        <f t="shared" ca="1" si="69"/>
        <v>0</v>
      </c>
      <c r="AZ70" s="773">
        <f t="shared" ca="1" si="70"/>
        <v>0</v>
      </c>
      <c r="BA70" s="773">
        <f t="shared" ca="1" si="84"/>
        <v>1</v>
      </c>
      <c r="BB70" s="773">
        <f t="shared" ca="1" si="71"/>
        <v>0</v>
      </c>
      <c r="BC70" s="773">
        <f t="shared" ca="1" si="72"/>
        <v>0</v>
      </c>
      <c r="BD70" s="773">
        <f t="shared" ca="1" si="85"/>
        <v>1</v>
      </c>
      <c r="BE70" s="773">
        <f t="shared" ca="1" si="73"/>
        <v>0</v>
      </c>
      <c r="BF70" s="773" t="str">
        <f t="shared" si="86"/>
        <v>Hóa Lộc</v>
      </c>
      <c r="BX70" s="773">
        <v>1968</v>
      </c>
      <c r="BY70" s="773" t="s">
        <v>7909</v>
      </c>
    </row>
    <row r="71" spans="1:77" ht="15">
      <c r="A71" s="806" t="s">
        <v>7873</v>
      </c>
      <c r="B71" s="855" t="s">
        <v>507</v>
      </c>
      <c r="C71" s="855" t="s">
        <v>9299</v>
      </c>
      <c r="D71" s="855" t="s">
        <v>9300</v>
      </c>
      <c r="E71" s="855" t="s">
        <v>1402</v>
      </c>
      <c r="F71" s="855" t="s">
        <v>353</v>
      </c>
      <c r="G71" s="855" t="s">
        <v>9301</v>
      </c>
      <c r="H71" s="855" t="s">
        <v>353</v>
      </c>
      <c r="I71" s="855" t="s">
        <v>1399</v>
      </c>
      <c r="J71" s="855" t="s">
        <v>505</v>
      </c>
      <c r="K71" s="855" t="s">
        <v>9011</v>
      </c>
      <c r="L71" s="855" t="s">
        <v>506</v>
      </c>
      <c r="M71" s="855" t="s">
        <v>507</v>
      </c>
      <c r="N71" s="855" t="s">
        <v>9300</v>
      </c>
      <c r="O71" s="773" t="s">
        <v>7871</v>
      </c>
      <c r="P71" s="773" t="s">
        <v>7882</v>
      </c>
      <c r="Q71" s="787" t="s">
        <v>8432</v>
      </c>
      <c r="R71" s="929" t="str">
        <f>VLOOKUP($Q$63,$A$187:$J$200,4,0)</f>
        <v>tỵ</v>
      </c>
      <c r="S71" s="773" t="str">
        <f ca="1">B95</f>
        <v>Thìn</v>
      </c>
      <c r="T71" s="787">
        <v>9</v>
      </c>
      <c r="U71" s="773" t="s">
        <v>8292</v>
      </c>
      <c r="V71" s="773">
        <f t="shared" ca="1" si="50"/>
        <v>0</v>
      </c>
      <c r="W71" s="773">
        <f t="shared" ca="1" si="74"/>
        <v>0</v>
      </c>
      <c r="X71" s="773">
        <f t="shared" ca="1" si="51"/>
        <v>0</v>
      </c>
      <c r="Y71" s="773">
        <f t="shared" ca="1" si="52"/>
        <v>0</v>
      </c>
      <c r="Z71" s="773">
        <f t="shared" ca="1" si="75"/>
        <v>0</v>
      </c>
      <c r="AA71" s="773">
        <f t="shared" ca="1" si="53"/>
        <v>0</v>
      </c>
      <c r="AB71" s="773">
        <f t="shared" ca="1" si="54"/>
        <v>0</v>
      </c>
      <c r="AC71" s="773">
        <f t="shared" ca="1" si="76"/>
        <v>0</v>
      </c>
      <c r="AD71" s="773">
        <f t="shared" ca="1" si="55"/>
        <v>0</v>
      </c>
      <c r="AE71" s="773">
        <f t="shared" ca="1" si="56"/>
        <v>0</v>
      </c>
      <c r="AF71" s="773">
        <f t="shared" ca="1" si="77"/>
        <v>1</v>
      </c>
      <c r="AG71" s="773">
        <f t="shared" ca="1" si="57"/>
        <v>0</v>
      </c>
      <c r="AH71" s="773">
        <f t="shared" ca="1" si="58"/>
        <v>1</v>
      </c>
      <c r="AI71" s="773">
        <f t="shared" ca="1" si="78"/>
        <v>3</v>
      </c>
      <c r="AJ71" s="773">
        <f t="shared" ca="1" si="59"/>
        <v>3</v>
      </c>
      <c r="AK71" s="773">
        <f t="shared" ca="1" si="60"/>
        <v>0</v>
      </c>
      <c r="AL71" s="773">
        <f t="shared" ca="1" si="79"/>
        <v>1</v>
      </c>
      <c r="AM71" s="773">
        <f t="shared" ca="1" si="61"/>
        <v>0</v>
      </c>
      <c r="AN71" s="773">
        <f t="shared" ca="1" si="62"/>
        <v>0</v>
      </c>
      <c r="AO71" s="773">
        <f t="shared" ca="1" si="80"/>
        <v>1</v>
      </c>
      <c r="AP71" s="773">
        <f t="shared" ca="1" si="63"/>
        <v>0</v>
      </c>
      <c r="AQ71" s="773">
        <f t="shared" ca="1" si="64"/>
        <v>0</v>
      </c>
      <c r="AR71" s="773">
        <f t="shared" ca="1" si="81"/>
        <v>0</v>
      </c>
      <c r="AS71" s="773">
        <f t="shared" ca="1" si="65"/>
        <v>0</v>
      </c>
      <c r="AT71" s="773">
        <f t="shared" ca="1" si="66"/>
        <v>0</v>
      </c>
      <c r="AU71" s="773">
        <f t="shared" ca="1" si="82"/>
        <v>1</v>
      </c>
      <c r="AV71" s="773">
        <f t="shared" ca="1" si="67"/>
        <v>0</v>
      </c>
      <c r="AW71" s="773">
        <f t="shared" ca="1" si="68"/>
        <v>0</v>
      </c>
      <c r="AX71" s="773">
        <f t="shared" ca="1" si="83"/>
        <v>0</v>
      </c>
      <c r="AY71" s="773">
        <f t="shared" ca="1" si="69"/>
        <v>0</v>
      </c>
      <c r="AZ71" s="773">
        <f t="shared" ca="1" si="70"/>
        <v>0</v>
      </c>
      <c r="BA71" s="773">
        <f t="shared" ca="1" si="84"/>
        <v>1</v>
      </c>
      <c r="BB71" s="773">
        <f t="shared" ca="1" si="71"/>
        <v>0</v>
      </c>
      <c r="BC71" s="773">
        <f t="shared" ca="1" si="72"/>
        <v>0</v>
      </c>
      <c r="BD71" s="773">
        <f t="shared" ca="1" si="85"/>
        <v>1</v>
      </c>
      <c r="BE71" s="773">
        <f t="shared" ca="1" si="73"/>
        <v>0</v>
      </c>
      <c r="BF71" s="773" t="str">
        <f t="shared" si="86"/>
        <v>Tả Phù</v>
      </c>
      <c r="BX71" s="773">
        <v>1969</v>
      </c>
      <c r="BY71" s="773" t="s">
        <v>7910</v>
      </c>
    </row>
    <row r="72" spans="1:77" ht="30">
      <c r="A72" s="806" t="s">
        <v>7872</v>
      </c>
      <c r="B72" s="855" t="s">
        <v>9297</v>
      </c>
      <c r="C72" s="855" t="s">
        <v>9300</v>
      </c>
      <c r="D72" s="855" t="s">
        <v>1402</v>
      </c>
      <c r="E72" s="855" t="s">
        <v>9301</v>
      </c>
      <c r="F72" s="855" t="s">
        <v>1399</v>
      </c>
      <c r="G72" s="855" t="s">
        <v>1402</v>
      </c>
      <c r="H72" s="855" t="s">
        <v>9301</v>
      </c>
      <c r="I72" s="855" t="s">
        <v>353</v>
      </c>
      <c r="J72" s="855" t="s">
        <v>1399</v>
      </c>
      <c r="K72" s="855" t="s">
        <v>505</v>
      </c>
      <c r="L72" s="855" t="s">
        <v>9011</v>
      </c>
      <c r="M72" s="855" t="s">
        <v>506</v>
      </c>
      <c r="N72" s="855" t="s">
        <v>9299</v>
      </c>
      <c r="O72" s="773" t="s">
        <v>7886</v>
      </c>
      <c r="P72" s="773" t="s">
        <v>7882</v>
      </c>
      <c r="Q72" s="787" t="s">
        <v>8433</v>
      </c>
      <c r="R72" s="929" t="str">
        <f>VLOOKUP($Q$63,$A$187:$J$200,10,0)</f>
        <v>Hợi</v>
      </c>
      <c r="S72" s="773" t="str">
        <f ca="1">C95</f>
        <v>Tuất</v>
      </c>
      <c r="T72" s="787">
        <v>10</v>
      </c>
      <c r="U72" s="773" t="s">
        <v>8300</v>
      </c>
      <c r="V72" s="773">
        <f t="shared" ca="1" si="50"/>
        <v>0</v>
      </c>
      <c r="W72" s="773">
        <f t="shared" ca="1" si="74"/>
        <v>0</v>
      </c>
      <c r="X72" s="773">
        <f t="shared" ca="1" si="51"/>
        <v>0</v>
      </c>
      <c r="Y72" s="773">
        <f t="shared" ca="1" si="52"/>
        <v>0</v>
      </c>
      <c r="Z72" s="773">
        <f t="shared" ca="1" si="75"/>
        <v>0</v>
      </c>
      <c r="AA72" s="773">
        <f t="shared" ca="1" si="53"/>
        <v>0</v>
      </c>
      <c r="AB72" s="773">
        <f t="shared" ca="1" si="54"/>
        <v>0</v>
      </c>
      <c r="AC72" s="773">
        <f t="shared" ca="1" si="76"/>
        <v>0</v>
      </c>
      <c r="AD72" s="773">
        <f t="shared" ca="1" si="55"/>
        <v>0</v>
      </c>
      <c r="AE72" s="773">
        <f t="shared" ca="1" si="56"/>
        <v>0</v>
      </c>
      <c r="AF72" s="773">
        <f t="shared" ca="1" si="77"/>
        <v>1</v>
      </c>
      <c r="AG72" s="773">
        <f t="shared" ca="1" si="57"/>
        <v>0</v>
      </c>
      <c r="AH72" s="773">
        <f t="shared" ca="1" si="58"/>
        <v>0</v>
      </c>
      <c r="AI72" s="773">
        <f t="shared" ca="1" si="78"/>
        <v>3</v>
      </c>
      <c r="AJ72" s="773">
        <f t="shared" ca="1" si="59"/>
        <v>0</v>
      </c>
      <c r="AK72" s="773">
        <f t="shared" ca="1" si="60"/>
        <v>0</v>
      </c>
      <c r="AL72" s="773">
        <f t="shared" ca="1" si="79"/>
        <v>1</v>
      </c>
      <c r="AM72" s="773">
        <f t="shared" ca="1" si="61"/>
        <v>0</v>
      </c>
      <c r="AN72" s="773">
        <f t="shared" ca="1" si="62"/>
        <v>0</v>
      </c>
      <c r="AO72" s="773">
        <f t="shared" ca="1" si="80"/>
        <v>1</v>
      </c>
      <c r="AP72" s="773">
        <f t="shared" ca="1" si="63"/>
        <v>0</v>
      </c>
      <c r="AQ72" s="773">
        <f t="shared" ca="1" si="64"/>
        <v>0</v>
      </c>
      <c r="AR72" s="773">
        <f t="shared" ca="1" si="81"/>
        <v>0</v>
      </c>
      <c r="AS72" s="773">
        <f t="shared" ca="1" si="65"/>
        <v>0</v>
      </c>
      <c r="AT72" s="773">
        <f t="shared" ca="1" si="66"/>
        <v>0</v>
      </c>
      <c r="AU72" s="773">
        <f t="shared" ca="1" si="82"/>
        <v>1</v>
      </c>
      <c r="AV72" s="773">
        <f t="shared" ca="1" si="67"/>
        <v>0</v>
      </c>
      <c r="AW72" s="773">
        <f t="shared" ca="1" si="68"/>
        <v>0</v>
      </c>
      <c r="AX72" s="773">
        <f t="shared" ca="1" si="83"/>
        <v>0</v>
      </c>
      <c r="AY72" s="773">
        <f t="shared" ca="1" si="69"/>
        <v>0</v>
      </c>
      <c r="AZ72" s="773">
        <f t="shared" ca="1" si="70"/>
        <v>1</v>
      </c>
      <c r="BA72" s="773">
        <f t="shared" ca="1" si="84"/>
        <v>2</v>
      </c>
      <c r="BB72" s="773">
        <f t="shared" ca="1" si="71"/>
        <v>2</v>
      </c>
      <c r="BC72" s="773">
        <f t="shared" ca="1" si="72"/>
        <v>0</v>
      </c>
      <c r="BD72" s="773">
        <f t="shared" ca="1" si="85"/>
        <v>1</v>
      </c>
      <c r="BE72" s="773">
        <f t="shared" ca="1" si="73"/>
        <v>0</v>
      </c>
      <c r="BF72" s="773" t="str">
        <f t="shared" si="86"/>
        <v>Hữu Bật</v>
      </c>
      <c r="BX72" s="773">
        <v>1970</v>
      </c>
      <c r="BY72" s="773" t="s">
        <v>7913</v>
      </c>
    </row>
    <row r="73" spans="1:77" ht="15">
      <c r="A73" s="806" t="s">
        <v>7871</v>
      </c>
      <c r="B73" s="855" t="s">
        <v>9298</v>
      </c>
      <c r="C73" s="855" t="s">
        <v>1402</v>
      </c>
      <c r="D73" s="855" t="s">
        <v>9301</v>
      </c>
      <c r="E73" s="855" t="s">
        <v>353</v>
      </c>
      <c r="F73" s="855" t="s">
        <v>505</v>
      </c>
      <c r="G73" s="855" t="s">
        <v>9300</v>
      </c>
      <c r="H73" s="855" t="s">
        <v>1402</v>
      </c>
      <c r="I73" s="855" t="s">
        <v>9301</v>
      </c>
      <c r="J73" s="855" t="s">
        <v>353</v>
      </c>
      <c r="K73" s="855" t="s">
        <v>1399</v>
      </c>
      <c r="L73" s="855" t="s">
        <v>505</v>
      </c>
      <c r="M73" s="855" t="s">
        <v>9011</v>
      </c>
      <c r="N73" s="855" t="s">
        <v>9298</v>
      </c>
      <c r="O73" s="773" t="s">
        <v>7875</v>
      </c>
      <c r="P73" s="773" t="s">
        <v>7882</v>
      </c>
      <c r="S73" s="773" t="str">
        <f ca="1">O125</f>
        <v>tỵ</v>
      </c>
      <c r="T73" s="787">
        <v>11</v>
      </c>
      <c r="U73" s="773" t="s">
        <v>8434</v>
      </c>
      <c r="V73" s="773">
        <f t="shared" ca="1" si="50"/>
        <v>0</v>
      </c>
      <c r="W73" s="773">
        <f t="shared" ca="1" si="74"/>
        <v>0</v>
      </c>
      <c r="X73" s="773">
        <f t="shared" ca="1" si="51"/>
        <v>0</v>
      </c>
      <c r="Y73" s="773">
        <f t="shared" ca="1" si="52"/>
        <v>0</v>
      </c>
      <c r="Z73" s="773">
        <f t="shared" ca="1" si="75"/>
        <v>0</v>
      </c>
      <c r="AA73" s="773">
        <f t="shared" ca="1" si="53"/>
        <v>0</v>
      </c>
      <c r="AB73" s="773">
        <f t="shared" ca="1" si="54"/>
        <v>0</v>
      </c>
      <c r="AC73" s="773">
        <f t="shared" ca="1" si="76"/>
        <v>0</v>
      </c>
      <c r="AD73" s="773">
        <f t="shared" ca="1" si="55"/>
        <v>0</v>
      </c>
      <c r="AE73" s="773">
        <f t="shared" ca="1" si="56"/>
        <v>0</v>
      </c>
      <c r="AF73" s="773">
        <f t="shared" ca="1" si="77"/>
        <v>1</v>
      </c>
      <c r="AG73" s="773">
        <f t="shared" ca="1" si="57"/>
        <v>0</v>
      </c>
      <c r="AH73" s="773">
        <f t="shared" ca="1" si="58"/>
        <v>0</v>
      </c>
      <c r="AI73" s="773">
        <f t="shared" ca="1" si="78"/>
        <v>3</v>
      </c>
      <c r="AJ73" s="773">
        <f t="shared" ca="1" si="59"/>
        <v>0</v>
      </c>
      <c r="AK73" s="773">
        <f t="shared" ca="1" si="60"/>
        <v>1</v>
      </c>
      <c r="AL73" s="773">
        <f t="shared" ca="1" si="79"/>
        <v>2</v>
      </c>
      <c r="AM73" s="773">
        <f t="shared" ca="1" si="61"/>
        <v>2</v>
      </c>
      <c r="AN73" s="773">
        <f t="shared" ca="1" si="62"/>
        <v>0</v>
      </c>
      <c r="AO73" s="773">
        <f t="shared" ca="1" si="80"/>
        <v>1</v>
      </c>
      <c r="AP73" s="773">
        <f t="shared" ca="1" si="63"/>
        <v>0</v>
      </c>
      <c r="AQ73" s="773">
        <f t="shared" ca="1" si="64"/>
        <v>0</v>
      </c>
      <c r="AR73" s="773">
        <f t="shared" ca="1" si="81"/>
        <v>0</v>
      </c>
      <c r="AS73" s="773">
        <f t="shared" ca="1" si="65"/>
        <v>0</v>
      </c>
      <c r="AT73" s="773">
        <f t="shared" ca="1" si="66"/>
        <v>0</v>
      </c>
      <c r="AU73" s="773">
        <f t="shared" ca="1" si="82"/>
        <v>1</v>
      </c>
      <c r="AV73" s="773">
        <f t="shared" ca="1" si="67"/>
        <v>0</v>
      </c>
      <c r="AW73" s="773">
        <f t="shared" ca="1" si="68"/>
        <v>0</v>
      </c>
      <c r="AX73" s="773">
        <f t="shared" ca="1" si="83"/>
        <v>0</v>
      </c>
      <c r="AY73" s="773">
        <f t="shared" ca="1" si="69"/>
        <v>0</v>
      </c>
      <c r="AZ73" s="773">
        <f t="shared" ca="1" si="70"/>
        <v>0</v>
      </c>
      <c r="BA73" s="773">
        <f t="shared" ca="1" si="84"/>
        <v>2</v>
      </c>
      <c r="BB73" s="773">
        <f t="shared" ca="1" si="71"/>
        <v>0</v>
      </c>
      <c r="BC73" s="773">
        <f t="shared" ca="1" si="72"/>
        <v>0</v>
      </c>
      <c r="BD73" s="773">
        <f t="shared" ca="1" si="85"/>
        <v>1</v>
      </c>
      <c r="BE73" s="773">
        <f t="shared" ca="1" si="73"/>
        <v>0</v>
      </c>
      <c r="BF73" s="773" t="str">
        <f t="shared" si="86"/>
        <v>Hóa Quyền</v>
      </c>
      <c r="BX73" s="773">
        <v>1971</v>
      </c>
      <c r="BY73" s="773" t="s">
        <v>7914</v>
      </c>
    </row>
    <row r="74" spans="1:77" ht="15">
      <c r="A74" s="806" t="s">
        <v>7883</v>
      </c>
      <c r="B74" s="855" t="s">
        <v>9299</v>
      </c>
      <c r="C74" s="855" t="s">
        <v>9301</v>
      </c>
      <c r="D74" s="855" t="s">
        <v>353</v>
      </c>
      <c r="E74" s="855" t="s">
        <v>1399</v>
      </c>
      <c r="F74" s="855" t="s">
        <v>9011</v>
      </c>
      <c r="G74" s="855" t="s">
        <v>9299</v>
      </c>
      <c r="H74" s="855" t="s">
        <v>9300</v>
      </c>
      <c r="I74" s="855" t="s">
        <v>1402</v>
      </c>
      <c r="J74" s="855" t="s">
        <v>9301</v>
      </c>
      <c r="K74" s="855" t="s">
        <v>353</v>
      </c>
      <c r="L74" s="855" t="s">
        <v>1399</v>
      </c>
      <c r="M74" s="855" t="s">
        <v>505</v>
      </c>
      <c r="N74" s="855" t="s">
        <v>9297</v>
      </c>
      <c r="S74" s="773" t="str">
        <f ca="1">P125</f>
        <v>Thìn</v>
      </c>
      <c r="T74" s="787">
        <v>12</v>
      </c>
      <c r="U74" s="773" t="s">
        <v>8435</v>
      </c>
      <c r="V74" s="773">
        <f t="shared" ca="1" si="50"/>
        <v>0</v>
      </c>
      <c r="W74" s="773">
        <f t="shared" ca="1" si="74"/>
        <v>0</v>
      </c>
      <c r="X74" s="773">
        <f t="shared" ca="1" si="51"/>
        <v>0</v>
      </c>
      <c r="Y74" s="773">
        <f t="shared" ca="1" si="52"/>
        <v>0</v>
      </c>
      <c r="Z74" s="773">
        <f t="shared" ca="1" si="75"/>
        <v>0</v>
      </c>
      <c r="AA74" s="773">
        <f t="shared" ca="1" si="53"/>
        <v>0</v>
      </c>
      <c r="AB74" s="773">
        <f t="shared" ca="1" si="54"/>
        <v>0</v>
      </c>
      <c r="AC74" s="773">
        <f t="shared" ca="1" si="76"/>
        <v>0</v>
      </c>
      <c r="AD74" s="773">
        <f t="shared" ca="1" si="55"/>
        <v>0</v>
      </c>
      <c r="AE74" s="773">
        <f t="shared" ca="1" si="56"/>
        <v>0</v>
      </c>
      <c r="AF74" s="773">
        <f t="shared" ca="1" si="77"/>
        <v>1</v>
      </c>
      <c r="AG74" s="773">
        <f t="shared" ca="1" si="57"/>
        <v>0</v>
      </c>
      <c r="AH74" s="773">
        <f t="shared" ca="1" si="58"/>
        <v>1</v>
      </c>
      <c r="AI74" s="773">
        <f t="shared" ca="1" si="78"/>
        <v>4</v>
      </c>
      <c r="AJ74" s="773">
        <f t="shared" ca="1" si="59"/>
        <v>4</v>
      </c>
      <c r="AK74" s="773">
        <f t="shared" ca="1" si="60"/>
        <v>0</v>
      </c>
      <c r="AL74" s="773">
        <f t="shared" ca="1" si="79"/>
        <v>2</v>
      </c>
      <c r="AM74" s="773">
        <f t="shared" ca="1" si="61"/>
        <v>0</v>
      </c>
      <c r="AN74" s="773">
        <f t="shared" ca="1" si="62"/>
        <v>0</v>
      </c>
      <c r="AO74" s="773">
        <f t="shared" ca="1" si="80"/>
        <v>1</v>
      </c>
      <c r="AP74" s="773">
        <f t="shared" ca="1" si="63"/>
        <v>0</v>
      </c>
      <c r="AQ74" s="773">
        <f t="shared" ca="1" si="64"/>
        <v>0</v>
      </c>
      <c r="AR74" s="773">
        <f t="shared" ca="1" si="81"/>
        <v>0</v>
      </c>
      <c r="AS74" s="773">
        <f t="shared" ca="1" si="65"/>
        <v>0</v>
      </c>
      <c r="AT74" s="773">
        <f t="shared" ca="1" si="66"/>
        <v>0</v>
      </c>
      <c r="AU74" s="773">
        <f t="shared" ca="1" si="82"/>
        <v>1</v>
      </c>
      <c r="AV74" s="773">
        <f t="shared" ca="1" si="67"/>
        <v>0</v>
      </c>
      <c r="AW74" s="773">
        <f t="shared" ca="1" si="68"/>
        <v>0</v>
      </c>
      <c r="AX74" s="773">
        <f t="shared" ca="1" si="83"/>
        <v>0</v>
      </c>
      <c r="AY74" s="773">
        <f t="shared" ca="1" si="69"/>
        <v>0</v>
      </c>
      <c r="AZ74" s="773">
        <f t="shared" ca="1" si="70"/>
        <v>0</v>
      </c>
      <c r="BA74" s="773">
        <f t="shared" ca="1" si="84"/>
        <v>2</v>
      </c>
      <c r="BB74" s="773">
        <f t="shared" ca="1" si="71"/>
        <v>0</v>
      </c>
      <c r="BC74" s="773">
        <f t="shared" ca="1" si="72"/>
        <v>0</v>
      </c>
      <c r="BD74" s="773">
        <f t="shared" ca="1" si="85"/>
        <v>1</v>
      </c>
      <c r="BE74" s="773">
        <f t="shared" ca="1" si="73"/>
        <v>0</v>
      </c>
      <c r="BF74" s="773" t="str">
        <f t="shared" si="86"/>
        <v>Hóa Khoa</v>
      </c>
      <c r="BX74" s="773">
        <v>1972</v>
      </c>
      <c r="BY74" s="773" t="s">
        <v>7915</v>
      </c>
    </row>
    <row r="75" spans="1:77" ht="15">
      <c r="A75" s="806" t="s">
        <v>7882</v>
      </c>
      <c r="B75" s="855" t="s">
        <v>9300</v>
      </c>
      <c r="C75" s="855" t="s">
        <v>353</v>
      </c>
      <c r="D75" s="855" t="s">
        <v>1399</v>
      </c>
      <c r="E75" s="855" t="s">
        <v>505</v>
      </c>
      <c r="F75" s="855" t="s">
        <v>506</v>
      </c>
      <c r="G75" s="855" t="s">
        <v>9298</v>
      </c>
      <c r="H75" s="855" t="s">
        <v>9299</v>
      </c>
      <c r="I75" s="855" t="s">
        <v>9300</v>
      </c>
      <c r="J75" s="855" t="s">
        <v>1402</v>
      </c>
      <c r="K75" s="855" t="s">
        <v>9301</v>
      </c>
      <c r="L75" s="855" t="s">
        <v>353</v>
      </c>
      <c r="M75" s="855" t="s">
        <v>1399</v>
      </c>
      <c r="N75" s="855" t="s">
        <v>507</v>
      </c>
      <c r="O75" s="929" t="str">
        <f ca="1">VLOOKUP(G17,O62:P73,2,0)</f>
        <v>thìn</v>
      </c>
      <c r="S75" s="773" t="str">
        <f ca="1">B142</f>
        <v>Tuất</v>
      </c>
      <c r="T75" s="787">
        <v>13</v>
      </c>
      <c r="U75" s="773" t="s">
        <v>8436</v>
      </c>
      <c r="V75" s="773">
        <f t="shared" ca="1" si="50"/>
        <v>0</v>
      </c>
      <c r="W75" s="773">
        <f t="shared" ca="1" si="74"/>
        <v>0</v>
      </c>
      <c r="X75" s="773">
        <f t="shared" ca="1" si="51"/>
        <v>0</v>
      </c>
      <c r="Y75" s="773">
        <f t="shared" ca="1" si="52"/>
        <v>0</v>
      </c>
      <c r="Z75" s="773">
        <f t="shared" ca="1" si="75"/>
        <v>0</v>
      </c>
      <c r="AA75" s="773">
        <f t="shared" ca="1" si="53"/>
        <v>0</v>
      </c>
      <c r="AB75" s="773">
        <f t="shared" ca="1" si="54"/>
        <v>0</v>
      </c>
      <c r="AC75" s="773">
        <f t="shared" ca="1" si="76"/>
        <v>0</v>
      </c>
      <c r="AD75" s="773">
        <f t="shared" ca="1" si="55"/>
        <v>0</v>
      </c>
      <c r="AE75" s="773">
        <f t="shared" ca="1" si="56"/>
        <v>0</v>
      </c>
      <c r="AF75" s="773">
        <f t="shared" ca="1" si="77"/>
        <v>1</v>
      </c>
      <c r="AG75" s="773">
        <f t="shared" ca="1" si="57"/>
        <v>0</v>
      </c>
      <c r="AH75" s="773">
        <f t="shared" ca="1" si="58"/>
        <v>0</v>
      </c>
      <c r="AI75" s="773">
        <f t="shared" ca="1" si="78"/>
        <v>4</v>
      </c>
      <c r="AJ75" s="773">
        <f t="shared" ca="1" si="59"/>
        <v>0</v>
      </c>
      <c r="AK75" s="773">
        <f t="shared" ca="1" si="60"/>
        <v>0</v>
      </c>
      <c r="AL75" s="773">
        <f t="shared" ca="1" si="79"/>
        <v>2</v>
      </c>
      <c r="AM75" s="773">
        <f t="shared" ca="1" si="61"/>
        <v>0</v>
      </c>
      <c r="AN75" s="773">
        <f t="shared" ca="1" si="62"/>
        <v>0</v>
      </c>
      <c r="AO75" s="773">
        <f t="shared" ca="1" si="80"/>
        <v>1</v>
      </c>
      <c r="AP75" s="773">
        <f t="shared" ca="1" si="63"/>
        <v>0</v>
      </c>
      <c r="AQ75" s="773">
        <f t="shared" ca="1" si="64"/>
        <v>0</v>
      </c>
      <c r="AR75" s="773">
        <f t="shared" ca="1" si="81"/>
        <v>0</v>
      </c>
      <c r="AS75" s="773">
        <f t="shared" ca="1" si="65"/>
        <v>0</v>
      </c>
      <c r="AT75" s="773">
        <f t="shared" ca="1" si="66"/>
        <v>0</v>
      </c>
      <c r="AU75" s="773">
        <f t="shared" ca="1" si="82"/>
        <v>1</v>
      </c>
      <c r="AV75" s="773">
        <f t="shared" ca="1" si="67"/>
        <v>0</v>
      </c>
      <c r="AW75" s="773">
        <f t="shared" ca="1" si="68"/>
        <v>0</v>
      </c>
      <c r="AX75" s="773">
        <f t="shared" ca="1" si="83"/>
        <v>0</v>
      </c>
      <c r="AY75" s="773">
        <f t="shared" ca="1" si="69"/>
        <v>0</v>
      </c>
      <c r="AZ75" s="773">
        <f t="shared" ca="1" si="70"/>
        <v>1</v>
      </c>
      <c r="BA75" s="773">
        <f t="shared" ca="1" si="84"/>
        <v>3</v>
      </c>
      <c r="BB75" s="773">
        <f t="shared" ca="1" si="71"/>
        <v>3</v>
      </c>
      <c r="BC75" s="773">
        <f t="shared" ca="1" si="72"/>
        <v>0</v>
      </c>
      <c r="BD75" s="773">
        <f t="shared" ca="1" si="85"/>
        <v>1</v>
      </c>
      <c r="BE75" s="773">
        <f t="shared" ca="1" si="73"/>
        <v>0</v>
      </c>
      <c r="BF75" s="773" t="str">
        <f t="shared" si="86"/>
        <v>Long Trì</v>
      </c>
      <c r="BX75" s="773">
        <v>1973</v>
      </c>
      <c r="BY75" s="773" t="s">
        <v>7916</v>
      </c>
    </row>
    <row r="76" spans="1:77" ht="13.5" customHeight="1">
      <c r="A76" s="806" t="s">
        <v>7887</v>
      </c>
      <c r="B76" s="855" t="s">
        <v>1402</v>
      </c>
      <c r="C76" s="855" t="s">
        <v>1399</v>
      </c>
      <c r="D76" s="855" t="s">
        <v>505</v>
      </c>
      <c r="E76" s="855" t="s">
        <v>9011</v>
      </c>
      <c r="F76" s="855" t="s">
        <v>507</v>
      </c>
      <c r="G76" s="855" t="s">
        <v>9297</v>
      </c>
      <c r="H76" s="855" t="s">
        <v>9298</v>
      </c>
      <c r="I76" s="855" t="s">
        <v>9299</v>
      </c>
      <c r="J76" s="855" t="s">
        <v>9300</v>
      </c>
      <c r="K76" s="855" t="s">
        <v>1402</v>
      </c>
      <c r="L76" s="855" t="s">
        <v>9301</v>
      </c>
      <c r="M76" s="855" t="s">
        <v>353</v>
      </c>
      <c r="N76" s="855" t="s">
        <v>506</v>
      </c>
      <c r="O76" s="929">
        <f ca="1">VLOOKUP(G17,$N$49:$O$60,2,0)</f>
        <v>7</v>
      </c>
      <c r="S76" s="773" t="str">
        <f ca="1">C142</f>
        <v>Thìn</v>
      </c>
      <c r="T76" s="787">
        <v>14</v>
      </c>
      <c r="U76" s="856" t="s">
        <v>8437</v>
      </c>
      <c r="V76" s="773">
        <f t="shared" ca="1" si="50"/>
        <v>0</v>
      </c>
      <c r="W76" s="773">
        <f t="shared" ca="1" si="74"/>
        <v>0</v>
      </c>
      <c r="X76" s="773">
        <f t="shared" ca="1" si="51"/>
        <v>0</v>
      </c>
      <c r="Y76" s="773">
        <f t="shared" ca="1" si="52"/>
        <v>0</v>
      </c>
      <c r="Z76" s="773">
        <f t="shared" ca="1" si="75"/>
        <v>0</v>
      </c>
      <c r="AA76" s="773">
        <f t="shared" ca="1" si="53"/>
        <v>0</v>
      </c>
      <c r="AB76" s="773">
        <f t="shared" ca="1" si="54"/>
        <v>0</v>
      </c>
      <c r="AC76" s="773">
        <f t="shared" ca="1" si="76"/>
        <v>0</v>
      </c>
      <c r="AD76" s="773">
        <f t="shared" ca="1" si="55"/>
        <v>0</v>
      </c>
      <c r="AE76" s="773">
        <f t="shared" ca="1" si="56"/>
        <v>0</v>
      </c>
      <c r="AF76" s="773">
        <f t="shared" ca="1" si="77"/>
        <v>1</v>
      </c>
      <c r="AG76" s="773">
        <f t="shared" ca="1" si="57"/>
        <v>0</v>
      </c>
      <c r="AH76" s="773">
        <f t="shared" ca="1" si="58"/>
        <v>1</v>
      </c>
      <c r="AI76" s="773">
        <f t="shared" ca="1" si="78"/>
        <v>5</v>
      </c>
      <c r="AJ76" s="773">
        <f t="shared" ca="1" si="59"/>
        <v>5</v>
      </c>
      <c r="AK76" s="773">
        <f t="shared" ca="1" si="60"/>
        <v>0</v>
      </c>
      <c r="AL76" s="773">
        <f t="shared" ca="1" si="79"/>
        <v>2</v>
      </c>
      <c r="AM76" s="773">
        <f t="shared" ca="1" si="61"/>
        <v>0</v>
      </c>
      <c r="AN76" s="773">
        <f t="shared" ca="1" si="62"/>
        <v>0</v>
      </c>
      <c r="AO76" s="773">
        <f t="shared" ca="1" si="80"/>
        <v>1</v>
      </c>
      <c r="AP76" s="773">
        <f t="shared" ca="1" si="63"/>
        <v>0</v>
      </c>
      <c r="AQ76" s="773">
        <f t="shared" ca="1" si="64"/>
        <v>0</v>
      </c>
      <c r="AR76" s="773">
        <f t="shared" ca="1" si="81"/>
        <v>0</v>
      </c>
      <c r="AS76" s="773">
        <f t="shared" ca="1" si="65"/>
        <v>0</v>
      </c>
      <c r="AT76" s="773">
        <f t="shared" ca="1" si="66"/>
        <v>0</v>
      </c>
      <c r="AU76" s="773">
        <f t="shared" ca="1" si="82"/>
        <v>1</v>
      </c>
      <c r="AV76" s="773">
        <f t="shared" ca="1" si="67"/>
        <v>0</v>
      </c>
      <c r="AW76" s="773">
        <f t="shared" ca="1" si="68"/>
        <v>0</v>
      </c>
      <c r="AX76" s="773">
        <f t="shared" ca="1" si="83"/>
        <v>0</v>
      </c>
      <c r="AY76" s="773">
        <f t="shared" ca="1" si="69"/>
        <v>0</v>
      </c>
      <c r="AZ76" s="773">
        <f t="shared" ca="1" si="70"/>
        <v>0</v>
      </c>
      <c r="BA76" s="773">
        <f t="shared" ca="1" si="84"/>
        <v>3</v>
      </c>
      <c r="BB76" s="773">
        <f t="shared" ca="1" si="71"/>
        <v>0</v>
      </c>
      <c r="BC76" s="773">
        <f t="shared" ca="1" si="72"/>
        <v>0</v>
      </c>
      <c r="BD76" s="773">
        <f t="shared" ca="1" si="85"/>
        <v>1</v>
      </c>
      <c r="BE76" s="773">
        <f t="shared" ca="1" si="73"/>
        <v>0</v>
      </c>
      <c r="BF76" s="773" t="str">
        <f t="shared" si="86"/>
        <v>Phượng Các</v>
      </c>
      <c r="BX76" s="773">
        <v>1974</v>
      </c>
      <c r="BY76" s="773" t="s">
        <v>7917</v>
      </c>
    </row>
    <row r="77" spans="1:77" ht="15">
      <c r="A77" s="806" t="s">
        <v>7886</v>
      </c>
      <c r="B77" s="855" t="s">
        <v>9301</v>
      </c>
      <c r="C77" s="855" t="s">
        <v>505</v>
      </c>
      <c r="D77" s="855" t="s">
        <v>9011</v>
      </c>
      <c r="E77" s="855" t="s">
        <v>506</v>
      </c>
      <c r="F77" s="855" t="s">
        <v>9297</v>
      </c>
      <c r="G77" s="855" t="s">
        <v>507</v>
      </c>
      <c r="H77" s="855" t="s">
        <v>9297</v>
      </c>
      <c r="I77" s="855" t="s">
        <v>9298</v>
      </c>
      <c r="J77" s="855" t="s">
        <v>9299</v>
      </c>
      <c r="K77" s="855" t="s">
        <v>9300</v>
      </c>
      <c r="L77" s="855" t="s">
        <v>1402</v>
      </c>
      <c r="M77" s="855" t="s">
        <v>9301</v>
      </c>
      <c r="N77" s="855" t="s">
        <v>9011</v>
      </c>
      <c r="O77" s="929">
        <f ca="1">VLOOKUP(O75,$N$49:$O$60,2,0)</f>
        <v>5</v>
      </c>
      <c r="P77" s="773">
        <f ca="1">O76</f>
        <v>7</v>
      </c>
      <c r="Q77" s="834">
        <f t="shared" ref="Q77:Q88" ca="1" si="87">VLOOKUP(P36,$O$77:$P$88,2,0)</f>
        <v>3</v>
      </c>
      <c r="R77" s="915">
        <f t="shared" ref="R77:R88" ca="1" si="88">IF($F$14="nam",Q77,R90)</f>
        <v>11</v>
      </c>
      <c r="S77" s="773" t="str">
        <f ca="1">M142</f>
        <v>Mão</v>
      </c>
      <c r="T77" s="787">
        <v>15</v>
      </c>
      <c r="U77" s="856" t="s">
        <v>6597</v>
      </c>
      <c r="V77" s="773">
        <f t="shared" ca="1" si="50"/>
        <v>0</v>
      </c>
      <c r="W77" s="773">
        <f t="shared" ca="1" si="74"/>
        <v>0</v>
      </c>
      <c r="X77" s="773">
        <f t="shared" ca="1" si="51"/>
        <v>0</v>
      </c>
      <c r="Y77" s="773">
        <f t="shared" ca="1" si="52"/>
        <v>0</v>
      </c>
      <c r="Z77" s="773">
        <f t="shared" ca="1" si="75"/>
        <v>0</v>
      </c>
      <c r="AA77" s="773">
        <f t="shared" ca="1" si="53"/>
        <v>0</v>
      </c>
      <c r="AB77" s="773">
        <f t="shared" ca="1" si="54"/>
        <v>0</v>
      </c>
      <c r="AC77" s="773">
        <f t="shared" ca="1" si="76"/>
        <v>0</v>
      </c>
      <c r="AD77" s="773">
        <f t="shared" ca="1" si="55"/>
        <v>0</v>
      </c>
      <c r="AE77" s="773">
        <f t="shared" ca="1" si="56"/>
        <v>1</v>
      </c>
      <c r="AF77" s="773">
        <f t="shared" ca="1" si="77"/>
        <v>2</v>
      </c>
      <c r="AG77" s="773">
        <f t="shared" ca="1" si="57"/>
        <v>2</v>
      </c>
      <c r="AH77" s="773">
        <f t="shared" ca="1" si="58"/>
        <v>0</v>
      </c>
      <c r="AI77" s="773">
        <f t="shared" ca="1" si="78"/>
        <v>5</v>
      </c>
      <c r="AJ77" s="773">
        <f t="shared" ca="1" si="59"/>
        <v>0</v>
      </c>
      <c r="AK77" s="773">
        <f t="shared" ca="1" si="60"/>
        <v>0</v>
      </c>
      <c r="AL77" s="773">
        <f t="shared" ca="1" si="79"/>
        <v>2</v>
      </c>
      <c r="AM77" s="773">
        <f t="shared" ca="1" si="61"/>
        <v>0</v>
      </c>
      <c r="AN77" s="773">
        <f t="shared" ca="1" si="62"/>
        <v>0</v>
      </c>
      <c r="AO77" s="773">
        <f t="shared" ca="1" si="80"/>
        <v>1</v>
      </c>
      <c r="AP77" s="773">
        <f t="shared" ca="1" si="63"/>
        <v>0</v>
      </c>
      <c r="AQ77" s="773">
        <f t="shared" ca="1" si="64"/>
        <v>0</v>
      </c>
      <c r="AR77" s="773">
        <f t="shared" ca="1" si="81"/>
        <v>0</v>
      </c>
      <c r="AS77" s="773">
        <f t="shared" ca="1" si="65"/>
        <v>0</v>
      </c>
      <c r="AT77" s="773">
        <f t="shared" ca="1" si="66"/>
        <v>0</v>
      </c>
      <c r="AU77" s="773">
        <f t="shared" ca="1" si="82"/>
        <v>1</v>
      </c>
      <c r="AV77" s="773">
        <f t="shared" ca="1" si="67"/>
        <v>0</v>
      </c>
      <c r="AW77" s="773">
        <f t="shared" ca="1" si="68"/>
        <v>0</v>
      </c>
      <c r="AX77" s="773">
        <f t="shared" ca="1" si="83"/>
        <v>0</v>
      </c>
      <c r="AY77" s="773">
        <f t="shared" ca="1" si="69"/>
        <v>0</v>
      </c>
      <c r="AZ77" s="773">
        <f t="shared" ca="1" si="70"/>
        <v>0</v>
      </c>
      <c r="BA77" s="773">
        <f t="shared" ca="1" si="84"/>
        <v>3</v>
      </c>
      <c r="BB77" s="773">
        <f t="shared" ca="1" si="71"/>
        <v>0</v>
      </c>
      <c r="BC77" s="773">
        <f t="shared" ca="1" si="72"/>
        <v>0</v>
      </c>
      <c r="BD77" s="773">
        <f t="shared" ca="1" si="85"/>
        <v>1</v>
      </c>
      <c r="BE77" s="773">
        <f t="shared" ca="1" si="73"/>
        <v>0</v>
      </c>
      <c r="BF77" s="773" t="str">
        <f t="shared" si="86"/>
        <v>Đào Hoa</v>
      </c>
      <c r="BX77" s="773">
        <v>1975</v>
      </c>
      <c r="BY77" s="773" t="s">
        <v>7918</v>
      </c>
    </row>
    <row r="78" spans="1:77" ht="15">
      <c r="A78" s="806" t="s">
        <v>7880</v>
      </c>
      <c r="B78" s="855" t="s">
        <v>353</v>
      </c>
      <c r="C78" s="855" t="s">
        <v>9011</v>
      </c>
      <c r="D78" s="855" t="s">
        <v>506</v>
      </c>
      <c r="E78" s="855" t="s">
        <v>507</v>
      </c>
      <c r="F78" s="855" t="s">
        <v>9298</v>
      </c>
      <c r="G78" s="855" t="s">
        <v>506</v>
      </c>
      <c r="H78" s="855" t="s">
        <v>507</v>
      </c>
      <c r="I78" s="855" t="s">
        <v>9297</v>
      </c>
      <c r="J78" s="855" t="s">
        <v>9298</v>
      </c>
      <c r="K78" s="855" t="s">
        <v>9299</v>
      </c>
      <c r="L78" s="855" t="s">
        <v>9300</v>
      </c>
      <c r="M78" s="855" t="s">
        <v>1402</v>
      </c>
      <c r="N78" s="855" t="s">
        <v>505</v>
      </c>
      <c r="O78" s="773">
        <f t="shared" ref="O78:P88" ca="1" si="89">IF(O77&lt;12,O77+1,1)</f>
        <v>6</v>
      </c>
      <c r="P78" s="773">
        <f t="shared" ca="1" si="89"/>
        <v>8</v>
      </c>
      <c r="Q78" s="834">
        <f t="shared" ca="1" si="87"/>
        <v>4</v>
      </c>
      <c r="R78" s="915">
        <f t="shared" ca="1" si="88"/>
        <v>10</v>
      </c>
      <c r="S78" s="773" t="str">
        <f ca="1">I142</f>
        <v>Dậu</v>
      </c>
      <c r="T78" s="787">
        <v>16</v>
      </c>
      <c r="U78" s="856" t="s">
        <v>8438</v>
      </c>
      <c r="V78" s="773">
        <f t="shared" ca="1" si="50"/>
        <v>0</v>
      </c>
      <c r="W78" s="773">
        <f t="shared" ca="1" si="74"/>
        <v>0</v>
      </c>
      <c r="X78" s="773">
        <f t="shared" ca="1" si="51"/>
        <v>0</v>
      </c>
      <c r="Y78" s="773">
        <f t="shared" ca="1" si="52"/>
        <v>0</v>
      </c>
      <c r="Z78" s="773">
        <f t="shared" ca="1" si="75"/>
        <v>0</v>
      </c>
      <c r="AA78" s="773">
        <f t="shared" ca="1" si="53"/>
        <v>0</v>
      </c>
      <c r="AB78" s="773">
        <f t="shared" ca="1" si="54"/>
        <v>0</v>
      </c>
      <c r="AC78" s="773">
        <f t="shared" ca="1" si="76"/>
        <v>0</v>
      </c>
      <c r="AD78" s="773">
        <f t="shared" ca="1" si="55"/>
        <v>0</v>
      </c>
      <c r="AE78" s="773">
        <f t="shared" ca="1" si="56"/>
        <v>0</v>
      </c>
      <c r="AF78" s="773">
        <f t="shared" ca="1" si="77"/>
        <v>2</v>
      </c>
      <c r="AG78" s="773">
        <f t="shared" ca="1" si="57"/>
        <v>0</v>
      </c>
      <c r="AH78" s="773">
        <f t="shared" ca="1" si="58"/>
        <v>0</v>
      </c>
      <c r="AI78" s="773">
        <f t="shared" ca="1" si="78"/>
        <v>5</v>
      </c>
      <c r="AJ78" s="773">
        <f t="shared" ca="1" si="59"/>
        <v>0</v>
      </c>
      <c r="AK78" s="773">
        <f t="shared" ca="1" si="60"/>
        <v>0</v>
      </c>
      <c r="AL78" s="773">
        <f t="shared" ca="1" si="79"/>
        <v>2</v>
      </c>
      <c r="AM78" s="773">
        <f t="shared" ca="1" si="61"/>
        <v>0</v>
      </c>
      <c r="AN78" s="773">
        <f t="shared" ca="1" si="62"/>
        <v>0</v>
      </c>
      <c r="AO78" s="773">
        <f t="shared" ca="1" si="80"/>
        <v>1</v>
      </c>
      <c r="AP78" s="773">
        <f t="shared" ca="1" si="63"/>
        <v>0</v>
      </c>
      <c r="AQ78" s="773">
        <f t="shared" ca="1" si="64"/>
        <v>0</v>
      </c>
      <c r="AR78" s="773">
        <f t="shared" ca="1" si="81"/>
        <v>0</v>
      </c>
      <c r="AS78" s="773">
        <f t="shared" ca="1" si="65"/>
        <v>0</v>
      </c>
      <c r="AT78" s="773">
        <f t="shared" ca="1" si="66"/>
        <v>0</v>
      </c>
      <c r="AU78" s="773">
        <f t="shared" ca="1" si="82"/>
        <v>1</v>
      </c>
      <c r="AV78" s="773">
        <f t="shared" ca="1" si="67"/>
        <v>0</v>
      </c>
      <c r="AW78" s="773">
        <f t="shared" ca="1" si="68"/>
        <v>1</v>
      </c>
      <c r="AX78" s="773">
        <f t="shared" ca="1" si="83"/>
        <v>1</v>
      </c>
      <c r="AY78" s="773">
        <f t="shared" ca="1" si="69"/>
        <v>1</v>
      </c>
      <c r="AZ78" s="773">
        <f t="shared" ca="1" si="70"/>
        <v>0</v>
      </c>
      <c r="BA78" s="773">
        <f t="shared" ca="1" si="84"/>
        <v>3</v>
      </c>
      <c r="BB78" s="773">
        <f t="shared" ca="1" si="71"/>
        <v>0</v>
      </c>
      <c r="BC78" s="773">
        <f t="shared" ca="1" si="72"/>
        <v>0</v>
      </c>
      <c r="BD78" s="773">
        <f t="shared" ca="1" si="85"/>
        <v>1</v>
      </c>
      <c r="BE78" s="773">
        <f t="shared" ca="1" si="73"/>
        <v>0</v>
      </c>
      <c r="BF78" s="773" t="str">
        <f t="shared" si="86"/>
        <v>Hồng Loan</v>
      </c>
      <c r="BX78" s="773">
        <v>1976</v>
      </c>
      <c r="BY78" s="773" t="s">
        <v>7919</v>
      </c>
    </row>
    <row r="79" spans="1:77" ht="15">
      <c r="A79" s="806" t="s">
        <v>7877</v>
      </c>
      <c r="B79" s="855" t="s">
        <v>1399</v>
      </c>
      <c r="C79" s="855" t="s">
        <v>506</v>
      </c>
      <c r="D79" s="855" t="s">
        <v>507</v>
      </c>
      <c r="E79" s="855" t="s">
        <v>9297</v>
      </c>
      <c r="F79" s="855" t="s">
        <v>9299</v>
      </c>
      <c r="G79" s="855" t="s">
        <v>9011</v>
      </c>
      <c r="H79" s="855" t="s">
        <v>506</v>
      </c>
      <c r="I79" s="855" t="s">
        <v>507</v>
      </c>
      <c r="J79" s="855" t="s">
        <v>9297</v>
      </c>
      <c r="K79" s="855" t="s">
        <v>9298</v>
      </c>
      <c r="L79" s="855" t="s">
        <v>9299</v>
      </c>
      <c r="M79" s="855" t="s">
        <v>9300</v>
      </c>
      <c r="N79" s="855" t="s">
        <v>1399</v>
      </c>
      <c r="O79" s="773">
        <f t="shared" ca="1" si="89"/>
        <v>7</v>
      </c>
      <c r="P79" s="773">
        <f t="shared" ca="1" si="89"/>
        <v>9</v>
      </c>
      <c r="Q79" s="834">
        <f t="shared" ca="1" si="87"/>
        <v>5</v>
      </c>
      <c r="R79" s="915">
        <f t="shared" ca="1" si="88"/>
        <v>9</v>
      </c>
      <c r="S79" s="773" t="str">
        <f ca="1">I101</f>
        <v>dậu</v>
      </c>
      <c r="T79" s="787">
        <v>17</v>
      </c>
      <c r="U79" s="856" t="s">
        <v>8439</v>
      </c>
      <c r="V79" s="773">
        <f t="shared" ca="1" si="50"/>
        <v>0</v>
      </c>
      <c r="W79" s="773">
        <f t="shared" ca="1" si="74"/>
        <v>0</v>
      </c>
      <c r="X79" s="773">
        <f t="shared" ca="1" si="51"/>
        <v>0</v>
      </c>
      <c r="Y79" s="773">
        <f t="shared" ca="1" si="52"/>
        <v>0</v>
      </c>
      <c r="Z79" s="773">
        <f t="shared" ca="1" si="75"/>
        <v>0</v>
      </c>
      <c r="AA79" s="773">
        <f t="shared" ca="1" si="53"/>
        <v>0</v>
      </c>
      <c r="AB79" s="773">
        <f t="shared" ca="1" si="54"/>
        <v>0</v>
      </c>
      <c r="AC79" s="773">
        <f t="shared" ca="1" si="76"/>
        <v>0</v>
      </c>
      <c r="AD79" s="773">
        <f t="shared" ca="1" si="55"/>
        <v>0</v>
      </c>
      <c r="AE79" s="773">
        <f t="shared" ca="1" si="56"/>
        <v>0</v>
      </c>
      <c r="AF79" s="773">
        <f t="shared" ca="1" si="77"/>
        <v>2</v>
      </c>
      <c r="AG79" s="773">
        <f t="shared" ca="1" si="57"/>
        <v>0</v>
      </c>
      <c r="AH79" s="773">
        <f t="shared" ca="1" si="58"/>
        <v>0</v>
      </c>
      <c r="AI79" s="773">
        <f t="shared" ca="1" si="78"/>
        <v>5</v>
      </c>
      <c r="AJ79" s="773">
        <f t="shared" ca="1" si="59"/>
        <v>0</v>
      </c>
      <c r="AK79" s="773">
        <f t="shared" ca="1" si="60"/>
        <v>0</v>
      </c>
      <c r="AL79" s="773">
        <f t="shared" ca="1" si="79"/>
        <v>2</v>
      </c>
      <c r="AM79" s="773">
        <f t="shared" ca="1" si="61"/>
        <v>0</v>
      </c>
      <c r="AN79" s="773">
        <f t="shared" ca="1" si="62"/>
        <v>0</v>
      </c>
      <c r="AO79" s="773">
        <f t="shared" ca="1" si="80"/>
        <v>1</v>
      </c>
      <c r="AP79" s="773">
        <f t="shared" ca="1" si="63"/>
        <v>0</v>
      </c>
      <c r="AQ79" s="773">
        <f t="shared" ca="1" si="64"/>
        <v>0</v>
      </c>
      <c r="AR79" s="773">
        <f t="shared" ca="1" si="81"/>
        <v>0</v>
      </c>
      <c r="AS79" s="773">
        <f t="shared" ca="1" si="65"/>
        <v>0</v>
      </c>
      <c r="AT79" s="773">
        <f t="shared" ca="1" si="66"/>
        <v>0</v>
      </c>
      <c r="AU79" s="773">
        <f t="shared" ca="1" si="82"/>
        <v>1</v>
      </c>
      <c r="AV79" s="773">
        <f t="shared" ca="1" si="67"/>
        <v>0</v>
      </c>
      <c r="AW79" s="773">
        <f t="shared" ca="1" si="68"/>
        <v>1</v>
      </c>
      <c r="AX79" s="773">
        <f t="shared" ca="1" si="83"/>
        <v>2</v>
      </c>
      <c r="AY79" s="773">
        <f t="shared" ca="1" si="69"/>
        <v>2</v>
      </c>
      <c r="AZ79" s="773">
        <f t="shared" ca="1" si="70"/>
        <v>0</v>
      </c>
      <c r="BA79" s="773">
        <f t="shared" ca="1" si="84"/>
        <v>3</v>
      </c>
      <c r="BB79" s="773">
        <f t="shared" ca="1" si="71"/>
        <v>0</v>
      </c>
      <c r="BC79" s="773">
        <f t="shared" ca="1" si="72"/>
        <v>0</v>
      </c>
      <c r="BD79" s="773">
        <f t="shared" ca="1" si="85"/>
        <v>1</v>
      </c>
      <c r="BE79" s="773">
        <f t="shared" ca="1" si="73"/>
        <v>0</v>
      </c>
      <c r="BF79" s="773" t="str">
        <f t="shared" si="86"/>
        <v>Tam Thai</v>
      </c>
      <c r="BX79" s="773">
        <v>1977</v>
      </c>
      <c r="BY79" s="773" t="s">
        <v>7920</v>
      </c>
    </row>
    <row r="80" spans="1:77" ht="15.75">
      <c r="A80" s="932" t="s">
        <v>8440</v>
      </c>
      <c r="O80" s="773">
        <f t="shared" ca="1" si="89"/>
        <v>8</v>
      </c>
      <c r="P80" s="773">
        <f t="shared" ca="1" si="89"/>
        <v>10</v>
      </c>
      <c r="Q80" s="834">
        <f t="shared" ca="1" si="87"/>
        <v>6</v>
      </c>
      <c r="R80" s="915">
        <f t="shared" ca="1" si="88"/>
        <v>8</v>
      </c>
      <c r="S80" s="773" t="str">
        <f ca="1">J101</f>
        <v>tỵ</v>
      </c>
      <c r="T80" s="787">
        <v>18</v>
      </c>
      <c r="U80" s="856" t="s">
        <v>8441</v>
      </c>
      <c r="V80" s="773">
        <f t="shared" ca="1" si="50"/>
        <v>0</v>
      </c>
      <c r="W80" s="773">
        <f t="shared" ca="1" si="74"/>
        <v>0</v>
      </c>
      <c r="X80" s="773">
        <f t="shared" ca="1" si="51"/>
        <v>0</v>
      </c>
      <c r="Y80" s="773">
        <f t="shared" ca="1" si="52"/>
        <v>0</v>
      </c>
      <c r="Z80" s="773">
        <f t="shared" ca="1" si="75"/>
        <v>0</v>
      </c>
      <c r="AA80" s="773">
        <f t="shared" ca="1" si="53"/>
        <v>0</v>
      </c>
      <c r="AB80" s="773">
        <f t="shared" ca="1" si="54"/>
        <v>0</v>
      </c>
      <c r="AC80" s="773">
        <f t="shared" ca="1" si="76"/>
        <v>0</v>
      </c>
      <c r="AD80" s="773">
        <f t="shared" ca="1" si="55"/>
        <v>0</v>
      </c>
      <c r="AE80" s="773">
        <f t="shared" ca="1" si="56"/>
        <v>0</v>
      </c>
      <c r="AF80" s="773">
        <f t="shared" ca="1" si="77"/>
        <v>2</v>
      </c>
      <c r="AG80" s="773">
        <f t="shared" ca="1" si="57"/>
        <v>0</v>
      </c>
      <c r="AH80" s="773">
        <f t="shared" ca="1" si="58"/>
        <v>0</v>
      </c>
      <c r="AI80" s="773">
        <f t="shared" ca="1" si="78"/>
        <v>5</v>
      </c>
      <c r="AJ80" s="773">
        <f t="shared" ca="1" si="59"/>
        <v>0</v>
      </c>
      <c r="AK80" s="773">
        <f t="shared" ca="1" si="60"/>
        <v>1</v>
      </c>
      <c r="AL80" s="773">
        <f t="shared" ca="1" si="79"/>
        <v>3</v>
      </c>
      <c r="AM80" s="773">
        <f t="shared" ca="1" si="61"/>
        <v>3</v>
      </c>
      <c r="AN80" s="773">
        <f t="shared" ca="1" si="62"/>
        <v>0</v>
      </c>
      <c r="AO80" s="773">
        <f t="shared" ca="1" si="80"/>
        <v>1</v>
      </c>
      <c r="AP80" s="773">
        <f t="shared" ca="1" si="63"/>
        <v>0</v>
      </c>
      <c r="AQ80" s="773">
        <f t="shared" ca="1" si="64"/>
        <v>0</v>
      </c>
      <c r="AR80" s="773">
        <f t="shared" ca="1" si="81"/>
        <v>0</v>
      </c>
      <c r="AS80" s="773">
        <f t="shared" ca="1" si="65"/>
        <v>0</v>
      </c>
      <c r="AT80" s="773">
        <f t="shared" ca="1" si="66"/>
        <v>0</v>
      </c>
      <c r="AU80" s="773">
        <f t="shared" ca="1" si="82"/>
        <v>1</v>
      </c>
      <c r="AV80" s="773">
        <f t="shared" ca="1" si="67"/>
        <v>0</v>
      </c>
      <c r="AW80" s="773">
        <f t="shared" ca="1" si="68"/>
        <v>0</v>
      </c>
      <c r="AX80" s="773">
        <f t="shared" ca="1" si="83"/>
        <v>2</v>
      </c>
      <c r="AY80" s="773">
        <f t="shared" ca="1" si="69"/>
        <v>0</v>
      </c>
      <c r="AZ80" s="773">
        <f t="shared" ca="1" si="70"/>
        <v>0</v>
      </c>
      <c r="BA80" s="773">
        <f t="shared" ca="1" si="84"/>
        <v>3</v>
      </c>
      <c r="BB80" s="773">
        <f t="shared" ca="1" si="71"/>
        <v>0</v>
      </c>
      <c r="BC80" s="773">
        <f t="shared" ca="1" si="72"/>
        <v>0</v>
      </c>
      <c r="BD80" s="773">
        <f t="shared" ca="1" si="85"/>
        <v>1</v>
      </c>
      <c r="BE80" s="773">
        <f t="shared" ca="1" si="73"/>
        <v>0</v>
      </c>
      <c r="BF80" s="773" t="str">
        <f t="shared" si="86"/>
        <v>Bát Tọa</v>
      </c>
      <c r="BX80" s="773">
        <v>1978</v>
      </c>
      <c r="BY80" s="773" t="s">
        <v>7922</v>
      </c>
    </row>
    <row r="81" spans="1:77" ht="45">
      <c r="A81" s="855" t="s">
        <v>8442</v>
      </c>
      <c r="B81" s="855" t="s">
        <v>6569</v>
      </c>
      <c r="C81" s="855" t="s">
        <v>8443</v>
      </c>
      <c r="D81" s="855" t="s">
        <v>8444</v>
      </c>
      <c r="E81" s="855" t="s">
        <v>8445</v>
      </c>
      <c r="F81" s="855" t="s">
        <v>8446</v>
      </c>
      <c r="G81" s="855" t="s">
        <v>8447</v>
      </c>
      <c r="H81" s="912" t="str">
        <f t="shared" ref="H81:H86" ca="1" si="90">VLOOKUP($G$18,$A$81:$G$93,O50,0)</f>
        <v>Ngọ</v>
      </c>
      <c r="I81" s="915">
        <f ca="1">VLOOKUP(H81,$N$49:$O$60,2,0)</f>
        <v>7</v>
      </c>
      <c r="J81" s="855"/>
      <c r="O81" s="773">
        <f t="shared" ca="1" si="89"/>
        <v>9</v>
      </c>
      <c r="P81" s="773">
        <f t="shared" ca="1" si="89"/>
        <v>11</v>
      </c>
      <c r="Q81" s="834">
        <f t="shared" ca="1" si="87"/>
        <v>7</v>
      </c>
      <c r="R81" s="915">
        <f t="shared" ca="1" si="88"/>
        <v>7</v>
      </c>
      <c r="S81" s="773" t="str">
        <f ca="1">H83</f>
        <v>Tuất</v>
      </c>
      <c r="T81" s="787">
        <v>19</v>
      </c>
      <c r="U81" s="856" t="s">
        <v>8448</v>
      </c>
      <c r="V81" s="773">
        <f t="shared" ca="1" si="50"/>
        <v>0</v>
      </c>
      <c r="W81" s="773">
        <f t="shared" ca="1" si="74"/>
        <v>0</v>
      </c>
      <c r="X81" s="773">
        <f t="shared" ca="1" si="51"/>
        <v>0</v>
      </c>
      <c r="Y81" s="773">
        <f t="shared" ca="1" si="52"/>
        <v>0</v>
      </c>
      <c r="Z81" s="773">
        <f t="shared" ca="1" si="75"/>
        <v>0</v>
      </c>
      <c r="AA81" s="773">
        <f t="shared" ca="1" si="53"/>
        <v>0</v>
      </c>
      <c r="AB81" s="773">
        <f t="shared" ca="1" si="54"/>
        <v>0</v>
      </c>
      <c r="AC81" s="773">
        <f t="shared" ca="1" si="76"/>
        <v>0</v>
      </c>
      <c r="AD81" s="773">
        <f t="shared" ca="1" si="55"/>
        <v>0</v>
      </c>
      <c r="AE81" s="773">
        <f t="shared" ca="1" si="56"/>
        <v>0</v>
      </c>
      <c r="AF81" s="773">
        <f t="shared" ca="1" si="77"/>
        <v>2</v>
      </c>
      <c r="AG81" s="773">
        <f t="shared" ca="1" si="57"/>
        <v>0</v>
      </c>
      <c r="AH81" s="773">
        <f t="shared" ca="1" si="58"/>
        <v>0</v>
      </c>
      <c r="AI81" s="773">
        <f t="shared" ca="1" si="78"/>
        <v>5</v>
      </c>
      <c r="AJ81" s="773">
        <f t="shared" ca="1" si="59"/>
        <v>0</v>
      </c>
      <c r="AK81" s="773">
        <f t="shared" ca="1" si="60"/>
        <v>0</v>
      </c>
      <c r="AL81" s="773">
        <f t="shared" ca="1" si="79"/>
        <v>3</v>
      </c>
      <c r="AM81" s="773">
        <f t="shared" ca="1" si="61"/>
        <v>0</v>
      </c>
      <c r="AN81" s="773">
        <f t="shared" ca="1" si="62"/>
        <v>0</v>
      </c>
      <c r="AO81" s="773">
        <f t="shared" ca="1" si="80"/>
        <v>1</v>
      </c>
      <c r="AP81" s="773">
        <f t="shared" ca="1" si="63"/>
        <v>0</v>
      </c>
      <c r="AQ81" s="773">
        <f t="shared" ca="1" si="64"/>
        <v>0</v>
      </c>
      <c r="AR81" s="773">
        <f t="shared" ca="1" si="81"/>
        <v>0</v>
      </c>
      <c r="AS81" s="773">
        <f t="shared" ca="1" si="65"/>
        <v>0</v>
      </c>
      <c r="AT81" s="773">
        <f t="shared" ca="1" si="66"/>
        <v>0</v>
      </c>
      <c r="AU81" s="773">
        <f t="shared" ca="1" si="82"/>
        <v>1</v>
      </c>
      <c r="AV81" s="773">
        <f t="shared" ca="1" si="67"/>
        <v>0</v>
      </c>
      <c r="AW81" s="773">
        <f t="shared" ca="1" si="68"/>
        <v>0</v>
      </c>
      <c r="AX81" s="773">
        <f t="shared" ca="1" si="83"/>
        <v>2</v>
      </c>
      <c r="AY81" s="773">
        <f t="shared" ca="1" si="69"/>
        <v>0</v>
      </c>
      <c r="AZ81" s="773">
        <f t="shared" ca="1" si="70"/>
        <v>1</v>
      </c>
      <c r="BA81" s="773">
        <f t="shared" ca="1" si="84"/>
        <v>4</v>
      </c>
      <c r="BB81" s="773">
        <f t="shared" ca="1" si="71"/>
        <v>4</v>
      </c>
      <c r="BC81" s="773">
        <f t="shared" ca="1" si="72"/>
        <v>0</v>
      </c>
      <c r="BD81" s="773">
        <f t="shared" ca="1" si="85"/>
        <v>1</v>
      </c>
      <c r="BE81" s="773">
        <f t="shared" ca="1" si="73"/>
        <v>0</v>
      </c>
      <c r="BF81" s="773" t="str">
        <f t="shared" si="86"/>
        <v>Thai Phụ</v>
      </c>
      <c r="BX81" s="773">
        <v>1979</v>
      </c>
      <c r="BY81" s="773" t="s">
        <v>7923</v>
      </c>
    </row>
    <row r="82" spans="1:77" ht="25.5">
      <c r="A82" s="855" t="s">
        <v>1402</v>
      </c>
      <c r="B82" s="855" t="s">
        <v>9299</v>
      </c>
      <c r="C82" s="855" t="s">
        <v>505</v>
      </c>
      <c r="D82" s="855" t="s">
        <v>506</v>
      </c>
      <c r="E82" s="855" t="s">
        <v>353</v>
      </c>
      <c r="F82" s="855" t="s">
        <v>9300</v>
      </c>
      <c r="G82" s="855" t="s">
        <v>9300</v>
      </c>
      <c r="H82" s="912" t="str">
        <f t="shared" ca="1" si="90"/>
        <v>Thân</v>
      </c>
      <c r="I82" s="855" t="s">
        <v>8449</v>
      </c>
      <c r="K82" s="787" t="str">
        <f t="shared" ref="K82:K93" ca="1" si="91">IF(AB36=1,Y36," ")</f>
        <v>Thái Âm(V)</v>
      </c>
      <c r="L82" s="787"/>
      <c r="M82" s="787" t="str">
        <f t="shared" ref="M82:M93" ca="1" si="92">IF(AG36=1,AC36," ")</f>
        <v>Thiên Đồng(V)</v>
      </c>
      <c r="O82" s="773">
        <f t="shared" ca="1" si="89"/>
        <v>10</v>
      </c>
      <c r="P82" s="773">
        <f t="shared" ca="1" si="89"/>
        <v>12</v>
      </c>
      <c r="Q82" s="834">
        <f t="shared" ca="1" si="87"/>
        <v>8</v>
      </c>
      <c r="R82" s="915">
        <f t="shared" ca="1" si="88"/>
        <v>6</v>
      </c>
      <c r="S82" s="773" t="str">
        <f ca="1">H84</f>
        <v>Ngọ</v>
      </c>
      <c r="T82" s="787">
        <v>20</v>
      </c>
      <c r="U82" s="856" t="s">
        <v>8450</v>
      </c>
      <c r="V82" s="773">
        <f t="shared" ca="1" si="50"/>
        <v>0</v>
      </c>
      <c r="W82" s="773">
        <f t="shared" ca="1" si="74"/>
        <v>0</v>
      </c>
      <c r="X82" s="773">
        <f t="shared" ca="1" si="51"/>
        <v>0</v>
      </c>
      <c r="Y82" s="773">
        <f t="shared" ca="1" si="52"/>
        <v>0</v>
      </c>
      <c r="Z82" s="773">
        <f t="shared" ca="1" si="75"/>
        <v>0</v>
      </c>
      <c r="AA82" s="773">
        <f t="shared" ca="1" si="53"/>
        <v>0</v>
      </c>
      <c r="AB82" s="773">
        <f t="shared" ca="1" si="54"/>
        <v>0</v>
      </c>
      <c r="AC82" s="773">
        <f t="shared" ca="1" si="76"/>
        <v>0</v>
      </c>
      <c r="AD82" s="773">
        <f t="shared" ca="1" si="55"/>
        <v>0</v>
      </c>
      <c r="AE82" s="773">
        <f t="shared" ca="1" si="56"/>
        <v>0</v>
      </c>
      <c r="AF82" s="773">
        <f t="shared" ca="1" si="77"/>
        <v>2</v>
      </c>
      <c r="AG82" s="773">
        <f t="shared" ca="1" si="57"/>
        <v>0</v>
      </c>
      <c r="AH82" s="773">
        <f t="shared" ca="1" si="58"/>
        <v>0</v>
      </c>
      <c r="AI82" s="773">
        <f t="shared" ca="1" si="78"/>
        <v>5</v>
      </c>
      <c r="AJ82" s="773">
        <f t="shared" ca="1" si="59"/>
        <v>0</v>
      </c>
      <c r="AK82" s="773">
        <f t="shared" ca="1" si="60"/>
        <v>0</v>
      </c>
      <c r="AL82" s="773">
        <f t="shared" ca="1" si="79"/>
        <v>3</v>
      </c>
      <c r="AM82" s="773">
        <f t="shared" ca="1" si="61"/>
        <v>0</v>
      </c>
      <c r="AN82" s="773">
        <f t="shared" ca="1" si="62"/>
        <v>1</v>
      </c>
      <c r="AO82" s="773">
        <f t="shared" ca="1" si="80"/>
        <v>2</v>
      </c>
      <c r="AP82" s="773">
        <f t="shared" ca="1" si="63"/>
        <v>2</v>
      </c>
      <c r="AQ82" s="773">
        <f t="shared" ca="1" si="64"/>
        <v>0</v>
      </c>
      <c r="AR82" s="773">
        <f t="shared" ca="1" si="81"/>
        <v>0</v>
      </c>
      <c r="AS82" s="773">
        <f t="shared" ca="1" si="65"/>
        <v>0</v>
      </c>
      <c r="AT82" s="773">
        <f t="shared" ca="1" si="66"/>
        <v>0</v>
      </c>
      <c r="AU82" s="773">
        <f t="shared" ca="1" si="82"/>
        <v>1</v>
      </c>
      <c r="AV82" s="773">
        <f t="shared" ca="1" si="67"/>
        <v>0</v>
      </c>
      <c r="AW82" s="773">
        <f t="shared" ca="1" si="68"/>
        <v>0</v>
      </c>
      <c r="AX82" s="773">
        <f t="shared" ca="1" si="83"/>
        <v>2</v>
      </c>
      <c r="AY82" s="773">
        <f t="shared" ca="1" si="69"/>
        <v>0</v>
      </c>
      <c r="AZ82" s="773">
        <f t="shared" ca="1" si="70"/>
        <v>0</v>
      </c>
      <c r="BA82" s="773">
        <f t="shared" ca="1" si="84"/>
        <v>4</v>
      </c>
      <c r="BB82" s="773">
        <f t="shared" ca="1" si="71"/>
        <v>0</v>
      </c>
      <c r="BC82" s="773">
        <f t="shared" ca="1" si="72"/>
        <v>0</v>
      </c>
      <c r="BD82" s="773">
        <f t="shared" ca="1" si="85"/>
        <v>1</v>
      </c>
      <c r="BE82" s="773">
        <f t="shared" ca="1" si="73"/>
        <v>0</v>
      </c>
      <c r="BF82" s="773" t="str">
        <f t="shared" si="86"/>
        <v>Phong Cáo</v>
      </c>
      <c r="BX82" s="773">
        <v>1980</v>
      </c>
      <c r="BY82" s="773" t="s">
        <v>7924</v>
      </c>
    </row>
    <row r="83" spans="1:77" ht="15">
      <c r="A83" s="855" t="s">
        <v>9301</v>
      </c>
      <c r="B83" s="855" t="s">
        <v>9298</v>
      </c>
      <c r="C83" s="806" t="s">
        <v>7871</v>
      </c>
      <c r="D83" s="855" t="s">
        <v>507</v>
      </c>
      <c r="E83" s="855" t="s">
        <v>1399</v>
      </c>
      <c r="F83" s="855" t="s">
        <v>9299</v>
      </c>
      <c r="G83" s="855" t="s">
        <v>1402</v>
      </c>
      <c r="H83" s="912" t="str">
        <f t="shared" ca="1" si="90"/>
        <v>Tuất</v>
      </c>
      <c r="I83" s="773" t="str">
        <f ca="1">HLOOKUP(N42,AI19:AN49,F15+1,0)</f>
        <v>tỵ</v>
      </c>
      <c r="K83" s="787" t="str">
        <f t="shared" ca="1" si="91"/>
        <v>Vũ Khúc(M)</v>
      </c>
      <c r="L83" s="787"/>
      <c r="M83" s="787" t="str">
        <f t="shared" ca="1" si="92"/>
        <v>Tham Lang(M)</v>
      </c>
      <c r="O83" s="773">
        <f t="shared" ca="1" si="89"/>
        <v>11</v>
      </c>
      <c r="P83" s="773">
        <f t="shared" ca="1" si="89"/>
        <v>1</v>
      </c>
      <c r="Q83" s="834">
        <f t="shared" ca="1" si="87"/>
        <v>9</v>
      </c>
      <c r="R83" s="915">
        <f t="shared" ca="1" si="88"/>
        <v>5</v>
      </c>
      <c r="S83" s="773" t="str">
        <f ca="1">E124</f>
        <v>Mùi</v>
      </c>
      <c r="T83" s="787">
        <v>21</v>
      </c>
      <c r="U83" s="856" t="s">
        <v>6546</v>
      </c>
      <c r="V83" s="773">
        <f t="shared" ca="1" si="50"/>
        <v>0</v>
      </c>
      <c r="W83" s="773">
        <f t="shared" ca="1" si="74"/>
        <v>0</v>
      </c>
      <c r="X83" s="773">
        <f t="shared" ca="1" si="51"/>
        <v>0</v>
      </c>
      <c r="Y83" s="773">
        <f t="shared" ca="1" si="52"/>
        <v>0</v>
      </c>
      <c r="Z83" s="773">
        <f t="shared" ca="1" si="75"/>
        <v>0</v>
      </c>
      <c r="AA83" s="773">
        <f t="shared" ca="1" si="53"/>
        <v>0</v>
      </c>
      <c r="AB83" s="773">
        <f t="shared" ca="1" si="54"/>
        <v>0</v>
      </c>
      <c r="AC83" s="773">
        <f t="shared" ca="1" si="76"/>
        <v>0</v>
      </c>
      <c r="AD83" s="773">
        <f t="shared" ca="1" si="55"/>
        <v>0</v>
      </c>
      <c r="AE83" s="773">
        <f t="shared" ca="1" si="56"/>
        <v>0</v>
      </c>
      <c r="AF83" s="773">
        <f t="shared" ca="1" si="77"/>
        <v>2</v>
      </c>
      <c r="AG83" s="773">
        <f t="shared" ca="1" si="57"/>
        <v>0</v>
      </c>
      <c r="AH83" s="773">
        <f t="shared" ca="1" si="58"/>
        <v>0</v>
      </c>
      <c r="AI83" s="773">
        <f t="shared" ca="1" si="78"/>
        <v>5</v>
      </c>
      <c r="AJ83" s="773">
        <f t="shared" ca="1" si="59"/>
        <v>0</v>
      </c>
      <c r="AK83" s="773">
        <f t="shared" ca="1" si="60"/>
        <v>0</v>
      </c>
      <c r="AL83" s="773">
        <f t="shared" ca="1" si="79"/>
        <v>3</v>
      </c>
      <c r="AM83" s="773">
        <f t="shared" ca="1" si="61"/>
        <v>0</v>
      </c>
      <c r="AN83" s="773">
        <f t="shared" ca="1" si="62"/>
        <v>0</v>
      </c>
      <c r="AO83" s="773">
        <f t="shared" ca="1" si="80"/>
        <v>2</v>
      </c>
      <c r="AP83" s="773">
        <f t="shared" ca="1" si="63"/>
        <v>0</v>
      </c>
      <c r="AQ83" s="773">
        <f t="shared" ca="1" si="64"/>
        <v>1</v>
      </c>
      <c r="AR83" s="773">
        <f t="shared" ca="1" si="81"/>
        <v>1</v>
      </c>
      <c r="AS83" s="773">
        <f t="shared" ca="1" si="65"/>
        <v>1</v>
      </c>
      <c r="AT83" s="773">
        <f t="shared" ca="1" si="66"/>
        <v>0</v>
      </c>
      <c r="AU83" s="773">
        <f t="shared" ca="1" si="82"/>
        <v>1</v>
      </c>
      <c r="AV83" s="773">
        <f t="shared" ca="1" si="67"/>
        <v>0</v>
      </c>
      <c r="AW83" s="773">
        <f t="shared" ca="1" si="68"/>
        <v>0</v>
      </c>
      <c r="AX83" s="773">
        <f t="shared" ca="1" si="83"/>
        <v>2</v>
      </c>
      <c r="AY83" s="773">
        <f t="shared" ca="1" si="69"/>
        <v>0</v>
      </c>
      <c r="AZ83" s="773">
        <f t="shared" ca="1" si="70"/>
        <v>0</v>
      </c>
      <c r="BA83" s="773">
        <f t="shared" ca="1" si="84"/>
        <v>4</v>
      </c>
      <c r="BB83" s="773">
        <f t="shared" ca="1" si="71"/>
        <v>0</v>
      </c>
      <c r="BC83" s="773">
        <f t="shared" ca="1" si="72"/>
        <v>0</v>
      </c>
      <c r="BD83" s="773">
        <f t="shared" ca="1" si="85"/>
        <v>1</v>
      </c>
      <c r="BE83" s="773">
        <f t="shared" ca="1" si="73"/>
        <v>0</v>
      </c>
      <c r="BF83" s="773" t="str">
        <f t="shared" si="86"/>
        <v>Quốc Ấn</v>
      </c>
      <c r="BX83" s="773">
        <v>1981</v>
      </c>
      <c r="BY83" s="773" t="s">
        <v>7925</v>
      </c>
    </row>
    <row r="84" spans="1:77" ht="30">
      <c r="A84" s="855" t="s">
        <v>353</v>
      </c>
      <c r="B84" s="855" t="s">
        <v>9297</v>
      </c>
      <c r="C84" s="855" t="s">
        <v>506</v>
      </c>
      <c r="D84" s="855" t="s">
        <v>9297</v>
      </c>
      <c r="E84" s="855" t="s">
        <v>505</v>
      </c>
      <c r="F84" s="855" t="s">
        <v>9298</v>
      </c>
      <c r="G84" s="855" t="s">
        <v>9301</v>
      </c>
      <c r="H84" s="912" t="str">
        <f t="shared" ca="1" si="90"/>
        <v>Ngọ</v>
      </c>
      <c r="K84" s="787" t="str">
        <f t="shared" ca="1" si="91"/>
        <v>Thái Dương(V)</v>
      </c>
      <c r="L84" s="787"/>
      <c r="M84" s="787" t="str">
        <f t="shared" ca="1" si="92"/>
        <v>Cự Môn(V)</v>
      </c>
      <c r="O84" s="773">
        <f t="shared" ca="1" si="89"/>
        <v>12</v>
      </c>
      <c r="P84" s="773">
        <f t="shared" ca="1" si="89"/>
        <v>2</v>
      </c>
      <c r="Q84" s="834">
        <f t="shared" ca="1" si="87"/>
        <v>10</v>
      </c>
      <c r="R84" s="915">
        <f t="shared" ca="1" si="88"/>
        <v>4</v>
      </c>
      <c r="S84" s="773" t="str">
        <f ca="1">F124</f>
        <v>Thìn</v>
      </c>
      <c r="T84" s="787">
        <v>22</v>
      </c>
      <c r="U84" s="856" t="s">
        <v>8451</v>
      </c>
      <c r="V84" s="773">
        <f t="shared" ca="1" si="50"/>
        <v>0</v>
      </c>
      <c r="W84" s="773">
        <f t="shared" ca="1" si="74"/>
        <v>0</v>
      </c>
      <c r="X84" s="773">
        <f t="shared" ca="1" si="51"/>
        <v>0</v>
      </c>
      <c r="Y84" s="773">
        <f t="shared" ca="1" si="52"/>
        <v>0</v>
      </c>
      <c r="Z84" s="773">
        <f t="shared" ca="1" si="75"/>
        <v>0</v>
      </c>
      <c r="AA84" s="773">
        <f t="shared" ca="1" si="53"/>
        <v>0</v>
      </c>
      <c r="AB84" s="773">
        <f t="shared" ca="1" si="54"/>
        <v>0</v>
      </c>
      <c r="AC84" s="773">
        <f t="shared" ca="1" si="76"/>
        <v>0</v>
      </c>
      <c r="AD84" s="773">
        <f t="shared" ca="1" si="55"/>
        <v>0</v>
      </c>
      <c r="AE84" s="773">
        <f t="shared" ca="1" si="56"/>
        <v>0</v>
      </c>
      <c r="AF84" s="773">
        <f t="shared" ca="1" si="77"/>
        <v>2</v>
      </c>
      <c r="AG84" s="773">
        <f t="shared" ca="1" si="57"/>
        <v>0</v>
      </c>
      <c r="AH84" s="773">
        <f t="shared" ca="1" si="58"/>
        <v>1</v>
      </c>
      <c r="AI84" s="773">
        <f t="shared" ca="1" si="78"/>
        <v>6</v>
      </c>
      <c r="AJ84" s="773">
        <f t="shared" ca="1" si="59"/>
        <v>6</v>
      </c>
      <c r="AK84" s="773">
        <f t="shared" ca="1" si="60"/>
        <v>0</v>
      </c>
      <c r="AL84" s="773">
        <f t="shared" ca="1" si="79"/>
        <v>3</v>
      </c>
      <c r="AM84" s="773">
        <f t="shared" ca="1" si="61"/>
        <v>0</v>
      </c>
      <c r="AN84" s="773">
        <f t="shared" ca="1" si="62"/>
        <v>0</v>
      </c>
      <c r="AO84" s="773">
        <f t="shared" ca="1" si="80"/>
        <v>2</v>
      </c>
      <c r="AP84" s="773">
        <f t="shared" ca="1" si="63"/>
        <v>0</v>
      </c>
      <c r="AQ84" s="773">
        <f t="shared" ca="1" si="64"/>
        <v>0</v>
      </c>
      <c r="AR84" s="773">
        <f t="shared" ca="1" si="81"/>
        <v>1</v>
      </c>
      <c r="AS84" s="773">
        <f t="shared" ca="1" si="65"/>
        <v>0</v>
      </c>
      <c r="AT84" s="773">
        <f t="shared" ca="1" si="66"/>
        <v>0</v>
      </c>
      <c r="AU84" s="773">
        <f t="shared" ca="1" si="82"/>
        <v>1</v>
      </c>
      <c r="AV84" s="773">
        <f t="shared" ca="1" si="67"/>
        <v>0</v>
      </c>
      <c r="AW84" s="773">
        <f t="shared" ca="1" si="68"/>
        <v>0</v>
      </c>
      <c r="AX84" s="773">
        <f t="shared" ca="1" si="83"/>
        <v>2</v>
      </c>
      <c r="AY84" s="773">
        <f t="shared" ca="1" si="69"/>
        <v>0</v>
      </c>
      <c r="AZ84" s="773">
        <f t="shared" ca="1" si="70"/>
        <v>0</v>
      </c>
      <c r="BA84" s="773">
        <f t="shared" ca="1" si="84"/>
        <v>4</v>
      </c>
      <c r="BB84" s="773">
        <f t="shared" ca="1" si="71"/>
        <v>0</v>
      </c>
      <c r="BC84" s="773">
        <f t="shared" ca="1" si="72"/>
        <v>0</v>
      </c>
      <c r="BD84" s="773">
        <f t="shared" ca="1" si="85"/>
        <v>1</v>
      </c>
      <c r="BE84" s="773">
        <f t="shared" ca="1" si="73"/>
        <v>0</v>
      </c>
      <c r="BF84" s="773" t="str">
        <f t="shared" si="86"/>
        <v>Đường Phù</v>
      </c>
      <c r="BX84" s="773">
        <v>1982</v>
      </c>
      <c r="BY84" s="773" t="s">
        <v>7927</v>
      </c>
    </row>
    <row r="85" spans="1:77" ht="15">
      <c r="A85" s="855" t="s">
        <v>1399</v>
      </c>
      <c r="B85" s="855" t="s">
        <v>507</v>
      </c>
      <c r="C85" s="855" t="s">
        <v>507</v>
      </c>
      <c r="D85" s="855" t="s">
        <v>9298</v>
      </c>
      <c r="E85" s="806" t="s">
        <v>7871</v>
      </c>
      <c r="F85" s="855" t="s">
        <v>9297</v>
      </c>
      <c r="G85" s="855" t="s">
        <v>353</v>
      </c>
      <c r="H85" s="912" t="str">
        <f t="shared" ca="1" si="90"/>
        <v>Mùi</v>
      </c>
      <c r="K85" s="787" t="str">
        <f t="shared" ca="1" si="91"/>
        <v>Thiên Tướng(H)</v>
      </c>
      <c r="L85" s="787"/>
      <c r="M85" s="787" t="str">
        <f t="shared" ca="1" si="92"/>
        <v xml:space="preserve"> </v>
      </c>
      <c r="O85" s="773">
        <f t="shared" ca="1" si="89"/>
        <v>1</v>
      </c>
      <c r="P85" s="773">
        <f t="shared" ca="1" si="89"/>
        <v>3</v>
      </c>
      <c r="Q85" s="834">
        <f t="shared" ca="1" si="87"/>
        <v>11</v>
      </c>
      <c r="R85" s="915">
        <f t="shared" ca="1" si="88"/>
        <v>3</v>
      </c>
      <c r="S85" s="773" t="str">
        <f ca="1">G142</f>
        <v>Mão</v>
      </c>
      <c r="T85" s="787">
        <v>23</v>
      </c>
      <c r="U85" s="856" t="s">
        <v>6559</v>
      </c>
      <c r="V85" s="773">
        <f t="shared" ca="1" si="50"/>
        <v>0</v>
      </c>
      <c r="W85" s="773">
        <f t="shared" ca="1" si="74"/>
        <v>0</v>
      </c>
      <c r="X85" s="773">
        <f t="shared" ca="1" si="51"/>
        <v>0</v>
      </c>
      <c r="Y85" s="773">
        <f t="shared" ca="1" si="52"/>
        <v>0</v>
      </c>
      <c r="Z85" s="773">
        <f t="shared" ca="1" si="75"/>
        <v>0</v>
      </c>
      <c r="AA85" s="773">
        <f t="shared" ca="1" si="53"/>
        <v>0</v>
      </c>
      <c r="AB85" s="773">
        <f t="shared" ca="1" si="54"/>
        <v>0</v>
      </c>
      <c r="AC85" s="773">
        <f t="shared" ca="1" si="76"/>
        <v>0</v>
      </c>
      <c r="AD85" s="773">
        <f t="shared" ca="1" si="55"/>
        <v>0</v>
      </c>
      <c r="AE85" s="773">
        <f t="shared" ca="1" si="56"/>
        <v>1</v>
      </c>
      <c r="AF85" s="773">
        <f t="shared" ca="1" si="77"/>
        <v>3</v>
      </c>
      <c r="AG85" s="773">
        <f t="shared" ca="1" si="57"/>
        <v>3</v>
      </c>
      <c r="AH85" s="773">
        <f t="shared" ca="1" si="58"/>
        <v>0</v>
      </c>
      <c r="AI85" s="773">
        <f t="shared" ca="1" si="78"/>
        <v>6</v>
      </c>
      <c r="AJ85" s="773">
        <f t="shared" ca="1" si="59"/>
        <v>0</v>
      </c>
      <c r="AK85" s="773">
        <f t="shared" ca="1" si="60"/>
        <v>0</v>
      </c>
      <c r="AL85" s="773">
        <f t="shared" ca="1" si="79"/>
        <v>3</v>
      </c>
      <c r="AM85" s="773">
        <f t="shared" ca="1" si="61"/>
        <v>0</v>
      </c>
      <c r="AN85" s="773">
        <f t="shared" ca="1" si="62"/>
        <v>0</v>
      </c>
      <c r="AO85" s="773">
        <f t="shared" ca="1" si="80"/>
        <v>2</v>
      </c>
      <c r="AP85" s="773">
        <f t="shared" ca="1" si="63"/>
        <v>0</v>
      </c>
      <c r="AQ85" s="773">
        <f t="shared" ca="1" si="64"/>
        <v>0</v>
      </c>
      <c r="AR85" s="773">
        <f t="shared" ca="1" si="81"/>
        <v>1</v>
      </c>
      <c r="AS85" s="773">
        <f t="shared" ca="1" si="65"/>
        <v>0</v>
      </c>
      <c r="AT85" s="773">
        <f t="shared" ca="1" si="66"/>
        <v>0</v>
      </c>
      <c r="AU85" s="773">
        <f t="shared" ca="1" si="82"/>
        <v>1</v>
      </c>
      <c r="AV85" s="773">
        <f t="shared" ca="1" si="67"/>
        <v>0</v>
      </c>
      <c r="AW85" s="773">
        <f t="shared" ca="1" si="68"/>
        <v>0</v>
      </c>
      <c r="AX85" s="773">
        <f t="shared" ca="1" si="83"/>
        <v>2</v>
      </c>
      <c r="AY85" s="773">
        <f t="shared" ca="1" si="69"/>
        <v>0</v>
      </c>
      <c r="AZ85" s="773">
        <f t="shared" ca="1" si="70"/>
        <v>0</v>
      </c>
      <c r="BA85" s="773">
        <f t="shared" ca="1" si="84"/>
        <v>4</v>
      </c>
      <c r="BB85" s="773">
        <f t="shared" ca="1" si="71"/>
        <v>0</v>
      </c>
      <c r="BC85" s="773">
        <f t="shared" ca="1" si="72"/>
        <v>0</v>
      </c>
      <c r="BD85" s="773">
        <f t="shared" ca="1" si="85"/>
        <v>1</v>
      </c>
      <c r="BE85" s="773">
        <f t="shared" ca="1" si="73"/>
        <v>0</v>
      </c>
      <c r="BF85" s="773" t="str">
        <f t="shared" si="86"/>
        <v>Thiên Đức</v>
      </c>
      <c r="BX85" s="773">
        <v>1983</v>
      </c>
      <c r="BY85" s="773" t="s">
        <v>7928</v>
      </c>
    </row>
    <row r="86" spans="1:77" ht="25.5">
      <c r="A86" s="855" t="s">
        <v>505</v>
      </c>
      <c r="B86" s="855" t="s">
        <v>506</v>
      </c>
      <c r="C86" s="855" t="s">
        <v>9297</v>
      </c>
      <c r="D86" s="855" t="s">
        <v>9299</v>
      </c>
      <c r="E86" s="855" t="s">
        <v>506</v>
      </c>
      <c r="F86" s="855" t="s">
        <v>507</v>
      </c>
      <c r="G86" s="855" t="s">
        <v>1399</v>
      </c>
      <c r="H86" s="912" t="str">
        <f t="shared" ca="1" si="90"/>
        <v>Mão</v>
      </c>
      <c r="I86" s="915">
        <f ca="1">VLOOKUP(H82,$N$49:$O$60,2,0)</f>
        <v>9</v>
      </c>
      <c r="K86" s="787" t="str">
        <f t="shared" ca="1" si="91"/>
        <v>Thiên Cơ(M)</v>
      </c>
      <c r="L86" s="787"/>
      <c r="M86" s="787" t="str">
        <f t="shared" ca="1" si="92"/>
        <v>Thiên Lương(M)</v>
      </c>
      <c r="O86" s="773">
        <f t="shared" ca="1" si="89"/>
        <v>2</v>
      </c>
      <c r="P86" s="773">
        <f t="shared" ca="1" si="89"/>
        <v>4</v>
      </c>
      <c r="Q86" s="834">
        <f t="shared" ca="1" si="87"/>
        <v>12</v>
      </c>
      <c r="R86" s="915">
        <f t="shared" ca="1" si="88"/>
        <v>2</v>
      </c>
      <c r="S86" s="773" t="str">
        <f ca="1">H142</f>
        <v>Hợi</v>
      </c>
      <c r="T86" s="787">
        <v>24</v>
      </c>
      <c r="U86" s="856" t="s">
        <v>6560</v>
      </c>
      <c r="V86" s="773">
        <f t="shared" ca="1" si="50"/>
        <v>0</v>
      </c>
      <c r="W86" s="773">
        <f t="shared" ca="1" si="74"/>
        <v>0</v>
      </c>
      <c r="X86" s="773">
        <f t="shared" ca="1" si="51"/>
        <v>0</v>
      </c>
      <c r="Y86" s="773">
        <f t="shared" ca="1" si="52"/>
        <v>0</v>
      </c>
      <c r="Z86" s="773">
        <f t="shared" ca="1" si="75"/>
        <v>0</v>
      </c>
      <c r="AA86" s="773">
        <f t="shared" ca="1" si="53"/>
        <v>0</v>
      </c>
      <c r="AB86" s="773">
        <f t="shared" ca="1" si="54"/>
        <v>0</v>
      </c>
      <c r="AC86" s="773">
        <f t="shared" ca="1" si="76"/>
        <v>0</v>
      </c>
      <c r="AD86" s="773">
        <f t="shared" ca="1" si="55"/>
        <v>0</v>
      </c>
      <c r="AE86" s="773">
        <f t="shared" ca="1" si="56"/>
        <v>0</v>
      </c>
      <c r="AF86" s="773">
        <f t="shared" ca="1" si="77"/>
        <v>3</v>
      </c>
      <c r="AG86" s="773">
        <f t="shared" ca="1" si="57"/>
        <v>0</v>
      </c>
      <c r="AH86" s="773">
        <f t="shared" ca="1" si="58"/>
        <v>0</v>
      </c>
      <c r="AI86" s="773">
        <f t="shared" ca="1" si="78"/>
        <v>6</v>
      </c>
      <c r="AJ86" s="773">
        <f t="shared" ca="1" si="59"/>
        <v>0</v>
      </c>
      <c r="AK86" s="773">
        <f t="shared" ca="1" si="60"/>
        <v>0</v>
      </c>
      <c r="AL86" s="773">
        <f t="shared" ca="1" si="79"/>
        <v>3</v>
      </c>
      <c r="AM86" s="773">
        <f t="shared" ca="1" si="61"/>
        <v>0</v>
      </c>
      <c r="AN86" s="773">
        <f t="shared" ca="1" si="62"/>
        <v>0</v>
      </c>
      <c r="AO86" s="773">
        <f t="shared" ca="1" si="80"/>
        <v>2</v>
      </c>
      <c r="AP86" s="773">
        <f t="shared" ca="1" si="63"/>
        <v>0</v>
      </c>
      <c r="AQ86" s="773">
        <f t="shared" ca="1" si="64"/>
        <v>0</v>
      </c>
      <c r="AR86" s="773">
        <f t="shared" ca="1" si="81"/>
        <v>1</v>
      </c>
      <c r="AS86" s="773">
        <f t="shared" ca="1" si="65"/>
        <v>0</v>
      </c>
      <c r="AT86" s="773">
        <f t="shared" ca="1" si="66"/>
        <v>0</v>
      </c>
      <c r="AU86" s="773">
        <f t="shared" ca="1" si="82"/>
        <v>1</v>
      </c>
      <c r="AV86" s="773">
        <f t="shared" ca="1" si="67"/>
        <v>0</v>
      </c>
      <c r="AW86" s="773">
        <f t="shared" ca="1" si="68"/>
        <v>0</v>
      </c>
      <c r="AX86" s="773">
        <f t="shared" ca="1" si="83"/>
        <v>2</v>
      </c>
      <c r="AY86" s="773">
        <f t="shared" ca="1" si="69"/>
        <v>0</v>
      </c>
      <c r="AZ86" s="773">
        <f t="shared" ca="1" si="70"/>
        <v>0</v>
      </c>
      <c r="BA86" s="773">
        <f t="shared" ca="1" si="84"/>
        <v>4</v>
      </c>
      <c r="BB86" s="773">
        <f t="shared" ca="1" si="71"/>
        <v>0</v>
      </c>
      <c r="BC86" s="773">
        <f t="shared" ca="1" si="72"/>
        <v>1</v>
      </c>
      <c r="BD86" s="773">
        <f t="shared" ca="1" si="85"/>
        <v>2</v>
      </c>
      <c r="BE86" s="773">
        <f t="shared" ca="1" si="73"/>
        <v>2</v>
      </c>
      <c r="BF86" s="773" t="str">
        <f t="shared" si="86"/>
        <v>Nguyệt Đức</v>
      </c>
      <c r="BX86" s="773">
        <v>1984</v>
      </c>
      <c r="BY86" s="773" t="s">
        <v>7814</v>
      </c>
    </row>
    <row r="87" spans="1:77" ht="15">
      <c r="A87" s="806" t="s">
        <v>7871</v>
      </c>
      <c r="B87" s="806" t="s">
        <v>7871</v>
      </c>
      <c r="C87" s="855" t="s">
        <v>9298</v>
      </c>
      <c r="D87" s="855" t="s">
        <v>9300</v>
      </c>
      <c r="E87" s="855" t="s">
        <v>507</v>
      </c>
      <c r="F87" s="855" t="s">
        <v>506</v>
      </c>
      <c r="G87" s="855" t="s">
        <v>505</v>
      </c>
      <c r="I87" s="773">
        <f ca="1">36-F15+I86+2</f>
        <v>41</v>
      </c>
      <c r="K87" s="787" t="str">
        <f t="shared" ca="1" si="91"/>
        <v>Tử Vi (M)</v>
      </c>
      <c r="L87" s="787"/>
      <c r="M87" s="787" t="str">
        <f t="shared" ca="1" si="92"/>
        <v>Thất Sát(V)</v>
      </c>
      <c r="O87" s="773">
        <f t="shared" ca="1" si="89"/>
        <v>3</v>
      </c>
      <c r="P87" s="773">
        <f t="shared" ca="1" si="89"/>
        <v>5</v>
      </c>
      <c r="Q87" s="834">
        <f t="shared" ca="1" si="87"/>
        <v>1</v>
      </c>
      <c r="R87" s="915">
        <f t="shared" ca="1" si="88"/>
        <v>1</v>
      </c>
      <c r="S87" s="773" t="str">
        <f ca="1">K202</f>
        <v>Mão</v>
      </c>
      <c r="T87" s="787">
        <v>25</v>
      </c>
      <c r="U87" s="856" t="s">
        <v>8452</v>
      </c>
      <c r="V87" s="773">
        <f t="shared" ca="1" si="50"/>
        <v>0</v>
      </c>
      <c r="W87" s="773">
        <f t="shared" ca="1" si="74"/>
        <v>0</v>
      </c>
      <c r="X87" s="773">
        <f t="shared" ca="1" si="51"/>
        <v>0</v>
      </c>
      <c r="Y87" s="773">
        <f t="shared" ca="1" si="52"/>
        <v>0</v>
      </c>
      <c r="Z87" s="773">
        <f t="shared" ca="1" si="75"/>
        <v>0</v>
      </c>
      <c r="AA87" s="773">
        <f t="shared" ca="1" si="53"/>
        <v>0</v>
      </c>
      <c r="AB87" s="773">
        <f t="shared" ca="1" si="54"/>
        <v>0</v>
      </c>
      <c r="AC87" s="773">
        <f t="shared" ca="1" si="76"/>
        <v>0</v>
      </c>
      <c r="AD87" s="773">
        <f t="shared" ca="1" si="55"/>
        <v>0</v>
      </c>
      <c r="AE87" s="773">
        <f t="shared" ca="1" si="56"/>
        <v>1</v>
      </c>
      <c r="AF87" s="773">
        <f t="shared" ca="1" si="77"/>
        <v>4</v>
      </c>
      <c r="AG87" s="773">
        <f t="shared" ca="1" si="57"/>
        <v>4</v>
      </c>
      <c r="AH87" s="773">
        <f t="shared" ca="1" si="58"/>
        <v>0</v>
      </c>
      <c r="AI87" s="773">
        <f t="shared" ca="1" si="78"/>
        <v>6</v>
      </c>
      <c r="AJ87" s="773">
        <f t="shared" ca="1" si="59"/>
        <v>0</v>
      </c>
      <c r="AK87" s="773">
        <f t="shared" ca="1" si="60"/>
        <v>0</v>
      </c>
      <c r="AL87" s="773">
        <f t="shared" ca="1" si="79"/>
        <v>3</v>
      </c>
      <c r="AM87" s="773">
        <f t="shared" ca="1" si="61"/>
        <v>0</v>
      </c>
      <c r="AN87" s="773">
        <f t="shared" ca="1" si="62"/>
        <v>0</v>
      </c>
      <c r="AO87" s="773">
        <f t="shared" ca="1" si="80"/>
        <v>2</v>
      </c>
      <c r="AP87" s="773">
        <f t="shared" ca="1" si="63"/>
        <v>0</v>
      </c>
      <c r="AQ87" s="773">
        <f t="shared" ca="1" si="64"/>
        <v>0</v>
      </c>
      <c r="AR87" s="773">
        <f t="shared" ca="1" si="81"/>
        <v>1</v>
      </c>
      <c r="AS87" s="773">
        <f t="shared" ca="1" si="65"/>
        <v>0</v>
      </c>
      <c r="AT87" s="773">
        <f t="shared" ca="1" si="66"/>
        <v>0</v>
      </c>
      <c r="AU87" s="773">
        <f t="shared" ca="1" si="82"/>
        <v>1</v>
      </c>
      <c r="AV87" s="773">
        <f t="shared" ca="1" si="67"/>
        <v>0</v>
      </c>
      <c r="AW87" s="773">
        <f t="shared" ca="1" si="68"/>
        <v>0</v>
      </c>
      <c r="AX87" s="773">
        <f t="shared" ca="1" si="83"/>
        <v>2</v>
      </c>
      <c r="AY87" s="773">
        <f t="shared" ca="1" si="69"/>
        <v>0</v>
      </c>
      <c r="AZ87" s="773">
        <f t="shared" ca="1" si="70"/>
        <v>0</v>
      </c>
      <c r="BA87" s="773">
        <f t="shared" ca="1" si="84"/>
        <v>4</v>
      </c>
      <c r="BB87" s="773">
        <f t="shared" ca="1" si="71"/>
        <v>0</v>
      </c>
      <c r="BC87" s="773">
        <f t="shared" ca="1" si="72"/>
        <v>0</v>
      </c>
      <c r="BD87" s="773">
        <f t="shared" ca="1" si="85"/>
        <v>2</v>
      </c>
      <c r="BE87" s="773">
        <f t="shared" ca="1" si="73"/>
        <v>0</v>
      </c>
      <c r="BF87" s="773" t="str">
        <f t="shared" si="86"/>
        <v>Phúc Đức</v>
      </c>
      <c r="BX87" s="773">
        <v>1985</v>
      </c>
      <c r="BY87" s="773" t="s">
        <v>7818</v>
      </c>
    </row>
    <row r="88" spans="1:77" ht="15">
      <c r="A88" s="855" t="s">
        <v>506</v>
      </c>
      <c r="B88" s="855" t="s">
        <v>505</v>
      </c>
      <c r="C88" s="855" t="s">
        <v>9299</v>
      </c>
      <c r="D88" s="855" t="s">
        <v>1402</v>
      </c>
      <c r="E88" s="855" t="s">
        <v>9297</v>
      </c>
      <c r="F88" s="806" t="s">
        <v>7871</v>
      </c>
      <c r="G88" s="806" t="s">
        <v>7871</v>
      </c>
      <c r="H88" s="912">
        <f ca="1">$F$15+I81-2</f>
        <v>11</v>
      </c>
      <c r="I88" s="773">
        <f ca="1">MOD(I87,12)</f>
        <v>5</v>
      </c>
      <c r="K88" s="787" t="str">
        <f t="shared" ca="1" si="91"/>
        <v xml:space="preserve"> </v>
      </c>
      <c r="L88" s="787"/>
      <c r="M88" s="787" t="str">
        <f t="shared" ca="1" si="92"/>
        <v xml:space="preserve"> </v>
      </c>
      <c r="O88" s="773">
        <f t="shared" ca="1" si="89"/>
        <v>4</v>
      </c>
      <c r="P88" s="773">
        <f t="shared" ca="1" si="89"/>
        <v>6</v>
      </c>
      <c r="Q88" s="834">
        <f t="shared" ca="1" si="87"/>
        <v>2</v>
      </c>
      <c r="R88" s="915">
        <f t="shared" ca="1" si="88"/>
        <v>12</v>
      </c>
      <c r="S88" s="773" t="str">
        <f ca="1">I202</f>
        <v>Sửu</v>
      </c>
      <c r="T88" s="787">
        <v>26</v>
      </c>
      <c r="U88" s="856" t="s">
        <v>8453</v>
      </c>
      <c r="V88" s="773">
        <f t="shared" ca="1" si="50"/>
        <v>0</v>
      </c>
      <c r="W88" s="773">
        <f t="shared" ca="1" si="74"/>
        <v>0</v>
      </c>
      <c r="X88" s="773">
        <f t="shared" ca="1" si="51"/>
        <v>0</v>
      </c>
      <c r="Y88" s="773">
        <f t="shared" ca="1" si="52"/>
        <v>1</v>
      </c>
      <c r="Z88" s="773">
        <f t="shared" ca="1" si="75"/>
        <v>1</v>
      </c>
      <c r="AA88" s="773">
        <f t="shared" ca="1" si="53"/>
        <v>1</v>
      </c>
      <c r="AB88" s="773">
        <f t="shared" ca="1" si="54"/>
        <v>0</v>
      </c>
      <c r="AC88" s="773">
        <f t="shared" ca="1" si="76"/>
        <v>0</v>
      </c>
      <c r="AD88" s="773">
        <f t="shared" ca="1" si="55"/>
        <v>0</v>
      </c>
      <c r="AE88" s="773">
        <f t="shared" ca="1" si="56"/>
        <v>0</v>
      </c>
      <c r="AF88" s="773">
        <f t="shared" ca="1" si="77"/>
        <v>4</v>
      </c>
      <c r="AG88" s="773">
        <f t="shared" ca="1" si="57"/>
        <v>0</v>
      </c>
      <c r="AH88" s="773">
        <f t="shared" ca="1" si="58"/>
        <v>0</v>
      </c>
      <c r="AI88" s="773">
        <f t="shared" ca="1" si="78"/>
        <v>6</v>
      </c>
      <c r="AJ88" s="773">
        <f t="shared" ca="1" si="59"/>
        <v>0</v>
      </c>
      <c r="AK88" s="773">
        <f t="shared" ca="1" si="60"/>
        <v>0</v>
      </c>
      <c r="AL88" s="773">
        <f t="shared" ca="1" si="79"/>
        <v>3</v>
      </c>
      <c r="AM88" s="773">
        <f t="shared" ca="1" si="61"/>
        <v>0</v>
      </c>
      <c r="AN88" s="773">
        <f t="shared" ca="1" si="62"/>
        <v>0</v>
      </c>
      <c r="AO88" s="773">
        <f t="shared" ca="1" si="80"/>
        <v>2</v>
      </c>
      <c r="AP88" s="773">
        <f t="shared" ca="1" si="63"/>
        <v>0</v>
      </c>
      <c r="AQ88" s="773">
        <f t="shared" ca="1" si="64"/>
        <v>0</v>
      </c>
      <c r="AR88" s="773">
        <f t="shared" ca="1" si="81"/>
        <v>1</v>
      </c>
      <c r="AS88" s="773">
        <f t="shared" ca="1" si="65"/>
        <v>0</v>
      </c>
      <c r="AT88" s="773">
        <f t="shared" ca="1" si="66"/>
        <v>0</v>
      </c>
      <c r="AU88" s="773">
        <f t="shared" ca="1" si="82"/>
        <v>1</v>
      </c>
      <c r="AV88" s="773">
        <f t="shared" ca="1" si="67"/>
        <v>0</v>
      </c>
      <c r="AW88" s="773">
        <f t="shared" ca="1" si="68"/>
        <v>0</v>
      </c>
      <c r="AX88" s="773">
        <f t="shared" ca="1" si="83"/>
        <v>2</v>
      </c>
      <c r="AY88" s="773">
        <f t="shared" ca="1" si="69"/>
        <v>0</v>
      </c>
      <c r="AZ88" s="773">
        <f t="shared" ca="1" si="70"/>
        <v>0</v>
      </c>
      <c r="BA88" s="773">
        <f t="shared" ca="1" si="84"/>
        <v>4</v>
      </c>
      <c r="BB88" s="773">
        <f t="shared" ca="1" si="71"/>
        <v>0</v>
      </c>
      <c r="BC88" s="773">
        <f t="shared" ca="1" si="72"/>
        <v>0</v>
      </c>
      <c r="BD88" s="773">
        <f t="shared" ca="1" si="85"/>
        <v>2</v>
      </c>
      <c r="BE88" s="773">
        <f t="shared" ca="1" si="73"/>
        <v>0</v>
      </c>
      <c r="BF88" s="773" t="str">
        <f t="shared" si="86"/>
        <v>Long Đức</v>
      </c>
      <c r="BX88" s="773">
        <v>1986</v>
      </c>
      <c r="BY88" s="773" t="s">
        <v>7819</v>
      </c>
    </row>
    <row r="89" spans="1:77" ht="15">
      <c r="A89" s="855" t="s">
        <v>507</v>
      </c>
      <c r="B89" s="855" t="s">
        <v>1399</v>
      </c>
      <c r="C89" s="855" t="s">
        <v>9300</v>
      </c>
      <c r="D89" s="855" t="s">
        <v>9301</v>
      </c>
      <c r="E89" s="855" t="s">
        <v>9298</v>
      </c>
      <c r="F89" s="855" t="s">
        <v>505</v>
      </c>
      <c r="G89" s="855" t="s">
        <v>506</v>
      </c>
      <c r="H89" s="773">
        <f ca="1">MOD(H88,12)</f>
        <v>11</v>
      </c>
      <c r="K89" s="787" t="str">
        <f t="shared" ca="1" si="91"/>
        <v xml:space="preserve"> </v>
      </c>
      <c r="L89" s="787"/>
      <c r="M89" s="787" t="str">
        <f t="shared" ca="1" si="92"/>
        <v xml:space="preserve"> </v>
      </c>
      <c r="S89" s="773" t="str">
        <f ca="1">G95</f>
        <v>Thân</v>
      </c>
      <c r="T89" s="787">
        <v>27</v>
      </c>
      <c r="U89" s="856" t="s">
        <v>8454</v>
      </c>
      <c r="V89" s="773">
        <f t="shared" ca="1" si="50"/>
        <v>0</v>
      </c>
      <c r="W89" s="773">
        <f t="shared" ca="1" si="74"/>
        <v>0</v>
      </c>
      <c r="X89" s="773">
        <f t="shared" ca="1" si="51"/>
        <v>0</v>
      </c>
      <c r="Y89" s="773">
        <f t="shared" ca="1" si="52"/>
        <v>0</v>
      </c>
      <c r="Z89" s="773">
        <f t="shared" ca="1" si="75"/>
        <v>1</v>
      </c>
      <c r="AA89" s="773">
        <f t="shared" ca="1" si="53"/>
        <v>0</v>
      </c>
      <c r="AB89" s="773">
        <f t="shared" ca="1" si="54"/>
        <v>0</v>
      </c>
      <c r="AC89" s="773">
        <f t="shared" ca="1" si="76"/>
        <v>0</v>
      </c>
      <c r="AD89" s="773">
        <f t="shared" ca="1" si="55"/>
        <v>0</v>
      </c>
      <c r="AE89" s="773">
        <f t="shared" ca="1" si="56"/>
        <v>0</v>
      </c>
      <c r="AF89" s="773">
        <f t="shared" ca="1" si="77"/>
        <v>4</v>
      </c>
      <c r="AG89" s="773">
        <f t="shared" ca="1" si="57"/>
        <v>0</v>
      </c>
      <c r="AH89" s="773">
        <f t="shared" ca="1" si="58"/>
        <v>0</v>
      </c>
      <c r="AI89" s="773">
        <f t="shared" ca="1" si="78"/>
        <v>6</v>
      </c>
      <c r="AJ89" s="773">
        <f t="shared" ca="1" si="59"/>
        <v>0</v>
      </c>
      <c r="AK89" s="773">
        <f t="shared" ca="1" si="60"/>
        <v>0</v>
      </c>
      <c r="AL89" s="773">
        <f t="shared" ca="1" si="79"/>
        <v>3</v>
      </c>
      <c r="AM89" s="773">
        <f t="shared" ca="1" si="61"/>
        <v>0</v>
      </c>
      <c r="AN89" s="773">
        <f t="shared" ca="1" si="62"/>
        <v>0</v>
      </c>
      <c r="AO89" s="773">
        <f t="shared" ca="1" si="80"/>
        <v>2</v>
      </c>
      <c r="AP89" s="773">
        <f t="shared" ca="1" si="63"/>
        <v>0</v>
      </c>
      <c r="AQ89" s="773">
        <f t="shared" ca="1" si="64"/>
        <v>0</v>
      </c>
      <c r="AR89" s="773">
        <f t="shared" ca="1" si="81"/>
        <v>1</v>
      </c>
      <c r="AS89" s="773">
        <f t="shared" ca="1" si="65"/>
        <v>0</v>
      </c>
      <c r="AT89" s="773">
        <f t="shared" ca="1" si="66"/>
        <v>1</v>
      </c>
      <c r="AU89" s="773">
        <f t="shared" ca="1" si="82"/>
        <v>2</v>
      </c>
      <c r="AV89" s="773">
        <f t="shared" ca="1" si="67"/>
        <v>2</v>
      </c>
      <c r="AW89" s="773">
        <f t="shared" ca="1" si="68"/>
        <v>0</v>
      </c>
      <c r="AX89" s="773">
        <f t="shared" ca="1" si="83"/>
        <v>2</v>
      </c>
      <c r="AY89" s="773">
        <f t="shared" ca="1" si="69"/>
        <v>0</v>
      </c>
      <c r="AZ89" s="773">
        <f t="shared" ca="1" si="70"/>
        <v>0</v>
      </c>
      <c r="BA89" s="773">
        <f t="shared" ca="1" si="84"/>
        <v>4</v>
      </c>
      <c r="BB89" s="773">
        <f t="shared" ca="1" si="71"/>
        <v>0</v>
      </c>
      <c r="BC89" s="773">
        <f t="shared" ca="1" si="72"/>
        <v>0</v>
      </c>
      <c r="BD89" s="773">
        <f t="shared" ca="1" si="85"/>
        <v>2</v>
      </c>
      <c r="BE89" s="773">
        <f t="shared" ca="1" si="73"/>
        <v>0</v>
      </c>
      <c r="BF89" s="773" t="str">
        <f t="shared" si="86"/>
        <v>Thiên Giải</v>
      </c>
      <c r="BX89" s="773">
        <v>1987</v>
      </c>
      <c r="BY89" s="773" t="s">
        <v>7820</v>
      </c>
    </row>
    <row r="90" spans="1:77" ht="15">
      <c r="A90" s="855" t="s">
        <v>9297</v>
      </c>
      <c r="B90" s="855" t="s">
        <v>353</v>
      </c>
      <c r="C90" s="855" t="s">
        <v>1402</v>
      </c>
      <c r="D90" s="855" t="s">
        <v>353</v>
      </c>
      <c r="E90" s="855" t="s">
        <v>9299</v>
      </c>
      <c r="F90" s="855" t="s">
        <v>1399</v>
      </c>
      <c r="G90" s="855" t="s">
        <v>507</v>
      </c>
      <c r="H90" s="912">
        <f ca="1">IF(H89=0,12,H89)</f>
        <v>11</v>
      </c>
      <c r="I90" s="855" t="s">
        <v>8455</v>
      </c>
      <c r="K90" s="787" t="str">
        <f t="shared" ca="1" si="91"/>
        <v xml:space="preserve"> </v>
      </c>
      <c r="L90" s="787"/>
      <c r="M90" s="787" t="str">
        <f t="shared" ca="1" si="92"/>
        <v xml:space="preserve"> </v>
      </c>
      <c r="P90" s="773">
        <f ca="1">O77</f>
        <v>5</v>
      </c>
      <c r="Q90" s="773">
        <f ca="1">O76</f>
        <v>7</v>
      </c>
      <c r="R90" s="834">
        <f t="shared" ref="R90:R101" ca="1" si="93">VLOOKUP(P36,$P$90:$Q$101,2,0)</f>
        <v>11</v>
      </c>
      <c r="S90" s="773" t="str">
        <f ca="1">H95</f>
        <v>Mùi</v>
      </c>
      <c r="T90" s="787">
        <v>28</v>
      </c>
      <c r="U90" s="856" t="s">
        <v>8456</v>
      </c>
      <c r="V90" s="773">
        <f t="shared" ca="1" si="50"/>
        <v>0</v>
      </c>
      <c r="W90" s="773">
        <f t="shared" ca="1" si="74"/>
        <v>0</v>
      </c>
      <c r="X90" s="773">
        <f t="shared" ca="1" si="51"/>
        <v>0</v>
      </c>
      <c r="Y90" s="773">
        <f t="shared" ca="1" si="52"/>
        <v>0</v>
      </c>
      <c r="Z90" s="773">
        <f t="shared" ca="1" si="75"/>
        <v>1</v>
      </c>
      <c r="AA90" s="773">
        <f t="shared" ca="1" si="53"/>
        <v>0</v>
      </c>
      <c r="AB90" s="773">
        <f t="shared" ca="1" si="54"/>
        <v>0</v>
      </c>
      <c r="AC90" s="773">
        <f t="shared" ca="1" si="76"/>
        <v>0</v>
      </c>
      <c r="AD90" s="773">
        <f t="shared" ca="1" si="55"/>
        <v>0</v>
      </c>
      <c r="AE90" s="773">
        <f t="shared" ca="1" si="56"/>
        <v>0</v>
      </c>
      <c r="AF90" s="773">
        <f t="shared" ca="1" si="77"/>
        <v>4</v>
      </c>
      <c r="AG90" s="773">
        <f t="shared" ca="1" si="57"/>
        <v>0</v>
      </c>
      <c r="AH90" s="773">
        <f t="shared" ca="1" si="58"/>
        <v>0</v>
      </c>
      <c r="AI90" s="773">
        <f t="shared" ca="1" si="78"/>
        <v>6</v>
      </c>
      <c r="AJ90" s="773">
        <f t="shared" ca="1" si="59"/>
        <v>0</v>
      </c>
      <c r="AK90" s="773">
        <f t="shared" ca="1" si="60"/>
        <v>0</v>
      </c>
      <c r="AL90" s="773">
        <f t="shared" ca="1" si="79"/>
        <v>3</v>
      </c>
      <c r="AM90" s="773">
        <f t="shared" ca="1" si="61"/>
        <v>0</v>
      </c>
      <c r="AN90" s="773">
        <f t="shared" ca="1" si="62"/>
        <v>0</v>
      </c>
      <c r="AO90" s="773">
        <f t="shared" ca="1" si="80"/>
        <v>2</v>
      </c>
      <c r="AP90" s="773">
        <f t="shared" ca="1" si="63"/>
        <v>0</v>
      </c>
      <c r="AQ90" s="773">
        <f t="shared" ca="1" si="64"/>
        <v>1</v>
      </c>
      <c r="AR90" s="773">
        <f t="shared" ca="1" si="81"/>
        <v>2</v>
      </c>
      <c r="AS90" s="773">
        <f t="shared" ca="1" si="65"/>
        <v>2</v>
      </c>
      <c r="AT90" s="773">
        <f t="shared" ca="1" si="66"/>
        <v>0</v>
      </c>
      <c r="AU90" s="773">
        <f t="shared" ca="1" si="82"/>
        <v>2</v>
      </c>
      <c r="AV90" s="773">
        <f t="shared" ca="1" si="67"/>
        <v>0</v>
      </c>
      <c r="AW90" s="773">
        <f t="shared" ca="1" si="68"/>
        <v>0</v>
      </c>
      <c r="AX90" s="773">
        <f t="shared" ca="1" si="83"/>
        <v>2</v>
      </c>
      <c r="AY90" s="773">
        <f t="shared" ca="1" si="69"/>
        <v>0</v>
      </c>
      <c r="AZ90" s="773">
        <f t="shared" ca="1" si="70"/>
        <v>0</v>
      </c>
      <c r="BA90" s="773">
        <f t="shared" ca="1" si="84"/>
        <v>4</v>
      </c>
      <c r="BB90" s="773">
        <f t="shared" ca="1" si="71"/>
        <v>0</v>
      </c>
      <c r="BC90" s="773">
        <f t="shared" ca="1" si="72"/>
        <v>0</v>
      </c>
      <c r="BD90" s="773">
        <f t="shared" ca="1" si="85"/>
        <v>2</v>
      </c>
      <c r="BE90" s="773">
        <f t="shared" ca="1" si="73"/>
        <v>0</v>
      </c>
      <c r="BF90" s="773" t="str">
        <f t="shared" si="86"/>
        <v>Địa Giải</v>
      </c>
      <c r="BX90" s="773">
        <v>1988</v>
      </c>
      <c r="BY90" s="773" t="s">
        <v>7822</v>
      </c>
    </row>
    <row r="91" spans="1:77" ht="15">
      <c r="A91" s="855" t="s">
        <v>9298</v>
      </c>
      <c r="B91" s="855" t="s">
        <v>9301</v>
      </c>
      <c r="C91" s="855" t="s">
        <v>9301</v>
      </c>
      <c r="D91" s="855" t="s">
        <v>1399</v>
      </c>
      <c r="E91" s="855" t="s">
        <v>9300</v>
      </c>
      <c r="F91" s="855" t="s">
        <v>353</v>
      </c>
      <c r="G91" s="855" t="s">
        <v>9297</v>
      </c>
      <c r="H91" s="912">
        <f ca="1">IF(I88=0,12,I88)</f>
        <v>5</v>
      </c>
      <c r="I91" s="855" t="s">
        <v>8457</v>
      </c>
      <c r="K91" s="787" t="str">
        <f t="shared" ca="1" si="91"/>
        <v>Phá Quân(H)</v>
      </c>
      <c r="L91" s="787"/>
      <c r="M91" s="787" t="str">
        <f t="shared" ca="1" si="92"/>
        <v>Liêm Trinh(H)</v>
      </c>
      <c r="P91" s="773">
        <f t="shared" ref="P91:P101" ca="1" si="94">IF(P90&gt;1,P90-1,12)</f>
        <v>4</v>
      </c>
      <c r="Q91" s="773">
        <f t="shared" ref="Q91:Q101" ca="1" si="95">IF(Q90&lt;12,Q90+1,1)</f>
        <v>8</v>
      </c>
      <c r="R91" s="834">
        <f t="shared" ca="1" si="93"/>
        <v>10</v>
      </c>
      <c r="S91" s="773" t="str">
        <f ca="1">D142</f>
        <v>Thìn</v>
      </c>
      <c r="T91" s="787">
        <v>29</v>
      </c>
      <c r="U91" s="856" t="s">
        <v>8458</v>
      </c>
      <c r="V91" s="773">
        <f t="shared" ca="1" si="50"/>
        <v>0</v>
      </c>
      <c r="W91" s="773">
        <f t="shared" ca="1" si="74"/>
        <v>0</v>
      </c>
      <c r="X91" s="773">
        <f t="shared" ca="1" si="51"/>
        <v>0</v>
      </c>
      <c r="Y91" s="773">
        <f t="shared" ca="1" si="52"/>
        <v>0</v>
      </c>
      <c r="Z91" s="773">
        <f t="shared" ca="1" si="75"/>
        <v>1</v>
      </c>
      <c r="AA91" s="773">
        <f t="shared" ca="1" si="53"/>
        <v>0</v>
      </c>
      <c r="AB91" s="773">
        <f t="shared" ca="1" si="54"/>
        <v>0</v>
      </c>
      <c r="AC91" s="773">
        <f t="shared" ca="1" si="76"/>
        <v>0</v>
      </c>
      <c r="AD91" s="773">
        <f t="shared" ca="1" si="55"/>
        <v>0</v>
      </c>
      <c r="AE91" s="773">
        <f t="shared" ca="1" si="56"/>
        <v>0</v>
      </c>
      <c r="AF91" s="773">
        <f t="shared" ca="1" si="77"/>
        <v>4</v>
      </c>
      <c r="AG91" s="773">
        <f t="shared" ca="1" si="57"/>
        <v>0</v>
      </c>
      <c r="AH91" s="773">
        <f t="shared" ca="1" si="58"/>
        <v>1</v>
      </c>
      <c r="AI91" s="773">
        <f t="shared" ca="1" si="78"/>
        <v>7</v>
      </c>
      <c r="AJ91" s="773">
        <f t="shared" ca="1" si="59"/>
        <v>7</v>
      </c>
      <c r="AK91" s="773">
        <f t="shared" ca="1" si="60"/>
        <v>0</v>
      </c>
      <c r="AL91" s="773">
        <f t="shared" ca="1" si="79"/>
        <v>3</v>
      </c>
      <c r="AM91" s="773">
        <f t="shared" ca="1" si="61"/>
        <v>0</v>
      </c>
      <c r="AN91" s="773">
        <f t="shared" ca="1" si="62"/>
        <v>0</v>
      </c>
      <c r="AO91" s="773">
        <f t="shared" ca="1" si="80"/>
        <v>2</v>
      </c>
      <c r="AP91" s="773">
        <f t="shared" ca="1" si="63"/>
        <v>0</v>
      </c>
      <c r="AQ91" s="773">
        <f t="shared" ca="1" si="64"/>
        <v>0</v>
      </c>
      <c r="AR91" s="773">
        <f t="shared" ca="1" si="81"/>
        <v>2</v>
      </c>
      <c r="AS91" s="773">
        <f t="shared" ca="1" si="65"/>
        <v>0</v>
      </c>
      <c r="AT91" s="773">
        <f t="shared" ca="1" si="66"/>
        <v>0</v>
      </c>
      <c r="AU91" s="773">
        <f t="shared" ca="1" si="82"/>
        <v>2</v>
      </c>
      <c r="AV91" s="773">
        <f t="shared" ca="1" si="67"/>
        <v>0</v>
      </c>
      <c r="AW91" s="773">
        <f t="shared" ca="1" si="68"/>
        <v>0</v>
      </c>
      <c r="AX91" s="773">
        <f t="shared" ca="1" si="83"/>
        <v>2</v>
      </c>
      <c r="AY91" s="773">
        <f t="shared" ca="1" si="69"/>
        <v>0</v>
      </c>
      <c r="AZ91" s="773">
        <f t="shared" ca="1" si="70"/>
        <v>0</v>
      </c>
      <c r="BA91" s="773">
        <f t="shared" ca="1" si="84"/>
        <v>4</v>
      </c>
      <c r="BB91" s="773">
        <f t="shared" ca="1" si="71"/>
        <v>0</v>
      </c>
      <c r="BC91" s="773">
        <f t="shared" ca="1" si="72"/>
        <v>0</v>
      </c>
      <c r="BD91" s="773">
        <f t="shared" ca="1" si="85"/>
        <v>2</v>
      </c>
      <c r="BE91" s="773">
        <f t="shared" ca="1" si="73"/>
        <v>0</v>
      </c>
      <c r="BF91" s="773" t="str">
        <f t="shared" si="86"/>
        <v>Giải Thần</v>
      </c>
      <c r="BX91" s="773">
        <v>1989</v>
      </c>
      <c r="BY91" s="773" t="s">
        <v>7823</v>
      </c>
    </row>
    <row r="92" spans="1:77" ht="25.5">
      <c r="A92" s="855" t="s">
        <v>9299</v>
      </c>
      <c r="B92" s="855" t="s">
        <v>1402</v>
      </c>
      <c r="C92" s="855" t="s">
        <v>353</v>
      </c>
      <c r="D92" s="855" t="s">
        <v>505</v>
      </c>
      <c r="E92" s="855" t="s">
        <v>1402</v>
      </c>
      <c r="F92" s="855" t="s">
        <v>9301</v>
      </c>
      <c r="G92" s="855" t="s">
        <v>9298</v>
      </c>
      <c r="H92" s="915" t="str">
        <f ca="1">VLOOKUP(H90,$U$36:$V$47,2,0)</f>
        <v>tuất</v>
      </c>
      <c r="K92" s="787" t="str">
        <f t="shared" ca="1" si="91"/>
        <v xml:space="preserve"> </v>
      </c>
      <c r="L92" s="787"/>
      <c r="M92" s="787" t="str">
        <f t="shared" ca="1" si="92"/>
        <v xml:space="preserve"> </v>
      </c>
      <c r="P92" s="773">
        <f t="shared" ca="1" si="94"/>
        <v>3</v>
      </c>
      <c r="Q92" s="773">
        <f t="shared" ca="1" si="95"/>
        <v>9</v>
      </c>
      <c r="R92" s="834">
        <f t="shared" ca="1" si="93"/>
        <v>9</v>
      </c>
      <c r="S92" s="773" t="str">
        <f ca="1">I124</f>
        <v>Tuất</v>
      </c>
      <c r="T92" s="787">
        <v>30</v>
      </c>
      <c r="U92" s="856" t="s">
        <v>8459</v>
      </c>
      <c r="V92" s="773">
        <f t="shared" ca="1" si="50"/>
        <v>0</v>
      </c>
      <c r="W92" s="773">
        <f t="shared" ca="1" si="74"/>
        <v>0</v>
      </c>
      <c r="X92" s="773">
        <f t="shared" ca="1" si="51"/>
        <v>0</v>
      </c>
      <c r="Y92" s="773">
        <f t="shared" ca="1" si="52"/>
        <v>0</v>
      </c>
      <c r="Z92" s="773">
        <f t="shared" ca="1" si="75"/>
        <v>1</v>
      </c>
      <c r="AA92" s="773">
        <f t="shared" ca="1" si="53"/>
        <v>0</v>
      </c>
      <c r="AB92" s="773">
        <f t="shared" ca="1" si="54"/>
        <v>0</v>
      </c>
      <c r="AC92" s="773">
        <f t="shared" ca="1" si="76"/>
        <v>0</v>
      </c>
      <c r="AD92" s="773">
        <f t="shared" ca="1" si="55"/>
        <v>0</v>
      </c>
      <c r="AE92" s="773">
        <f t="shared" ca="1" si="56"/>
        <v>0</v>
      </c>
      <c r="AF92" s="773">
        <f t="shared" ca="1" si="77"/>
        <v>4</v>
      </c>
      <c r="AG92" s="773">
        <f t="shared" ca="1" si="57"/>
        <v>0</v>
      </c>
      <c r="AH92" s="773">
        <f t="shared" ca="1" si="58"/>
        <v>0</v>
      </c>
      <c r="AI92" s="773">
        <f t="shared" ca="1" si="78"/>
        <v>7</v>
      </c>
      <c r="AJ92" s="773">
        <f t="shared" ca="1" si="59"/>
        <v>0</v>
      </c>
      <c r="AK92" s="773">
        <f t="shared" ca="1" si="60"/>
        <v>0</v>
      </c>
      <c r="AL92" s="773">
        <f t="shared" ca="1" si="79"/>
        <v>3</v>
      </c>
      <c r="AM92" s="773">
        <f t="shared" ca="1" si="61"/>
        <v>0</v>
      </c>
      <c r="AN92" s="773">
        <f t="shared" ca="1" si="62"/>
        <v>0</v>
      </c>
      <c r="AO92" s="773">
        <f t="shared" ca="1" si="80"/>
        <v>2</v>
      </c>
      <c r="AP92" s="773">
        <f t="shared" ca="1" si="63"/>
        <v>0</v>
      </c>
      <c r="AQ92" s="773">
        <f t="shared" ca="1" si="64"/>
        <v>0</v>
      </c>
      <c r="AR92" s="773">
        <f t="shared" ca="1" si="81"/>
        <v>2</v>
      </c>
      <c r="AS92" s="773">
        <f t="shared" ca="1" si="65"/>
        <v>0</v>
      </c>
      <c r="AT92" s="773">
        <f t="shared" ca="1" si="66"/>
        <v>0</v>
      </c>
      <c r="AU92" s="773">
        <f t="shared" ca="1" si="82"/>
        <v>2</v>
      </c>
      <c r="AV92" s="773">
        <f t="shared" ca="1" si="67"/>
        <v>0</v>
      </c>
      <c r="AW92" s="773">
        <f t="shared" ca="1" si="68"/>
        <v>0</v>
      </c>
      <c r="AX92" s="773">
        <f t="shared" ca="1" si="83"/>
        <v>2</v>
      </c>
      <c r="AY92" s="773">
        <f t="shared" ca="1" si="69"/>
        <v>0</v>
      </c>
      <c r="AZ92" s="773">
        <f t="shared" ca="1" si="70"/>
        <v>1</v>
      </c>
      <c r="BA92" s="773">
        <f t="shared" ca="1" si="84"/>
        <v>5</v>
      </c>
      <c r="BB92" s="773">
        <f t="shared" ca="1" si="71"/>
        <v>5</v>
      </c>
      <c r="BC92" s="773">
        <f t="shared" ca="1" si="72"/>
        <v>0</v>
      </c>
      <c r="BD92" s="773">
        <f t="shared" ca="1" si="85"/>
        <v>2</v>
      </c>
      <c r="BE92" s="773">
        <f t="shared" ca="1" si="73"/>
        <v>0</v>
      </c>
      <c r="BF92" s="773" t="str">
        <f t="shared" si="86"/>
        <v>Thiên Quan</v>
      </c>
      <c r="BX92" s="773">
        <v>1990</v>
      </c>
      <c r="BY92" s="773" t="s">
        <v>7825</v>
      </c>
    </row>
    <row r="93" spans="1:77" ht="25.5">
      <c r="A93" s="855" t="s">
        <v>9300</v>
      </c>
      <c r="B93" s="855" t="s">
        <v>9300</v>
      </c>
      <c r="C93" s="855" t="s">
        <v>1399</v>
      </c>
      <c r="D93" s="806" t="s">
        <v>7871</v>
      </c>
      <c r="E93" s="855" t="s">
        <v>9301</v>
      </c>
      <c r="F93" s="855" t="s">
        <v>1402</v>
      </c>
      <c r="G93" s="855" t="s">
        <v>9299</v>
      </c>
      <c r="H93" s="915" t="str">
        <f ca="1">VLOOKUP(H91,$U$36:$V$47,2,0)</f>
        <v>thìn</v>
      </c>
      <c r="K93" s="787" t="str">
        <f t="shared" ca="1" si="91"/>
        <v>Thiên Phủ(D)</v>
      </c>
      <c r="L93" s="787"/>
      <c r="M93" s="787" t="str">
        <f t="shared" ca="1" si="92"/>
        <v xml:space="preserve"> </v>
      </c>
      <c r="P93" s="773">
        <f t="shared" ca="1" si="94"/>
        <v>2</v>
      </c>
      <c r="Q93" s="773">
        <f t="shared" ca="1" si="95"/>
        <v>10</v>
      </c>
      <c r="R93" s="834">
        <f t="shared" ca="1" si="93"/>
        <v>8</v>
      </c>
      <c r="S93" s="773" t="str">
        <f ca="1">J124</f>
        <v>Ngọ</v>
      </c>
      <c r="T93" s="787">
        <v>31</v>
      </c>
      <c r="U93" s="856" t="s">
        <v>8460</v>
      </c>
      <c r="V93" s="773">
        <f t="shared" ca="1" si="50"/>
        <v>0</v>
      </c>
      <c r="W93" s="773">
        <f t="shared" ca="1" si="74"/>
        <v>0</v>
      </c>
      <c r="X93" s="773">
        <f t="shared" ca="1" si="51"/>
        <v>0</v>
      </c>
      <c r="Y93" s="773">
        <f t="shared" ca="1" si="52"/>
        <v>0</v>
      </c>
      <c r="Z93" s="773">
        <f t="shared" ca="1" si="75"/>
        <v>1</v>
      </c>
      <c r="AA93" s="773">
        <f t="shared" ca="1" si="53"/>
        <v>0</v>
      </c>
      <c r="AB93" s="773">
        <f t="shared" ca="1" si="54"/>
        <v>0</v>
      </c>
      <c r="AC93" s="773">
        <f t="shared" ca="1" si="76"/>
        <v>0</v>
      </c>
      <c r="AD93" s="773">
        <f t="shared" ca="1" si="55"/>
        <v>0</v>
      </c>
      <c r="AE93" s="773">
        <f t="shared" ca="1" si="56"/>
        <v>0</v>
      </c>
      <c r="AF93" s="773">
        <f t="shared" ca="1" si="77"/>
        <v>4</v>
      </c>
      <c r="AG93" s="773">
        <f t="shared" ca="1" si="57"/>
        <v>0</v>
      </c>
      <c r="AH93" s="773">
        <f t="shared" ca="1" si="58"/>
        <v>0</v>
      </c>
      <c r="AI93" s="773">
        <f t="shared" ca="1" si="78"/>
        <v>7</v>
      </c>
      <c r="AJ93" s="773">
        <f t="shared" ca="1" si="59"/>
        <v>0</v>
      </c>
      <c r="AK93" s="773">
        <f t="shared" ca="1" si="60"/>
        <v>0</v>
      </c>
      <c r="AL93" s="773">
        <f t="shared" ca="1" si="79"/>
        <v>3</v>
      </c>
      <c r="AM93" s="773">
        <f t="shared" ca="1" si="61"/>
        <v>0</v>
      </c>
      <c r="AN93" s="773">
        <f t="shared" ca="1" si="62"/>
        <v>1</v>
      </c>
      <c r="AO93" s="773">
        <f t="shared" ca="1" si="80"/>
        <v>3</v>
      </c>
      <c r="AP93" s="773">
        <f t="shared" ca="1" si="63"/>
        <v>3</v>
      </c>
      <c r="AQ93" s="773">
        <f t="shared" ca="1" si="64"/>
        <v>0</v>
      </c>
      <c r="AR93" s="773">
        <f t="shared" ca="1" si="81"/>
        <v>2</v>
      </c>
      <c r="AS93" s="773">
        <f t="shared" ca="1" si="65"/>
        <v>0</v>
      </c>
      <c r="AT93" s="773">
        <f t="shared" ca="1" si="66"/>
        <v>0</v>
      </c>
      <c r="AU93" s="773">
        <f t="shared" ca="1" si="82"/>
        <v>2</v>
      </c>
      <c r="AV93" s="773">
        <f t="shared" ca="1" si="67"/>
        <v>0</v>
      </c>
      <c r="AW93" s="773">
        <f t="shared" ca="1" si="68"/>
        <v>0</v>
      </c>
      <c r="AX93" s="773">
        <f t="shared" ca="1" si="83"/>
        <v>2</v>
      </c>
      <c r="AY93" s="773">
        <f t="shared" ca="1" si="69"/>
        <v>0</v>
      </c>
      <c r="AZ93" s="773">
        <f t="shared" ca="1" si="70"/>
        <v>0</v>
      </c>
      <c r="BA93" s="773">
        <f t="shared" ca="1" si="84"/>
        <v>5</v>
      </c>
      <c r="BB93" s="773">
        <f t="shared" ca="1" si="71"/>
        <v>0</v>
      </c>
      <c r="BC93" s="773">
        <f t="shared" ca="1" si="72"/>
        <v>0</v>
      </c>
      <c r="BD93" s="773">
        <f t="shared" ca="1" si="85"/>
        <v>2</v>
      </c>
      <c r="BE93" s="773">
        <f t="shared" ca="1" si="73"/>
        <v>0</v>
      </c>
      <c r="BF93" s="773" t="str">
        <f t="shared" si="86"/>
        <v>Thiên Phúc</v>
      </c>
      <c r="BX93" s="773">
        <v>1991</v>
      </c>
      <c r="BY93" s="773" t="s">
        <v>7827</v>
      </c>
    </row>
    <row r="94" spans="1:77" ht="15.75">
      <c r="A94" s="932" t="s">
        <v>8461</v>
      </c>
      <c r="P94" s="773">
        <f t="shared" ca="1" si="94"/>
        <v>1</v>
      </c>
      <c r="Q94" s="773">
        <f t="shared" ca="1" si="95"/>
        <v>11</v>
      </c>
      <c r="R94" s="834">
        <f t="shared" ca="1" si="93"/>
        <v>7</v>
      </c>
      <c r="S94" s="773" t="str">
        <f ca="1">L124</f>
        <v>Dậu</v>
      </c>
      <c r="T94" s="787">
        <v>32</v>
      </c>
      <c r="U94" s="856" t="s">
        <v>8462</v>
      </c>
      <c r="V94" s="773">
        <f t="shared" ca="1" si="50"/>
        <v>0</v>
      </c>
      <c r="W94" s="773">
        <f t="shared" ca="1" si="74"/>
        <v>0</v>
      </c>
      <c r="X94" s="773">
        <f t="shared" ca="1" si="51"/>
        <v>0</v>
      </c>
      <c r="Y94" s="773">
        <f t="shared" ca="1" si="52"/>
        <v>0</v>
      </c>
      <c r="Z94" s="773">
        <f t="shared" ca="1" si="75"/>
        <v>1</v>
      </c>
      <c r="AA94" s="773">
        <f t="shared" ca="1" si="53"/>
        <v>0</v>
      </c>
      <c r="AB94" s="773">
        <f t="shared" ca="1" si="54"/>
        <v>0</v>
      </c>
      <c r="AC94" s="773">
        <f t="shared" ca="1" si="76"/>
        <v>0</v>
      </c>
      <c r="AD94" s="773">
        <f t="shared" ca="1" si="55"/>
        <v>0</v>
      </c>
      <c r="AE94" s="773">
        <f t="shared" ca="1" si="56"/>
        <v>0</v>
      </c>
      <c r="AF94" s="773">
        <f t="shared" ca="1" si="77"/>
        <v>4</v>
      </c>
      <c r="AG94" s="773">
        <f t="shared" ca="1" si="57"/>
        <v>0</v>
      </c>
      <c r="AH94" s="773">
        <f t="shared" ca="1" si="58"/>
        <v>0</v>
      </c>
      <c r="AI94" s="773">
        <f t="shared" ca="1" si="78"/>
        <v>7</v>
      </c>
      <c r="AJ94" s="773">
        <f t="shared" ca="1" si="59"/>
        <v>0</v>
      </c>
      <c r="AK94" s="773">
        <f t="shared" ca="1" si="60"/>
        <v>0</v>
      </c>
      <c r="AL94" s="773">
        <f t="shared" ca="1" si="79"/>
        <v>3</v>
      </c>
      <c r="AM94" s="773">
        <f t="shared" ca="1" si="61"/>
        <v>0</v>
      </c>
      <c r="AN94" s="773">
        <f t="shared" ca="1" si="62"/>
        <v>0</v>
      </c>
      <c r="AO94" s="773">
        <f t="shared" ca="1" si="80"/>
        <v>3</v>
      </c>
      <c r="AP94" s="773">
        <f t="shared" ca="1" si="63"/>
        <v>0</v>
      </c>
      <c r="AQ94" s="773">
        <f t="shared" ca="1" si="64"/>
        <v>0</v>
      </c>
      <c r="AR94" s="773">
        <f t="shared" ca="1" si="81"/>
        <v>2</v>
      </c>
      <c r="AS94" s="773">
        <f t="shared" ca="1" si="65"/>
        <v>0</v>
      </c>
      <c r="AT94" s="773">
        <f t="shared" ca="1" si="66"/>
        <v>0</v>
      </c>
      <c r="AU94" s="773">
        <f t="shared" ca="1" si="82"/>
        <v>2</v>
      </c>
      <c r="AV94" s="773">
        <f t="shared" ca="1" si="67"/>
        <v>0</v>
      </c>
      <c r="AW94" s="773">
        <f t="shared" ca="1" si="68"/>
        <v>1</v>
      </c>
      <c r="AX94" s="773">
        <f t="shared" ca="1" si="83"/>
        <v>3</v>
      </c>
      <c r="AY94" s="773">
        <f t="shared" ca="1" si="69"/>
        <v>3</v>
      </c>
      <c r="AZ94" s="773">
        <f t="shared" ca="1" si="70"/>
        <v>0</v>
      </c>
      <c r="BA94" s="773">
        <f t="shared" ca="1" si="84"/>
        <v>5</v>
      </c>
      <c r="BB94" s="773">
        <f t="shared" ca="1" si="71"/>
        <v>0</v>
      </c>
      <c r="BC94" s="773">
        <f t="shared" ca="1" si="72"/>
        <v>0</v>
      </c>
      <c r="BD94" s="773">
        <f t="shared" ca="1" si="85"/>
        <v>2</v>
      </c>
      <c r="BE94" s="773">
        <f t="shared" ca="1" si="73"/>
        <v>0</v>
      </c>
      <c r="BF94" s="773" t="str">
        <f t="shared" si="86"/>
        <v>Thiên Trù</v>
      </c>
      <c r="BX94" s="773">
        <v>1992</v>
      </c>
      <c r="BY94" s="773" t="s">
        <v>7829</v>
      </c>
    </row>
    <row r="95" spans="1:77">
      <c r="B95" s="912" t="str">
        <f t="shared" ref="B95:H95" ca="1" si="96">VLOOKUP($F$16,$A$97:$H$109,I95,0)</f>
        <v>Thìn</v>
      </c>
      <c r="C95" s="912" t="str">
        <f t="shared" ca="1" si="96"/>
        <v>Tuất</v>
      </c>
      <c r="D95" s="912" t="str">
        <f t="shared" ca="1" si="96"/>
        <v>Dậu</v>
      </c>
      <c r="E95" s="912" t="str">
        <f t="shared" ca="1" si="96"/>
        <v>Sửu</v>
      </c>
      <c r="F95" s="912" t="str">
        <f t="shared" ca="1" si="96"/>
        <v>Sửu</v>
      </c>
      <c r="G95" s="912" t="str">
        <f t="shared" ca="1" si="96"/>
        <v>Thân</v>
      </c>
      <c r="H95" s="912" t="str">
        <f t="shared" ca="1" si="96"/>
        <v>Mùi</v>
      </c>
      <c r="I95" s="773">
        <v>2</v>
      </c>
      <c r="J95" s="773">
        <v>3</v>
      </c>
      <c r="K95" s="773">
        <v>4</v>
      </c>
      <c r="L95" s="773">
        <v>5</v>
      </c>
      <c r="M95" s="773">
        <v>6</v>
      </c>
      <c r="N95" s="773">
        <v>7</v>
      </c>
      <c r="O95" s="773">
        <v>8</v>
      </c>
      <c r="P95" s="773">
        <f t="shared" ca="1" si="94"/>
        <v>12</v>
      </c>
      <c r="Q95" s="773">
        <f t="shared" ca="1" si="95"/>
        <v>12</v>
      </c>
      <c r="R95" s="834">
        <f t="shared" ca="1" si="93"/>
        <v>6</v>
      </c>
      <c r="S95" s="773" t="str">
        <f ca="1">J142</f>
        <v>Mão</v>
      </c>
      <c r="T95" s="787">
        <v>33</v>
      </c>
      <c r="U95" s="856" t="s">
        <v>8463</v>
      </c>
      <c r="V95" s="773">
        <f t="shared" ca="1" si="50"/>
        <v>0</v>
      </c>
      <c r="W95" s="773">
        <f t="shared" ca="1" si="74"/>
        <v>0</v>
      </c>
      <c r="X95" s="773">
        <f t="shared" ca="1" si="51"/>
        <v>0</v>
      </c>
      <c r="Y95" s="773">
        <f t="shared" ca="1" si="52"/>
        <v>0</v>
      </c>
      <c r="Z95" s="773">
        <f t="shared" ca="1" si="75"/>
        <v>1</v>
      </c>
      <c r="AA95" s="773">
        <f t="shared" ca="1" si="53"/>
        <v>0</v>
      </c>
      <c r="AB95" s="773">
        <f t="shared" ca="1" si="54"/>
        <v>0</v>
      </c>
      <c r="AC95" s="773">
        <f t="shared" ca="1" si="76"/>
        <v>0</v>
      </c>
      <c r="AD95" s="773">
        <f t="shared" ca="1" si="55"/>
        <v>0</v>
      </c>
      <c r="AE95" s="773">
        <f t="shared" ca="1" si="56"/>
        <v>1</v>
      </c>
      <c r="AF95" s="773">
        <f t="shared" ca="1" si="77"/>
        <v>5</v>
      </c>
      <c r="AG95" s="773">
        <f t="shared" ca="1" si="57"/>
        <v>5</v>
      </c>
      <c r="AH95" s="773">
        <f t="shared" ca="1" si="58"/>
        <v>0</v>
      </c>
      <c r="AI95" s="773">
        <f t="shared" ca="1" si="78"/>
        <v>7</v>
      </c>
      <c r="AJ95" s="773">
        <f t="shared" ca="1" si="59"/>
        <v>0</v>
      </c>
      <c r="AK95" s="773">
        <f t="shared" ca="1" si="60"/>
        <v>0</v>
      </c>
      <c r="AL95" s="773">
        <f t="shared" ca="1" si="79"/>
        <v>3</v>
      </c>
      <c r="AM95" s="773">
        <f t="shared" ca="1" si="61"/>
        <v>0</v>
      </c>
      <c r="AN95" s="773">
        <f t="shared" ca="1" si="62"/>
        <v>0</v>
      </c>
      <c r="AO95" s="773">
        <f t="shared" ca="1" si="80"/>
        <v>3</v>
      </c>
      <c r="AP95" s="773">
        <f t="shared" ca="1" si="63"/>
        <v>0</v>
      </c>
      <c r="AQ95" s="773">
        <f t="shared" ca="1" si="64"/>
        <v>0</v>
      </c>
      <c r="AR95" s="773">
        <f t="shared" ca="1" si="81"/>
        <v>2</v>
      </c>
      <c r="AS95" s="773">
        <f t="shared" ca="1" si="65"/>
        <v>0</v>
      </c>
      <c r="AT95" s="773">
        <f t="shared" ca="1" si="66"/>
        <v>0</v>
      </c>
      <c r="AU95" s="773">
        <f t="shared" ca="1" si="82"/>
        <v>2</v>
      </c>
      <c r="AV95" s="773">
        <f t="shared" ca="1" si="67"/>
        <v>0</v>
      </c>
      <c r="AW95" s="773">
        <f t="shared" ca="1" si="68"/>
        <v>0</v>
      </c>
      <c r="AX95" s="773">
        <f t="shared" ca="1" si="83"/>
        <v>3</v>
      </c>
      <c r="AY95" s="773">
        <f t="shared" ca="1" si="69"/>
        <v>0</v>
      </c>
      <c r="AZ95" s="773">
        <f t="shared" ca="1" si="70"/>
        <v>0</v>
      </c>
      <c r="BA95" s="773">
        <f t="shared" ca="1" si="84"/>
        <v>5</v>
      </c>
      <c r="BB95" s="773">
        <f t="shared" ca="1" si="71"/>
        <v>0</v>
      </c>
      <c r="BC95" s="773">
        <f t="shared" ca="1" si="72"/>
        <v>0</v>
      </c>
      <c r="BD95" s="773">
        <f t="shared" ca="1" si="85"/>
        <v>2</v>
      </c>
      <c r="BE95" s="773">
        <f t="shared" ca="1" si="73"/>
        <v>0</v>
      </c>
      <c r="BF95" s="773" t="str">
        <f t="shared" si="86"/>
        <v>Thiên Hỷ</v>
      </c>
      <c r="BX95" s="773">
        <v>1993</v>
      </c>
      <c r="BY95" s="773" t="s">
        <v>7831</v>
      </c>
    </row>
    <row r="96" spans="1:77" ht="15">
      <c r="A96" s="855" t="s">
        <v>352</v>
      </c>
      <c r="B96" s="855" t="s">
        <v>8464</v>
      </c>
      <c r="C96" s="855" t="s">
        <v>8465</v>
      </c>
      <c r="D96" s="855" t="s">
        <v>8310</v>
      </c>
      <c r="E96" s="855" t="s">
        <v>8310</v>
      </c>
      <c r="F96" s="855" t="s">
        <v>8310</v>
      </c>
      <c r="G96" s="855" t="s">
        <v>8310</v>
      </c>
      <c r="H96" s="855" t="s">
        <v>8466</v>
      </c>
      <c r="I96" s="915">
        <f ca="1">VLOOKUP(B95,$N$49:$O$60,2,0)</f>
        <v>5</v>
      </c>
      <c r="J96" s="915">
        <f ca="1">VLOOKUP(C95,$N$49:$O$60,2,0)</f>
        <v>11</v>
      </c>
      <c r="P96" s="773">
        <f t="shared" ca="1" si="94"/>
        <v>11</v>
      </c>
      <c r="Q96" s="773">
        <f t="shared" ca="1" si="95"/>
        <v>1</v>
      </c>
      <c r="R96" s="834">
        <f t="shared" ca="1" si="93"/>
        <v>5</v>
      </c>
      <c r="S96" s="773" t="str">
        <f ca="1">M124</f>
        <v>Dậu</v>
      </c>
      <c r="T96" s="787">
        <v>34</v>
      </c>
      <c r="U96" s="856" t="s">
        <v>6555</v>
      </c>
      <c r="V96" s="773">
        <f t="shared" ca="1" si="50"/>
        <v>0</v>
      </c>
      <c r="W96" s="773">
        <f t="shared" ca="1" si="74"/>
        <v>0</v>
      </c>
      <c r="X96" s="773">
        <f t="shared" ca="1" si="51"/>
        <v>0</v>
      </c>
      <c r="Y96" s="773">
        <f t="shared" ca="1" si="52"/>
        <v>0</v>
      </c>
      <c r="Z96" s="773">
        <f t="shared" ca="1" si="75"/>
        <v>1</v>
      </c>
      <c r="AA96" s="773">
        <f t="shared" ca="1" si="53"/>
        <v>0</v>
      </c>
      <c r="AB96" s="773">
        <f t="shared" ca="1" si="54"/>
        <v>0</v>
      </c>
      <c r="AC96" s="773">
        <f t="shared" ca="1" si="76"/>
        <v>0</v>
      </c>
      <c r="AD96" s="773">
        <f t="shared" ca="1" si="55"/>
        <v>0</v>
      </c>
      <c r="AE96" s="773">
        <f t="shared" ca="1" si="56"/>
        <v>0</v>
      </c>
      <c r="AF96" s="773">
        <f t="shared" ca="1" si="77"/>
        <v>5</v>
      </c>
      <c r="AG96" s="773">
        <f t="shared" ca="1" si="57"/>
        <v>0</v>
      </c>
      <c r="AH96" s="773">
        <f t="shared" ca="1" si="58"/>
        <v>0</v>
      </c>
      <c r="AI96" s="773">
        <f t="shared" ca="1" si="78"/>
        <v>7</v>
      </c>
      <c r="AJ96" s="773">
        <f t="shared" ca="1" si="59"/>
        <v>0</v>
      </c>
      <c r="AK96" s="773">
        <f t="shared" ca="1" si="60"/>
        <v>0</v>
      </c>
      <c r="AL96" s="773">
        <f t="shared" ca="1" si="79"/>
        <v>3</v>
      </c>
      <c r="AM96" s="773">
        <f t="shared" ca="1" si="61"/>
        <v>0</v>
      </c>
      <c r="AN96" s="773">
        <f t="shared" ca="1" si="62"/>
        <v>0</v>
      </c>
      <c r="AO96" s="773">
        <f t="shared" ca="1" si="80"/>
        <v>3</v>
      </c>
      <c r="AP96" s="773">
        <f t="shared" ca="1" si="63"/>
        <v>0</v>
      </c>
      <c r="AQ96" s="773">
        <f t="shared" ca="1" si="64"/>
        <v>0</v>
      </c>
      <c r="AR96" s="773">
        <f t="shared" ca="1" si="81"/>
        <v>2</v>
      </c>
      <c r="AS96" s="773">
        <f t="shared" ca="1" si="65"/>
        <v>0</v>
      </c>
      <c r="AT96" s="773">
        <f t="shared" ca="1" si="66"/>
        <v>0</v>
      </c>
      <c r="AU96" s="773">
        <f t="shared" ca="1" si="82"/>
        <v>2</v>
      </c>
      <c r="AV96" s="773">
        <f t="shared" ca="1" si="67"/>
        <v>0</v>
      </c>
      <c r="AW96" s="773">
        <f t="shared" ca="1" si="68"/>
        <v>1</v>
      </c>
      <c r="AX96" s="773">
        <f t="shared" ca="1" si="83"/>
        <v>4</v>
      </c>
      <c r="AY96" s="773">
        <f t="shared" ca="1" si="69"/>
        <v>4</v>
      </c>
      <c r="AZ96" s="773">
        <f t="shared" ca="1" si="70"/>
        <v>0</v>
      </c>
      <c r="BA96" s="773">
        <f t="shared" ca="1" si="84"/>
        <v>5</v>
      </c>
      <c r="BB96" s="773">
        <f t="shared" ca="1" si="71"/>
        <v>0</v>
      </c>
      <c r="BC96" s="773">
        <f t="shared" ca="1" si="72"/>
        <v>0</v>
      </c>
      <c r="BD96" s="773">
        <f t="shared" ca="1" si="85"/>
        <v>2</v>
      </c>
      <c r="BE96" s="773">
        <f t="shared" ca="1" si="73"/>
        <v>0</v>
      </c>
      <c r="BF96" s="773" t="str">
        <f t="shared" si="86"/>
        <v>Lưu Niên</v>
      </c>
      <c r="BX96" s="773">
        <v>1994</v>
      </c>
      <c r="BY96" s="773" t="s">
        <v>7835</v>
      </c>
    </row>
    <row r="97" spans="1:77" ht="15">
      <c r="A97" s="855" t="s">
        <v>8467</v>
      </c>
      <c r="B97" s="855" t="s">
        <v>8468</v>
      </c>
      <c r="C97" s="855" t="s">
        <v>8469</v>
      </c>
      <c r="D97" s="855" t="s">
        <v>8470</v>
      </c>
      <c r="E97" s="855" t="s">
        <v>8471</v>
      </c>
      <c r="F97" s="855" t="s">
        <v>8472</v>
      </c>
      <c r="G97" s="855" t="s">
        <v>1478</v>
      </c>
      <c r="H97" s="855" t="s">
        <v>1478</v>
      </c>
      <c r="I97" s="912">
        <f ca="1">$F$15+I96-1</f>
        <v>10</v>
      </c>
      <c r="J97" s="912">
        <f ca="1">36-$F$15+J96+1</f>
        <v>42</v>
      </c>
      <c r="P97" s="773">
        <f t="shared" ca="1" si="94"/>
        <v>10</v>
      </c>
      <c r="Q97" s="773">
        <f t="shared" ca="1" si="95"/>
        <v>2</v>
      </c>
      <c r="R97" s="834">
        <f t="shared" ca="1" si="93"/>
        <v>4</v>
      </c>
      <c r="S97" s="773" t="str">
        <f ca="1">N142</f>
        <v>Thân</v>
      </c>
      <c r="T97" s="787">
        <v>35</v>
      </c>
      <c r="U97" s="856" t="s">
        <v>6589</v>
      </c>
      <c r="V97" s="773">
        <f t="shared" ca="1" si="50"/>
        <v>0</v>
      </c>
      <c r="W97" s="773">
        <f t="shared" ca="1" si="74"/>
        <v>0</v>
      </c>
      <c r="X97" s="773">
        <f t="shared" ca="1" si="51"/>
        <v>0</v>
      </c>
      <c r="Y97" s="773">
        <f t="shared" ca="1" si="52"/>
        <v>0</v>
      </c>
      <c r="Z97" s="773">
        <f t="shared" ca="1" si="75"/>
        <v>1</v>
      </c>
      <c r="AA97" s="773">
        <f t="shared" ca="1" si="53"/>
        <v>0</v>
      </c>
      <c r="AB97" s="773">
        <f t="shared" ca="1" si="54"/>
        <v>0</v>
      </c>
      <c r="AC97" s="773">
        <f t="shared" ca="1" si="76"/>
        <v>0</v>
      </c>
      <c r="AD97" s="773">
        <f t="shared" ca="1" si="55"/>
        <v>0</v>
      </c>
      <c r="AE97" s="773">
        <f t="shared" ca="1" si="56"/>
        <v>0</v>
      </c>
      <c r="AF97" s="773">
        <f t="shared" ca="1" si="77"/>
        <v>5</v>
      </c>
      <c r="AG97" s="773">
        <f t="shared" ca="1" si="57"/>
        <v>0</v>
      </c>
      <c r="AH97" s="773">
        <f t="shared" ca="1" si="58"/>
        <v>0</v>
      </c>
      <c r="AI97" s="773">
        <f t="shared" ca="1" si="78"/>
        <v>7</v>
      </c>
      <c r="AJ97" s="773">
        <f t="shared" ca="1" si="59"/>
        <v>0</v>
      </c>
      <c r="AK97" s="773">
        <f t="shared" ca="1" si="60"/>
        <v>0</v>
      </c>
      <c r="AL97" s="773">
        <f t="shared" ca="1" si="79"/>
        <v>3</v>
      </c>
      <c r="AM97" s="773">
        <f t="shared" ca="1" si="61"/>
        <v>0</v>
      </c>
      <c r="AN97" s="773">
        <f t="shared" ca="1" si="62"/>
        <v>0</v>
      </c>
      <c r="AO97" s="773">
        <f t="shared" ca="1" si="80"/>
        <v>3</v>
      </c>
      <c r="AP97" s="773">
        <f t="shared" ca="1" si="63"/>
        <v>0</v>
      </c>
      <c r="AQ97" s="773">
        <f t="shared" ca="1" si="64"/>
        <v>0</v>
      </c>
      <c r="AR97" s="773">
        <f t="shared" ca="1" si="81"/>
        <v>2</v>
      </c>
      <c r="AS97" s="773">
        <f t="shared" ca="1" si="65"/>
        <v>0</v>
      </c>
      <c r="AT97" s="773">
        <f t="shared" ca="1" si="66"/>
        <v>1</v>
      </c>
      <c r="AU97" s="773">
        <f t="shared" ca="1" si="82"/>
        <v>3</v>
      </c>
      <c r="AV97" s="773">
        <f t="shared" ca="1" si="67"/>
        <v>3</v>
      </c>
      <c r="AW97" s="773">
        <f t="shared" ca="1" si="68"/>
        <v>0</v>
      </c>
      <c r="AX97" s="773">
        <f t="shared" ca="1" si="83"/>
        <v>4</v>
      </c>
      <c r="AY97" s="773">
        <f t="shared" ca="1" si="69"/>
        <v>0</v>
      </c>
      <c r="AZ97" s="773">
        <f t="shared" ca="1" si="70"/>
        <v>0</v>
      </c>
      <c r="BA97" s="773">
        <f t="shared" ca="1" si="84"/>
        <v>5</v>
      </c>
      <c r="BB97" s="773">
        <f t="shared" ca="1" si="71"/>
        <v>0</v>
      </c>
      <c r="BC97" s="773">
        <f t="shared" ca="1" si="72"/>
        <v>0</v>
      </c>
      <c r="BD97" s="773">
        <f t="shared" ca="1" si="85"/>
        <v>2</v>
      </c>
      <c r="BE97" s="773">
        <f t="shared" ca="1" si="73"/>
        <v>0</v>
      </c>
      <c r="BF97" s="773" t="str">
        <f t="shared" si="86"/>
        <v>Thiên Mã</v>
      </c>
      <c r="BX97" s="773">
        <v>1995</v>
      </c>
      <c r="BY97" s="773" t="s">
        <v>7838</v>
      </c>
    </row>
    <row r="98" spans="1:77" ht="15">
      <c r="A98" s="855">
        <v>1</v>
      </c>
      <c r="B98" s="855" t="s">
        <v>505</v>
      </c>
      <c r="C98" s="855" t="s">
        <v>9299</v>
      </c>
      <c r="D98" s="855" t="s">
        <v>9298</v>
      </c>
      <c r="E98" s="855" t="s">
        <v>9301</v>
      </c>
      <c r="F98" s="855" t="s">
        <v>9301</v>
      </c>
      <c r="G98" s="855" t="s">
        <v>9297</v>
      </c>
      <c r="H98" s="855" t="s">
        <v>507</v>
      </c>
      <c r="I98" s="773">
        <f ca="1">MOD(I97,12)</f>
        <v>10</v>
      </c>
      <c r="J98" s="773">
        <f ca="1">MOD(J97,12)</f>
        <v>6</v>
      </c>
      <c r="L98" s="773" t="s">
        <v>8333</v>
      </c>
      <c r="N98" s="806" t="s">
        <v>7875</v>
      </c>
      <c r="O98" s="773">
        <v>1</v>
      </c>
      <c r="P98" s="773">
        <f t="shared" ca="1" si="94"/>
        <v>9</v>
      </c>
      <c r="Q98" s="773">
        <f t="shared" ca="1" si="95"/>
        <v>3</v>
      </c>
      <c r="R98" s="834">
        <f t="shared" ca="1" si="93"/>
        <v>3</v>
      </c>
      <c r="S98" s="773" t="str">
        <f ca="1">P142</f>
        <v>Tuất</v>
      </c>
      <c r="T98" s="787">
        <v>36</v>
      </c>
      <c r="U98" s="856" t="s">
        <v>6595</v>
      </c>
      <c r="V98" s="773">
        <f t="shared" ca="1" si="50"/>
        <v>0</v>
      </c>
      <c r="W98" s="773">
        <f t="shared" ca="1" si="74"/>
        <v>0</v>
      </c>
      <c r="X98" s="773">
        <f t="shared" ca="1" si="51"/>
        <v>0</v>
      </c>
      <c r="Y98" s="773">
        <f t="shared" ca="1" si="52"/>
        <v>0</v>
      </c>
      <c r="Z98" s="773">
        <f t="shared" ca="1" si="75"/>
        <v>1</v>
      </c>
      <c r="AA98" s="773">
        <f t="shared" ca="1" si="53"/>
        <v>0</v>
      </c>
      <c r="AB98" s="773">
        <f t="shared" ca="1" si="54"/>
        <v>0</v>
      </c>
      <c r="AC98" s="773">
        <f t="shared" ca="1" si="76"/>
        <v>0</v>
      </c>
      <c r="AD98" s="773">
        <f t="shared" ca="1" si="55"/>
        <v>0</v>
      </c>
      <c r="AE98" s="773">
        <f t="shared" ca="1" si="56"/>
        <v>0</v>
      </c>
      <c r="AF98" s="773">
        <f t="shared" ca="1" si="77"/>
        <v>5</v>
      </c>
      <c r="AG98" s="773">
        <f t="shared" ca="1" si="57"/>
        <v>0</v>
      </c>
      <c r="AH98" s="773">
        <f t="shared" ca="1" si="58"/>
        <v>0</v>
      </c>
      <c r="AI98" s="773">
        <f t="shared" ca="1" si="78"/>
        <v>7</v>
      </c>
      <c r="AJ98" s="773">
        <f t="shared" ca="1" si="59"/>
        <v>0</v>
      </c>
      <c r="AK98" s="773">
        <f t="shared" ca="1" si="60"/>
        <v>0</v>
      </c>
      <c r="AL98" s="773">
        <f t="shared" ca="1" si="79"/>
        <v>3</v>
      </c>
      <c r="AM98" s="773">
        <f t="shared" ca="1" si="61"/>
        <v>0</v>
      </c>
      <c r="AN98" s="773">
        <f t="shared" ca="1" si="62"/>
        <v>0</v>
      </c>
      <c r="AO98" s="773">
        <f t="shared" ca="1" si="80"/>
        <v>3</v>
      </c>
      <c r="AP98" s="773">
        <f t="shared" ca="1" si="63"/>
        <v>0</v>
      </c>
      <c r="AQ98" s="773">
        <f t="shared" ca="1" si="64"/>
        <v>0</v>
      </c>
      <c r="AR98" s="773">
        <f t="shared" ca="1" si="81"/>
        <v>2</v>
      </c>
      <c r="AS98" s="773">
        <f t="shared" ca="1" si="65"/>
        <v>0</v>
      </c>
      <c r="AT98" s="773">
        <f t="shared" ca="1" si="66"/>
        <v>0</v>
      </c>
      <c r="AU98" s="773">
        <f t="shared" ca="1" si="82"/>
        <v>3</v>
      </c>
      <c r="AV98" s="773">
        <f t="shared" ca="1" si="67"/>
        <v>0</v>
      </c>
      <c r="AW98" s="773">
        <f t="shared" ca="1" si="68"/>
        <v>0</v>
      </c>
      <c r="AX98" s="773">
        <f t="shared" ca="1" si="83"/>
        <v>4</v>
      </c>
      <c r="AY98" s="773">
        <f t="shared" ca="1" si="69"/>
        <v>0</v>
      </c>
      <c r="AZ98" s="773">
        <f t="shared" ca="1" si="70"/>
        <v>1</v>
      </c>
      <c r="BA98" s="773">
        <f t="shared" ca="1" si="84"/>
        <v>6</v>
      </c>
      <c r="BB98" s="773">
        <f t="shared" ca="1" si="71"/>
        <v>6</v>
      </c>
      <c r="BC98" s="773">
        <f t="shared" ca="1" si="72"/>
        <v>0</v>
      </c>
      <c r="BD98" s="773">
        <f t="shared" ca="1" si="85"/>
        <v>2</v>
      </c>
      <c r="BE98" s="773">
        <f t="shared" ca="1" si="73"/>
        <v>0</v>
      </c>
      <c r="BF98" s="773" t="str">
        <f t="shared" si="86"/>
        <v>Hoa Cái</v>
      </c>
      <c r="BX98" s="773">
        <v>1996</v>
      </c>
      <c r="BY98" s="773" t="s">
        <v>7840</v>
      </c>
    </row>
    <row r="99" spans="1:77" ht="15">
      <c r="A99" s="855">
        <v>2</v>
      </c>
      <c r="B99" s="806" t="s">
        <v>7871</v>
      </c>
      <c r="C99" s="855" t="s">
        <v>9298</v>
      </c>
      <c r="D99" s="855" t="s">
        <v>9299</v>
      </c>
      <c r="E99" s="855" t="s">
        <v>353</v>
      </c>
      <c r="F99" s="855" t="s">
        <v>353</v>
      </c>
      <c r="G99" s="855" t="s">
        <v>9298</v>
      </c>
      <c r="H99" s="855" t="s">
        <v>9297</v>
      </c>
      <c r="I99" s="912">
        <f ca="1">IF(I98=0,12,I98)</f>
        <v>10</v>
      </c>
      <c r="J99" s="912">
        <f ca="1">IF(J98=0,12,J98)</f>
        <v>6</v>
      </c>
      <c r="L99" s="787" t="s">
        <v>8359</v>
      </c>
      <c r="M99" s="787"/>
      <c r="N99" s="806" t="s">
        <v>7873</v>
      </c>
      <c r="O99" s="773">
        <v>2</v>
      </c>
      <c r="P99" s="773">
        <f t="shared" ca="1" si="94"/>
        <v>8</v>
      </c>
      <c r="Q99" s="773">
        <f t="shared" ca="1" si="95"/>
        <v>4</v>
      </c>
      <c r="R99" s="834">
        <f t="shared" ca="1" si="93"/>
        <v>2</v>
      </c>
      <c r="S99" s="773" t="str">
        <f ca="1">IF($N$63=1,B153,B160)</f>
        <v>tỵ</v>
      </c>
      <c r="T99" s="787">
        <v>37</v>
      </c>
      <c r="U99" s="856" t="s">
        <v>8473</v>
      </c>
      <c r="V99" s="773">
        <f t="shared" ca="1" si="50"/>
        <v>0</v>
      </c>
      <c r="W99" s="773">
        <f t="shared" ca="1" si="74"/>
        <v>0</v>
      </c>
      <c r="X99" s="773">
        <f t="shared" ca="1" si="51"/>
        <v>0</v>
      </c>
      <c r="Y99" s="773">
        <f t="shared" ca="1" si="52"/>
        <v>0</v>
      </c>
      <c r="Z99" s="773">
        <f t="shared" ca="1" si="75"/>
        <v>1</v>
      </c>
      <c r="AA99" s="773">
        <f t="shared" ca="1" si="53"/>
        <v>0</v>
      </c>
      <c r="AB99" s="773">
        <f t="shared" ca="1" si="54"/>
        <v>0</v>
      </c>
      <c r="AC99" s="773">
        <f t="shared" ca="1" si="76"/>
        <v>0</v>
      </c>
      <c r="AD99" s="773">
        <f t="shared" ca="1" si="55"/>
        <v>0</v>
      </c>
      <c r="AE99" s="773">
        <f t="shared" ca="1" si="56"/>
        <v>0</v>
      </c>
      <c r="AF99" s="773">
        <f t="shared" ca="1" si="77"/>
        <v>5</v>
      </c>
      <c r="AG99" s="773">
        <f t="shared" ca="1" si="57"/>
        <v>0</v>
      </c>
      <c r="AH99" s="773">
        <f t="shared" ca="1" si="58"/>
        <v>0</v>
      </c>
      <c r="AI99" s="773">
        <f t="shared" ca="1" si="78"/>
        <v>7</v>
      </c>
      <c r="AJ99" s="773">
        <f t="shared" ca="1" si="59"/>
        <v>0</v>
      </c>
      <c r="AK99" s="773">
        <f t="shared" ca="1" si="60"/>
        <v>1</v>
      </c>
      <c r="AL99" s="773">
        <f t="shared" ca="1" si="79"/>
        <v>4</v>
      </c>
      <c r="AM99" s="773">
        <f t="shared" ca="1" si="61"/>
        <v>4</v>
      </c>
      <c r="AN99" s="773">
        <f t="shared" ca="1" si="62"/>
        <v>0</v>
      </c>
      <c r="AO99" s="773">
        <f t="shared" ca="1" si="80"/>
        <v>3</v>
      </c>
      <c r="AP99" s="773">
        <f t="shared" ca="1" si="63"/>
        <v>0</v>
      </c>
      <c r="AQ99" s="773">
        <f t="shared" ca="1" si="64"/>
        <v>0</v>
      </c>
      <c r="AR99" s="773">
        <f t="shared" ca="1" si="81"/>
        <v>2</v>
      </c>
      <c r="AS99" s="773">
        <f t="shared" ca="1" si="65"/>
        <v>0</v>
      </c>
      <c r="AT99" s="773">
        <f t="shared" ca="1" si="66"/>
        <v>0</v>
      </c>
      <c r="AU99" s="773">
        <f t="shared" ca="1" si="82"/>
        <v>3</v>
      </c>
      <c r="AV99" s="773">
        <f t="shared" ca="1" si="67"/>
        <v>0</v>
      </c>
      <c r="AW99" s="773">
        <f t="shared" ca="1" si="68"/>
        <v>0</v>
      </c>
      <c r="AX99" s="773">
        <f t="shared" ca="1" si="83"/>
        <v>4</v>
      </c>
      <c r="AY99" s="773">
        <f t="shared" ca="1" si="69"/>
        <v>0</v>
      </c>
      <c r="AZ99" s="773">
        <f t="shared" ca="1" si="70"/>
        <v>0</v>
      </c>
      <c r="BA99" s="773">
        <f t="shared" ca="1" si="84"/>
        <v>6</v>
      </c>
      <c r="BB99" s="773">
        <f t="shared" ca="1" si="71"/>
        <v>0</v>
      </c>
      <c r="BC99" s="773">
        <f t="shared" ca="1" si="72"/>
        <v>0</v>
      </c>
      <c r="BD99" s="773">
        <f t="shared" ca="1" si="85"/>
        <v>2</v>
      </c>
      <c r="BE99" s="773">
        <f t="shared" ca="1" si="73"/>
        <v>0</v>
      </c>
      <c r="BF99" s="773" t="str">
        <f t="shared" si="86"/>
        <v>Tràng Sinh</v>
      </c>
      <c r="BX99" s="773">
        <v>1997</v>
      </c>
      <c r="BY99" s="773" t="s">
        <v>7842</v>
      </c>
    </row>
    <row r="100" spans="1:77" ht="15">
      <c r="A100" s="855">
        <v>3</v>
      </c>
      <c r="B100" s="855" t="s">
        <v>506</v>
      </c>
      <c r="C100" s="855" t="s">
        <v>9297</v>
      </c>
      <c r="D100" s="855" t="s">
        <v>9300</v>
      </c>
      <c r="E100" s="855" t="s">
        <v>1399</v>
      </c>
      <c r="F100" s="855" t="s">
        <v>1399</v>
      </c>
      <c r="G100" s="855" t="s">
        <v>9299</v>
      </c>
      <c r="H100" s="855" t="s">
        <v>9298</v>
      </c>
      <c r="I100" s="855" t="s">
        <v>8474</v>
      </c>
      <c r="J100" s="855" t="s">
        <v>8475</v>
      </c>
      <c r="L100" s="912">
        <f ca="1">VLOOKUP(L98,$S$36:$U$47,3,0)</f>
        <v>4</v>
      </c>
      <c r="M100" s="855" t="s">
        <v>8476</v>
      </c>
      <c r="N100" s="806" t="s">
        <v>7871</v>
      </c>
      <c r="O100" s="773">
        <v>3</v>
      </c>
      <c r="P100" s="773">
        <f t="shared" ca="1" si="94"/>
        <v>7</v>
      </c>
      <c r="Q100" s="773">
        <f t="shared" ca="1" si="95"/>
        <v>5</v>
      </c>
      <c r="R100" s="834">
        <f t="shared" ca="1" si="93"/>
        <v>1</v>
      </c>
      <c r="S100" s="773" t="str">
        <f ca="1">IF($N$63=1,C153,C160)</f>
        <v>Thìn</v>
      </c>
      <c r="T100" s="787">
        <v>38</v>
      </c>
      <c r="U100" s="856" t="s">
        <v>8477</v>
      </c>
      <c r="V100" s="773">
        <f t="shared" ca="1" si="50"/>
        <v>0</v>
      </c>
      <c r="W100" s="773">
        <f t="shared" ca="1" si="74"/>
        <v>0</v>
      </c>
      <c r="X100" s="773">
        <f t="shared" ca="1" si="51"/>
        <v>0</v>
      </c>
      <c r="Y100" s="773">
        <f t="shared" ca="1" si="52"/>
        <v>0</v>
      </c>
      <c r="Z100" s="773">
        <f t="shared" ca="1" si="75"/>
        <v>1</v>
      </c>
      <c r="AA100" s="773">
        <f t="shared" ca="1" si="53"/>
        <v>0</v>
      </c>
      <c r="AB100" s="773">
        <f t="shared" ca="1" si="54"/>
        <v>0</v>
      </c>
      <c r="AC100" s="773">
        <f t="shared" ca="1" si="76"/>
        <v>0</v>
      </c>
      <c r="AD100" s="773">
        <f t="shared" ca="1" si="55"/>
        <v>0</v>
      </c>
      <c r="AE100" s="773">
        <f t="shared" ca="1" si="56"/>
        <v>0</v>
      </c>
      <c r="AF100" s="773">
        <f t="shared" ca="1" si="77"/>
        <v>5</v>
      </c>
      <c r="AG100" s="773">
        <f t="shared" ca="1" si="57"/>
        <v>0</v>
      </c>
      <c r="AH100" s="773">
        <f t="shared" ca="1" si="58"/>
        <v>1</v>
      </c>
      <c r="AI100" s="773">
        <f t="shared" ca="1" si="78"/>
        <v>8</v>
      </c>
      <c r="AJ100" s="773">
        <f t="shared" ca="1" si="59"/>
        <v>8</v>
      </c>
      <c r="AK100" s="773">
        <f t="shared" ca="1" si="60"/>
        <v>0</v>
      </c>
      <c r="AL100" s="773">
        <f t="shared" ca="1" si="79"/>
        <v>4</v>
      </c>
      <c r="AM100" s="773">
        <f t="shared" ca="1" si="61"/>
        <v>0</v>
      </c>
      <c r="AN100" s="773">
        <f t="shared" ca="1" si="62"/>
        <v>0</v>
      </c>
      <c r="AO100" s="773">
        <f t="shared" ca="1" si="80"/>
        <v>3</v>
      </c>
      <c r="AP100" s="773">
        <f t="shared" ca="1" si="63"/>
        <v>0</v>
      </c>
      <c r="AQ100" s="773">
        <f t="shared" ca="1" si="64"/>
        <v>0</v>
      </c>
      <c r="AR100" s="773">
        <f t="shared" ca="1" si="81"/>
        <v>2</v>
      </c>
      <c r="AS100" s="773">
        <f t="shared" ca="1" si="65"/>
        <v>0</v>
      </c>
      <c r="AT100" s="773">
        <f t="shared" ca="1" si="66"/>
        <v>0</v>
      </c>
      <c r="AU100" s="773">
        <f t="shared" ca="1" si="82"/>
        <v>3</v>
      </c>
      <c r="AV100" s="773">
        <f t="shared" ca="1" si="67"/>
        <v>0</v>
      </c>
      <c r="AW100" s="773">
        <f t="shared" ca="1" si="68"/>
        <v>0</v>
      </c>
      <c r="AX100" s="773">
        <f t="shared" ca="1" si="83"/>
        <v>4</v>
      </c>
      <c r="AY100" s="773">
        <f t="shared" ca="1" si="69"/>
        <v>0</v>
      </c>
      <c r="AZ100" s="773">
        <f t="shared" ca="1" si="70"/>
        <v>0</v>
      </c>
      <c r="BA100" s="773">
        <f t="shared" ca="1" si="84"/>
        <v>6</v>
      </c>
      <c r="BB100" s="773">
        <f t="shared" ca="1" si="71"/>
        <v>0</v>
      </c>
      <c r="BC100" s="773">
        <f t="shared" ca="1" si="72"/>
        <v>0</v>
      </c>
      <c r="BD100" s="773">
        <f t="shared" ca="1" si="85"/>
        <v>2</v>
      </c>
      <c r="BE100" s="773">
        <f t="shared" ca="1" si="73"/>
        <v>0</v>
      </c>
      <c r="BF100" s="773" t="str">
        <f t="shared" si="86"/>
        <v>Mộc Dục</v>
      </c>
      <c r="BX100" s="773">
        <v>1998</v>
      </c>
      <c r="BY100" s="773" t="s">
        <v>7846</v>
      </c>
    </row>
    <row r="101" spans="1:77" ht="15">
      <c r="A101" s="855">
        <v>4</v>
      </c>
      <c r="B101" s="855" t="s">
        <v>507</v>
      </c>
      <c r="C101" s="855" t="s">
        <v>507</v>
      </c>
      <c r="D101" s="855" t="s">
        <v>1402</v>
      </c>
      <c r="E101" s="855" t="s">
        <v>505</v>
      </c>
      <c r="F101" s="855" t="s">
        <v>505</v>
      </c>
      <c r="G101" s="855" t="s">
        <v>9300</v>
      </c>
      <c r="H101" s="855" t="s">
        <v>9299</v>
      </c>
      <c r="I101" s="915" t="str">
        <f ca="1">VLOOKUP(I99,$U$36:$V$47,2,0)</f>
        <v>dậu</v>
      </c>
      <c r="J101" s="915" t="str">
        <f ca="1">VLOOKUP(J99,$U$36:$V$47,2,0)</f>
        <v>tỵ</v>
      </c>
      <c r="L101" s="912">
        <f ca="1">VLOOKUP(L99,$S$36:$U$47,3,0)</f>
        <v>6</v>
      </c>
      <c r="M101" s="773" t="s">
        <v>8478</v>
      </c>
      <c r="N101" s="806" t="s">
        <v>7882</v>
      </c>
      <c r="O101" s="773">
        <v>4</v>
      </c>
      <c r="P101" s="773">
        <f t="shared" ca="1" si="94"/>
        <v>6</v>
      </c>
      <c r="Q101" s="773">
        <f t="shared" ca="1" si="95"/>
        <v>6</v>
      </c>
      <c r="R101" s="834">
        <f t="shared" ca="1" si="93"/>
        <v>12</v>
      </c>
      <c r="S101" s="773" t="str">
        <f ca="1">IF($N$63=1,D153,D160)</f>
        <v>Mão</v>
      </c>
      <c r="T101" s="787">
        <v>39</v>
      </c>
      <c r="U101" s="856" t="s">
        <v>8479</v>
      </c>
      <c r="V101" s="773">
        <f t="shared" ca="1" si="50"/>
        <v>0</v>
      </c>
      <c r="W101" s="773">
        <f t="shared" ca="1" si="74"/>
        <v>0</v>
      </c>
      <c r="X101" s="773">
        <f t="shared" ca="1" si="51"/>
        <v>0</v>
      </c>
      <c r="Y101" s="773">
        <f t="shared" ca="1" si="52"/>
        <v>0</v>
      </c>
      <c r="Z101" s="773">
        <f t="shared" ca="1" si="75"/>
        <v>1</v>
      </c>
      <c r="AA101" s="773">
        <f t="shared" ca="1" si="53"/>
        <v>0</v>
      </c>
      <c r="AB101" s="773">
        <f t="shared" ca="1" si="54"/>
        <v>0</v>
      </c>
      <c r="AC101" s="773">
        <f t="shared" ca="1" si="76"/>
        <v>0</v>
      </c>
      <c r="AD101" s="773">
        <f t="shared" ca="1" si="55"/>
        <v>0</v>
      </c>
      <c r="AE101" s="773">
        <f t="shared" ca="1" si="56"/>
        <v>1</v>
      </c>
      <c r="AF101" s="773">
        <f t="shared" ca="1" si="77"/>
        <v>6</v>
      </c>
      <c r="AG101" s="773">
        <f t="shared" ca="1" si="57"/>
        <v>6</v>
      </c>
      <c r="AH101" s="773">
        <f t="shared" ca="1" si="58"/>
        <v>0</v>
      </c>
      <c r="AI101" s="773">
        <f t="shared" ca="1" si="78"/>
        <v>8</v>
      </c>
      <c r="AJ101" s="773">
        <f t="shared" ca="1" si="59"/>
        <v>0</v>
      </c>
      <c r="AK101" s="773">
        <f t="shared" ca="1" si="60"/>
        <v>0</v>
      </c>
      <c r="AL101" s="773">
        <f t="shared" ca="1" si="79"/>
        <v>4</v>
      </c>
      <c r="AM101" s="773">
        <f t="shared" ca="1" si="61"/>
        <v>0</v>
      </c>
      <c r="AN101" s="773">
        <f t="shared" ca="1" si="62"/>
        <v>0</v>
      </c>
      <c r="AO101" s="773">
        <f t="shared" ca="1" si="80"/>
        <v>3</v>
      </c>
      <c r="AP101" s="773">
        <f t="shared" ca="1" si="63"/>
        <v>0</v>
      </c>
      <c r="AQ101" s="773">
        <f t="shared" ca="1" si="64"/>
        <v>0</v>
      </c>
      <c r="AR101" s="773">
        <f t="shared" ca="1" si="81"/>
        <v>2</v>
      </c>
      <c r="AS101" s="773">
        <f t="shared" ca="1" si="65"/>
        <v>0</v>
      </c>
      <c r="AT101" s="773">
        <f t="shared" ca="1" si="66"/>
        <v>0</v>
      </c>
      <c r="AU101" s="773">
        <f t="shared" ca="1" si="82"/>
        <v>3</v>
      </c>
      <c r="AV101" s="773">
        <f t="shared" ca="1" si="67"/>
        <v>0</v>
      </c>
      <c r="AW101" s="773">
        <f t="shared" ca="1" si="68"/>
        <v>0</v>
      </c>
      <c r="AX101" s="773">
        <f t="shared" ca="1" si="83"/>
        <v>4</v>
      </c>
      <c r="AY101" s="773">
        <f t="shared" ca="1" si="69"/>
        <v>0</v>
      </c>
      <c r="AZ101" s="773">
        <f t="shared" ca="1" si="70"/>
        <v>0</v>
      </c>
      <c r="BA101" s="773">
        <f t="shared" ca="1" si="84"/>
        <v>6</v>
      </c>
      <c r="BB101" s="773">
        <f t="shared" ca="1" si="71"/>
        <v>0</v>
      </c>
      <c r="BC101" s="773">
        <f t="shared" ca="1" si="72"/>
        <v>0</v>
      </c>
      <c r="BD101" s="773">
        <f t="shared" ca="1" si="85"/>
        <v>2</v>
      </c>
      <c r="BE101" s="773">
        <f t="shared" ca="1" si="73"/>
        <v>0</v>
      </c>
      <c r="BF101" s="773" t="str">
        <f t="shared" si="86"/>
        <v>Quan Đới</v>
      </c>
      <c r="BX101" s="773">
        <v>1999</v>
      </c>
      <c r="BY101" s="773" t="s">
        <v>7848</v>
      </c>
    </row>
    <row r="102" spans="1:77" ht="30">
      <c r="A102" s="855">
        <v>5</v>
      </c>
      <c r="B102" s="855" t="s">
        <v>9297</v>
      </c>
      <c r="C102" s="855" t="s">
        <v>506</v>
      </c>
      <c r="D102" s="855" t="s">
        <v>9301</v>
      </c>
      <c r="E102" s="806" t="s">
        <v>7871</v>
      </c>
      <c r="F102" s="806" t="s">
        <v>7871</v>
      </c>
      <c r="G102" s="855" t="s">
        <v>1402</v>
      </c>
      <c r="H102" s="855" t="s">
        <v>9300</v>
      </c>
      <c r="I102" s="787">
        <f ca="1">VLOOKUP(G17,$N$49:$O$60,2,0)</f>
        <v>7</v>
      </c>
      <c r="J102" s="773">
        <f ca="1">I102+12-F16</f>
        <v>18</v>
      </c>
      <c r="L102" s="915" t="str">
        <f ca="1">VLOOKUP(L100,$U$36:$V$47,2,0)</f>
        <v>mão</v>
      </c>
      <c r="N102" s="806" t="s">
        <v>7886</v>
      </c>
      <c r="O102" s="773">
        <v>5</v>
      </c>
      <c r="P102" s="787"/>
      <c r="S102" s="773" t="str">
        <f ca="1">IF($N$63=1,E153,E160)</f>
        <v>Dần</v>
      </c>
      <c r="T102" s="787">
        <v>40</v>
      </c>
      <c r="U102" s="856" t="s">
        <v>8480</v>
      </c>
      <c r="V102" s="773">
        <f t="shared" ca="1" si="50"/>
        <v>0</v>
      </c>
      <c r="W102" s="773">
        <f t="shared" ca="1" si="74"/>
        <v>0</v>
      </c>
      <c r="X102" s="773">
        <f t="shared" ca="1" si="51"/>
        <v>0</v>
      </c>
      <c r="Y102" s="773">
        <f t="shared" ca="1" si="52"/>
        <v>0</v>
      </c>
      <c r="Z102" s="773">
        <f t="shared" ca="1" si="75"/>
        <v>1</v>
      </c>
      <c r="AA102" s="773">
        <f t="shared" ca="1" si="53"/>
        <v>0</v>
      </c>
      <c r="AB102" s="773">
        <f t="shared" ca="1" si="54"/>
        <v>1</v>
      </c>
      <c r="AC102" s="773">
        <f t="shared" ca="1" si="76"/>
        <v>1</v>
      </c>
      <c r="AD102" s="773">
        <f t="shared" ca="1" si="55"/>
        <v>1</v>
      </c>
      <c r="AE102" s="773">
        <f t="shared" ca="1" si="56"/>
        <v>0</v>
      </c>
      <c r="AF102" s="773">
        <f t="shared" ca="1" si="77"/>
        <v>6</v>
      </c>
      <c r="AG102" s="773">
        <f t="shared" ca="1" si="57"/>
        <v>0</v>
      </c>
      <c r="AH102" s="773">
        <f t="shared" ca="1" si="58"/>
        <v>0</v>
      </c>
      <c r="AI102" s="773">
        <f t="shared" ca="1" si="78"/>
        <v>8</v>
      </c>
      <c r="AJ102" s="773">
        <f t="shared" ca="1" si="59"/>
        <v>0</v>
      </c>
      <c r="AK102" s="773">
        <f t="shared" ca="1" si="60"/>
        <v>0</v>
      </c>
      <c r="AL102" s="773">
        <f t="shared" ca="1" si="79"/>
        <v>4</v>
      </c>
      <c r="AM102" s="773">
        <f t="shared" ca="1" si="61"/>
        <v>0</v>
      </c>
      <c r="AN102" s="773">
        <f t="shared" ca="1" si="62"/>
        <v>0</v>
      </c>
      <c r="AO102" s="773">
        <f t="shared" ca="1" si="80"/>
        <v>3</v>
      </c>
      <c r="AP102" s="773">
        <f t="shared" ca="1" si="63"/>
        <v>0</v>
      </c>
      <c r="AQ102" s="773">
        <f t="shared" ca="1" si="64"/>
        <v>0</v>
      </c>
      <c r="AR102" s="773">
        <f t="shared" ca="1" si="81"/>
        <v>2</v>
      </c>
      <c r="AS102" s="773">
        <f t="shared" ca="1" si="65"/>
        <v>0</v>
      </c>
      <c r="AT102" s="773">
        <f t="shared" ca="1" si="66"/>
        <v>0</v>
      </c>
      <c r="AU102" s="773">
        <f t="shared" ca="1" si="82"/>
        <v>3</v>
      </c>
      <c r="AV102" s="773">
        <f t="shared" ca="1" si="67"/>
        <v>0</v>
      </c>
      <c r="AW102" s="773">
        <f t="shared" ca="1" si="68"/>
        <v>0</v>
      </c>
      <c r="AX102" s="773">
        <f t="shared" ca="1" si="83"/>
        <v>4</v>
      </c>
      <c r="AY102" s="773">
        <f t="shared" ca="1" si="69"/>
        <v>0</v>
      </c>
      <c r="AZ102" s="773">
        <f t="shared" ca="1" si="70"/>
        <v>0</v>
      </c>
      <c r="BA102" s="773">
        <f t="shared" ca="1" si="84"/>
        <v>6</v>
      </c>
      <c r="BB102" s="773">
        <f t="shared" ca="1" si="71"/>
        <v>0</v>
      </c>
      <c r="BC102" s="773">
        <f t="shared" ca="1" si="72"/>
        <v>0</v>
      </c>
      <c r="BD102" s="773">
        <f t="shared" ca="1" si="85"/>
        <v>2</v>
      </c>
      <c r="BE102" s="773">
        <f t="shared" ca="1" si="73"/>
        <v>0</v>
      </c>
      <c r="BF102" s="773" t="str">
        <f t="shared" si="86"/>
        <v>Lâm Quan</v>
      </c>
      <c r="BX102" s="773">
        <v>2000</v>
      </c>
      <c r="BY102" s="773" t="s">
        <v>7850</v>
      </c>
    </row>
    <row r="103" spans="1:77" ht="15">
      <c r="A103" s="855">
        <v>6</v>
      </c>
      <c r="B103" s="855" t="s">
        <v>9298</v>
      </c>
      <c r="C103" s="806" t="s">
        <v>7871</v>
      </c>
      <c r="D103" s="855" t="s">
        <v>353</v>
      </c>
      <c r="E103" s="855" t="s">
        <v>506</v>
      </c>
      <c r="F103" s="855" t="s">
        <v>506</v>
      </c>
      <c r="G103" s="855" t="s">
        <v>9301</v>
      </c>
      <c r="H103" s="855" t="s">
        <v>1402</v>
      </c>
      <c r="I103" s="787">
        <f ca="1">VLOOKUP(G18,$N$49:$O$60,2,0)</f>
        <v>5</v>
      </c>
      <c r="J103" s="773">
        <f ca="1">J102+I103</f>
        <v>23</v>
      </c>
      <c r="L103" s="915" t="str">
        <f ca="1">VLOOKUP(L101,$U$36:$V$47,2,0)</f>
        <v>tỵ</v>
      </c>
      <c r="N103" s="806" t="s">
        <v>7877</v>
      </c>
      <c r="O103" s="773">
        <v>6</v>
      </c>
      <c r="P103" s="787"/>
      <c r="R103" s="865" t="s">
        <v>571</v>
      </c>
      <c r="S103" s="773" t="str">
        <f ca="1">IF($N$63=1,F153,F160)</f>
        <v>Sửu</v>
      </c>
      <c r="T103" s="787">
        <v>41</v>
      </c>
      <c r="U103" s="856" t="s">
        <v>8481</v>
      </c>
      <c r="V103" s="773">
        <f t="shared" ca="1" si="50"/>
        <v>0</v>
      </c>
      <c r="W103" s="773">
        <f t="shared" ca="1" si="74"/>
        <v>0</v>
      </c>
      <c r="X103" s="773">
        <f t="shared" ca="1" si="51"/>
        <v>0</v>
      </c>
      <c r="Y103" s="773">
        <f t="shared" ca="1" si="52"/>
        <v>1</v>
      </c>
      <c r="Z103" s="773">
        <f t="shared" ca="1" si="75"/>
        <v>2</v>
      </c>
      <c r="AA103" s="773">
        <f t="shared" ca="1" si="53"/>
        <v>2</v>
      </c>
      <c r="AB103" s="773">
        <f t="shared" ca="1" si="54"/>
        <v>0</v>
      </c>
      <c r="AC103" s="773">
        <f t="shared" ca="1" si="76"/>
        <v>1</v>
      </c>
      <c r="AD103" s="773">
        <f t="shared" ca="1" si="55"/>
        <v>0</v>
      </c>
      <c r="AE103" s="773">
        <f t="shared" ca="1" si="56"/>
        <v>0</v>
      </c>
      <c r="AF103" s="773">
        <f t="shared" ca="1" si="77"/>
        <v>6</v>
      </c>
      <c r="AG103" s="773">
        <f t="shared" ca="1" si="57"/>
        <v>0</v>
      </c>
      <c r="AH103" s="773">
        <f t="shared" ca="1" si="58"/>
        <v>0</v>
      </c>
      <c r="AI103" s="773">
        <f t="shared" ca="1" si="78"/>
        <v>8</v>
      </c>
      <c r="AJ103" s="773">
        <f t="shared" ca="1" si="59"/>
        <v>0</v>
      </c>
      <c r="AK103" s="773">
        <f t="shared" ca="1" si="60"/>
        <v>0</v>
      </c>
      <c r="AL103" s="773">
        <f t="shared" ca="1" si="79"/>
        <v>4</v>
      </c>
      <c r="AM103" s="773">
        <f t="shared" ca="1" si="61"/>
        <v>0</v>
      </c>
      <c r="AN103" s="773">
        <f t="shared" ca="1" si="62"/>
        <v>0</v>
      </c>
      <c r="AO103" s="773">
        <f t="shared" ca="1" si="80"/>
        <v>3</v>
      </c>
      <c r="AP103" s="773">
        <f t="shared" ca="1" si="63"/>
        <v>0</v>
      </c>
      <c r="AQ103" s="773">
        <f t="shared" ca="1" si="64"/>
        <v>0</v>
      </c>
      <c r="AR103" s="773">
        <f t="shared" ca="1" si="81"/>
        <v>2</v>
      </c>
      <c r="AS103" s="773">
        <f t="shared" ca="1" si="65"/>
        <v>0</v>
      </c>
      <c r="AT103" s="773">
        <f t="shared" ca="1" si="66"/>
        <v>0</v>
      </c>
      <c r="AU103" s="773">
        <f t="shared" ca="1" si="82"/>
        <v>3</v>
      </c>
      <c r="AV103" s="773">
        <f t="shared" ca="1" si="67"/>
        <v>0</v>
      </c>
      <c r="AW103" s="773">
        <f t="shared" ca="1" si="68"/>
        <v>0</v>
      </c>
      <c r="AX103" s="773">
        <f t="shared" ca="1" si="83"/>
        <v>4</v>
      </c>
      <c r="AY103" s="773">
        <f t="shared" ca="1" si="69"/>
        <v>0</v>
      </c>
      <c r="AZ103" s="773">
        <f t="shared" ca="1" si="70"/>
        <v>0</v>
      </c>
      <c r="BA103" s="773">
        <f t="shared" ca="1" si="84"/>
        <v>6</v>
      </c>
      <c r="BB103" s="773">
        <f t="shared" ca="1" si="71"/>
        <v>0</v>
      </c>
      <c r="BC103" s="773">
        <f t="shared" ca="1" si="72"/>
        <v>0</v>
      </c>
      <c r="BD103" s="773">
        <f t="shared" ca="1" si="85"/>
        <v>2</v>
      </c>
      <c r="BE103" s="773">
        <f t="shared" ca="1" si="73"/>
        <v>0</v>
      </c>
      <c r="BF103" s="773" t="str">
        <f t="shared" si="86"/>
        <v>Đế Vượng</v>
      </c>
      <c r="BX103" s="773">
        <v>2001</v>
      </c>
      <c r="BY103" s="773" t="s">
        <v>7852</v>
      </c>
    </row>
    <row r="104" spans="1:77" ht="15">
      <c r="A104" s="855">
        <v>7</v>
      </c>
      <c r="B104" s="855" t="s">
        <v>9299</v>
      </c>
      <c r="C104" s="855" t="s">
        <v>505</v>
      </c>
      <c r="D104" s="855" t="s">
        <v>1399</v>
      </c>
      <c r="E104" s="855" t="s">
        <v>507</v>
      </c>
      <c r="F104" s="855" t="s">
        <v>507</v>
      </c>
      <c r="G104" s="855" t="s">
        <v>353</v>
      </c>
      <c r="H104" s="855" t="s">
        <v>9301</v>
      </c>
      <c r="J104" s="773">
        <f ca="1">MOD(J103,12)</f>
        <v>11</v>
      </c>
      <c r="Q104" s="888" t="s">
        <v>8482</v>
      </c>
      <c r="R104" s="865" t="s">
        <v>9332</v>
      </c>
      <c r="S104" s="773" t="str">
        <f ca="1">IF($N$63=1,B162,B184)</f>
        <v>Hợi</v>
      </c>
      <c r="T104" s="787">
        <v>42</v>
      </c>
      <c r="U104" s="856" t="s">
        <v>8483</v>
      </c>
      <c r="V104" s="773">
        <f t="shared" ca="1" si="50"/>
        <v>0</v>
      </c>
      <c r="W104" s="773">
        <f t="shared" ca="1" si="74"/>
        <v>0</v>
      </c>
      <c r="X104" s="773">
        <f t="shared" ca="1" si="51"/>
        <v>0</v>
      </c>
      <c r="Y104" s="773">
        <f t="shared" ca="1" si="52"/>
        <v>0</v>
      </c>
      <c r="Z104" s="773">
        <f t="shared" ca="1" si="75"/>
        <v>2</v>
      </c>
      <c r="AA104" s="773">
        <f t="shared" ca="1" si="53"/>
        <v>0</v>
      </c>
      <c r="AB104" s="773">
        <f t="shared" ca="1" si="54"/>
        <v>0</v>
      </c>
      <c r="AC104" s="773">
        <f t="shared" ca="1" si="76"/>
        <v>1</v>
      </c>
      <c r="AD104" s="773">
        <f t="shared" ca="1" si="55"/>
        <v>0</v>
      </c>
      <c r="AE104" s="773">
        <f t="shared" ca="1" si="56"/>
        <v>0</v>
      </c>
      <c r="AF104" s="773">
        <f t="shared" ca="1" si="77"/>
        <v>6</v>
      </c>
      <c r="AG104" s="773">
        <f t="shared" ca="1" si="57"/>
        <v>0</v>
      </c>
      <c r="AH104" s="773">
        <f t="shared" ca="1" si="58"/>
        <v>0</v>
      </c>
      <c r="AI104" s="773">
        <f t="shared" ca="1" si="78"/>
        <v>8</v>
      </c>
      <c r="AJ104" s="773">
        <f t="shared" ca="1" si="59"/>
        <v>0</v>
      </c>
      <c r="AK104" s="773">
        <f t="shared" ca="1" si="60"/>
        <v>0</v>
      </c>
      <c r="AL104" s="773">
        <f t="shared" ca="1" si="79"/>
        <v>4</v>
      </c>
      <c r="AM104" s="773">
        <f t="shared" ca="1" si="61"/>
        <v>0</v>
      </c>
      <c r="AN104" s="773">
        <f t="shared" ca="1" si="62"/>
        <v>0</v>
      </c>
      <c r="AO104" s="773">
        <f t="shared" ca="1" si="80"/>
        <v>3</v>
      </c>
      <c r="AP104" s="773">
        <f t="shared" ca="1" si="63"/>
        <v>0</v>
      </c>
      <c r="AQ104" s="773">
        <f t="shared" ca="1" si="64"/>
        <v>0</v>
      </c>
      <c r="AR104" s="773">
        <f t="shared" ca="1" si="81"/>
        <v>2</v>
      </c>
      <c r="AS104" s="773">
        <f t="shared" ca="1" si="65"/>
        <v>0</v>
      </c>
      <c r="AT104" s="773">
        <f t="shared" ca="1" si="66"/>
        <v>0</v>
      </c>
      <c r="AU104" s="773">
        <f t="shared" ca="1" si="82"/>
        <v>3</v>
      </c>
      <c r="AV104" s="773">
        <f t="shared" ca="1" si="67"/>
        <v>0</v>
      </c>
      <c r="AW104" s="773">
        <f t="shared" ca="1" si="68"/>
        <v>0</v>
      </c>
      <c r="AX104" s="773">
        <f t="shared" ca="1" si="83"/>
        <v>4</v>
      </c>
      <c r="AY104" s="773">
        <f t="shared" ca="1" si="69"/>
        <v>0</v>
      </c>
      <c r="AZ104" s="773">
        <f t="shared" ca="1" si="70"/>
        <v>0</v>
      </c>
      <c r="BA104" s="773">
        <f t="shared" ca="1" si="84"/>
        <v>6</v>
      </c>
      <c r="BB104" s="773">
        <f t="shared" ca="1" si="71"/>
        <v>0</v>
      </c>
      <c r="BC104" s="773">
        <f t="shared" ca="1" si="72"/>
        <v>1</v>
      </c>
      <c r="BD104" s="773">
        <f t="shared" ca="1" si="85"/>
        <v>3</v>
      </c>
      <c r="BE104" s="773">
        <f t="shared" ca="1" si="73"/>
        <v>3</v>
      </c>
      <c r="BF104" s="773" t="str">
        <f t="shared" si="86"/>
        <v>Bác Sỹ</v>
      </c>
      <c r="BX104" s="773">
        <v>2002</v>
      </c>
      <c r="BY104" s="773" t="s">
        <v>7855</v>
      </c>
    </row>
    <row r="105" spans="1:77" ht="15">
      <c r="A105" s="855">
        <v>8</v>
      </c>
      <c r="B105" s="855" t="s">
        <v>9300</v>
      </c>
      <c r="C105" s="855" t="s">
        <v>1399</v>
      </c>
      <c r="D105" s="855" t="s">
        <v>505</v>
      </c>
      <c r="E105" s="855" t="s">
        <v>9297</v>
      </c>
      <c r="F105" s="855" t="s">
        <v>9297</v>
      </c>
      <c r="G105" s="855" t="s">
        <v>1399</v>
      </c>
      <c r="H105" s="855" t="s">
        <v>353</v>
      </c>
      <c r="I105" s="855" t="s">
        <v>8484</v>
      </c>
      <c r="J105" s="912">
        <f ca="1">IF(J104=0,12,J104)</f>
        <v>11</v>
      </c>
      <c r="K105" s="915" t="str">
        <f ca="1">VLOOKUP(J105,$U$36:$V$47,2,0)</f>
        <v>tuất</v>
      </c>
      <c r="L105" s="929">
        <f ca="1">VLOOKUP(O48,$N$98:$O$103,2,0)</f>
        <v>2</v>
      </c>
      <c r="M105" s="773" t="str">
        <f t="shared" ref="M105:M110" ca="1" si="97">IF(O98=$L$105,"TRIỆT"," ")</f>
        <v xml:space="preserve"> </v>
      </c>
      <c r="N105" s="929">
        <f ca="1">VLOOKUP(N44,$N$98:$O$103,2,0)</f>
        <v>5</v>
      </c>
      <c r="O105" s="773" t="str">
        <f t="shared" ref="O105:O110" ca="1" si="98">IF(O98=$N$105,"TUẦN"," ")</f>
        <v xml:space="preserve"> </v>
      </c>
      <c r="P105" s="773" t="str">
        <f t="shared" ref="P105:P110" ca="1" si="99">IF(AND($L$105=$N$105,LEFT(M105,1)="T"),CONCATENATE(O105,"-",M105),CONCATENATE(O105,M105))</f>
        <v xml:space="preserve">  </v>
      </c>
      <c r="Q105" s="933" t="str">
        <f ca="1">IF(OR(RIGHT(P105,1)="t",RIGHT(P105,2)="n "),P105,$R$104)</f>
        <v>———</v>
      </c>
      <c r="S105" s="773" t="str">
        <f ca="1">IF($N$63=1,C162,C184)</f>
        <v>Tuất</v>
      </c>
      <c r="T105" s="787">
        <v>43</v>
      </c>
      <c r="U105" s="773" t="s">
        <v>8485</v>
      </c>
      <c r="V105" s="773">
        <f t="shared" ca="1" si="50"/>
        <v>0</v>
      </c>
      <c r="W105" s="773">
        <f t="shared" ca="1" si="74"/>
        <v>0</v>
      </c>
      <c r="X105" s="773">
        <f t="shared" ca="1" si="51"/>
        <v>0</v>
      </c>
      <c r="Y105" s="773">
        <f t="shared" ca="1" si="52"/>
        <v>0</v>
      </c>
      <c r="Z105" s="773">
        <f t="shared" ca="1" si="75"/>
        <v>2</v>
      </c>
      <c r="AA105" s="773">
        <f t="shared" ca="1" si="53"/>
        <v>0</v>
      </c>
      <c r="AB105" s="773">
        <f t="shared" ca="1" si="54"/>
        <v>0</v>
      </c>
      <c r="AC105" s="773">
        <f t="shared" ca="1" si="76"/>
        <v>1</v>
      </c>
      <c r="AD105" s="773">
        <f t="shared" ca="1" si="55"/>
        <v>0</v>
      </c>
      <c r="AE105" s="773">
        <f t="shared" ca="1" si="56"/>
        <v>0</v>
      </c>
      <c r="AF105" s="773">
        <f t="shared" ca="1" si="77"/>
        <v>6</v>
      </c>
      <c r="AG105" s="773">
        <f t="shared" ca="1" si="57"/>
        <v>0</v>
      </c>
      <c r="AH105" s="773">
        <f t="shared" ca="1" si="58"/>
        <v>0</v>
      </c>
      <c r="AI105" s="773">
        <f t="shared" ca="1" si="78"/>
        <v>8</v>
      </c>
      <c r="AJ105" s="773">
        <f t="shared" ca="1" si="59"/>
        <v>0</v>
      </c>
      <c r="AK105" s="773">
        <f t="shared" ca="1" si="60"/>
        <v>0</v>
      </c>
      <c r="AL105" s="773">
        <f t="shared" ca="1" si="79"/>
        <v>4</v>
      </c>
      <c r="AM105" s="773">
        <f t="shared" ca="1" si="61"/>
        <v>0</v>
      </c>
      <c r="AN105" s="773">
        <f t="shared" ca="1" si="62"/>
        <v>0</v>
      </c>
      <c r="AO105" s="773">
        <f t="shared" ca="1" si="80"/>
        <v>3</v>
      </c>
      <c r="AP105" s="773">
        <f t="shared" ca="1" si="63"/>
        <v>0</v>
      </c>
      <c r="AQ105" s="773">
        <f t="shared" ca="1" si="64"/>
        <v>0</v>
      </c>
      <c r="AR105" s="773">
        <f t="shared" ca="1" si="81"/>
        <v>2</v>
      </c>
      <c r="AS105" s="773">
        <f t="shared" ca="1" si="65"/>
        <v>0</v>
      </c>
      <c r="AT105" s="773">
        <f t="shared" ca="1" si="66"/>
        <v>0</v>
      </c>
      <c r="AU105" s="773">
        <f t="shared" ca="1" si="82"/>
        <v>3</v>
      </c>
      <c r="AV105" s="773">
        <f t="shared" ca="1" si="67"/>
        <v>0</v>
      </c>
      <c r="AW105" s="773">
        <f t="shared" ca="1" si="68"/>
        <v>0</v>
      </c>
      <c r="AX105" s="773">
        <f t="shared" ca="1" si="83"/>
        <v>4</v>
      </c>
      <c r="AY105" s="773">
        <f t="shared" ca="1" si="69"/>
        <v>0</v>
      </c>
      <c r="AZ105" s="773">
        <f t="shared" ca="1" si="70"/>
        <v>1</v>
      </c>
      <c r="BA105" s="773">
        <f t="shared" ca="1" si="84"/>
        <v>7</v>
      </c>
      <c r="BB105" s="773">
        <f t="shared" ca="1" si="71"/>
        <v>7</v>
      </c>
      <c r="BC105" s="773">
        <f t="shared" ca="1" si="72"/>
        <v>0</v>
      </c>
      <c r="BD105" s="773">
        <f t="shared" ca="1" si="85"/>
        <v>3</v>
      </c>
      <c r="BE105" s="773">
        <f t="shared" ca="1" si="73"/>
        <v>0</v>
      </c>
      <c r="BF105" s="773" t="str">
        <f t="shared" si="86"/>
        <v>Lực Sỹ</v>
      </c>
      <c r="BX105" s="773">
        <v>2003</v>
      </c>
      <c r="BY105" s="773" t="s">
        <v>7858</v>
      </c>
    </row>
    <row r="106" spans="1:77" ht="15">
      <c r="A106" s="855">
        <v>9</v>
      </c>
      <c r="B106" s="855" t="s">
        <v>1402</v>
      </c>
      <c r="C106" s="855" t="s">
        <v>353</v>
      </c>
      <c r="D106" s="806" t="s">
        <v>7871</v>
      </c>
      <c r="E106" s="855" t="s">
        <v>9298</v>
      </c>
      <c r="F106" s="855" t="s">
        <v>9298</v>
      </c>
      <c r="G106" s="855" t="s">
        <v>505</v>
      </c>
      <c r="H106" s="855" t="s">
        <v>1399</v>
      </c>
      <c r="I106" s="773">
        <f ca="1">N41</f>
        <v>11</v>
      </c>
      <c r="J106" s="773">
        <f ca="1">I102+I106-1</f>
        <v>17</v>
      </c>
      <c r="M106" s="773" t="str">
        <f t="shared" ca="1" si="97"/>
        <v>TRIỆT</v>
      </c>
      <c r="O106" s="773" t="str">
        <f t="shared" ca="1" si="98"/>
        <v xml:space="preserve"> </v>
      </c>
      <c r="P106" s="773" t="str">
        <f ca="1">IF(AND($L$105=$N$105,LEFT(M106,1)="T"),CONCATENATE(O106," ",M106),CONCATENATE(O106,M106))</f>
        <v xml:space="preserve"> TRIỆT</v>
      </c>
      <c r="Q106" s="933" t="str">
        <f ca="1">IF(OR(RIGHT(P106,1)="t",RIGHT(P106,2)="n "),P106,$R$104)</f>
        <v xml:space="preserve"> TRIỆT</v>
      </c>
      <c r="S106" s="773" t="str">
        <f ca="1">IF($N$63=1,D162,D184)</f>
        <v>Dậu</v>
      </c>
      <c r="T106" s="787">
        <v>44</v>
      </c>
      <c r="U106" s="773" t="s">
        <v>8486</v>
      </c>
      <c r="V106" s="773">
        <f t="shared" ca="1" si="50"/>
        <v>0</v>
      </c>
      <c r="W106" s="773">
        <f t="shared" ca="1" si="74"/>
        <v>0</v>
      </c>
      <c r="X106" s="773">
        <f t="shared" ca="1" si="51"/>
        <v>0</v>
      </c>
      <c r="Y106" s="773">
        <f t="shared" ca="1" si="52"/>
        <v>0</v>
      </c>
      <c r="Z106" s="773">
        <f t="shared" ca="1" si="75"/>
        <v>2</v>
      </c>
      <c r="AA106" s="773">
        <f t="shared" ca="1" si="53"/>
        <v>0</v>
      </c>
      <c r="AB106" s="773">
        <f t="shared" ca="1" si="54"/>
        <v>0</v>
      </c>
      <c r="AC106" s="773">
        <f t="shared" ca="1" si="76"/>
        <v>1</v>
      </c>
      <c r="AD106" s="773">
        <f t="shared" ca="1" si="55"/>
        <v>0</v>
      </c>
      <c r="AE106" s="773">
        <f t="shared" ca="1" si="56"/>
        <v>0</v>
      </c>
      <c r="AF106" s="773">
        <f t="shared" ca="1" si="77"/>
        <v>6</v>
      </c>
      <c r="AG106" s="773">
        <f t="shared" ca="1" si="57"/>
        <v>0</v>
      </c>
      <c r="AH106" s="773">
        <f t="shared" ca="1" si="58"/>
        <v>0</v>
      </c>
      <c r="AI106" s="773">
        <f t="shared" ca="1" si="78"/>
        <v>8</v>
      </c>
      <c r="AJ106" s="773">
        <f t="shared" ca="1" si="59"/>
        <v>0</v>
      </c>
      <c r="AK106" s="773">
        <f t="shared" ca="1" si="60"/>
        <v>0</v>
      </c>
      <c r="AL106" s="773">
        <f t="shared" ca="1" si="79"/>
        <v>4</v>
      </c>
      <c r="AM106" s="773">
        <f t="shared" ca="1" si="61"/>
        <v>0</v>
      </c>
      <c r="AN106" s="773">
        <f t="shared" ca="1" si="62"/>
        <v>0</v>
      </c>
      <c r="AO106" s="773">
        <f t="shared" ca="1" si="80"/>
        <v>3</v>
      </c>
      <c r="AP106" s="773">
        <f t="shared" ca="1" si="63"/>
        <v>0</v>
      </c>
      <c r="AQ106" s="773">
        <f t="shared" ca="1" si="64"/>
        <v>0</v>
      </c>
      <c r="AR106" s="773">
        <f t="shared" ca="1" si="81"/>
        <v>2</v>
      </c>
      <c r="AS106" s="773">
        <f t="shared" ca="1" si="65"/>
        <v>0</v>
      </c>
      <c r="AT106" s="773">
        <f t="shared" ca="1" si="66"/>
        <v>0</v>
      </c>
      <c r="AU106" s="773">
        <f t="shared" ca="1" si="82"/>
        <v>3</v>
      </c>
      <c r="AV106" s="773">
        <f t="shared" ca="1" si="67"/>
        <v>0</v>
      </c>
      <c r="AW106" s="773">
        <f t="shared" ca="1" si="68"/>
        <v>1</v>
      </c>
      <c r="AX106" s="773">
        <f t="shared" ca="1" si="83"/>
        <v>5</v>
      </c>
      <c r="AY106" s="773">
        <f t="shared" ca="1" si="69"/>
        <v>5</v>
      </c>
      <c r="AZ106" s="773">
        <f t="shared" ca="1" si="70"/>
        <v>0</v>
      </c>
      <c r="BA106" s="773">
        <f t="shared" ca="1" si="84"/>
        <v>7</v>
      </c>
      <c r="BB106" s="773">
        <f t="shared" ca="1" si="71"/>
        <v>0</v>
      </c>
      <c r="BC106" s="773">
        <f t="shared" ca="1" si="72"/>
        <v>0</v>
      </c>
      <c r="BD106" s="773">
        <f t="shared" ca="1" si="85"/>
        <v>3</v>
      </c>
      <c r="BE106" s="773">
        <f t="shared" ca="1" si="73"/>
        <v>0</v>
      </c>
      <c r="BF106" s="773" t="str">
        <f t="shared" si="86"/>
        <v>Thanh Long</v>
      </c>
      <c r="BX106" s="773">
        <v>2004</v>
      </c>
      <c r="BY106" s="773" t="s">
        <v>7862</v>
      </c>
    </row>
    <row r="107" spans="1:77" ht="15">
      <c r="A107" s="855">
        <v>10</v>
      </c>
      <c r="B107" s="855" t="s">
        <v>9301</v>
      </c>
      <c r="C107" s="855" t="s">
        <v>9301</v>
      </c>
      <c r="D107" s="855" t="s">
        <v>506</v>
      </c>
      <c r="E107" s="855" t="s">
        <v>9299</v>
      </c>
      <c r="F107" s="855" t="s">
        <v>9299</v>
      </c>
      <c r="G107" s="806" t="s">
        <v>7871</v>
      </c>
      <c r="H107" s="855" t="s">
        <v>505</v>
      </c>
      <c r="I107" s="773">
        <f ca="1">N40</f>
        <v>7</v>
      </c>
      <c r="J107" s="773">
        <f ca="1">MOD(J106,12)</f>
        <v>5</v>
      </c>
      <c r="M107" s="773" t="str">
        <f t="shared" ca="1" si="97"/>
        <v xml:space="preserve"> </v>
      </c>
      <c r="O107" s="773" t="str">
        <f t="shared" ca="1" si="98"/>
        <v xml:space="preserve"> </v>
      </c>
      <c r="P107" s="773" t="str">
        <f ca="1">IF(AND($L$105=$N$105,LEFT(M107,1)="T"),CONCATENATE(O107," ",M107),CONCATENATE(O107,M107))</f>
        <v xml:space="preserve">  </v>
      </c>
      <c r="Q107" s="933" t="str">
        <f ca="1">IF(OR(RIGHT(P107,1)="t",RIGHT(P107,2)="n "),P107,$R$104)</f>
        <v>———</v>
      </c>
      <c r="S107" s="773" t="str">
        <f ca="1">IF($N$63=1,F162,F184)</f>
        <v>Mùi</v>
      </c>
      <c r="T107" s="787">
        <v>45</v>
      </c>
      <c r="U107" s="773" t="s">
        <v>8487</v>
      </c>
      <c r="V107" s="773">
        <f t="shared" ca="1" si="50"/>
        <v>0</v>
      </c>
      <c r="W107" s="773">
        <f t="shared" ca="1" si="74"/>
        <v>0</v>
      </c>
      <c r="X107" s="773">
        <f t="shared" ca="1" si="51"/>
        <v>0</v>
      </c>
      <c r="Y107" s="773">
        <f t="shared" ca="1" si="52"/>
        <v>0</v>
      </c>
      <c r="Z107" s="773">
        <f t="shared" ca="1" si="75"/>
        <v>2</v>
      </c>
      <c r="AA107" s="773">
        <f t="shared" ca="1" si="53"/>
        <v>0</v>
      </c>
      <c r="AB107" s="773">
        <f t="shared" ca="1" si="54"/>
        <v>0</v>
      </c>
      <c r="AC107" s="773">
        <f t="shared" ca="1" si="76"/>
        <v>1</v>
      </c>
      <c r="AD107" s="773">
        <f t="shared" ca="1" si="55"/>
        <v>0</v>
      </c>
      <c r="AE107" s="773">
        <f t="shared" ca="1" si="56"/>
        <v>0</v>
      </c>
      <c r="AF107" s="773">
        <f t="shared" ca="1" si="77"/>
        <v>6</v>
      </c>
      <c r="AG107" s="773">
        <f t="shared" ca="1" si="57"/>
        <v>0</v>
      </c>
      <c r="AH107" s="773">
        <f t="shared" ca="1" si="58"/>
        <v>0</v>
      </c>
      <c r="AI107" s="773">
        <f t="shared" ca="1" si="78"/>
        <v>8</v>
      </c>
      <c r="AJ107" s="773">
        <f t="shared" ca="1" si="59"/>
        <v>0</v>
      </c>
      <c r="AK107" s="773">
        <f t="shared" ca="1" si="60"/>
        <v>0</v>
      </c>
      <c r="AL107" s="773">
        <f t="shared" ca="1" si="79"/>
        <v>4</v>
      </c>
      <c r="AM107" s="773">
        <f t="shared" ca="1" si="61"/>
        <v>0</v>
      </c>
      <c r="AN107" s="773">
        <f t="shared" ca="1" si="62"/>
        <v>0</v>
      </c>
      <c r="AO107" s="773">
        <f t="shared" ca="1" si="80"/>
        <v>3</v>
      </c>
      <c r="AP107" s="773">
        <f t="shared" ca="1" si="63"/>
        <v>0</v>
      </c>
      <c r="AQ107" s="773">
        <f t="shared" ca="1" si="64"/>
        <v>1</v>
      </c>
      <c r="AR107" s="773">
        <f t="shared" ca="1" si="81"/>
        <v>3</v>
      </c>
      <c r="AS107" s="773">
        <f t="shared" ca="1" si="65"/>
        <v>3</v>
      </c>
      <c r="AT107" s="773">
        <f t="shared" ca="1" si="66"/>
        <v>0</v>
      </c>
      <c r="AU107" s="773">
        <f t="shared" ca="1" si="82"/>
        <v>3</v>
      </c>
      <c r="AV107" s="773">
        <f t="shared" ca="1" si="67"/>
        <v>0</v>
      </c>
      <c r="AW107" s="773">
        <f t="shared" ca="1" si="68"/>
        <v>0</v>
      </c>
      <c r="AX107" s="773">
        <f t="shared" ca="1" si="83"/>
        <v>5</v>
      </c>
      <c r="AY107" s="773">
        <f t="shared" ca="1" si="69"/>
        <v>0</v>
      </c>
      <c r="AZ107" s="773">
        <f t="shared" ca="1" si="70"/>
        <v>0</v>
      </c>
      <c r="BA107" s="773">
        <f t="shared" ca="1" si="84"/>
        <v>7</v>
      </c>
      <c r="BB107" s="773">
        <f t="shared" ca="1" si="71"/>
        <v>0</v>
      </c>
      <c r="BC107" s="773">
        <f t="shared" ca="1" si="72"/>
        <v>0</v>
      </c>
      <c r="BD107" s="773">
        <f t="shared" ca="1" si="85"/>
        <v>3</v>
      </c>
      <c r="BE107" s="773">
        <f t="shared" ca="1" si="73"/>
        <v>0</v>
      </c>
      <c r="BF107" s="773" t="str">
        <f t="shared" si="86"/>
        <v>Tướng Quân</v>
      </c>
      <c r="BX107" s="773">
        <v>2005</v>
      </c>
      <c r="BY107" s="773" t="s">
        <v>7864</v>
      </c>
    </row>
    <row r="108" spans="1:77" ht="15">
      <c r="A108" s="855">
        <v>11</v>
      </c>
      <c r="B108" s="855" t="s">
        <v>353</v>
      </c>
      <c r="C108" s="855" t="s">
        <v>1402</v>
      </c>
      <c r="D108" s="855" t="s">
        <v>507</v>
      </c>
      <c r="E108" s="855" t="s">
        <v>9300</v>
      </c>
      <c r="F108" s="855" t="s">
        <v>9300</v>
      </c>
      <c r="G108" s="855" t="s">
        <v>506</v>
      </c>
      <c r="H108" s="806" t="s">
        <v>7871</v>
      </c>
      <c r="I108" s="773">
        <f ca="1">I107+I102-1</f>
        <v>13</v>
      </c>
      <c r="J108" s="912">
        <f ca="1">IF(J107=0,12,J107)</f>
        <v>5</v>
      </c>
      <c r="M108" s="773" t="str">
        <f t="shared" ca="1" si="97"/>
        <v xml:space="preserve"> </v>
      </c>
      <c r="O108" s="773" t="str">
        <f t="shared" ca="1" si="98"/>
        <v xml:space="preserve"> </v>
      </c>
      <c r="P108" s="773" t="str">
        <f t="shared" ca="1" si="99"/>
        <v xml:space="preserve">  </v>
      </c>
      <c r="Q108" s="933" t="str">
        <f ca="1">IF(OR(RIGHT(P108,1)="t",RIGHT(P108,2)="n "),P108,$R$104)</f>
        <v>———</v>
      </c>
      <c r="S108" s="773" t="str">
        <f ca="1">IF($N$63=1,G162,G184)</f>
        <v>Ngọ</v>
      </c>
      <c r="T108" s="787">
        <v>46</v>
      </c>
      <c r="U108" s="773" t="s">
        <v>8488</v>
      </c>
      <c r="V108" s="773">
        <f t="shared" ca="1" si="50"/>
        <v>0</v>
      </c>
      <c r="W108" s="773">
        <f t="shared" ca="1" si="74"/>
        <v>0</v>
      </c>
      <c r="X108" s="773">
        <f t="shared" ca="1" si="51"/>
        <v>0</v>
      </c>
      <c r="Y108" s="773">
        <f t="shared" ca="1" si="52"/>
        <v>0</v>
      </c>
      <c r="Z108" s="773">
        <f t="shared" ca="1" si="75"/>
        <v>2</v>
      </c>
      <c r="AA108" s="773">
        <f t="shared" ca="1" si="53"/>
        <v>0</v>
      </c>
      <c r="AB108" s="773">
        <f t="shared" ca="1" si="54"/>
        <v>0</v>
      </c>
      <c r="AC108" s="773">
        <f t="shared" ca="1" si="76"/>
        <v>1</v>
      </c>
      <c r="AD108" s="773">
        <f t="shared" ca="1" si="55"/>
        <v>0</v>
      </c>
      <c r="AE108" s="773">
        <f t="shared" ca="1" si="56"/>
        <v>0</v>
      </c>
      <c r="AF108" s="773">
        <f t="shared" ca="1" si="77"/>
        <v>6</v>
      </c>
      <c r="AG108" s="773">
        <f t="shared" ca="1" si="57"/>
        <v>0</v>
      </c>
      <c r="AH108" s="773">
        <f t="shared" ca="1" si="58"/>
        <v>0</v>
      </c>
      <c r="AI108" s="773">
        <f t="shared" ca="1" si="78"/>
        <v>8</v>
      </c>
      <c r="AJ108" s="773">
        <f t="shared" ca="1" si="59"/>
        <v>0</v>
      </c>
      <c r="AK108" s="773">
        <f t="shared" ca="1" si="60"/>
        <v>0</v>
      </c>
      <c r="AL108" s="773">
        <f t="shared" ca="1" si="79"/>
        <v>4</v>
      </c>
      <c r="AM108" s="773">
        <f t="shared" ca="1" si="61"/>
        <v>0</v>
      </c>
      <c r="AN108" s="773">
        <f t="shared" ca="1" si="62"/>
        <v>1</v>
      </c>
      <c r="AO108" s="773">
        <f t="shared" ca="1" si="80"/>
        <v>4</v>
      </c>
      <c r="AP108" s="773">
        <f t="shared" ca="1" si="63"/>
        <v>4</v>
      </c>
      <c r="AQ108" s="773">
        <f t="shared" ca="1" si="64"/>
        <v>0</v>
      </c>
      <c r="AR108" s="773">
        <f t="shared" ca="1" si="81"/>
        <v>3</v>
      </c>
      <c r="AS108" s="773">
        <f t="shared" ca="1" si="65"/>
        <v>0</v>
      </c>
      <c r="AT108" s="773">
        <f t="shared" ca="1" si="66"/>
        <v>0</v>
      </c>
      <c r="AU108" s="773">
        <f t="shared" ca="1" si="82"/>
        <v>3</v>
      </c>
      <c r="AV108" s="773">
        <f t="shared" ca="1" si="67"/>
        <v>0</v>
      </c>
      <c r="AW108" s="773">
        <f t="shared" ca="1" si="68"/>
        <v>0</v>
      </c>
      <c r="AX108" s="773">
        <f t="shared" ca="1" si="83"/>
        <v>5</v>
      </c>
      <c r="AY108" s="773">
        <f t="shared" ca="1" si="69"/>
        <v>0</v>
      </c>
      <c r="AZ108" s="773">
        <f t="shared" ca="1" si="70"/>
        <v>0</v>
      </c>
      <c r="BA108" s="773">
        <f t="shared" ca="1" si="84"/>
        <v>7</v>
      </c>
      <c r="BB108" s="773">
        <f t="shared" ca="1" si="71"/>
        <v>0</v>
      </c>
      <c r="BC108" s="773">
        <f t="shared" ca="1" si="72"/>
        <v>0</v>
      </c>
      <c r="BD108" s="773">
        <f t="shared" ca="1" si="85"/>
        <v>3</v>
      </c>
      <c r="BE108" s="773">
        <f t="shared" ca="1" si="73"/>
        <v>0</v>
      </c>
      <c r="BF108" s="773" t="str">
        <f t="shared" si="86"/>
        <v>Tấu Thư</v>
      </c>
      <c r="BX108" s="773">
        <v>2006</v>
      </c>
      <c r="BY108" s="773" t="s">
        <v>7866</v>
      </c>
    </row>
    <row r="109" spans="1:77" ht="15">
      <c r="A109" s="855">
        <v>12</v>
      </c>
      <c r="B109" s="855" t="s">
        <v>1399</v>
      </c>
      <c r="C109" s="855" t="s">
        <v>9300</v>
      </c>
      <c r="D109" s="855" t="s">
        <v>9297</v>
      </c>
      <c r="E109" s="855" t="s">
        <v>1402</v>
      </c>
      <c r="F109" s="855" t="s">
        <v>1402</v>
      </c>
      <c r="G109" s="855" t="s">
        <v>507</v>
      </c>
      <c r="H109" s="855" t="s">
        <v>506</v>
      </c>
      <c r="I109" s="773">
        <f ca="1">MOD(I108,12)</f>
        <v>1</v>
      </c>
      <c r="J109" s="915" t="str">
        <f ca="1">VLOOKUP(J108,$U$36:$V$47,2,0)</f>
        <v>thìn</v>
      </c>
      <c r="K109" s="855" t="s">
        <v>8489</v>
      </c>
      <c r="M109" s="773" t="str">
        <f t="shared" ca="1" si="97"/>
        <v xml:space="preserve"> </v>
      </c>
      <c r="O109" s="773" t="str">
        <f t="shared" ca="1" si="98"/>
        <v>TUẦN</v>
      </c>
      <c r="P109" s="773" t="str">
        <f ca="1">IF(AND($L$105=$N$105,LEFT(M109,1)="T"),CONCATENATE(O109," ",M109),CONCATENATE(O109,M109))</f>
        <v xml:space="preserve">TUẦN </v>
      </c>
      <c r="Q109" s="933" t="str">
        <f ca="1">IF(OR(RIGHT(P109,1)="t",RIGHT(P109,2)="n "),P109,$R$104)</f>
        <v xml:space="preserve">TUẦN </v>
      </c>
      <c r="S109" s="773" t="str">
        <f ca="1">IF($N$63=1,H162,H184)</f>
        <v>tỵ</v>
      </c>
      <c r="T109" s="787">
        <v>47</v>
      </c>
      <c r="U109" s="856" t="s">
        <v>8490</v>
      </c>
      <c r="V109" s="773">
        <f t="shared" ca="1" si="50"/>
        <v>0</v>
      </c>
      <c r="W109" s="773">
        <f t="shared" ca="1" si="74"/>
        <v>0</v>
      </c>
      <c r="X109" s="773">
        <f t="shared" ca="1" si="51"/>
        <v>0</v>
      </c>
      <c r="Y109" s="773">
        <f t="shared" ca="1" si="52"/>
        <v>0</v>
      </c>
      <c r="Z109" s="773">
        <f t="shared" ca="1" si="75"/>
        <v>2</v>
      </c>
      <c r="AA109" s="773">
        <f t="shared" ca="1" si="53"/>
        <v>0</v>
      </c>
      <c r="AB109" s="773">
        <f t="shared" ca="1" si="54"/>
        <v>0</v>
      </c>
      <c r="AC109" s="773">
        <f t="shared" ca="1" si="76"/>
        <v>1</v>
      </c>
      <c r="AD109" s="773">
        <f t="shared" ca="1" si="55"/>
        <v>0</v>
      </c>
      <c r="AE109" s="773">
        <f t="shared" ca="1" si="56"/>
        <v>0</v>
      </c>
      <c r="AF109" s="773">
        <f t="shared" ca="1" si="77"/>
        <v>6</v>
      </c>
      <c r="AG109" s="773">
        <f t="shared" ca="1" si="57"/>
        <v>0</v>
      </c>
      <c r="AH109" s="773">
        <f t="shared" ca="1" si="58"/>
        <v>0</v>
      </c>
      <c r="AI109" s="773">
        <f t="shared" ca="1" si="78"/>
        <v>8</v>
      </c>
      <c r="AJ109" s="773">
        <f t="shared" ca="1" si="59"/>
        <v>0</v>
      </c>
      <c r="AK109" s="773">
        <f t="shared" ca="1" si="60"/>
        <v>1</v>
      </c>
      <c r="AL109" s="773">
        <f t="shared" ca="1" si="79"/>
        <v>5</v>
      </c>
      <c r="AM109" s="773">
        <f t="shared" ca="1" si="61"/>
        <v>5</v>
      </c>
      <c r="AN109" s="773">
        <f t="shared" ca="1" si="62"/>
        <v>0</v>
      </c>
      <c r="AO109" s="773">
        <f t="shared" ca="1" si="80"/>
        <v>4</v>
      </c>
      <c r="AP109" s="773">
        <f t="shared" ca="1" si="63"/>
        <v>0</v>
      </c>
      <c r="AQ109" s="773">
        <f t="shared" ca="1" si="64"/>
        <v>0</v>
      </c>
      <c r="AR109" s="773">
        <f t="shared" ca="1" si="81"/>
        <v>3</v>
      </c>
      <c r="AS109" s="773">
        <f t="shared" ca="1" si="65"/>
        <v>0</v>
      </c>
      <c r="AT109" s="773">
        <f t="shared" ca="1" si="66"/>
        <v>0</v>
      </c>
      <c r="AU109" s="773">
        <f t="shared" ca="1" si="82"/>
        <v>3</v>
      </c>
      <c r="AV109" s="773">
        <f t="shared" ca="1" si="67"/>
        <v>0</v>
      </c>
      <c r="AW109" s="773">
        <f t="shared" ca="1" si="68"/>
        <v>0</v>
      </c>
      <c r="AX109" s="773">
        <f t="shared" ca="1" si="83"/>
        <v>5</v>
      </c>
      <c r="AY109" s="773">
        <f t="shared" ca="1" si="69"/>
        <v>0</v>
      </c>
      <c r="AZ109" s="773">
        <f t="shared" ca="1" si="70"/>
        <v>0</v>
      </c>
      <c r="BA109" s="773">
        <f t="shared" ca="1" si="84"/>
        <v>7</v>
      </c>
      <c r="BB109" s="773">
        <f t="shared" ca="1" si="71"/>
        <v>0</v>
      </c>
      <c r="BC109" s="773">
        <f t="shared" ca="1" si="72"/>
        <v>0</v>
      </c>
      <c r="BD109" s="773">
        <f t="shared" ca="1" si="85"/>
        <v>3</v>
      </c>
      <c r="BE109" s="773">
        <f t="shared" ca="1" si="73"/>
        <v>0</v>
      </c>
      <c r="BF109" s="773" t="str">
        <f t="shared" si="86"/>
        <v>Phi Liêm</v>
      </c>
      <c r="BX109" s="773">
        <v>2007</v>
      </c>
      <c r="BY109" s="773" t="s">
        <v>7867</v>
      </c>
    </row>
    <row r="110" spans="1:77" ht="15.75">
      <c r="A110" s="932" t="s">
        <v>8491</v>
      </c>
      <c r="I110" s="912">
        <f ca="1">IF(I109=0,12,I109)</f>
        <v>1</v>
      </c>
      <c r="J110" s="915" t="str">
        <f ca="1">VLOOKUP(I110,$U$36:$V$47,2,0)</f>
        <v>tý</v>
      </c>
      <c r="K110" s="773" t="s">
        <v>8492</v>
      </c>
      <c r="M110" s="773" t="str">
        <f t="shared" ca="1" si="97"/>
        <v xml:space="preserve"> </v>
      </c>
      <c r="O110" s="773" t="str">
        <f t="shared" ca="1" si="98"/>
        <v xml:space="preserve"> </v>
      </c>
      <c r="P110" s="773" t="str">
        <f t="shared" ca="1" si="99"/>
        <v xml:space="preserve">  </v>
      </c>
      <c r="Q110" s="933" t="str">
        <f ca="1">IF(OR(RIGHT(P110,1)="t",RIGHT(P110,2)="n "),P110,$R$103)</f>
        <v>————</v>
      </c>
      <c r="S110" s="773" t="str">
        <f ca="1">IF($N$63=1,I162,I184)</f>
        <v>Thìn</v>
      </c>
      <c r="T110" s="787">
        <v>48</v>
      </c>
      <c r="U110" s="856" t="s">
        <v>8493</v>
      </c>
      <c r="V110" s="773">
        <f t="shared" ca="1" si="50"/>
        <v>0</v>
      </c>
      <c r="W110" s="773">
        <f t="shared" ca="1" si="74"/>
        <v>0</v>
      </c>
      <c r="X110" s="773">
        <f t="shared" ca="1" si="51"/>
        <v>0</v>
      </c>
      <c r="Y110" s="773">
        <f t="shared" ca="1" si="52"/>
        <v>0</v>
      </c>
      <c r="Z110" s="773">
        <f t="shared" ca="1" si="75"/>
        <v>2</v>
      </c>
      <c r="AA110" s="773">
        <f t="shared" ca="1" si="53"/>
        <v>0</v>
      </c>
      <c r="AB110" s="773">
        <f t="shared" ca="1" si="54"/>
        <v>0</v>
      </c>
      <c r="AC110" s="773">
        <f t="shared" ca="1" si="76"/>
        <v>1</v>
      </c>
      <c r="AD110" s="773">
        <f t="shared" ca="1" si="55"/>
        <v>0</v>
      </c>
      <c r="AE110" s="773">
        <f t="shared" ca="1" si="56"/>
        <v>0</v>
      </c>
      <c r="AF110" s="773">
        <f t="shared" ca="1" si="77"/>
        <v>6</v>
      </c>
      <c r="AG110" s="773">
        <f t="shared" ca="1" si="57"/>
        <v>0</v>
      </c>
      <c r="AH110" s="773">
        <f t="shared" ca="1" si="58"/>
        <v>1</v>
      </c>
      <c r="AI110" s="773">
        <f t="shared" ca="1" si="78"/>
        <v>9</v>
      </c>
      <c r="AJ110" s="773">
        <f t="shared" ca="1" si="59"/>
        <v>9</v>
      </c>
      <c r="AK110" s="773">
        <f t="shared" ca="1" si="60"/>
        <v>0</v>
      </c>
      <c r="AL110" s="773">
        <f t="shared" ca="1" si="79"/>
        <v>5</v>
      </c>
      <c r="AM110" s="773">
        <f t="shared" ca="1" si="61"/>
        <v>0</v>
      </c>
      <c r="AN110" s="773">
        <f t="shared" ca="1" si="62"/>
        <v>0</v>
      </c>
      <c r="AO110" s="773">
        <f t="shared" ca="1" si="80"/>
        <v>4</v>
      </c>
      <c r="AP110" s="773">
        <f t="shared" ca="1" si="63"/>
        <v>0</v>
      </c>
      <c r="AQ110" s="773">
        <f t="shared" ca="1" si="64"/>
        <v>0</v>
      </c>
      <c r="AR110" s="773">
        <f t="shared" ca="1" si="81"/>
        <v>3</v>
      </c>
      <c r="AS110" s="773">
        <f t="shared" ca="1" si="65"/>
        <v>0</v>
      </c>
      <c r="AT110" s="773">
        <f t="shared" ca="1" si="66"/>
        <v>0</v>
      </c>
      <c r="AU110" s="773">
        <f t="shared" ca="1" si="82"/>
        <v>3</v>
      </c>
      <c r="AV110" s="773">
        <f t="shared" ca="1" si="67"/>
        <v>0</v>
      </c>
      <c r="AW110" s="773">
        <f t="shared" ca="1" si="68"/>
        <v>0</v>
      </c>
      <c r="AX110" s="773">
        <f t="shared" ca="1" si="83"/>
        <v>5</v>
      </c>
      <c r="AY110" s="773">
        <f t="shared" ca="1" si="69"/>
        <v>0</v>
      </c>
      <c r="AZ110" s="773">
        <f t="shared" ca="1" si="70"/>
        <v>0</v>
      </c>
      <c r="BA110" s="773">
        <f t="shared" ca="1" si="84"/>
        <v>7</v>
      </c>
      <c r="BB110" s="773">
        <f t="shared" ca="1" si="71"/>
        <v>0</v>
      </c>
      <c r="BC110" s="773">
        <f t="shared" ca="1" si="72"/>
        <v>0</v>
      </c>
      <c r="BD110" s="773">
        <f t="shared" ca="1" si="85"/>
        <v>3</v>
      </c>
      <c r="BE110" s="773">
        <f t="shared" ca="1" si="73"/>
        <v>0</v>
      </c>
      <c r="BF110" s="773" t="str">
        <f t="shared" si="86"/>
        <v>Hỷ Thần</v>
      </c>
      <c r="BX110" s="773">
        <v>2008</v>
      </c>
      <c r="BY110" s="773" t="s">
        <v>7869</v>
      </c>
    </row>
    <row r="111" spans="1:77" ht="30">
      <c r="A111" s="855" t="s">
        <v>459</v>
      </c>
      <c r="B111" s="855" t="s">
        <v>6582</v>
      </c>
      <c r="C111" s="855" t="s">
        <v>8494</v>
      </c>
      <c r="D111" s="855" t="s">
        <v>8495</v>
      </c>
      <c r="E111" s="855" t="s">
        <v>8496</v>
      </c>
      <c r="F111" s="855" t="s">
        <v>8497</v>
      </c>
      <c r="G111" s="855" t="s">
        <v>8310</v>
      </c>
      <c r="H111" s="855" t="s">
        <v>8310</v>
      </c>
      <c r="I111" s="855" t="s">
        <v>8310</v>
      </c>
      <c r="J111" s="855" t="s">
        <v>8310</v>
      </c>
      <c r="K111" s="855" t="s">
        <v>8498</v>
      </c>
      <c r="L111" s="855" t="s">
        <v>8310</v>
      </c>
      <c r="M111" s="855" t="s">
        <v>8498</v>
      </c>
      <c r="N111" s="855" t="s">
        <v>8499</v>
      </c>
      <c r="O111" s="855" t="s">
        <v>8499</v>
      </c>
      <c r="P111" s="855" t="s">
        <v>8499</v>
      </c>
      <c r="Q111" s="855" t="s">
        <v>8499</v>
      </c>
      <c r="R111" s="855" t="s">
        <v>8500</v>
      </c>
      <c r="S111" s="773" t="str">
        <f ca="1">C202</f>
        <v>Mùi</v>
      </c>
      <c r="T111" s="787">
        <v>49</v>
      </c>
      <c r="U111" s="773" t="s">
        <v>8501</v>
      </c>
      <c r="V111" s="773">
        <f t="shared" ca="1" si="50"/>
        <v>0</v>
      </c>
      <c r="W111" s="773">
        <f t="shared" ca="1" si="74"/>
        <v>0</v>
      </c>
      <c r="X111" s="773">
        <f t="shared" ca="1" si="51"/>
        <v>0</v>
      </c>
      <c r="Y111" s="773">
        <f t="shared" ca="1" si="52"/>
        <v>0</v>
      </c>
      <c r="Z111" s="773">
        <f t="shared" ca="1" si="75"/>
        <v>2</v>
      </c>
      <c r="AA111" s="773">
        <f t="shared" ca="1" si="53"/>
        <v>0</v>
      </c>
      <c r="AB111" s="773">
        <f t="shared" ca="1" si="54"/>
        <v>0</v>
      </c>
      <c r="AC111" s="773">
        <f t="shared" ca="1" si="76"/>
        <v>1</v>
      </c>
      <c r="AD111" s="773">
        <f t="shared" ca="1" si="55"/>
        <v>0</v>
      </c>
      <c r="AE111" s="773">
        <f t="shared" ca="1" si="56"/>
        <v>0</v>
      </c>
      <c r="AF111" s="773">
        <f t="shared" ca="1" si="77"/>
        <v>6</v>
      </c>
      <c r="AG111" s="773">
        <f t="shared" ca="1" si="57"/>
        <v>0</v>
      </c>
      <c r="AH111" s="773">
        <f t="shared" ca="1" si="58"/>
        <v>0</v>
      </c>
      <c r="AI111" s="773">
        <f t="shared" ca="1" si="78"/>
        <v>9</v>
      </c>
      <c r="AJ111" s="773">
        <f t="shared" ca="1" si="59"/>
        <v>0</v>
      </c>
      <c r="AK111" s="773">
        <f t="shared" ca="1" si="60"/>
        <v>0</v>
      </c>
      <c r="AL111" s="773">
        <f t="shared" ca="1" si="79"/>
        <v>5</v>
      </c>
      <c r="AM111" s="773">
        <f t="shared" ca="1" si="61"/>
        <v>0</v>
      </c>
      <c r="AN111" s="773">
        <f t="shared" ca="1" si="62"/>
        <v>0</v>
      </c>
      <c r="AO111" s="773">
        <f t="shared" ca="1" si="80"/>
        <v>4</v>
      </c>
      <c r="AP111" s="773">
        <f t="shared" ca="1" si="63"/>
        <v>0</v>
      </c>
      <c r="AQ111" s="773">
        <f t="shared" ca="1" si="64"/>
        <v>1</v>
      </c>
      <c r="AR111" s="773">
        <f t="shared" ca="1" si="81"/>
        <v>4</v>
      </c>
      <c r="AS111" s="773">
        <f t="shared" ca="1" si="65"/>
        <v>4</v>
      </c>
      <c r="AT111" s="773">
        <f t="shared" ca="1" si="66"/>
        <v>0</v>
      </c>
      <c r="AU111" s="773">
        <f t="shared" ca="1" si="82"/>
        <v>3</v>
      </c>
      <c r="AV111" s="773">
        <f t="shared" ca="1" si="67"/>
        <v>0</v>
      </c>
      <c r="AW111" s="773">
        <f t="shared" ca="1" si="68"/>
        <v>0</v>
      </c>
      <c r="AX111" s="773">
        <f t="shared" ca="1" si="83"/>
        <v>5</v>
      </c>
      <c r="AY111" s="773">
        <f t="shared" ca="1" si="69"/>
        <v>0</v>
      </c>
      <c r="AZ111" s="773">
        <f t="shared" ca="1" si="70"/>
        <v>0</v>
      </c>
      <c r="BA111" s="773">
        <f t="shared" ca="1" si="84"/>
        <v>7</v>
      </c>
      <c r="BB111" s="773">
        <f t="shared" ca="1" si="71"/>
        <v>0</v>
      </c>
      <c r="BC111" s="773">
        <f t="shared" ca="1" si="72"/>
        <v>0</v>
      </c>
      <c r="BD111" s="773">
        <f t="shared" ca="1" si="85"/>
        <v>3</v>
      </c>
      <c r="BE111" s="773">
        <f t="shared" ca="1" si="73"/>
        <v>0</v>
      </c>
      <c r="BF111" s="773" t="str">
        <f t="shared" si="86"/>
        <v>Thiếu Dương</v>
      </c>
      <c r="BX111" s="773">
        <v>2009</v>
      </c>
      <c r="BY111" s="773" t="s">
        <v>7878</v>
      </c>
    </row>
    <row r="112" spans="1:77" ht="15">
      <c r="A112" s="855" t="s">
        <v>8467</v>
      </c>
      <c r="B112" s="855" t="s">
        <v>8502</v>
      </c>
      <c r="C112" s="855" t="s">
        <v>8320</v>
      </c>
      <c r="D112" s="855" t="s">
        <v>8503</v>
      </c>
      <c r="E112" s="855" t="s">
        <v>6674</v>
      </c>
      <c r="F112" s="855" t="s">
        <v>8504</v>
      </c>
      <c r="G112" s="855" t="s">
        <v>8505</v>
      </c>
      <c r="H112" s="855" t="s">
        <v>8506</v>
      </c>
      <c r="I112" s="855" t="s">
        <v>9333</v>
      </c>
      <c r="J112" s="855" t="s">
        <v>8507</v>
      </c>
      <c r="K112" s="855" t="s">
        <v>8508</v>
      </c>
      <c r="L112" s="855" t="s">
        <v>8509</v>
      </c>
      <c r="M112" s="855" t="s">
        <v>8510</v>
      </c>
      <c r="N112" s="855" t="s">
        <v>6582</v>
      </c>
      <c r="O112" s="855" t="s">
        <v>8511</v>
      </c>
      <c r="P112" s="855" t="s">
        <v>8512</v>
      </c>
      <c r="Q112" s="855" t="s">
        <v>8513</v>
      </c>
      <c r="R112" s="855"/>
      <c r="S112" s="773" t="str">
        <f ca="1">E202</f>
        <v>Dậu</v>
      </c>
      <c r="T112" s="787">
        <v>50</v>
      </c>
      <c r="U112" s="773" t="s">
        <v>8514</v>
      </c>
      <c r="V112" s="773">
        <f t="shared" ca="1" si="50"/>
        <v>0</v>
      </c>
      <c r="W112" s="773">
        <f t="shared" ca="1" si="74"/>
        <v>0</v>
      </c>
      <c r="X112" s="773">
        <f t="shared" ca="1" si="51"/>
        <v>0</v>
      </c>
      <c r="Y112" s="773">
        <f t="shared" ca="1" si="52"/>
        <v>0</v>
      </c>
      <c r="Z112" s="773">
        <f t="shared" ca="1" si="75"/>
        <v>2</v>
      </c>
      <c r="AA112" s="773">
        <f t="shared" ca="1" si="53"/>
        <v>0</v>
      </c>
      <c r="AB112" s="773">
        <f t="shared" ca="1" si="54"/>
        <v>0</v>
      </c>
      <c r="AC112" s="773">
        <f t="shared" ca="1" si="76"/>
        <v>1</v>
      </c>
      <c r="AD112" s="773">
        <f t="shared" ca="1" si="55"/>
        <v>0</v>
      </c>
      <c r="AE112" s="773">
        <f t="shared" ca="1" si="56"/>
        <v>0</v>
      </c>
      <c r="AF112" s="773">
        <f t="shared" ca="1" si="77"/>
        <v>6</v>
      </c>
      <c r="AG112" s="773">
        <f t="shared" ca="1" si="57"/>
        <v>0</v>
      </c>
      <c r="AH112" s="773">
        <f t="shared" ca="1" si="58"/>
        <v>0</v>
      </c>
      <c r="AI112" s="773">
        <f t="shared" ca="1" si="78"/>
        <v>9</v>
      </c>
      <c r="AJ112" s="773">
        <f t="shared" ca="1" si="59"/>
        <v>0</v>
      </c>
      <c r="AK112" s="773">
        <f t="shared" ca="1" si="60"/>
        <v>0</v>
      </c>
      <c r="AL112" s="773">
        <f t="shared" ca="1" si="79"/>
        <v>5</v>
      </c>
      <c r="AM112" s="773">
        <f t="shared" ca="1" si="61"/>
        <v>0</v>
      </c>
      <c r="AN112" s="773">
        <f t="shared" ca="1" si="62"/>
        <v>0</v>
      </c>
      <c r="AO112" s="773">
        <f t="shared" ca="1" si="80"/>
        <v>4</v>
      </c>
      <c r="AP112" s="773">
        <f t="shared" ca="1" si="63"/>
        <v>0</v>
      </c>
      <c r="AQ112" s="773">
        <f t="shared" ca="1" si="64"/>
        <v>0</v>
      </c>
      <c r="AR112" s="773">
        <f t="shared" ca="1" si="81"/>
        <v>4</v>
      </c>
      <c r="AS112" s="773">
        <f t="shared" ca="1" si="65"/>
        <v>0</v>
      </c>
      <c r="AT112" s="773">
        <f t="shared" ca="1" si="66"/>
        <v>0</v>
      </c>
      <c r="AU112" s="773">
        <f t="shared" ca="1" si="82"/>
        <v>3</v>
      </c>
      <c r="AV112" s="773">
        <f t="shared" ca="1" si="67"/>
        <v>0</v>
      </c>
      <c r="AW112" s="773">
        <f t="shared" ca="1" si="68"/>
        <v>1</v>
      </c>
      <c r="AX112" s="773">
        <f t="shared" ca="1" si="83"/>
        <v>6</v>
      </c>
      <c r="AY112" s="773">
        <f t="shared" ca="1" si="69"/>
        <v>6</v>
      </c>
      <c r="AZ112" s="773">
        <f t="shared" ca="1" si="70"/>
        <v>0</v>
      </c>
      <c r="BA112" s="773">
        <f t="shared" ca="1" si="84"/>
        <v>7</v>
      </c>
      <c r="BB112" s="773">
        <f t="shared" ca="1" si="71"/>
        <v>0</v>
      </c>
      <c r="BC112" s="773">
        <f t="shared" ca="1" si="72"/>
        <v>0</v>
      </c>
      <c r="BD112" s="773">
        <f t="shared" ca="1" si="85"/>
        <v>3</v>
      </c>
      <c r="BE112" s="773">
        <f t="shared" ca="1" si="73"/>
        <v>0</v>
      </c>
      <c r="BF112" s="773" t="s">
        <v>8515</v>
      </c>
      <c r="BX112" s="773">
        <v>2010</v>
      </c>
      <c r="BY112" s="773" t="s">
        <v>7881</v>
      </c>
    </row>
    <row r="113" spans="1:77" ht="15">
      <c r="A113" s="806" t="s">
        <v>7844</v>
      </c>
      <c r="B113" s="855" t="s">
        <v>353</v>
      </c>
      <c r="C113" s="855" t="s">
        <v>1399</v>
      </c>
      <c r="D113" s="855" t="s">
        <v>9301</v>
      </c>
      <c r="E113" s="855" t="s">
        <v>9299</v>
      </c>
      <c r="F113" s="855" t="s">
        <v>507</v>
      </c>
      <c r="G113" s="855" t="s">
        <v>9301</v>
      </c>
      <c r="H113" s="855" t="s">
        <v>507</v>
      </c>
      <c r="I113" s="855" t="s">
        <v>507</v>
      </c>
      <c r="J113" s="855" t="s">
        <v>9298</v>
      </c>
      <c r="K113" s="855" t="s">
        <v>9298</v>
      </c>
      <c r="L113" s="806" t="s">
        <v>7871</v>
      </c>
      <c r="M113" s="806" t="s">
        <v>7871</v>
      </c>
      <c r="N113" s="773" t="s">
        <v>8279</v>
      </c>
      <c r="O113" s="773" t="s">
        <v>8278</v>
      </c>
      <c r="P113" s="773" t="s">
        <v>8274</v>
      </c>
      <c r="Q113" s="773" t="s">
        <v>8287</v>
      </c>
      <c r="R113" s="855" t="s">
        <v>8516</v>
      </c>
      <c r="S113" s="773" t="str">
        <f ca="1">J109</f>
        <v>thìn</v>
      </c>
      <c r="T113" s="787">
        <v>51</v>
      </c>
      <c r="U113" s="773" t="s">
        <v>8517</v>
      </c>
      <c r="V113" s="773">
        <f t="shared" ca="1" si="50"/>
        <v>0</v>
      </c>
      <c r="W113" s="773">
        <f t="shared" ca="1" si="74"/>
        <v>0</v>
      </c>
      <c r="X113" s="773">
        <f t="shared" ca="1" si="51"/>
        <v>0</v>
      </c>
      <c r="Y113" s="773">
        <f t="shared" ca="1" si="52"/>
        <v>0</v>
      </c>
      <c r="Z113" s="773">
        <f t="shared" ca="1" si="75"/>
        <v>2</v>
      </c>
      <c r="AA113" s="773">
        <f t="shared" ca="1" si="53"/>
        <v>0</v>
      </c>
      <c r="AB113" s="773">
        <f t="shared" ca="1" si="54"/>
        <v>0</v>
      </c>
      <c r="AC113" s="773">
        <f t="shared" ca="1" si="76"/>
        <v>1</v>
      </c>
      <c r="AD113" s="773">
        <f t="shared" ca="1" si="55"/>
        <v>0</v>
      </c>
      <c r="AE113" s="773">
        <f t="shared" ca="1" si="56"/>
        <v>0</v>
      </c>
      <c r="AF113" s="773">
        <f t="shared" ca="1" si="77"/>
        <v>6</v>
      </c>
      <c r="AG113" s="773">
        <f t="shared" ca="1" si="57"/>
        <v>0</v>
      </c>
      <c r="AH113" s="773">
        <f t="shared" ca="1" si="58"/>
        <v>1</v>
      </c>
      <c r="AI113" s="773">
        <f t="shared" ca="1" si="78"/>
        <v>10</v>
      </c>
      <c r="AJ113" s="773">
        <f t="shared" ca="1" si="59"/>
        <v>10</v>
      </c>
      <c r="AK113" s="773">
        <f t="shared" ca="1" si="60"/>
        <v>0</v>
      </c>
      <c r="AL113" s="773">
        <f t="shared" ca="1" si="79"/>
        <v>5</v>
      </c>
      <c r="AM113" s="773">
        <f t="shared" ca="1" si="61"/>
        <v>0</v>
      </c>
      <c r="AN113" s="773">
        <f t="shared" ca="1" si="62"/>
        <v>0</v>
      </c>
      <c r="AO113" s="773">
        <f t="shared" ca="1" si="80"/>
        <v>4</v>
      </c>
      <c r="AP113" s="773">
        <f t="shared" ca="1" si="63"/>
        <v>0</v>
      </c>
      <c r="AQ113" s="773">
        <f t="shared" ca="1" si="64"/>
        <v>0</v>
      </c>
      <c r="AR113" s="773">
        <f t="shared" ca="1" si="81"/>
        <v>4</v>
      </c>
      <c r="AS113" s="773">
        <f t="shared" ca="1" si="65"/>
        <v>0</v>
      </c>
      <c r="AT113" s="773">
        <f t="shared" ca="1" si="66"/>
        <v>0</v>
      </c>
      <c r="AU113" s="773">
        <f t="shared" ca="1" si="82"/>
        <v>3</v>
      </c>
      <c r="AV113" s="773">
        <f t="shared" ca="1" si="67"/>
        <v>0</v>
      </c>
      <c r="AW113" s="773">
        <f t="shared" ca="1" si="68"/>
        <v>0</v>
      </c>
      <c r="AX113" s="773">
        <f t="shared" ca="1" si="83"/>
        <v>6</v>
      </c>
      <c r="AY113" s="773">
        <f t="shared" ca="1" si="69"/>
        <v>0</v>
      </c>
      <c r="AZ113" s="773">
        <f t="shared" ca="1" si="70"/>
        <v>0</v>
      </c>
      <c r="BA113" s="773">
        <f t="shared" ca="1" si="84"/>
        <v>7</v>
      </c>
      <c r="BB113" s="773">
        <f t="shared" ca="1" si="71"/>
        <v>0</v>
      </c>
      <c r="BC113" s="773">
        <f t="shared" ca="1" si="72"/>
        <v>0</v>
      </c>
      <c r="BD113" s="773">
        <f t="shared" ca="1" si="85"/>
        <v>3</v>
      </c>
      <c r="BE113" s="773">
        <f t="shared" ca="1" si="73"/>
        <v>0</v>
      </c>
      <c r="BF113" s="773" t="str">
        <f>PROPER(U113)</f>
        <v>Thiên Tài</v>
      </c>
      <c r="BX113" s="773">
        <v>2011</v>
      </c>
      <c r="BY113" s="773" t="s">
        <v>7884</v>
      </c>
    </row>
    <row r="114" spans="1:77" ht="15">
      <c r="A114" s="806" t="s">
        <v>7847</v>
      </c>
      <c r="B114" s="855" t="s">
        <v>1399</v>
      </c>
      <c r="C114" s="855" t="s">
        <v>505</v>
      </c>
      <c r="D114" s="855" t="s">
        <v>353</v>
      </c>
      <c r="E114" s="855" t="s">
        <v>9300</v>
      </c>
      <c r="F114" s="855" t="s">
        <v>9297</v>
      </c>
      <c r="G114" s="855" t="s">
        <v>1402</v>
      </c>
      <c r="H114" s="855" t="s">
        <v>9297</v>
      </c>
      <c r="I114" s="855" t="s">
        <v>505</v>
      </c>
      <c r="J114" s="855" t="s">
        <v>9297</v>
      </c>
      <c r="K114" s="855" t="s">
        <v>9299</v>
      </c>
      <c r="L114" s="855" t="s">
        <v>506</v>
      </c>
      <c r="M114" s="855" t="s">
        <v>506</v>
      </c>
      <c r="N114" s="773" t="s">
        <v>8283</v>
      </c>
      <c r="O114" s="773" t="s">
        <v>8286</v>
      </c>
      <c r="P114" s="773" t="s">
        <v>8268</v>
      </c>
      <c r="Q114" s="773" t="s">
        <v>8281</v>
      </c>
      <c r="R114" s="855" t="s">
        <v>8518</v>
      </c>
      <c r="S114" s="773" t="str">
        <f ca="1">IF($N$63=1,M153,M160)</f>
        <v>Ngọ</v>
      </c>
      <c r="T114" s="787">
        <v>52</v>
      </c>
      <c r="U114" s="773" t="s">
        <v>8519</v>
      </c>
      <c r="V114" s="773">
        <f t="shared" ca="1" si="50"/>
        <v>0</v>
      </c>
      <c r="W114" s="773">
        <f t="shared" ca="1" si="74"/>
        <v>0</v>
      </c>
      <c r="X114" s="773">
        <f t="shared" ca="1" si="51"/>
        <v>0</v>
      </c>
      <c r="Y114" s="773">
        <f t="shared" ca="1" si="52"/>
        <v>0</v>
      </c>
      <c r="Z114" s="773">
        <f t="shared" ca="1" si="75"/>
        <v>2</v>
      </c>
      <c r="AA114" s="773">
        <f t="shared" ca="1" si="53"/>
        <v>0</v>
      </c>
      <c r="AB114" s="773">
        <f t="shared" ca="1" si="54"/>
        <v>0</v>
      </c>
      <c r="AC114" s="773">
        <f t="shared" ca="1" si="76"/>
        <v>1</v>
      </c>
      <c r="AD114" s="773">
        <f t="shared" ca="1" si="55"/>
        <v>0</v>
      </c>
      <c r="AE114" s="773">
        <f t="shared" ca="1" si="56"/>
        <v>0</v>
      </c>
      <c r="AF114" s="773">
        <f t="shared" ca="1" si="77"/>
        <v>6</v>
      </c>
      <c r="AG114" s="773">
        <f t="shared" ca="1" si="57"/>
        <v>0</v>
      </c>
      <c r="AH114" s="773">
        <f t="shared" ca="1" si="58"/>
        <v>0</v>
      </c>
      <c r="AI114" s="773">
        <f t="shared" ca="1" si="78"/>
        <v>10</v>
      </c>
      <c r="AJ114" s="773">
        <f t="shared" ca="1" si="59"/>
        <v>0</v>
      </c>
      <c r="AK114" s="773">
        <f t="shared" ca="1" si="60"/>
        <v>0</v>
      </c>
      <c r="AL114" s="773">
        <f t="shared" ca="1" si="79"/>
        <v>5</v>
      </c>
      <c r="AM114" s="773">
        <f t="shared" ca="1" si="61"/>
        <v>0</v>
      </c>
      <c r="AN114" s="773">
        <f t="shared" ca="1" si="62"/>
        <v>1</v>
      </c>
      <c r="AO114" s="773">
        <f t="shared" ca="1" si="80"/>
        <v>5</v>
      </c>
      <c r="AP114" s="773">
        <f t="shared" ca="1" si="63"/>
        <v>5</v>
      </c>
      <c r="AQ114" s="773">
        <f t="shared" ca="1" si="64"/>
        <v>0</v>
      </c>
      <c r="AR114" s="773">
        <f t="shared" ca="1" si="81"/>
        <v>4</v>
      </c>
      <c r="AS114" s="773">
        <f t="shared" ca="1" si="65"/>
        <v>0</v>
      </c>
      <c r="AT114" s="773">
        <f t="shared" ca="1" si="66"/>
        <v>0</v>
      </c>
      <c r="AU114" s="773">
        <f t="shared" ca="1" si="82"/>
        <v>3</v>
      </c>
      <c r="AV114" s="773">
        <f t="shared" ca="1" si="67"/>
        <v>0</v>
      </c>
      <c r="AW114" s="773">
        <f t="shared" ca="1" si="68"/>
        <v>0</v>
      </c>
      <c r="AX114" s="773">
        <f t="shared" ca="1" si="83"/>
        <v>6</v>
      </c>
      <c r="AY114" s="773">
        <f t="shared" ca="1" si="69"/>
        <v>0</v>
      </c>
      <c r="AZ114" s="773">
        <f t="shared" ca="1" si="70"/>
        <v>0</v>
      </c>
      <c r="BA114" s="773">
        <f t="shared" ca="1" si="84"/>
        <v>7</v>
      </c>
      <c r="BB114" s="773">
        <f t="shared" ca="1" si="71"/>
        <v>0</v>
      </c>
      <c r="BC114" s="773">
        <f t="shared" ca="1" si="72"/>
        <v>0</v>
      </c>
      <c r="BD114" s="773">
        <f t="shared" ca="1" si="85"/>
        <v>3</v>
      </c>
      <c r="BE114" s="773">
        <f t="shared" ca="1" si="73"/>
        <v>0</v>
      </c>
      <c r="BF114" s="773" t="str">
        <f>PROPER(U114)</f>
        <v>Dưỡng</v>
      </c>
      <c r="BX114" s="773">
        <v>2012</v>
      </c>
      <c r="BY114" s="773" t="s">
        <v>7888</v>
      </c>
    </row>
    <row r="115" spans="1:77" ht="15">
      <c r="A115" s="806" t="s">
        <v>7849</v>
      </c>
      <c r="B115" s="806" t="s">
        <v>7871</v>
      </c>
      <c r="C115" s="855" t="s">
        <v>506</v>
      </c>
      <c r="D115" s="855" t="s">
        <v>505</v>
      </c>
      <c r="E115" s="855" t="s">
        <v>9301</v>
      </c>
      <c r="F115" s="855" t="s">
        <v>9299</v>
      </c>
      <c r="G115" s="855" t="s">
        <v>9300</v>
      </c>
      <c r="H115" s="855" t="s">
        <v>9298</v>
      </c>
      <c r="I115" s="806" t="s">
        <v>7871</v>
      </c>
      <c r="J115" s="855" t="s">
        <v>1402</v>
      </c>
      <c r="K115" s="855" t="s">
        <v>507</v>
      </c>
      <c r="L115" s="855" t="s">
        <v>1402</v>
      </c>
      <c r="M115" s="855" t="s">
        <v>9297</v>
      </c>
      <c r="N115" s="773" t="s">
        <v>8285</v>
      </c>
      <c r="O115" s="773" t="s">
        <v>8283</v>
      </c>
      <c r="P115" s="917" t="s">
        <v>6570</v>
      </c>
      <c r="Q115" s="773" t="s">
        <v>8279</v>
      </c>
      <c r="R115" s="855" t="s">
        <v>8520</v>
      </c>
      <c r="S115" s="912" t="str">
        <f ca="1">J110</f>
        <v>tý</v>
      </c>
      <c r="T115" s="915">
        <v>53</v>
      </c>
      <c r="U115" s="912" t="s">
        <v>8521</v>
      </c>
      <c r="V115" s="773">
        <f t="shared" ca="1" si="50"/>
        <v>1</v>
      </c>
      <c r="W115" s="773">
        <f t="shared" ca="1" si="74"/>
        <v>1</v>
      </c>
      <c r="X115" s="773">
        <f t="shared" ca="1" si="51"/>
        <v>1</v>
      </c>
      <c r="Y115" s="773">
        <f t="shared" ca="1" si="52"/>
        <v>0</v>
      </c>
      <c r="Z115" s="773">
        <f t="shared" ca="1" si="75"/>
        <v>2</v>
      </c>
      <c r="AA115" s="773">
        <f t="shared" ca="1" si="53"/>
        <v>0</v>
      </c>
      <c r="AB115" s="773">
        <f t="shared" ca="1" si="54"/>
        <v>0</v>
      </c>
      <c r="AC115" s="773">
        <f t="shared" ca="1" si="76"/>
        <v>1</v>
      </c>
      <c r="AD115" s="773">
        <f t="shared" ca="1" si="55"/>
        <v>0</v>
      </c>
      <c r="AE115" s="773">
        <f t="shared" ca="1" si="56"/>
        <v>0</v>
      </c>
      <c r="AF115" s="773">
        <f t="shared" ca="1" si="77"/>
        <v>6</v>
      </c>
      <c r="AG115" s="773">
        <f t="shared" ca="1" si="57"/>
        <v>0</v>
      </c>
      <c r="AH115" s="773">
        <f t="shared" ca="1" si="58"/>
        <v>0</v>
      </c>
      <c r="AI115" s="773">
        <f t="shared" ca="1" si="78"/>
        <v>10</v>
      </c>
      <c r="AJ115" s="773">
        <f t="shared" ca="1" si="59"/>
        <v>0</v>
      </c>
      <c r="AK115" s="773">
        <f t="shared" ca="1" si="60"/>
        <v>0</v>
      </c>
      <c r="AL115" s="773">
        <f t="shared" ca="1" si="79"/>
        <v>5</v>
      </c>
      <c r="AM115" s="773">
        <f t="shared" ca="1" si="61"/>
        <v>0</v>
      </c>
      <c r="AN115" s="773">
        <f t="shared" ca="1" si="62"/>
        <v>0</v>
      </c>
      <c r="AO115" s="773">
        <f t="shared" ca="1" si="80"/>
        <v>5</v>
      </c>
      <c r="AP115" s="773">
        <f t="shared" ca="1" si="63"/>
        <v>0</v>
      </c>
      <c r="AQ115" s="773">
        <f t="shared" ca="1" si="64"/>
        <v>0</v>
      </c>
      <c r="AR115" s="773">
        <f t="shared" ca="1" si="81"/>
        <v>4</v>
      </c>
      <c r="AS115" s="773">
        <f t="shared" ca="1" si="65"/>
        <v>0</v>
      </c>
      <c r="AT115" s="773">
        <f t="shared" ca="1" si="66"/>
        <v>0</v>
      </c>
      <c r="AU115" s="773">
        <f t="shared" ca="1" si="82"/>
        <v>3</v>
      </c>
      <c r="AV115" s="773">
        <f t="shared" ca="1" si="67"/>
        <v>0</v>
      </c>
      <c r="AW115" s="773">
        <f t="shared" ca="1" si="68"/>
        <v>0</v>
      </c>
      <c r="AX115" s="773">
        <f t="shared" ca="1" si="83"/>
        <v>6</v>
      </c>
      <c r="AY115" s="773">
        <f t="shared" ca="1" si="69"/>
        <v>0</v>
      </c>
      <c r="AZ115" s="773">
        <f t="shared" ca="1" si="70"/>
        <v>0</v>
      </c>
      <c r="BA115" s="773">
        <f t="shared" ca="1" si="84"/>
        <v>7</v>
      </c>
      <c r="BB115" s="773">
        <f t="shared" ca="1" si="71"/>
        <v>0</v>
      </c>
      <c r="BC115" s="773">
        <f t="shared" ca="1" si="72"/>
        <v>0</v>
      </c>
      <c r="BD115" s="773">
        <f t="shared" ca="1" si="85"/>
        <v>3</v>
      </c>
      <c r="BE115" s="773">
        <f t="shared" ca="1" si="73"/>
        <v>0</v>
      </c>
      <c r="BF115" s="773" t="str">
        <f>PROPER(U115)</f>
        <v>Thiên Thọ</v>
      </c>
      <c r="BX115" s="773">
        <v>2013</v>
      </c>
      <c r="BY115" s="773" t="s">
        <v>7889</v>
      </c>
    </row>
    <row r="116" spans="1:77" ht="15">
      <c r="A116" s="806" t="s">
        <v>7851</v>
      </c>
      <c r="B116" s="855" t="s">
        <v>506</v>
      </c>
      <c r="C116" s="855" t="s">
        <v>507</v>
      </c>
      <c r="D116" s="806" t="s">
        <v>7871</v>
      </c>
      <c r="E116" s="855" t="s">
        <v>353</v>
      </c>
      <c r="F116" s="855" t="s">
        <v>9300</v>
      </c>
      <c r="G116" s="855" t="s">
        <v>9300</v>
      </c>
      <c r="H116" s="855" t="s">
        <v>9298</v>
      </c>
      <c r="I116" s="855" t="s">
        <v>353</v>
      </c>
      <c r="J116" s="855" t="s">
        <v>9300</v>
      </c>
      <c r="K116" s="855" t="s">
        <v>7887</v>
      </c>
      <c r="L116" s="806" t="s">
        <v>7871</v>
      </c>
      <c r="M116" s="855" t="s">
        <v>9298</v>
      </c>
      <c r="N116" s="773" t="s">
        <v>8281</v>
      </c>
      <c r="O116" s="773" t="s">
        <v>8285</v>
      </c>
      <c r="P116" s="773" t="s">
        <v>8283</v>
      </c>
      <c r="Q116" s="773" t="s">
        <v>8288</v>
      </c>
      <c r="R116" s="855" t="s">
        <v>8522</v>
      </c>
      <c r="S116" s="773" t="s">
        <v>8523</v>
      </c>
      <c r="BX116" s="773">
        <v>2014</v>
      </c>
      <c r="BY116" s="773" t="s">
        <v>7890</v>
      </c>
    </row>
    <row r="117" spans="1:77" ht="15">
      <c r="A117" s="806" t="s">
        <v>6549</v>
      </c>
      <c r="B117" s="806" t="s">
        <v>7871</v>
      </c>
      <c r="C117" s="855" t="s">
        <v>506</v>
      </c>
      <c r="D117" s="855" t="s">
        <v>505</v>
      </c>
      <c r="E117" s="855" t="s">
        <v>9301</v>
      </c>
      <c r="F117" s="855" t="s">
        <v>9299</v>
      </c>
      <c r="G117" s="855" t="s">
        <v>9301</v>
      </c>
      <c r="H117" s="855" t="s">
        <v>507</v>
      </c>
      <c r="I117" s="855" t="s">
        <v>1399</v>
      </c>
      <c r="J117" s="855" t="s">
        <v>1399</v>
      </c>
      <c r="K117" s="855" t="s">
        <v>6548</v>
      </c>
      <c r="L117" s="855" t="s">
        <v>506</v>
      </c>
      <c r="M117" s="855" t="s">
        <v>9297</v>
      </c>
      <c r="N117" s="773" t="s">
        <v>8280</v>
      </c>
      <c r="O117" s="773" t="s">
        <v>8281</v>
      </c>
      <c r="P117" s="917" t="s">
        <v>8300</v>
      </c>
      <c r="Q117" s="773" t="s">
        <v>8283</v>
      </c>
      <c r="R117" s="855" t="s">
        <v>8524</v>
      </c>
      <c r="S117" s="773" t="s">
        <v>8273</v>
      </c>
      <c r="Y117" s="796"/>
      <c r="AD117" s="796"/>
      <c r="AI117" s="796"/>
      <c r="AM117" s="796"/>
      <c r="AQ117" s="796"/>
      <c r="AU117" s="796"/>
      <c r="AY117" s="796"/>
      <c r="BC117" s="796"/>
      <c r="BG117" s="796"/>
      <c r="BK117" s="796"/>
      <c r="BO117" s="796"/>
      <c r="BS117" s="796"/>
      <c r="BX117" s="773">
        <v>2015</v>
      </c>
      <c r="BY117" s="773" t="s">
        <v>7891</v>
      </c>
    </row>
    <row r="118" spans="1:77" ht="15">
      <c r="A118" s="806" t="s">
        <v>7856</v>
      </c>
      <c r="B118" s="855" t="s">
        <v>506</v>
      </c>
      <c r="C118" s="855" t="s">
        <v>507</v>
      </c>
      <c r="D118" s="806" t="s">
        <v>7871</v>
      </c>
      <c r="E118" s="855" t="s">
        <v>353</v>
      </c>
      <c r="F118" s="855" t="s">
        <v>9300</v>
      </c>
      <c r="G118" s="855" t="s">
        <v>1402</v>
      </c>
      <c r="H118" s="855" t="s">
        <v>9297</v>
      </c>
      <c r="I118" s="855" t="s">
        <v>9298</v>
      </c>
      <c r="J118" s="855" t="s">
        <v>353</v>
      </c>
      <c r="K118" s="855" t="s">
        <v>506</v>
      </c>
      <c r="L118" s="855" t="s">
        <v>9297</v>
      </c>
      <c r="M118" s="855" t="s">
        <v>9298</v>
      </c>
      <c r="N118" s="773" t="s">
        <v>8274</v>
      </c>
      <c r="O118" s="773" t="s">
        <v>8280</v>
      </c>
      <c r="P118" s="773" t="s">
        <v>8286</v>
      </c>
      <c r="Q118" s="773" t="s">
        <v>8290</v>
      </c>
      <c r="R118" s="855" t="s">
        <v>8516</v>
      </c>
      <c r="S118" s="773" t="s">
        <v>8274</v>
      </c>
      <c r="V118" s="773" t="str">
        <f t="shared" ref="V118:V128" ca="1" si="100">VLOOKUP(T63,$X$62:$BF$115,35,0)</f>
        <v>Thiên Thọ</v>
      </c>
      <c r="W118" s="773" t="b">
        <f t="shared" ref="W118:W128" ca="1" si="101">ISTEXT(V118)</f>
        <v>1</v>
      </c>
      <c r="X118" s="773">
        <f t="shared" ref="X118:X128" ca="1" si="102">IF(LEFT(W118,1)="T",1,0)</f>
        <v>1</v>
      </c>
      <c r="Y118" s="773" t="str">
        <f t="shared" ref="Y118:Y128" ca="1" si="103">IF(X118=1,V118," ")</f>
        <v>Thiên Thọ</v>
      </c>
      <c r="AA118" s="773" t="str">
        <f t="shared" ref="AA118:AA128" ca="1" si="104">VLOOKUP(T63,$AA$62:$BF$115,32,0)</f>
        <v>Long Đức</v>
      </c>
      <c r="AB118" s="773" t="b">
        <f t="shared" ref="AB118:AB128" ca="1" si="105">ISTEXT(AA118)</f>
        <v>1</v>
      </c>
      <c r="AC118" s="773">
        <f t="shared" ref="AC118:AC128" ca="1" si="106">IF(LEFT(AB118,1)="T",1,0)</f>
        <v>1</v>
      </c>
      <c r="AD118" s="773" t="str">
        <f t="shared" ref="AD118:AD128" ca="1" si="107">IF(AC118=1,AA118," ")</f>
        <v>Long Đức</v>
      </c>
      <c r="AF118" s="773" t="str">
        <f t="shared" ref="AF118:AF128" ca="1" si="108">VLOOKUP(T63,$AD$62:$BF$115,29,0)</f>
        <v>Lâm Quan</v>
      </c>
      <c r="AG118" s="773" t="b">
        <f t="shared" ref="AG118:AG128" ca="1" si="109">ISTEXT(AF118)</f>
        <v>1</v>
      </c>
      <c r="AH118" s="773">
        <f t="shared" ref="AH118:AH128" ca="1" si="110">IF(LEFT(AG118,1)="T",1,0)</f>
        <v>1</v>
      </c>
      <c r="AI118" s="773" t="str">
        <f t="shared" ref="AI118:AI128" ca="1" si="111">IF(AH118=1,AF118," ")</f>
        <v>Lâm Quan</v>
      </c>
      <c r="AJ118" s="773" t="str">
        <f t="shared" ref="AJ118:AJ128" ca="1" si="112">VLOOKUP(T63,$AG$62:$BF$115,26,0)</f>
        <v>Thiên Khôi</v>
      </c>
      <c r="AK118" s="773" t="b">
        <f t="shared" ref="AK118:AK128" ca="1" si="113">ISTEXT(AJ118)</f>
        <v>1</v>
      </c>
      <c r="AL118" s="773">
        <f t="shared" ref="AL118:AL128" ca="1" si="114">IF(LEFT(AK118,1)="T",1,0)</f>
        <v>1</v>
      </c>
      <c r="AM118" s="773" t="str">
        <f t="shared" ref="AM118:AM128" ca="1" si="115">IF(AL118=1,AJ118," ")</f>
        <v>Thiên Khôi</v>
      </c>
      <c r="AN118" s="773" t="str">
        <f t="shared" ref="AN118:AN128" ca="1" si="116">VLOOKUP(T63,$AJ$62:$BF$115,23,0)</f>
        <v>Thiên Quý</v>
      </c>
      <c r="AO118" s="773" t="b">
        <f t="shared" ref="AO118:AO128" ca="1" si="117">ISTEXT(AN118)</f>
        <v>1</v>
      </c>
      <c r="AP118" s="773">
        <f t="shared" ref="AP118:AP128" ca="1" si="118">IF(LEFT(AO118,1)="T",1,0)</f>
        <v>1</v>
      </c>
      <c r="AQ118" s="773" t="str">
        <f t="shared" ref="AQ118:AQ128" ca="1" si="119">IF(AP118=1,AN118," ")</f>
        <v>Thiên Quý</v>
      </c>
      <c r="AR118" s="773" t="str">
        <f t="shared" ref="AR118:AR128" ca="1" si="120">VLOOKUP(T63,$AM$62:$BF$115,20,0)</f>
        <v>Thiên Việt</v>
      </c>
      <c r="AS118" s="773" t="b">
        <f t="shared" ref="AS118:AS128" ca="1" si="121">ISTEXT(AR118)</f>
        <v>1</v>
      </c>
      <c r="AT118" s="773">
        <f t="shared" ref="AT118:AT128" ca="1" si="122">IF(LEFT(AS118,1)="T",1,0)</f>
        <v>1</v>
      </c>
      <c r="AU118" s="773" t="str">
        <f t="shared" ref="AU118:AU128" ca="1" si="123">IF(AT118=1,AR118," ")</f>
        <v>Thiên Việt</v>
      </c>
      <c r="AV118" s="773" t="str">
        <f t="shared" ref="AV118:AV128" ca="1" si="124">VLOOKUP(T63,$AP$62:$BF$115,17,0)</f>
        <v>Văn Xương</v>
      </c>
      <c r="AW118" s="773" t="b">
        <f t="shared" ref="AW118:AW128" ca="1" si="125">ISTEXT(AV118)</f>
        <v>1</v>
      </c>
      <c r="AX118" s="773">
        <f t="shared" ref="AX118:AX128" ca="1" si="126">IF(LEFT(AW118,1)="T",1,0)</f>
        <v>1</v>
      </c>
      <c r="AY118" s="773" t="str">
        <f t="shared" ref="AY118:AY128" ca="1" si="127">IF(AX118=1,AV118," ")</f>
        <v>Văn Xương</v>
      </c>
      <c r="AZ118" s="773" t="str">
        <f t="shared" ref="AZ118:AZ128" ca="1" si="128">VLOOKUP(T63,$AS$62:$BF$115,14,0)</f>
        <v>Quốc Ấn</v>
      </c>
      <c r="BA118" s="773" t="b">
        <f t="shared" ref="BA118:BA128" ca="1" si="129">ISTEXT(AZ118)</f>
        <v>1</v>
      </c>
      <c r="BB118" s="773">
        <f t="shared" ref="BB118:BB128" ca="1" si="130">IF(LEFT(BA118,1)="T",1,0)</f>
        <v>1</v>
      </c>
      <c r="BC118" s="773" t="str">
        <f t="shared" ref="BC118:BC128" ca="1" si="131">IF(BB118=1,AZ118," ")</f>
        <v>Quốc Ấn</v>
      </c>
      <c r="BD118" s="773" t="str">
        <f t="shared" ref="BD118:BD128" ca="1" si="132">VLOOKUP(T63,$AV$62:$BF$115,11,0)</f>
        <v>Văn Khúc</v>
      </c>
      <c r="BE118" s="773" t="b">
        <f t="shared" ref="BE118:BE128" ca="1" si="133">ISTEXT(BD118)</f>
        <v>1</v>
      </c>
      <c r="BF118" s="773">
        <f t="shared" ref="BF118:BF128" ca="1" si="134">IF(LEFT(BE118,1)="T",1,0)</f>
        <v>1</v>
      </c>
      <c r="BG118" s="773" t="str">
        <f t="shared" ref="BG118:BG128" ca="1" si="135">IF(BF118=1,BD118," ")</f>
        <v>Văn Khúc</v>
      </c>
      <c r="BH118" s="773" t="str">
        <f t="shared" ref="BH118:BH128" ca="1" si="136">VLOOKUP(T63,$AY$62:$BF$115,8,0)</f>
        <v>Hồng Loan</v>
      </c>
      <c r="BI118" s="773" t="b">
        <f t="shared" ref="BI118:BI128" ca="1" si="137">ISTEXT(BH118)</f>
        <v>1</v>
      </c>
      <c r="BJ118" s="773">
        <f t="shared" ref="BJ118:BJ128" ca="1" si="138">IF(LEFT(BI118,1)="T",1,0)</f>
        <v>1</v>
      </c>
      <c r="BK118" s="773" t="str">
        <f t="shared" ref="BK118:BK128" ca="1" si="139">IF(BJ118=1,BH118," ")</f>
        <v>Hồng Loan</v>
      </c>
      <c r="BL118" s="773" t="str">
        <f t="shared" ref="BL118:BL128" ca="1" si="140">VLOOKUP(T63,$BB$62:$BF$115,5,0)</f>
        <v>Ấn Quang</v>
      </c>
      <c r="BM118" s="773" t="b">
        <f t="shared" ref="BM118:BM128" ca="1" si="141">ISTEXT(BL118)</f>
        <v>1</v>
      </c>
      <c r="BN118" s="773">
        <f t="shared" ref="BN118:BN128" ca="1" si="142">IF(LEFT(BM118,1)="T",1,0)</f>
        <v>1</v>
      </c>
      <c r="BO118" s="773" t="str">
        <f t="shared" ref="BO118:BO128" ca="1" si="143">IF(BN118=1,BL118," ")</f>
        <v>Ấn Quang</v>
      </c>
      <c r="BP118" s="773" t="str">
        <f t="shared" ref="BP118:BP128" ca="1" si="144">VLOOKUP(T63,$BE$62:$BF$115,2,0)</f>
        <v>Lộc Tồn</v>
      </c>
      <c r="BQ118" s="773" t="b">
        <f t="shared" ref="BQ118:BQ128" ca="1" si="145">ISTEXT(BP118)</f>
        <v>1</v>
      </c>
      <c r="BR118" s="773">
        <f t="shared" ref="BR118:BR128" ca="1" si="146">IF(LEFT(BQ118,1)="T",1,0)</f>
        <v>1</v>
      </c>
      <c r="BS118" s="773" t="str">
        <f t="shared" ref="BS118:BS128" ca="1" si="147">IF(BR118=1,BP118," ")</f>
        <v>Lộc Tồn</v>
      </c>
      <c r="BX118" s="773">
        <v>2016</v>
      </c>
      <c r="BY118" s="773" t="s">
        <v>7892</v>
      </c>
    </row>
    <row r="119" spans="1:77" ht="30">
      <c r="A119" s="806" t="s">
        <v>7860</v>
      </c>
      <c r="B119" s="855" t="s">
        <v>9297</v>
      </c>
      <c r="C119" s="855" t="s">
        <v>9298</v>
      </c>
      <c r="D119" s="855" t="s">
        <v>507</v>
      </c>
      <c r="E119" s="855" t="s">
        <v>505</v>
      </c>
      <c r="F119" s="855" t="s">
        <v>9301</v>
      </c>
      <c r="G119" s="855" t="s">
        <v>506</v>
      </c>
      <c r="H119" s="855" t="s">
        <v>353</v>
      </c>
      <c r="I119" s="855" t="s">
        <v>9300</v>
      </c>
      <c r="J119" s="855" t="s">
        <v>506</v>
      </c>
      <c r="K119" s="855" t="s">
        <v>7873</v>
      </c>
      <c r="L119" s="855" t="s">
        <v>353</v>
      </c>
      <c r="M119" s="855" t="s">
        <v>9300</v>
      </c>
      <c r="N119" s="773" t="s">
        <v>8287</v>
      </c>
      <c r="O119" s="773" t="s">
        <v>8274</v>
      </c>
      <c r="P119" s="773" t="s">
        <v>8281</v>
      </c>
      <c r="Q119" s="773" t="s">
        <v>8285</v>
      </c>
      <c r="R119" s="855" t="s">
        <v>8518</v>
      </c>
      <c r="S119" s="773" t="s">
        <v>8276</v>
      </c>
      <c r="V119" s="773" t="e">
        <f t="shared" ca="1" si="100"/>
        <v>#N/A</v>
      </c>
      <c r="W119" s="773" t="b">
        <f t="shared" ca="1" si="101"/>
        <v>0</v>
      </c>
      <c r="X119" s="773">
        <f t="shared" ca="1" si="102"/>
        <v>0</v>
      </c>
      <c r="Y119" s="773" t="str">
        <f t="shared" ca="1" si="103"/>
        <v xml:space="preserve"> </v>
      </c>
      <c r="AA119" s="773" t="str">
        <f t="shared" ca="1" si="104"/>
        <v>Đế Vượng</v>
      </c>
      <c r="AB119" s="773" t="b">
        <f t="shared" ca="1" si="105"/>
        <v>1</v>
      </c>
      <c r="AC119" s="773">
        <f t="shared" ca="1" si="106"/>
        <v>1</v>
      </c>
      <c r="AD119" s="773" t="str">
        <f t="shared" ca="1" si="107"/>
        <v>Đế Vượng</v>
      </c>
      <c r="AF119" s="773" t="e">
        <f t="shared" ca="1" si="108"/>
        <v>#N/A</v>
      </c>
      <c r="AG119" s="773" t="b">
        <f t="shared" ca="1" si="109"/>
        <v>0</v>
      </c>
      <c r="AH119" s="773">
        <f t="shared" ca="1" si="110"/>
        <v>0</v>
      </c>
      <c r="AI119" s="773" t="str">
        <f t="shared" ca="1" si="111"/>
        <v xml:space="preserve"> </v>
      </c>
      <c r="AJ119" s="773" t="str">
        <f t="shared" ca="1" si="112"/>
        <v>Đào Hoa</v>
      </c>
      <c r="AK119" s="773" t="b">
        <f t="shared" ca="1" si="113"/>
        <v>1</v>
      </c>
      <c r="AL119" s="773">
        <f t="shared" ca="1" si="114"/>
        <v>1</v>
      </c>
      <c r="AM119" s="773" t="str">
        <f t="shared" ca="1" si="115"/>
        <v>Đào Hoa</v>
      </c>
      <c r="AN119" s="773" t="str">
        <f t="shared" ca="1" si="116"/>
        <v>Hóa Lộc</v>
      </c>
      <c r="AO119" s="773" t="b">
        <f t="shared" ca="1" si="117"/>
        <v>1</v>
      </c>
      <c r="AP119" s="773">
        <f t="shared" ca="1" si="118"/>
        <v>1</v>
      </c>
      <c r="AQ119" s="773" t="str">
        <f t="shared" ca="1" si="119"/>
        <v>Hóa Lộc</v>
      </c>
      <c r="AR119" s="773" t="str">
        <f t="shared" ca="1" si="120"/>
        <v>Hóa Quyền</v>
      </c>
      <c r="AS119" s="773" t="b">
        <f t="shared" ca="1" si="121"/>
        <v>1</v>
      </c>
      <c r="AT119" s="773">
        <f t="shared" ca="1" si="122"/>
        <v>1</v>
      </c>
      <c r="AU119" s="773" t="str">
        <f t="shared" ca="1" si="123"/>
        <v>Hóa Quyền</v>
      </c>
      <c r="AV119" s="773" t="str">
        <f t="shared" ca="1" si="124"/>
        <v>Phong Cáo</v>
      </c>
      <c r="AW119" s="773" t="b">
        <f t="shared" ca="1" si="125"/>
        <v>1</v>
      </c>
      <c r="AX119" s="773">
        <f t="shared" ca="1" si="126"/>
        <v>1</v>
      </c>
      <c r="AY119" s="773" t="str">
        <f t="shared" ca="1" si="127"/>
        <v>Phong Cáo</v>
      </c>
      <c r="AZ119" s="773" t="str">
        <f t="shared" ca="1" si="128"/>
        <v>Địa Giải</v>
      </c>
      <c r="BA119" s="773" t="b">
        <f t="shared" ca="1" si="129"/>
        <v>1</v>
      </c>
      <c r="BB119" s="773">
        <f t="shared" ca="1" si="130"/>
        <v>1</v>
      </c>
      <c r="BC119" s="773" t="str">
        <f t="shared" ca="1" si="131"/>
        <v>Địa Giải</v>
      </c>
      <c r="BD119" s="773" t="str">
        <f t="shared" ca="1" si="132"/>
        <v>Thiên Giải</v>
      </c>
      <c r="BE119" s="773" t="b">
        <f t="shared" ca="1" si="133"/>
        <v>1</v>
      </c>
      <c r="BF119" s="773">
        <f t="shared" ca="1" si="134"/>
        <v>1</v>
      </c>
      <c r="BG119" s="773" t="str">
        <f t="shared" ca="1" si="135"/>
        <v>Thiên Giải</v>
      </c>
      <c r="BH119" s="773" t="str">
        <f t="shared" ca="1" si="136"/>
        <v>Tam Thai</v>
      </c>
      <c r="BI119" s="773" t="b">
        <f t="shared" ca="1" si="137"/>
        <v>1</v>
      </c>
      <c r="BJ119" s="773">
        <f t="shared" ca="1" si="138"/>
        <v>1</v>
      </c>
      <c r="BK119" s="773" t="str">
        <f t="shared" ca="1" si="139"/>
        <v>Tam Thai</v>
      </c>
      <c r="BL119" s="773" t="str">
        <f t="shared" ca="1" si="140"/>
        <v>Hữu Bật</v>
      </c>
      <c r="BM119" s="773" t="b">
        <f t="shared" ca="1" si="141"/>
        <v>1</v>
      </c>
      <c r="BN119" s="773">
        <f t="shared" ca="1" si="142"/>
        <v>1</v>
      </c>
      <c r="BO119" s="773" t="str">
        <f t="shared" ca="1" si="143"/>
        <v>Hữu Bật</v>
      </c>
      <c r="BP119" s="773" t="str">
        <f t="shared" ca="1" si="144"/>
        <v>Nguyệt Đức</v>
      </c>
      <c r="BQ119" s="773" t="b">
        <f t="shared" ca="1" si="145"/>
        <v>1</v>
      </c>
      <c r="BR119" s="773">
        <f t="shared" ca="1" si="146"/>
        <v>1</v>
      </c>
      <c r="BS119" s="773" t="str">
        <f t="shared" ca="1" si="147"/>
        <v>Nguyệt Đức</v>
      </c>
      <c r="BX119" s="773">
        <v>2017</v>
      </c>
      <c r="BY119" s="773" t="s">
        <v>7893</v>
      </c>
    </row>
    <row r="120" spans="1:77" ht="15">
      <c r="A120" s="806" t="s">
        <v>6562</v>
      </c>
      <c r="B120" s="855" t="s">
        <v>9298</v>
      </c>
      <c r="C120" s="855" t="s">
        <v>9299</v>
      </c>
      <c r="D120" s="855" t="s">
        <v>9297</v>
      </c>
      <c r="E120" s="806" t="s">
        <v>7871</v>
      </c>
      <c r="F120" s="855" t="s">
        <v>353</v>
      </c>
      <c r="G120" s="855" t="s">
        <v>506</v>
      </c>
      <c r="H120" s="855" t="s">
        <v>353</v>
      </c>
      <c r="I120" s="855" t="s">
        <v>9298</v>
      </c>
      <c r="J120" s="806" t="s">
        <v>7871</v>
      </c>
      <c r="K120" s="855" t="s">
        <v>7872</v>
      </c>
      <c r="L120" s="855" t="s">
        <v>506</v>
      </c>
      <c r="M120" s="855" t="s">
        <v>1402</v>
      </c>
      <c r="N120" s="773" t="s">
        <v>8288</v>
      </c>
      <c r="O120" s="773" t="s">
        <v>8287</v>
      </c>
      <c r="P120" s="773" t="s">
        <v>8290</v>
      </c>
      <c r="Q120" s="773" t="s">
        <v>6570</v>
      </c>
      <c r="R120" s="855" t="s">
        <v>8520</v>
      </c>
      <c r="S120" s="773" t="s">
        <v>8277</v>
      </c>
      <c r="V120" s="773" t="e">
        <f t="shared" ca="1" si="100"/>
        <v>#N/A</v>
      </c>
      <c r="W120" s="773" t="b">
        <f t="shared" ca="1" si="101"/>
        <v>0</v>
      </c>
      <c r="X120" s="773">
        <f t="shared" ca="1" si="102"/>
        <v>0</v>
      </c>
      <c r="Y120" s="773" t="str">
        <f t="shared" ca="1" si="103"/>
        <v xml:space="preserve"> </v>
      </c>
      <c r="AA120" s="773" t="e">
        <f t="shared" ca="1" si="104"/>
        <v>#N/A</v>
      </c>
      <c r="AB120" s="773" t="b">
        <f t="shared" ca="1" si="105"/>
        <v>0</v>
      </c>
      <c r="AC120" s="773">
        <f t="shared" ca="1" si="106"/>
        <v>0</v>
      </c>
      <c r="AD120" s="773" t="str">
        <f t="shared" ca="1" si="107"/>
        <v xml:space="preserve"> </v>
      </c>
      <c r="AF120" s="773" t="e">
        <f t="shared" ca="1" si="108"/>
        <v>#N/A</v>
      </c>
      <c r="AG120" s="773" t="b">
        <f t="shared" ca="1" si="109"/>
        <v>0</v>
      </c>
      <c r="AH120" s="773">
        <f t="shared" ca="1" si="110"/>
        <v>0</v>
      </c>
      <c r="AI120" s="773" t="str">
        <f t="shared" ca="1" si="111"/>
        <v xml:space="preserve"> </v>
      </c>
      <c r="AJ120" s="773" t="str">
        <f t="shared" ca="1" si="112"/>
        <v>Thiên Đức</v>
      </c>
      <c r="AK120" s="773" t="b">
        <f t="shared" ca="1" si="113"/>
        <v>1</v>
      </c>
      <c r="AL120" s="773">
        <f t="shared" ca="1" si="114"/>
        <v>1</v>
      </c>
      <c r="AM120" s="773" t="str">
        <f t="shared" ca="1" si="115"/>
        <v>Thiên Đức</v>
      </c>
      <c r="AN120" s="773" t="str">
        <f t="shared" ca="1" si="116"/>
        <v>Tả Phù</v>
      </c>
      <c r="AO120" s="773" t="b">
        <f t="shared" ca="1" si="117"/>
        <v>1</v>
      </c>
      <c r="AP120" s="773">
        <f t="shared" ca="1" si="118"/>
        <v>1</v>
      </c>
      <c r="AQ120" s="773" t="str">
        <f t="shared" ca="1" si="119"/>
        <v>Tả Phù</v>
      </c>
      <c r="AR120" s="773" t="str">
        <f t="shared" ca="1" si="120"/>
        <v>Bát Tọa</v>
      </c>
      <c r="AS120" s="773" t="b">
        <f t="shared" ca="1" si="121"/>
        <v>1</v>
      </c>
      <c r="AT120" s="773">
        <f t="shared" ca="1" si="122"/>
        <v>1</v>
      </c>
      <c r="AU120" s="773" t="str">
        <f t="shared" ca="1" si="123"/>
        <v>Bát Tọa</v>
      </c>
      <c r="AV120" s="773" t="str">
        <f t="shared" ca="1" si="124"/>
        <v>Thiên Phúc</v>
      </c>
      <c r="AW120" s="773" t="b">
        <f t="shared" ca="1" si="125"/>
        <v>1</v>
      </c>
      <c r="AX120" s="773">
        <f t="shared" ca="1" si="126"/>
        <v>1</v>
      </c>
      <c r="AY120" s="773" t="str">
        <f t="shared" ca="1" si="127"/>
        <v>Thiên Phúc</v>
      </c>
      <c r="AZ120" s="773" t="str">
        <f t="shared" ca="1" si="128"/>
        <v>Tướng Quân</v>
      </c>
      <c r="BA120" s="773" t="b">
        <f t="shared" ca="1" si="129"/>
        <v>1</v>
      </c>
      <c r="BB120" s="773">
        <f t="shared" ca="1" si="130"/>
        <v>1</v>
      </c>
      <c r="BC120" s="773" t="str">
        <f t="shared" ca="1" si="131"/>
        <v>Tướng Quân</v>
      </c>
      <c r="BD120" s="773" t="str">
        <f t="shared" ca="1" si="132"/>
        <v>Thiên Mã</v>
      </c>
      <c r="BE120" s="773" t="b">
        <f t="shared" ca="1" si="133"/>
        <v>1</v>
      </c>
      <c r="BF120" s="773">
        <f t="shared" ca="1" si="134"/>
        <v>1</v>
      </c>
      <c r="BG120" s="773" t="str">
        <f t="shared" ca="1" si="135"/>
        <v>Thiên Mã</v>
      </c>
      <c r="BH120" s="773" t="str">
        <f t="shared" ca="1" si="136"/>
        <v>Thiên Trù</v>
      </c>
      <c r="BI120" s="773" t="b">
        <f t="shared" ca="1" si="137"/>
        <v>1</v>
      </c>
      <c r="BJ120" s="773">
        <f t="shared" ca="1" si="138"/>
        <v>1</v>
      </c>
      <c r="BK120" s="773" t="str">
        <f t="shared" ca="1" si="139"/>
        <v>Thiên Trù</v>
      </c>
      <c r="BL120" s="773" t="str">
        <f t="shared" ca="1" si="140"/>
        <v>Long Trì</v>
      </c>
      <c r="BM120" s="773" t="b">
        <f t="shared" ca="1" si="141"/>
        <v>1</v>
      </c>
      <c r="BN120" s="773">
        <f t="shared" ca="1" si="142"/>
        <v>1</v>
      </c>
      <c r="BO120" s="773" t="str">
        <f t="shared" ca="1" si="143"/>
        <v>Long Trì</v>
      </c>
      <c r="BP120" s="773" t="str">
        <f t="shared" ca="1" si="144"/>
        <v>Bác Sỹ</v>
      </c>
      <c r="BQ120" s="773" t="b">
        <f t="shared" ca="1" si="145"/>
        <v>1</v>
      </c>
      <c r="BR120" s="773">
        <f t="shared" ca="1" si="146"/>
        <v>1</v>
      </c>
      <c r="BS120" s="773" t="str">
        <f t="shared" ca="1" si="147"/>
        <v>Bác Sỹ</v>
      </c>
      <c r="BX120" s="773">
        <v>2018</v>
      </c>
      <c r="BY120" s="773" t="s">
        <v>7895</v>
      </c>
    </row>
    <row r="121" spans="1:77" ht="15">
      <c r="A121" s="806" t="s">
        <v>7865</v>
      </c>
      <c r="B121" s="855" t="s">
        <v>9300</v>
      </c>
      <c r="C121" s="855" t="s">
        <v>1402</v>
      </c>
      <c r="D121" s="855" t="s">
        <v>9299</v>
      </c>
      <c r="E121" s="855" t="s">
        <v>507</v>
      </c>
      <c r="F121" s="855" t="s">
        <v>505</v>
      </c>
      <c r="G121" s="855" t="s">
        <v>1399</v>
      </c>
      <c r="H121" s="806" t="s">
        <v>7871</v>
      </c>
      <c r="I121" s="855" t="s">
        <v>9299</v>
      </c>
      <c r="J121" s="855" t="s">
        <v>506</v>
      </c>
      <c r="K121" s="855" t="s">
        <v>9300</v>
      </c>
      <c r="L121" s="855" t="s">
        <v>9298</v>
      </c>
      <c r="M121" s="855" t="s">
        <v>9298</v>
      </c>
      <c r="N121" s="773" t="s">
        <v>8286</v>
      </c>
      <c r="O121" s="773" t="s">
        <v>8268</v>
      </c>
      <c r="P121" s="773" t="s">
        <v>8292</v>
      </c>
      <c r="Q121" s="773" t="s">
        <v>8274</v>
      </c>
      <c r="R121" s="855" t="s">
        <v>8522</v>
      </c>
      <c r="S121" s="773" t="s">
        <v>8278</v>
      </c>
      <c r="V121" s="773" t="e">
        <f t="shared" ca="1" si="100"/>
        <v>#N/A</v>
      </c>
      <c r="W121" s="773" t="b">
        <f t="shared" ca="1" si="101"/>
        <v>0</v>
      </c>
      <c r="X121" s="773">
        <f t="shared" ca="1" si="102"/>
        <v>0</v>
      </c>
      <c r="Y121" s="773" t="str">
        <f t="shared" ca="1" si="103"/>
        <v xml:space="preserve"> </v>
      </c>
      <c r="AA121" s="773" t="e">
        <f t="shared" ca="1" si="104"/>
        <v>#N/A</v>
      </c>
      <c r="AB121" s="773" t="b">
        <f t="shared" ca="1" si="105"/>
        <v>0</v>
      </c>
      <c r="AC121" s="773">
        <f t="shared" ca="1" si="106"/>
        <v>0</v>
      </c>
      <c r="AD121" s="773" t="str">
        <f t="shared" ca="1" si="107"/>
        <v xml:space="preserve"> </v>
      </c>
      <c r="AF121" s="773" t="e">
        <f t="shared" ca="1" si="108"/>
        <v>#N/A</v>
      </c>
      <c r="AG121" s="773" t="b">
        <f t="shared" ca="1" si="109"/>
        <v>0</v>
      </c>
      <c r="AH121" s="773">
        <f t="shared" ca="1" si="110"/>
        <v>0</v>
      </c>
      <c r="AI121" s="773" t="str">
        <f t="shared" ca="1" si="111"/>
        <v xml:space="preserve"> </v>
      </c>
      <c r="AJ121" s="773" t="str">
        <f t="shared" ca="1" si="112"/>
        <v>Phúc Đức</v>
      </c>
      <c r="AK121" s="773" t="b">
        <f t="shared" ca="1" si="113"/>
        <v>1</v>
      </c>
      <c r="AL121" s="773">
        <f t="shared" ca="1" si="114"/>
        <v>1</v>
      </c>
      <c r="AM121" s="773" t="str">
        <f t="shared" ca="1" si="115"/>
        <v>Phúc Đức</v>
      </c>
      <c r="AN121" s="773" t="str">
        <f t="shared" ca="1" si="116"/>
        <v>Hóa Khoa</v>
      </c>
      <c r="AO121" s="773" t="b">
        <f t="shared" ca="1" si="117"/>
        <v>1</v>
      </c>
      <c r="AP121" s="773">
        <f t="shared" ca="1" si="118"/>
        <v>1</v>
      </c>
      <c r="AQ121" s="773" t="str">
        <f t="shared" ca="1" si="119"/>
        <v>Hóa Khoa</v>
      </c>
      <c r="AR121" s="773" t="str">
        <f t="shared" ca="1" si="120"/>
        <v>Tràng Sinh</v>
      </c>
      <c r="AS121" s="773" t="b">
        <f t="shared" ca="1" si="121"/>
        <v>1</v>
      </c>
      <c r="AT121" s="773">
        <f t="shared" ca="1" si="122"/>
        <v>1</v>
      </c>
      <c r="AU121" s="773" t="str">
        <f t="shared" ca="1" si="123"/>
        <v>Tràng Sinh</v>
      </c>
      <c r="AV121" s="773" t="str">
        <f t="shared" ca="1" si="124"/>
        <v>Tấu Thư</v>
      </c>
      <c r="AW121" s="773" t="b">
        <f t="shared" ca="1" si="125"/>
        <v>1</v>
      </c>
      <c r="AX121" s="773">
        <f t="shared" ca="1" si="126"/>
        <v>1</v>
      </c>
      <c r="AY121" s="773" t="str">
        <f t="shared" ca="1" si="127"/>
        <v>Tấu Thư</v>
      </c>
      <c r="AZ121" s="773" t="str">
        <f t="shared" ca="1" si="128"/>
        <v>Thiếu Dương</v>
      </c>
      <c r="BA121" s="773" t="b">
        <f t="shared" ca="1" si="129"/>
        <v>1</v>
      </c>
      <c r="BB121" s="773">
        <f t="shared" ca="1" si="130"/>
        <v>1</v>
      </c>
      <c r="BC121" s="773" t="str">
        <f t="shared" ca="1" si="131"/>
        <v>Thiếu Dương</v>
      </c>
      <c r="BD121" s="773" t="e">
        <f t="shared" ca="1" si="132"/>
        <v>#N/A</v>
      </c>
      <c r="BE121" s="773" t="b">
        <f t="shared" ca="1" si="133"/>
        <v>0</v>
      </c>
      <c r="BF121" s="773">
        <f t="shared" ca="1" si="134"/>
        <v>0</v>
      </c>
      <c r="BG121" s="773" t="str">
        <f t="shared" ca="1" si="135"/>
        <v xml:space="preserve"> </v>
      </c>
      <c r="BH121" s="773" t="str">
        <f t="shared" ca="1" si="136"/>
        <v>Lưu Niên</v>
      </c>
      <c r="BI121" s="773" t="b">
        <f t="shared" ca="1" si="137"/>
        <v>1</v>
      </c>
      <c r="BJ121" s="773">
        <f t="shared" ca="1" si="138"/>
        <v>1</v>
      </c>
      <c r="BK121" s="773" t="str">
        <f t="shared" ca="1" si="139"/>
        <v>Lưu Niên</v>
      </c>
      <c r="BL121" s="773" t="str">
        <f t="shared" ca="1" si="140"/>
        <v>Thai Phụ</v>
      </c>
      <c r="BM121" s="773" t="b">
        <f t="shared" ca="1" si="141"/>
        <v>1</v>
      </c>
      <c r="BN121" s="773">
        <f t="shared" ca="1" si="142"/>
        <v>1</v>
      </c>
      <c r="BO121" s="773" t="str">
        <f t="shared" ca="1" si="143"/>
        <v>Thai Phụ</v>
      </c>
      <c r="BP121" s="773" t="e">
        <f t="shared" ca="1" si="144"/>
        <v>#N/A</v>
      </c>
      <c r="BQ121" s="773" t="b">
        <f t="shared" ca="1" si="145"/>
        <v>0</v>
      </c>
      <c r="BR121" s="773">
        <f t="shared" ca="1" si="146"/>
        <v>0</v>
      </c>
      <c r="BS121" s="773" t="str">
        <f t="shared" ca="1" si="147"/>
        <v xml:space="preserve"> </v>
      </c>
      <c r="BX121" s="773">
        <v>2019</v>
      </c>
      <c r="BY121" s="773" t="s">
        <v>7897</v>
      </c>
    </row>
    <row r="122" spans="1:77" ht="15">
      <c r="A122" s="806" t="s">
        <v>6567</v>
      </c>
      <c r="B122" s="855" t="s">
        <v>1402</v>
      </c>
      <c r="C122" s="855" t="s">
        <v>9301</v>
      </c>
      <c r="D122" s="855" t="s">
        <v>9300</v>
      </c>
      <c r="E122" s="855" t="s">
        <v>9297</v>
      </c>
      <c r="F122" s="806" t="s">
        <v>7871</v>
      </c>
      <c r="G122" s="855" t="s">
        <v>1399</v>
      </c>
      <c r="H122" s="806" t="s">
        <v>7871</v>
      </c>
      <c r="I122" s="855" t="s">
        <v>506</v>
      </c>
      <c r="J122" s="806" t="s">
        <v>7871</v>
      </c>
      <c r="K122" s="855" t="s">
        <v>353</v>
      </c>
      <c r="L122" s="855" t="s">
        <v>7877</v>
      </c>
      <c r="M122" s="855" t="s">
        <v>1399</v>
      </c>
      <c r="N122" s="773" t="s">
        <v>8278</v>
      </c>
      <c r="O122" s="773" t="s">
        <v>8288</v>
      </c>
      <c r="P122" s="773" t="s">
        <v>8281</v>
      </c>
      <c r="Q122" s="773" t="s">
        <v>8280</v>
      </c>
      <c r="R122" s="855" t="s">
        <v>8524</v>
      </c>
      <c r="S122" s="773" t="s">
        <v>8279</v>
      </c>
      <c r="V122" s="773" t="e">
        <f t="shared" ca="1" si="100"/>
        <v>#N/A</v>
      </c>
      <c r="W122" s="773" t="b">
        <f t="shared" ca="1" si="101"/>
        <v>0</v>
      </c>
      <c r="X122" s="773">
        <f t="shared" ca="1" si="102"/>
        <v>0</v>
      </c>
      <c r="Y122" s="773" t="str">
        <f t="shared" ca="1" si="103"/>
        <v xml:space="preserve"> </v>
      </c>
      <c r="AA122" s="773" t="e">
        <f t="shared" ca="1" si="104"/>
        <v>#N/A</v>
      </c>
      <c r="AB122" s="773" t="b">
        <f t="shared" ca="1" si="105"/>
        <v>0</v>
      </c>
      <c r="AC122" s="773">
        <f t="shared" ca="1" si="106"/>
        <v>0</v>
      </c>
      <c r="AD122" s="773" t="str">
        <f t="shared" ca="1" si="107"/>
        <v xml:space="preserve"> </v>
      </c>
      <c r="AF122" s="773" t="e">
        <f t="shared" ca="1" si="108"/>
        <v>#N/A</v>
      </c>
      <c r="AG122" s="773" t="b">
        <f t="shared" ca="1" si="109"/>
        <v>0</v>
      </c>
      <c r="AH122" s="773">
        <f t="shared" ca="1" si="110"/>
        <v>0</v>
      </c>
      <c r="AI122" s="773" t="str">
        <f t="shared" ca="1" si="111"/>
        <v xml:space="preserve"> </v>
      </c>
      <c r="AJ122" s="773" t="str">
        <f t="shared" ca="1" si="112"/>
        <v>Thiên Hỷ</v>
      </c>
      <c r="AK122" s="773" t="b">
        <f t="shared" ca="1" si="113"/>
        <v>1</v>
      </c>
      <c r="AL122" s="773">
        <f t="shared" ca="1" si="114"/>
        <v>1</v>
      </c>
      <c r="AM122" s="773" t="str">
        <f t="shared" ca="1" si="115"/>
        <v>Thiên Hỷ</v>
      </c>
      <c r="AN122" s="773" t="str">
        <f t="shared" ca="1" si="116"/>
        <v>Phượng Các</v>
      </c>
      <c r="AO122" s="773" t="b">
        <f t="shared" ca="1" si="117"/>
        <v>1</v>
      </c>
      <c r="AP122" s="773">
        <f t="shared" ca="1" si="118"/>
        <v>1</v>
      </c>
      <c r="AQ122" s="773" t="str">
        <f t="shared" ca="1" si="119"/>
        <v>Phượng Các</v>
      </c>
      <c r="AR122" s="773" t="str">
        <f t="shared" ca="1" si="120"/>
        <v>Phi Liêm</v>
      </c>
      <c r="AS122" s="773" t="b">
        <f t="shared" ca="1" si="121"/>
        <v>1</v>
      </c>
      <c r="AT122" s="773">
        <f t="shared" ca="1" si="122"/>
        <v>1</v>
      </c>
      <c r="AU122" s="773" t="str">
        <f t="shared" ca="1" si="123"/>
        <v>Phi Liêm</v>
      </c>
      <c r="AV122" s="773" t="str">
        <f t="shared" ca="1" si="124"/>
        <v>Dưỡng</v>
      </c>
      <c r="AW122" s="773" t="b">
        <f t="shared" ca="1" si="125"/>
        <v>1</v>
      </c>
      <c r="AX122" s="773">
        <f t="shared" ca="1" si="126"/>
        <v>1</v>
      </c>
      <c r="AY122" s="773" t="str">
        <f t="shared" ca="1" si="127"/>
        <v>Dưỡng</v>
      </c>
      <c r="AZ122" s="773" t="e">
        <f t="shared" ca="1" si="128"/>
        <v>#N/A</v>
      </c>
      <c r="BA122" s="773" t="b">
        <f t="shared" ca="1" si="129"/>
        <v>0</v>
      </c>
      <c r="BB122" s="773">
        <f t="shared" ca="1" si="130"/>
        <v>0</v>
      </c>
      <c r="BC122" s="773" t="str">
        <f t="shared" ca="1" si="131"/>
        <v xml:space="preserve"> </v>
      </c>
      <c r="BD122" s="773" t="e">
        <f t="shared" ca="1" si="132"/>
        <v>#N/A</v>
      </c>
      <c r="BE122" s="773" t="b">
        <f t="shared" ca="1" si="133"/>
        <v>0</v>
      </c>
      <c r="BF122" s="773">
        <f t="shared" ca="1" si="134"/>
        <v>0</v>
      </c>
      <c r="BG122" s="773" t="str">
        <f t="shared" ca="1" si="135"/>
        <v xml:space="preserve"> </v>
      </c>
      <c r="BH122" s="773" t="str">
        <f t="shared" ca="1" si="136"/>
        <v>Thanh Long</v>
      </c>
      <c r="BI122" s="773" t="b">
        <f t="shared" ca="1" si="137"/>
        <v>1</v>
      </c>
      <c r="BJ122" s="773">
        <f t="shared" ca="1" si="138"/>
        <v>1</v>
      </c>
      <c r="BK122" s="773" t="str">
        <f t="shared" ca="1" si="139"/>
        <v>Thanh Long</v>
      </c>
      <c r="BL122" s="773" t="str">
        <f t="shared" ca="1" si="140"/>
        <v>Thiên Quan</v>
      </c>
      <c r="BM122" s="773" t="b">
        <f t="shared" ca="1" si="141"/>
        <v>1</v>
      </c>
      <c r="BN122" s="773">
        <f t="shared" ca="1" si="142"/>
        <v>1</v>
      </c>
      <c r="BO122" s="773" t="str">
        <f t="shared" ca="1" si="143"/>
        <v>Thiên Quan</v>
      </c>
      <c r="BP122" s="773" t="e">
        <f t="shared" ca="1" si="144"/>
        <v>#N/A</v>
      </c>
      <c r="BQ122" s="773" t="b">
        <f t="shared" ca="1" si="145"/>
        <v>0</v>
      </c>
      <c r="BR122" s="773">
        <f t="shared" ca="1" si="146"/>
        <v>0</v>
      </c>
      <c r="BS122" s="773" t="str">
        <f t="shared" ca="1" si="147"/>
        <v xml:space="preserve"> </v>
      </c>
      <c r="BX122" s="773">
        <v>2020</v>
      </c>
      <c r="BY122" s="773" t="s">
        <v>7899</v>
      </c>
    </row>
    <row r="123" spans="1:77">
      <c r="A123" s="934"/>
      <c r="B123" s="773">
        <v>2</v>
      </c>
      <c r="C123" s="773">
        <v>3</v>
      </c>
      <c r="D123" s="773">
        <v>4</v>
      </c>
      <c r="E123" s="773">
        <v>5</v>
      </c>
      <c r="F123" s="773">
        <v>6</v>
      </c>
      <c r="G123" s="773">
        <v>7</v>
      </c>
      <c r="H123" s="773">
        <v>8</v>
      </c>
      <c r="I123" s="773">
        <v>9</v>
      </c>
      <c r="J123" s="773">
        <v>10</v>
      </c>
      <c r="K123" s="773">
        <v>11</v>
      </c>
      <c r="L123" s="773">
        <v>12</v>
      </c>
      <c r="M123" s="773">
        <v>13</v>
      </c>
      <c r="N123" s="773">
        <v>14</v>
      </c>
      <c r="O123" s="773">
        <v>15</v>
      </c>
      <c r="P123" s="773">
        <v>16</v>
      </c>
      <c r="Q123" s="773">
        <v>17</v>
      </c>
      <c r="R123" s="773">
        <v>18</v>
      </c>
      <c r="S123" s="773" t="s">
        <v>8280</v>
      </c>
      <c r="V123" s="773" t="e">
        <f t="shared" ca="1" si="100"/>
        <v>#N/A</v>
      </c>
      <c r="W123" s="773" t="b">
        <f t="shared" ca="1" si="101"/>
        <v>0</v>
      </c>
      <c r="X123" s="773">
        <f t="shared" ca="1" si="102"/>
        <v>0</v>
      </c>
      <c r="Y123" s="773" t="str">
        <f t="shared" ca="1" si="103"/>
        <v xml:space="preserve"> </v>
      </c>
      <c r="AA123" s="773" t="e">
        <f t="shared" ca="1" si="104"/>
        <v>#N/A</v>
      </c>
      <c r="AB123" s="773" t="b">
        <f t="shared" ca="1" si="105"/>
        <v>0</v>
      </c>
      <c r="AC123" s="773">
        <f t="shared" ca="1" si="106"/>
        <v>0</v>
      </c>
      <c r="AD123" s="773" t="str">
        <f t="shared" ca="1" si="107"/>
        <v xml:space="preserve"> </v>
      </c>
      <c r="AF123" s="773" t="e">
        <f t="shared" ca="1" si="108"/>
        <v>#N/A</v>
      </c>
      <c r="AG123" s="773" t="b">
        <f t="shared" ca="1" si="109"/>
        <v>0</v>
      </c>
      <c r="AH123" s="773">
        <f t="shared" ca="1" si="110"/>
        <v>0</v>
      </c>
      <c r="AI123" s="773" t="str">
        <f t="shared" ca="1" si="111"/>
        <v xml:space="preserve"> </v>
      </c>
      <c r="AJ123" s="773" t="str">
        <f t="shared" ca="1" si="112"/>
        <v>Quan Đới</v>
      </c>
      <c r="AK123" s="773" t="b">
        <f t="shared" ca="1" si="113"/>
        <v>1</v>
      </c>
      <c r="AL123" s="773">
        <f t="shared" ca="1" si="114"/>
        <v>1</v>
      </c>
      <c r="AM123" s="773" t="str">
        <f t="shared" ca="1" si="115"/>
        <v>Quan Đới</v>
      </c>
      <c r="AN123" s="773" t="str">
        <f t="shared" ca="1" si="116"/>
        <v>Đường Phù</v>
      </c>
      <c r="AO123" s="773" t="b">
        <f t="shared" ca="1" si="117"/>
        <v>1</v>
      </c>
      <c r="AP123" s="773">
        <f t="shared" ca="1" si="118"/>
        <v>1</v>
      </c>
      <c r="AQ123" s="773" t="str">
        <f t="shared" ca="1" si="119"/>
        <v>Đường Phù</v>
      </c>
      <c r="AR123" s="773" t="e">
        <f t="shared" ca="1" si="120"/>
        <v>#N/A</v>
      </c>
      <c r="AS123" s="773" t="b">
        <f t="shared" ca="1" si="121"/>
        <v>0</v>
      </c>
      <c r="AT123" s="773">
        <f t="shared" ca="1" si="122"/>
        <v>0</v>
      </c>
      <c r="AU123" s="773" t="str">
        <f t="shared" ca="1" si="123"/>
        <v xml:space="preserve"> </v>
      </c>
      <c r="AV123" s="773" t="e">
        <f t="shared" ca="1" si="124"/>
        <v>#N/A</v>
      </c>
      <c r="AW123" s="773" t="b">
        <f t="shared" ca="1" si="125"/>
        <v>0</v>
      </c>
      <c r="AX123" s="773">
        <f t="shared" ca="1" si="126"/>
        <v>0</v>
      </c>
      <c r="AY123" s="773" t="str">
        <f t="shared" ca="1" si="127"/>
        <v xml:space="preserve"> </v>
      </c>
      <c r="AZ123" s="773" t="e">
        <f t="shared" ca="1" si="128"/>
        <v>#N/A</v>
      </c>
      <c r="BA123" s="773" t="b">
        <f t="shared" ca="1" si="129"/>
        <v>0</v>
      </c>
      <c r="BB123" s="773">
        <f t="shared" ca="1" si="130"/>
        <v>0</v>
      </c>
      <c r="BC123" s="773" t="str">
        <f t="shared" ca="1" si="131"/>
        <v xml:space="preserve"> </v>
      </c>
      <c r="BD123" s="773" t="e">
        <f t="shared" ca="1" si="132"/>
        <v>#N/A</v>
      </c>
      <c r="BE123" s="773" t="b">
        <f t="shared" ca="1" si="133"/>
        <v>0</v>
      </c>
      <c r="BF123" s="773">
        <f t="shared" ca="1" si="134"/>
        <v>0</v>
      </c>
      <c r="BG123" s="773" t="str">
        <f t="shared" ca="1" si="135"/>
        <v xml:space="preserve"> </v>
      </c>
      <c r="BH123" s="773" t="str">
        <f t="shared" ca="1" si="136"/>
        <v>Thiếu âm</v>
      </c>
      <c r="BI123" s="773" t="b">
        <f t="shared" ca="1" si="137"/>
        <v>1</v>
      </c>
      <c r="BJ123" s="773">
        <f t="shared" ca="1" si="138"/>
        <v>1</v>
      </c>
      <c r="BK123" s="773" t="str">
        <f t="shared" ca="1" si="139"/>
        <v>Thiếu âm</v>
      </c>
      <c r="BL123" s="773" t="str">
        <f t="shared" ca="1" si="140"/>
        <v>Hoa Cái</v>
      </c>
      <c r="BM123" s="773" t="b">
        <f t="shared" ca="1" si="141"/>
        <v>1</v>
      </c>
      <c r="BN123" s="773">
        <f t="shared" ca="1" si="142"/>
        <v>1</v>
      </c>
      <c r="BO123" s="773" t="str">
        <f t="shared" ca="1" si="143"/>
        <v>Hoa Cái</v>
      </c>
      <c r="BP123" s="773" t="e">
        <f t="shared" ca="1" si="144"/>
        <v>#N/A</v>
      </c>
      <c r="BQ123" s="773" t="b">
        <f t="shared" ca="1" si="145"/>
        <v>0</v>
      </c>
      <c r="BR123" s="773">
        <f t="shared" ca="1" si="146"/>
        <v>0</v>
      </c>
      <c r="BS123" s="773" t="str">
        <f t="shared" ca="1" si="147"/>
        <v xml:space="preserve"> </v>
      </c>
      <c r="BX123" s="773">
        <v>2021</v>
      </c>
      <c r="BY123" s="773" t="s">
        <v>7901</v>
      </c>
    </row>
    <row r="124" spans="1:77" ht="15">
      <c r="A124" s="855"/>
      <c r="B124" s="912" t="str">
        <f t="shared" ref="B124:R124" ca="1" si="148">VLOOKUP($F$17,$A$111:$R$122,B123,0)</f>
        <v>Hợi</v>
      </c>
      <c r="C124" s="912" t="str">
        <f t="shared" ca="1" si="148"/>
        <v>Tý</v>
      </c>
      <c r="D124" s="912" t="str">
        <f t="shared" ca="1" si="148"/>
        <v>Tuất</v>
      </c>
      <c r="E124" s="912" t="str">
        <f t="shared" ca="1" si="148"/>
        <v>Mùi</v>
      </c>
      <c r="F124" s="912" t="str">
        <f t="shared" ca="1" si="148"/>
        <v>Thìn</v>
      </c>
      <c r="G124" s="912" t="str">
        <f t="shared" ca="1" si="148"/>
        <v>Mão</v>
      </c>
      <c r="H124" s="912" t="str">
        <f t="shared" ca="1" si="148"/>
        <v>tỵ</v>
      </c>
      <c r="I124" s="912" t="str">
        <f t="shared" ca="1" si="148"/>
        <v>Tuất</v>
      </c>
      <c r="J124" s="912" t="str">
        <f t="shared" ca="1" si="148"/>
        <v>Ngọ</v>
      </c>
      <c r="K124" s="912" t="str">
        <f t="shared" ca="1" si="148"/>
        <v>Hợi</v>
      </c>
      <c r="L124" s="912" t="str">
        <f t="shared" ca="1" si="148"/>
        <v>Dậu</v>
      </c>
      <c r="M124" s="912" t="str">
        <f t="shared" ca="1" si="148"/>
        <v>Dậu</v>
      </c>
      <c r="N124" s="912" t="str">
        <f t="shared" ca="1" si="148"/>
        <v>Thiên Lương</v>
      </c>
      <c r="O124" s="912" t="str">
        <f t="shared" ca="1" si="148"/>
        <v xml:space="preserve">Tử Vi </v>
      </c>
      <c r="P124" s="912" t="str">
        <f t="shared" ca="1" si="148"/>
        <v>tả phù</v>
      </c>
      <c r="Q124" s="912" t="str">
        <f t="shared" ca="1" si="148"/>
        <v>Vũ Khúc</v>
      </c>
      <c r="R124" s="912" t="str">
        <f t="shared" ca="1" si="148"/>
        <v>Dần mão</v>
      </c>
      <c r="S124" s="773" t="s">
        <v>8281</v>
      </c>
      <c r="V124" s="773" t="e">
        <f t="shared" ca="1" si="100"/>
        <v>#N/A</v>
      </c>
      <c r="W124" s="773" t="b">
        <f t="shared" ca="1" si="101"/>
        <v>0</v>
      </c>
      <c r="X124" s="773">
        <f t="shared" ca="1" si="102"/>
        <v>0</v>
      </c>
      <c r="Y124" s="773" t="str">
        <f t="shared" ca="1" si="103"/>
        <v xml:space="preserve"> </v>
      </c>
      <c r="AA124" s="773" t="e">
        <f t="shared" ca="1" si="104"/>
        <v>#N/A</v>
      </c>
      <c r="AB124" s="773" t="b">
        <f t="shared" ca="1" si="105"/>
        <v>0</v>
      </c>
      <c r="AC124" s="773">
        <f t="shared" ca="1" si="106"/>
        <v>0</v>
      </c>
      <c r="AD124" s="773" t="str">
        <f t="shared" ca="1" si="107"/>
        <v xml:space="preserve"> </v>
      </c>
      <c r="AF124" s="773" t="e">
        <f t="shared" ca="1" si="108"/>
        <v>#N/A</v>
      </c>
      <c r="AG124" s="773" t="b">
        <f t="shared" ca="1" si="109"/>
        <v>0</v>
      </c>
      <c r="AH124" s="773">
        <f t="shared" ca="1" si="110"/>
        <v>0</v>
      </c>
      <c r="AI124" s="773" t="str">
        <f t="shared" ca="1" si="111"/>
        <v xml:space="preserve"> </v>
      </c>
      <c r="AJ124" s="773" t="e">
        <f t="shared" ca="1" si="112"/>
        <v>#N/A</v>
      </c>
      <c r="AK124" s="773" t="b">
        <f t="shared" ca="1" si="113"/>
        <v>0</v>
      </c>
      <c r="AL124" s="773">
        <f t="shared" ca="1" si="114"/>
        <v>0</v>
      </c>
      <c r="AM124" s="773" t="str">
        <f t="shared" ca="1" si="115"/>
        <v xml:space="preserve"> </v>
      </c>
      <c r="AN124" s="773" t="str">
        <f t="shared" ca="1" si="116"/>
        <v>Giải Thần</v>
      </c>
      <c r="AO124" s="773" t="b">
        <f t="shared" ca="1" si="117"/>
        <v>1</v>
      </c>
      <c r="AP124" s="773">
        <f t="shared" ca="1" si="118"/>
        <v>1</v>
      </c>
      <c r="AQ124" s="773" t="str">
        <f t="shared" ca="1" si="119"/>
        <v>Giải Thần</v>
      </c>
      <c r="AR124" s="773" t="e">
        <f t="shared" ca="1" si="120"/>
        <v>#N/A</v>
      </c>
      <c r="AS124" s="773" t="b">
        <f t="shared" ca="1" si="121"/>
        <v>0</v>
      </c>
      <c r="AT124" s="773">
        <f t="shared" ca="1" si="122"/>
        <v>0</v>
      </c>
      <c r="AU124" s="773" t="str">
        <f t="shared" ca="1" si="123"/>
        <v xml:space="preserve"> </v>
      </c>
      <c r="AV124" s="773" t="e">
        <f t="shared" ca="1" si="124"/>
        <v>#N/A</v>
      </c>
      <c r="AW124" s="773" t="b">
        <f t="shared" ca="1" si="125"/>
        <v>0</v>
      </c>
      <c r="AX124" s="773">
        <f t="shared" ca="1" si="126"/>
        <v>0</v>
      </c>
      <c r="AY124" s="773" t="str">
        <f t="shared" ca="1" si="127"/>
        <v xml:space="preserve"> </v>
      </c>
      <c r="AZ124" s="773" t="e">
        <f t="shared" ca="1" si="128"/>
        <v>#N/A</v>
      </c>
      <c r="BA124" s="773" t="b">
        <f t="shared" ca="1" si="129"/>
        <v>0</v>
      </c>
      <c r="BB124" s="773">
        <f t="shared" ca="1" si="130"/>
        <v>0</v>
      </c>
      <c r="BC124" s="773" t="str">
        <f t="shared" ca="1" si="131"/>
        <v xml:space="preserve"> </v>
      </c>
      <c r="BD124" s="773" t="e">
        <f t="shared" ca="1" si="132"/>
        <v>#N/A</v>
      </c>
      <c r="BE124" s="773" t="b">
        <f t="shared" ca="1" si="133"/>
        <v>0</v>
      </c>
      <c r="BF124" s="773">
        <f t="shared" ca="1" si="134"/>
        <v>0</v>
      </c>
      <c r="BG124" s="773" t="str">
        <f t="shared" ca="1" si="135"/>
        <v xml:space="preserve"> </v>
      </c>
      <c r="BH124" s="773" t="e">
        <f t="shared" ca="1" si="136"/>
        <v>#N/A</v>
      </c>
      <c r="BI124" s="773" t="b">
        <f t="shared" ca="1" si="137"/>
        <v>0</v>
      </c>
      <c r="BJ124" s="773">
        <f t="shared" ca="1" si="138"/>
        <v>0</v>
      </c>
      <c r="BK124" s="773" t="str">
        <f t="shared" ca="1" si="139"/>
        <v xml:space="preserve"> </v>
      </c>
      <c r="BL124" s="773" t="str">
        <f t="shared" ca="1" si="140"/>
        <v>Lực Sỹ</v>
      </c>
      <c r="BM124" s="773" t="b">
        <f t="shared" ca="1" si="141"/>
        <v>1</v>
      </c>
      <c r="BN124" s="773">
        <f t="shared" ca="1" si="142"/>
        <v>1</v>
      </c>
      <c r="BO124" s="773" t="str">
        <f t="shared" ca="1" si="143"/>
        <v>Lực Sỹ</v>
      </c>
      <c r="BP124" s="773" t="e">
        <f t="shared" ca="1" si="144"/>
        <v>#N/A</v>
      </c>
      <c r="BQ124" s="773" t="b">
        <f t="shared" ca="1" si="145"/>
        <v>0</v>
      </c>
      <c r="BR124" s="773">
        <f t="shared" ca="1" si="146"/>
        <v>0</v>
      </c>
      <c r="BS124" s="773" t="str">
        <f t="shared" ca="1" si="147"/>
        <v xml:space="preserve"> </v>
      </c>
      <c r="BX124" s="773">
        <v>2022</v>
      </c>
      <c r="BY124" s="773" t="s">
        <v>7903</v>
      </c>
    </row>
    <row r="125" spans="1:77" ht="15">
      <c r="A125" s="855"/>
      <c r="N125" s="912" t="str">
        <f ca="1">VLOOKUP(N124,$Q$4:$AG$21,17,0)</f>
        <v>Thìn</v>
      </c>
      <c r="O125" s="912" t="str">
        <f ca="1">VLOOKUP(O124,$Q$4:$AG$21,17,0)</f>
        <v>tỵ</v>
      </c>
      <c r="P125" s="912" t="str">
        <f ca="1">VLOOKUP(P124,$Q$4:$AG$21,17,0)</f>
        <v>Thìn</v>
      </c>
      <c r="Q125" s="912" t="str">
        <f ca="1">VLOOKUP(Q124,$Q$4:$AG$21,17,0)</f>
        <v>Sửu</v>
      </c>
      <c r="S125" s="773" t="s">
        <v>8283</v>
      </c>
      <c r="V125" s="773" t="e">
        <f t="shared" ca="1" si="100"/>
        <v>#N/A</v>
      </c>
      <c r="W125" s="773" t="b">
        <f t="shared" ca="1" si="101"/>
        <v>0</v>
      </c>
      <c r="X125" s="773">
        <f t="shared" ca="1" si="102"/>
        <v>0</v>
      </c>
      <c r="Y125" s="773" t="str">
        <f t="shared" ca="1" si="103"/>
        <v xml:space="preserve"> </v>
      </c>
      <c r="AA125" s="773" t="e">
        <f t="shared" ca="1" si="104"/>
        <v>#N/A</v>
      </c>
      <c r="AB125" s="773" t="b">
        <f t="shared" ca="1" si="105"/>
        <v>0</v>
      </c>
      <c r="AC125" s="773">
        <f t="shared" ca="1" si="106"/>
        <v>0</v>
      </c>
      <c r="AD125" s="773" t="str">
        <f t="shared" ca="1" si="107"/>
        <v xml:space="preserve"> </v>
      </c>
      <c r="AF125" s="773" t="e">
        <f t="shared" ca="1" si="108"/>
        <v>#N/A</v>
      </c>
      <c r="AG125" s="773" t="b">
        <f t="shared" ca="1" si="109"/>
        <v>0</v>
      </c>
      <c r="AH125" s="773">
        <f t="shared" ca="1" si="110"/>
        <v>0</v>
      </c>
      <c r="AI125" s="773" t="str">
        <f t="shared" ca="1" si="111"/>
        <v xml:space="preserve"> </v>
      </c>
      <c r="AJ125" s="773" t="e">
        <f t="shared" ca="1" si="112"/>
        <v>#N/A</v>
      </c>
      <c r="AK125" s="773" t="b">
        <f t="shared" ca="1" si="113"/>
        <v>0</v>
      </c>
      <c r="AL125" s="773">
        <f t="shared" ca="1" si="114"/>
        <v>0</v>
      </c>
      <c r="AM125" s="773" t="str">
        <f t="shared" ca="1" si="115"/>
        <v xml:space="preserve"> </v>
      </c>
      <c r="AN125" s="773" t="str">
        <f t="shared" ca="1" si="116"/>
        <v>Mộc Dục</v>
      </c>
      <c r="AO125" s="773" t="b">
        <f t="shared" ca="1" si="117"/>
        <v>1</v>
      </c>
      <c r="AP125" s="773">
        <f t="shared" ca="1" si="118"/>
        <v>1</v>
      </c>
      <c r="AQ125" s="773" t="str">
        <f t="shared" ca="1" si="119"/>
        <v>Mộc Dục</v>
      </c>
      <c r="AR125" s="773" t="e">
        <f t="shared" ca="1" si="120"/>
        <v>#N/A</v>
      </c>
      <c r="AS125" s="773" t="b">
        <f t="shared" ca="1" si="121"/>
        <v>0</v>
      </c>
      <c r="AT125" s="773">
        <f t="shared" ca="1" si="122"/>
        <v>0</v>
      </c>
      <c r="AU125" s="773" t="str">
        <f t="shared" ca="1" si="123"/>
        <v xml:space="preserve"> </v>
      </c>
      <c r="AV125" s="773" t="e">
        <f t="shared" ca="1" si="124"/>
        <v>#N/A</v>
      </c>
      <c r="AW125" s="773" t="b">
        <f t="shared" ca="1" si="125"/>
        <v>0</v>
      </c>
      <c r="AX125" s="773">
        <f t="shared" ca="1" si="126"/>
        <v>0</v>
      </c>
      <c r="AY125" s="773" t="str">
        <f t="shared" ca="1" si="127"/>
        <v xml:space="preserve"> </v>
      </c>
      <c r="AZ125" s="773" t="e">
        <f t="shared" ca="1" si="128"/>
        <v>#N/A</v>
      </c>
      <c r="BA125" s="773" t="b">
        <f t="shared" ca="1" si="129"/>
        <v>0</v>
      </c>
      <c r="BB125" s="773">
        <f t="shared" ca="1" si="130"/>
        <v>0</v>
      </c>
      <c r="BC125" s="773" t="str">
        <f t="shared" ca="1" si="131"/>
        <v xml:space="preserve"> </v>
      </c>
      <c r="BD125" s="773" t="e">
        <f t="shared" ca="1" si="132"/>
        <v>#N/A</v>
      </c>
      <c r="BE125" s="773" t="b">
        <f t="shared" ca="1" si="133"/>
        <v>0</v>
      </c>
      <c r="BF125" s="773">
        <f t="shared" ca="1" si="134"/>
        <v>0</v>
      </c>
      <c r="BG125" s="773" t="str">
        <f t="shared" ca="1" si="135"/>
        <v xml:space="preserve"> </v>
      </c>
      <c r="BH125" s="773" t="e">
        <f t="shared" ca="1" si="136"/>
        <v>#N/A</v>
      </c>
      <c r="BI125" s="773" t="b">
        <f t="shared" ca="1" si="137"/>
        <v>0</v>
      </c>
      <c r="BJ125" s="773">
        <f t="shared" ca="1" si="138"/>
        <v>0</v>
      </c>
      <c r="BK125" s="773" t="str">
        <f t="shared" ca="1" si="139"/>
        <v xml:space="preserve"> </v>
      </c>
      <c r="BL125" s="773" t="e">
        <f t="shared" ca="1" si="140"/>
        <v>#N/A</v>
      </c>
      <c r="BM125" s="773" t="b">
        <f t="shared" ca="1" si="141"/>
        <v>0</v>
      </c>
      <c r="BN125" s="773">
        <f t="shared" ca="1" si="142"/>
        <v>0</v>
      </c>
      <c r="BO125" s="773" t="str">
        <f t="shared" ca="1" si="143"/>
        <v xml:space="preserve"> </v>
      </c>
      <c r="BP125" s="773" t="e">
        <f t="shared" ca="1" si="144"/>
        <v>#N/A</v>
      </c>
      <c r="BQ125" s="773" t="b">
        <f t="shared" ca="1" si="145"/>
        <v>0</v>
      </c>
      <c r="BR125" s="773">
        <f t="shared" ca="1" si="146"/>
        <v>0</v>
      </c>
      <c r="BS125" s="773" t="str">
        <f t="shared" ca="1" si="147"/>
        <v xml:space="preserve"> </v>
      </c>
      <c r="BX125" s="773">
        <v>2023</v>
      </c>
      <c r="BY125" s="773" t="s">
        <v>7904</v>
      </c>
    </row>
    <row r="126" spans="1:77">
      <c r="A126" s="934" t="s">
        <v>8525</v>
      </c>
      <c r="S126" s="773" t="s">
        <v>8285</v>
      </c>
      <c r="V126" s="773" t="e">
        <f t="shared" ca="1" si="100"/>
        <v>#N/A</v>
      </c>
      <c r="W126" s="773" t="b">
        <f t="shared" ca="1" si="101"/>
        <v>0</v>
      </c>
      <c r="X126" s="773">
        <f t="shared" ca="1" si="102"/>
        <v>0</v>
      </c>
      <c r="Y126" s="773" t="str">
        <f t="shared" ca="1" si="103"/>
        <v xml:space="preserve"> </v>
      </c>
      <c r="AA126" s="773" t="e">
        <f t="shared" ca="1" si="104"/>
        <v>#N/A</v>
      </c>
      <c r="AB126" s="773" t="b">
        <f t="shared" ca="1" si="105"/>
        <v>0</v>
      </c>
      <c r="AC126" s="773">
        <f t="shared" ca="1" si="106"/>
        <v>0</v>
      </c>
      <c r="AD126" s="773" t="str">
        <f t="shared" ca="1" si="107"/>
        <v xml:space="preserve"> </v>
      </c>
      <c r="AF126" s="773" t="e">
        <f t="shared" ca="1" si="108"/>
        <v>#N/A</v>
      </c>
      <c r="AG126" s="773" t="b">
        <f t="shared" ca="1" si="109"/>
        <v>0</v>
      </c>
      <c r="AH126" s="773">
        <f t="shared" ca="1" si="110"/>
        <v>0</v>
      </c>
      <c r="AI126" s="773" t="str">
        <f t="shared" ca="1" si="111"/>
        <v xml:space="preserve"> </v>
      </c>
      <c r="AJ126" s="773" t="e">
        <f t="shared" ca="1" si="112"/>
        <v>#N/A</v>
      </c>
      <c r="AK126" s="773" t="b">
        <f t="shared" ca="1" si="113"/>
        <v>0</v>
      </c>
      <c r="AL126" s="773">
        <f t="shared" ca="1" si="114"/>
        <v>0</v>
      </c>
      <c r="AM126" s="773" t="str">
        <f t="shared" ca="1" si="115"/>
        <v xml:space="preserve"> </v>
      </c>
      <c r="AN126" s="773" t="str">
        <f t="shared" ca="1" si="116"/>
        <v>Hỷ Thần</v>
      </c>
      <c r="AO126" s="773" t="b">
        <f t="shared" ca="1" si="117"/>
        <v>1</v>
      </c>
      <c r="AP126" s="773">
        <f t="shared" ca="1" si="118"/>
        <v>1</v>
      </c>
      <c r="AQ126" s="773" t="str">
        <f t="shared" ca="1" si="119"/>
        <v>Hỷ Thần</v>
      </c>
      <c r="AR126" s="773" t="e">
        <f t="shared" ca="1" si="120"/>
        <v>#N/A</v>
      </c>
      <c r="AS126" s="773" t="b">
        <f t="shared" ca="1" si="121"/>
        <v>0</v>
      </c>
      <c r="AT126" s="773">
        <f t="shared" ca="1" si="122"/>
        <v>0</v>
      </c>
      <c r="AU126" s="773" t="str">
        <f t="shared" ca="1" si="123"/>
        <v xml:space="preserve"> </v>
      </c>
      <c r="AV126" s="773" t="e">
        <f t="shared" ca="1" si="124"/>
        <v>#N/A</v>
      </c>
      <c r="AW126" s="773" t="b">
        <f t="shared" ca="1" si="125"/>
        <v>0</v>
      </c>
      <c r="AX126" s="773">
        <f t="shared" ca="1" si="126"/>
        <v>0</v>
      </c>
      <c r="AY126" s="773" t="str">
        <f t="shared" ca="1" si="127"/>
        <v xml:space="preserve"> </v>
      </c>
      <c r="AZ126" s="773" t="e">
        <f t="shared" ca="1" si="128"/>
        <v>#N/A</v>
      </c>
      <c r="BA126" s="773" t="b">
        <f t="shared" ca="1" si="129"/>
        <v>0</v>
      </c>
      <c r="BB126" s="773">
        <f t="shared" ca="1" si="130"/>
        <v>0</v>
      </c>
      <c r="BC126" s="773" t="str">
        <f t="shared" ca="1" si="131"/>
        <v xml:space="preserve"> </v>
      </c>
      <c r="BD126" s="773" t="e">
        <f t="shared" ca="1" si="132"/>
        <v>#N/A</v>
      </c>
      <c r="BE126" s="773" t="b">
        <f t="shared" ca="1" si="133"/>
        <v>0</v>
      </c>
      <c r="BF126" s="773">
        <f t="shared" ca="1" si="134"/>
        <v>0</v>
      </c>
      <c r="BG126" s="773" t="str">
        <f t="shared" ca="1" si="135"/>
        <v xml:space="preserve"> </v>
      </c>
      <c r="BH126" s="773" t="e">
        <f t="shared" ca="1" si="136"/>
        <v>#N/A</v>
      </c>
      <c r="BI126" s="773" t="b">
        <f t="shared" ca="1" si="137"/>
        <v>0</v>
      </c>
      <c r="BJ126" s="773">
        <f t="shared" ca="1" si="138"/>
        <v>0</v>
      </c>
      <c r="BK126" s="773" t="str">
        <f t="shared" ca="1" si="139"/>
        <v xml:space="preserve"> </v>
      </c>
      <c r="BL126" s="773" t="e">
        <f t="shared" ca="1" si="140"/>
        <v>#N/A</v>
      </c>
      <c r="BM126" s="773" t="b">
        <f t="shared" ca="1" si="141"/>
        <v>0</v>
      </c>
      <c r="BN126" s="773">
        <f t="shared" ca="1" si="142"/>
        <v>0</v>
      </c>
      <c r="BO126" s="773" t="str">
        <f t="shared" ca="1" si="143"/>
        <v xml:space="preserve"> </v>
      </c>
      <c r="BP126" s="773" t="e">
        <f t="shared" ca="1" si="144"/>
        <v>#N/A</v>
      </c>
      <c r="BQ126" s="773" t="b">
        <f t="shared" ca="1" si="145"/>
        <v>0</v>
      </c>
      <c r="BR126" s="773">
        <f t="shared" ca="1" si="146"/>
        <v>0</v>
      </c>
      <c r="BS126" s="773" t="str">
        <f t="shared" ca="1" si="147"/>
        <v xml:space="preserve"> </v>
      </c>
      <c r="BX126" s="773">
        <v>2024</v>
      </c>
      <c r="BY126" s="773" t="s">
        <v>7905</v>
      </c>
    </row>
    <row r="127" spans="1:77" ht="14.25" customHeight="1">
      <c r="A127" s="935" t="s">
        <v>459</v>
      </c>
      <c r="B127" s="935" t="s">
        <v>8526</v>
      </c>
      <c r="C127" s="935" t="s">
        <v>8527</v>
      </c>
      <c r="D127" s="935" t="s">
        <v>1478</v>
      </c>
      <c r="E127" s="935" t="s">
        <v>8310</v>
      </c>
      <c r="F127" s="935" t="s">
        <v>8310</v>
      </c>
      <c r="G127" s="935" t="s">
        <v>8310</v>
      </c>
      <c r="H127" s="935" t="s">
        <v>8528</v>
      </c>
      <c r="I127" s="935" t="s">
        <v>8529</v>
      </c>
      <c r="J127" s="935" t="s">
        <v>8310</v>
      </c>
      <c r="K127" s="935" t="s">
        <v>8530</v>
      </c>
      <c r="L127" s="935" t="s">
        <v>8531</v>
      </c>
      <c r="M127" s="935" t="s">
        <v>8532</v>
      </c>
      <c r="N127" s="935" t="s">
        <v>8310</v>
      </c>
      <c r="O127" s="935" t="s">
        <v>6668</v>
      </c>
      <c r="P127" s="935" t="s">
        <v>8533</v>
      </c>
      <c r="Q127" s="935" t="s">
        <v>8316</v>
      </c>
      <c r="R127" s="935" t="s">
        <v>8310</v>
      </c>
      <c r="S127" s="773" t="s">
        <v>8286</v>
      </c>
      <c r="V127" s="773" t="e">
        <f t="shared" ca="1" si="100"/>
        <v>#N/A</v>
      </c>
      <c r="W127" s="773" t="b">
        <f t="shared" ca="1" si="101"/>
        <v>0</v>
      </c>
      <c r="X127" s="773">
        <f t="shared" ca="1" si="102"/>
        <v>0</v>
      </c>
      <c r="Y127" s="773" t="str">
        <f t="shared" ca="1" si="103"/>
        <v xml:space="preserve"> </v>
      </c>
      <c r="AA127" s="773" t="e">
        <f t="shared" ca="1" si="104"/>
        <v>#N/A</v>
      </c>
      <c r="AB127" s="773" t="b">
        <f t="shared" ca="1" si="105"/>
        <v>0</v>
      </c>
      <c r="AC127" s="773">
        <f t="shared" ca="1" si="106"/>
        <v>0</v>
      </c>
      <c r="AD127" s="773" t="str">
        <f t="shared" ca="1" si="107"/>
        <v xml:space="preserve"> </v>
      </c>
      <c r="AF127" s="773" t="e">
        <f t="shared" ca="1" si="108"/>
        <v>#N/A</v>
      </c>
      <c r="AG127" s="773" t="b">
        <f t="shared" ca="1" si="109"/>
        <v>0</v>
      </c>
      <c r="AH127" s="773">
        <f t="shared" ca="1" si="110"/>
        <v>0</v>
      </c>
      <c r="AI127" s="773" t="str">
        <f t="shared" ca="1" si="111"/>
        <v xml:space="preserve"> </v>
      </c>
      <c r="AJ127" s="773" t="e">
        <f t="shared" ca="1" si="112"/>
        <v>#N/A</v>
      </c>
      <c r="AK127" s="773" t="b">
        <f t="shared" ca="1" si="113"/>
        <v>0</v>
      </c>
      <c r="AL127" s="773">
        <f t="shared" ca="1" si="114"/>
        <v>0</v>
      </c>
      <c r="AM127" s="773" t="str">
        <f t="shared" ca="1" si="115"/>
        <v xml:space="preserve"> </v>
      </c>
      <c r="AN127" s="773" t="str">
        <f t="shared" ca="1" si="116"/>
        <v>Thiên Tài</v>
      </c>
      <c r="AO127" s="773" t="b">
        <f t="shared" ca="1" si="117"/>
        <v>1</v>
      </c>
      <c r="AP127" s="773">
        <f t="shared" ca="1" si="118"/>
        <v>1</v>
      </c>
      <c r="AQ127" s="773" t="str">
        <f t="shared" ca="1" si="119"/>
        <v>Thiên Tài</v>
      </c>
      <c r="AR127" s="773" t="e">
        <f t="shared" ca="1" si="120"/>
        <v>#N/A</v>
      </c>
      <c r="AS127" s="773" t="b">
        <f t="shared" ca="1" si="121"/>
        <v>0</v>
      </c>
      <c r="AT127" s="773">
        <f t="shared" ca="1" si="122"/>
        <v>0</v>
      </c>
      <c r="AU127" s="773" t="str">
        <f t="shared" ca="1" si="123"/>
        <v xml:space="preserve"> </v>
      </c>
      <c r="AV127" s="773" t="e">
        <f t="shared" ca="1" si="124"/>
        <v>#N/A</v>
      </c>
      <c r="AW127" s="773" t="b">
        <f t="shared" ca="1" si="125"/>
        <v>0</v>
      </c>
      <c r="AX127" s="773">
        <f t="shared" ca="1" si="126"/>
        <v>0</v>
      </c>
      <c r="AY127" s="773" t="str">
        <f t="shared" ca="1" si="127"/>
        <v xml:space="preserve"> </v>
      </c>
      <c r="AZ127" s="773" t="e">
        <f t="shared" ca="1" si="128"/>
        <v>#N/A</v>
      </c>
      <c r="BA127" s="773" t="b">
        <f t="shared" ca="1" si="129"/>
        <v>0</v>
      </c>
      <c r="BB127" s="773">
        <f t="shared" ca="1" si="130"/>
        <v>0</v>
      </c>
      <c r="BC127" s="773" t="str">
        <f t="shared" ca="1" si="131"/>
        <v xml:space="preserve"> </v>
      </c>
      <c r="BD127" s="773" t="e">
        <f t="shared" ca="1" si="132"/>
        <v>#N/A</v>
      </c>
      <c r="BE127" s="773" t="b">
        <f t="shared" ca="1" si="133"/>
        <v>0</v>
      </c>
      <c r="BF127" s="773">
        <f t="shared" ca="1" si="134"/>
        <v>0</v>
      </c>
      <c r="BG127" s="773" t="str">
        <f t="shared" ca="1" si="135"/>
        <v xml:space="preserve"> </v>
      </c>
      <c r="BH127" s="773" t="e">
        <f t="shared" ca="1" si="136"/>
        <v>#N/A</v>
      </c>
      <c r="BI127" s="773" t="b">
        <f t="shared" ca="1" si="137"/>
        <v>0</v>
      </c>
      <c r="BJ127" s="773">
        <f t="shared" ca="1" si="138"/>
        <v>0</v>
      </c>
      <c r="BK127" s="773" t="str">
        <f t="shared" ca="1" si="139"/>
        <v xml:space="preserve"> </v>
      </c>
      <c r="BL127" s="773" t="e">
        <f t="shared" ca="1" si="140"/>
        <v>#N/A</v>
      </c>
      <c r="BM127" s="773" t="b">
        <f t="shared" ca="1" si="141"/>
        <v>0</v>
      </c>
      <c r="BN127" s="773">
        <f t="shared" ca="1" si="142"/>
        <v>0</v>
      </c>
      <c r="BO127" s="773" t="str">
        <f t="shared" ca="1" si="143"/>
        <v xml:space="preserve"> </v>
      </c>
      <c r="BP127" s="773" t="e">
        <f t="shared" ca="1" si="144"/>
        <v>#N/A</v>
      </c>
      <c r="BQ127" s="773" t="b">
        <f t="shared" ca="1" si="145"/>
        <v>0</v>
      </c>
      <c r="BR127" s="773">
        <f t="shared" ca="1" si="146"/>
        <v>0</v>
      </c>
      <c r="BS127" s="773" t="str">
        <f t="shared" ca="1" si="147"/>
        <v xml:space="preserve"> </v>
      </c>
      <c r="BX127" s="773">
        <v>2025</v>
      </c>
      <c r="BY127" s="773" t="s">
        <v>7906</v>
      </c>
    </row>
    <row r="128" spans="1:77" ht="14.25" customHeight="1">
      <c r="A128" s="935" t="s">
        <v>8467</v>
      </c>
      <c r="B128" s="935" t="s">
        <v>8534</v>
      </c>
      <c r="C128" s="935" t="s">
        <v>8535</v>
      </c>
      <c r="D128" s="935" t="s">
        <v>8536</v>
      </c>
      <c r="E128" s="935" t="s">
        <v>8537</v>
      </c>
      <c r="F128" s="935" t="s">
        <v>8538</v>
      </c>
      <c r="G128" s="935" t="s">
        <v>8539</v>
      </c>
      <c r="H128" s="935" t="s">
        <v>8539</v>
      </c>
      <c r="I128" s="935" t="s">
        <v>8540</v>
      </c>
      <c r="J128" s="935" t="s">
        <v>8541</v>
      </c>
      <c r="K128" s="935" t="s">
        <v>8536</v>
      </c>
      <c r="L128" s="935" t="s">
        <v>8542</v>
      </c>
      <c r="M128" s="935" t="s">
        <v>8533</v>
      </c>
      <c r="N128" s="935" t="s">
        <v>8543</v>
      </c>
      <c r="O128" s="935" t="s">
        <v>8544</v>
      </c>
      <c r="P128" s="935" t="s">
        <v>8545</v>
      </c>
      <c r="Q128" s="935" t="s">
        <v>8546</v>
      </c>
      <c r="R128" s="935" t="s">
        <v>8267</v>
      </c>
      <c r="S128" s="773" t="s">
        <v>8287</v>
      </c>
      <c r="V128" s="773" t="e">
        <f t="shared" ca="1" si="100"/>
        <v>#N/A</v>
      </c>
      <c r="W128" s="773" t="b">
        <f t="shared" ca="1" si="101"/>
        <v>0</v>
      </c>
      <c r="X128" s="773">
        <f t="shared" ca="1" si="102"/>
        <v>0</v>
      </c>
      <c r="Y128" s="773" t="str">
        <f t="shared" ca="1" si="103"/>
        <v xml:space="preserve"> </v>
      </c>
      <c r="AA128" s="773" t="e">
        <f t="shared" ca="1" si="104"/>
        <v>#N/A</v>
      </c>
      <c r="AB128" s="773" t="b">
        <f t="shared" ca="1" si="105"/>
        <v>0</v>
      </c>
      <c r="AC128" s="773">
        <f t="shared" ca="1" si="106"/>
        <v>0</v>
      </c>
      <c r="AD128" s="773" t="str">
        <f t="shared" ca="1" si="107"/>
        <v xml:space="preserve"> </v>
      </c>
      <c r="AF128" s="773" t="e">
        <f t="shared" ca="1" si="108"/>
        <v>#N/A</v>
      </c>
      <c r="AG128" s="773" t="b">
        <f t="shared" ca="1" si="109"/>
        <v>0</v>
      </c>
      <c r="AH128" s="773">
        <f t="shared" ca="1" si="110"/>
        <v>0</v>
      </c>
      <c r="AI128" s="773" t="str">
        <f t="shared" ca="1" si="111"/>
        <v xml:space="preserve"> </v>
      </c>
      <c r="AJ128" s="773" t="e">
        <f t="shared" ca="1" si="112"/>
        <v>#N/A</v>
      </c>
      <c r="AK128" s="773" t="b">
        <f t="shared" ca="1" si="113"/>
        <v>0</v>
      </c>
      <c r="AL128" s="773">
        <f t="shared" ca="1" si="114"/>
        <v>0</v>
      </c>
      <c r="AM128" s="773" t="str">
        <f t="shared" ca="1" si="115"/>
        <v xml:space="preserve"> </v>
      </c>
      <c r="AN128" s="773" t="e">
        <f t="shared" ca="1" si="116"/>
        <v>#N/A</v>
      </c>
      <c r="AO128" s="773" t="b">
        <f t="shared" ca="1" si="117"/>
        <v>0</v>
      </c>
      <c r="AP128" s="773">
        <f t="shared" ca="1" si="118"/>
        <v>0</v>
      </c>
      <c r="AQ128" s="773" t="str">
        <f t="shared" ca="1" si="119"/>
        <v xml:space="preserve"> </v>
      </c>
      <c r="AR128" s="773" t="e">
        <f t="shared" ca="1" si="120"/>
        <v>#N/A</v>
      </c>
      <c r="AS128" s="773" t="b">
        <f t="shared" ca="1" si="121"/>
        <v>0</v>
      </c>
      <c r="AT128" s="773">
        <f t="shared" ca="1" si="122"/>
        <v>0</v>
      </c>
      <c r="AU128" s="773" t="str">
        <f t="shared" ca="1" si="123"/>
        <v xml:space="preserve"> </v>
      </c>
      <c r="AV128" s="773" t="e">
        <f t="shared" ca="1" si="124"/>
        <v>#N/A</v>
      </c>
      <c r="AW128" s="773" t="b">
        <f t="shared" ca="1" si="125"/>
        <v>0</v>
      </c>
      <c r="AX128" s="773">
        <f t="shared" ca="1" si="126"/>
        <v>0</v>
      </c>
      <c r="AY128" s="773" t="str">
        <f t="shared" ca="1" si="127"/>
        <v xml:space="preserve"> </v>
      </c>
      <c r="AZ128" s="773" t="e">
        <f t="shared" ca="1" si="128"/>
        <v>#N/A</v>
      </c>
      <c r="BA128" s="773" t="b">
        <f t="shared" ca="1" si="129"/>
        <v>0</v>
      </c>
      <c r="BB128" s="773">
        <f t="shared" ca="1" si="130"/>
        <v>0</v>
      </c>
      <c r="BC128" s="773" t="str">
        <f t="shared" ca="1" si="131"/>
        <v xml:space="preserve"> </v>
      </c>
      <c r="BD128" s="773" t="e">
        <f t="shared" ca="1" si="132"/>
        <v>#N/A</v>
      </c>
      <c r="BE128" s="773" t="b">
        <f t="shared" ca="1" si="133"/>
        <v>0</v>
      </c>
      <c r="BF128" s="773">
        <f t="shared" ca="1" si="134"/>
        <v>0</v>
      </c>
      <c r="BG128" s="773" t="str">
        <f t="shared" ca="1" si="135"/>
        <v xml:space="preserve"> </v>
      </c>
      <c r="BH128" s="773" t="e">
        <f t="shared" ca="1" si="136"/>
        <v>#N/A</v>
      </c>
      <c r="BI128" s="773" t="b">
        <f t="shared" ca="1" si="137"/>
        <v>0</v>
      </c>
      <c r="BJ128" s="773">
        <f t="shared" ca="1" si="138"/>
        <v>0</v>
      </c>
      <c r="BK128" s="773" t="str">
        <f t="shared" ca="1" si="139"/>
        <v xml:space="preserve"> </v>
      </c>
      <c r="BL128" s="773" t="e">
        <f t="shared" ca="1" si="140"/>
        <v>#N/A</v>
      </c>
      <c r="BM128" s="773" t="b">
        <f t="shared" ca="1" si="141"/>
        <v>0</v>
      </c>
      <c r="BN128" s="773">
        <f t="shared" ca="1" si="142"/>
        <v>0</v>
      </c>
      <c r="BO128" s="773" t="str">
        <f t="shared" ca="1" si="143"/>
        <v xml:space="preserve"> </v>
      </c>
      <c r="BP128" s="773" t="e">
        <f t="shared" ca="1" si="144"/>
        <v>#N/A</v>
      </c>
      <c r="BQ128" s="773" t="b">
        <f t="shared" ca="1" si="145"/>
        <v>0</v>
      </c>
      <c r="BR128" s="773">
        <f t="shared" ca="1" si="146"/>
        <v>0</v>
      </c>
      <c r="BS128" s="773" t="str">
        <f t="shared" ca="1" si="147"/>
        <v xml:space="preserve"> </v>
      </c>
      <c r="BX128" s="773">
        <v>2026</v>
      </c>
      <c r="BY128" s="773" t="s">
        <v>7907</v>
      </c>
    </row>
    <row r="129" spans="1:77" ht="14.25" customHeight="1">
      <c r="A129" s="806" t="s">
        <v>6548</v>
      </c>
      <c r="B129" s="855" t="s">
        <v>505</v>
      </c>
      <c r="C129" s="855" t="s">
        <v>9299</v>
      </c>
      <c r="D129" s="855" t="s">
        <v>9299</v>
      </c>
      <c r="E129" s="855" t="s">
        <v>506</v>
      </c>
      <c r="F129" s="855" t="s">
        <v>506</v>
      </c>
      <c r="G129" s="855" t="s">
        <v>9298</v>
      </c>
      <c r="H129" s="806" t="s">
        <v>7871</v>
      </c>
      <c r="I129" s="855" t="s">
        <v>1399</v>
      </c>
      <c r="J129" s="855" t="s">
        <v>9298</v>
      </c>
      <c r="K129" s="855" t="s">
        <v>353</v>
      </c>
      <c r="L129" s="855" t="s">
        <v>9299</v>
      </c>
      <c r="M129" s="855" t="s">
        <v>9298</v>
      </c>
      <c r="N129" s="855" t="s">
        <v>353</v>
      </c>
      <c r="O129" s="806" t="s">
        <v>7871</v>
      </c>
      <c r="P129" s="855" t="s">
        <v>505</v>
      </c>
      <c r="Q129" s="806" t="s">
        <v>7871</v>
      </c>
      <c r="R129" s="855" t="s">
        <v>9301</v>
      </c>
      <c r="S129" s="773" t="s">
        <v>8288</v>
      </c>
      <c r="V129" s="912">
        <v>1</v>
      </c>
      <c r="Y129" s="912">
        <v>2</v>
      </c>
      <c r="AB129" s="773">
        <v>3</v>
      </c>
      <c r="AE129" s="773">
        <v>4</v>
      </c>
      <c r="AH129" s="773">
        <v>5</v>
      </c>
      <c r="AK129" s="773">
        <v>6</v>
      </c>
      <c r="AN129" s="773">
        <v>7</v>
      </c>
      <c r="AQ129" s="773">
        <v>8</v>
      </c>
      <c r="AT129" s="773">
        <v>9</v>
      </c>
      <c r="AW129" s="773">
        <v>10</v>
      </c>
      <c r="AZ129" s="773">
        <v>11</v>
      </c>
      <c r="BC129" s="773">
        <v>12</v>
      </c>
      <c r="BX129" s="773">
        <v>2027</v>
      </c>
      <c r="BY129" s="773" t="s">
        <v>7908</v>
      </c>
    </row>
    <row r="130" spans="1:77" ht="12.75" customHeight="1">
      <c r="A130" s="806" t="s">
        <v>7875</v>
      </c>
      <c r="B130" s="806" t="s">
        <v>7871</v>
      </c>
      <c r="C130" s="855" t="s">
        <v>9298</v>
      </c>
      <c r="D130" s="855" t="s">
        <v>9298</v>
      </c>
      <c r="E130" s="806" t="s">
        <v>7871</v>
      </c>
      <c r="F130" s="855" t="s">
        <v>507</v>
      </c>
      <c r="G130" s="855" t="s">
        <v>9299</v>
      </c>
      <c r="H130" s="855" t="s">
        <v>506</v>
      </c>
      <c r="I130" s="855" t="s">
        <v>353</v>
      </c>
      <c r="J130" s="855" t="s">
        <v>9297</v>
      </c>
      <c r="K130" s="855" t="s">
        <v>353</v>
      </c>
      <c r="L130" s="855" t="s">
        <v>9299</v>
      </c>
      <c r="M130" s="855" t="s">
        <v>506</v>
      </c>
      <c r="N130" s="855" t="s">
        <v>9300</v>
      </c>
      <c r="O130" s="855" t="s">
        <v>353</v>
      </c>
      <c r="P130" s="855" t="s">
        <v>9301</v>
      </c>
      <c r="Q130" s="855" t="s">
        <v>9301</v>
      </c>
      <c r="R130" s="855" t="s">
        <v>353</v>
      </c>
      <c r="V130" s="773">
        <f t="shared" ref="V130:V139" si="149">IF($N$49=R64,1,0)</f>
        <v>0</v>
      </c>
      <c r="W130" s="773">
        <f>IF(V130=1,1,0)</f>
        <v>0</v>
      </c>
      <c r="X130" s="773">
        <f t="shared" ref="X130:X139" si="150">IF(V130=1,W130,0)</f>
        <v>0</v>
      </c>
      <c r="Y130" s="773">
        <f t="shared" ref="Y130:Y139" si="151">IF($N$50=R64,1,0)</f>
        <v>0</v>
      </c>
      <c r="Z130" s="773">
        <f>IF(Y130=1,1,0)</f>
        <v>0</v>
      </c>
      <c r="AA130" s="773">
        <f t="shared" ref="AA130:AA139" si="152">IF(Y130=1,Z130,0)</f>
        <v>0</v>
      </c>
      <c r="AB130" s="773">
        <f t="shared" ref="AB130:AB139" si="153">IF($N$51=R64,1,0)</f>
        <v>0</v>
      </c>
      <c r="AC130" s="773">
        <f>IF(AB130=1,1,0)</f>
        <v>0</v>
      </c>
      <c r="AD130" s="773">
        <f t="shared" ref="AD130:AD139" si="154">IF(AB130=1,AC130,0)</f>
        <v>0</v>
      </c>
      <c r="AE130" s="773">
        <f t="shared" ref="AE130:AE139" si="155">IF($N$52=R64,1,0)</f>
        <v>1</v>
      </c>
      <c r="AF130" s="773">
        <f>IF(AE130=1,1,0)</f>
        <v>1</v>
      </c>
      <c r="AG130" s="773">
        <f t="shared" ref="AG130:AG139" si="156">IF(AE130=1,AF130,0)</f>
        <v>1</v>
      </c>
      <c r="AH130" s="773">
        <f t="shared" ref="AH130:AH139" si="157">IF($N$53=R64,1,0)</f>
        <v>0</v>
      </c>
      <c r="AI130" s="773">
        <f>IF(AH130=1,1,0)</f>
        <v>0</v>
      </c>
      <c r="AJ130" s="773">
        <f t="shared" ref="AJ130:AJ139" si="158">IF(AH130=1,AI130,0)</f>
        <v>0</v>
      </c>
      <c r="AK130" s="773">
        <f t="shared" ref="AK130:AK139" si="159">IF($N$54=R64,1,0)</f>
        <v>0</v>
      </c>
      <c r="AL130" s="773">
        <f>IF(AK130=1,1,0)</f>
        <v>0</v>
      </c>
      <c r="AM130" s="773">
        <f t="shared" ref="AM130:AM139" si="160">IF(AK130=1,AL130,0)</f>
        <v>0</v>
      </c>
      <c r="AN130" s="773">
        <f t="shared" ref="AN130:AN139" si="161">IF($N$55=R64,1,0)</f>
        <v>0</v>
      </c>
      <c r="AO130" s="773">
        <f>IF(AN130=1,1,0)</f>
        <v>0</v>
      </c>
      <c r="AP130" s="773">
        <f t="shared" ref="AP130:AP139" si="162">IF(AN130=1,AO130,0)</f>
        <v>0</v>
      </c>
      <c r="AQ130" s="773">
        <f t="shared" ref="AQ130:AQ139" si="163">IF($N$56=R64,1,0)</f>
        <v>0</v>
      </c>
      <c r="AR130" s="773">
        <f>IF(AQ130=1,1,0)</f>
        <v>0</v>
      </c>
      <c r="AS130" s="773">
        <f t="shared" ref="AS130:AS139" si="164">IF(AQ130=1,AR130,0)</f>
        <v>0</v>
      </c>
      <c r="AT130" s="773">
        <f t="shared" ref="AT130:AT139" si="165">IF($N$57=R64,1,0)</f>
        <v>0</v>
      </c>
      <c r="AU130" s="773">
        <f>IF(AT130=1,1,0)</f>
        <v>0</v>
      </c>
      <c r="AV130" s="773">
        <f t="shared" ref="AV130:AV139" si="166">IF(AT130=1,AU130,0)</f>
        <v>0</v>
      </c>
      <c r="AW130" s="773">
        <f t="shared" ref="AW130:AW139" si="167">IF($N$58=R64,1,0)</f>
        <v>0</v>
      </c>
      <c r="AX130" s="773">
        <f>IF(AW130=1,1,0)</f>
        <v>0</v>
      </c>
      <c r="AY130" s="773">
        <f t="shared" ref="AY130:AY139" si="168">IF(AW130=1,AX130,0)</f>
        <v>0</v>
      </c>
      <c r="AZ130" s="773">
        <f t="shared" ref="AZ130:AZ139" si="169">IF($N$59=R64,1,0)</f>
        <v>0</v>
      </c>
      <c r="BA130" s="773">
        <f>IF(AZ130=1,1,0)</f>
        <v>0</v>
      </c>
      <c r="BB130" s="773">
        <f t="shared" ref="BB130:BB139" si="170">IF(AZ130=1,BA130,0)</f>
        <v>0</v>
      </c>
      <c r="BC130" s="773">
        <f t="shared" ref="BC130:BC139" si="171">IF($N$60=R64,1,0)</f>
        <v>0</v>
      </c>
      <c r="BD130" s="773">
        <f>IF(BC130=1,1,0)</f>
        <v>0</v>
      </c>
      <c r="BE130" s="773">
        <f t="shared" ref="BE130:BE139" si="172">IF(BC130=1,BD130,0)</f>
        <v>0</v>
      </c>
      <c r="BF130" s="787" t="s">
        <v>8547</v>
      </c>
      <c r="BX130" s="773">
        <v>2028</v>
      </c>
      <c r="BY130" s="773" t="s">
        <v>7909</v>
      </c>
    </row>
    <row r="131" spans="1:77" ht="12.75" customHeight="1">
      <c r="A131" s="806" t="s">
        <v>7874</v>
      </c>
      <c r="B131" s="855" t="s">
        <v>506</v>
      </c>
      <c r="C131" s="855" t="s">
        <v>9297</v>
      </c>
      <c r="D131" s="855" t="s">
        <v>9297</v>
      </c>
      <c r="E131" s="855" t="s">
        <v>505</v>
      </c>
      <c r="F131" s="855" t="s">
        <v>9297</v>
      </c>
      <c r="G131" s="855" t="s">
        <v>9300</v>
      </c>
      <c r="H131" s="855" t="s">
        <v>507</v>
      </c>
      <c r="I131" s="855" t="s">
        <v>9301</v>
      </c>
      <c r="J131" s="855" t="s">
        <v>507</v>
      </c>
      <c r="K131" s="806" t="s">
        <v>7871</v>
      </c>
      <c r="L131" s="855" t="s">
        <v>9301</v>
      </c>
      <c r="M131" s="855" t="s">
        <v>1399</v>
      </c>
      <c r="N131" s="855" t="s">
        <v>9297</v>
      </c>
      <c r="O131" s="855" t="s">
        <v>9300</v>
      </c>
      <c r="P131" s="855" t="s">
        <v>9299</v>
      </c>
      <c r="Q131" s="855" t="s">
        <v>9298</v>
      </c>
      <c r="R131" s="855" t="s">
        <v>1399</v>
      </c>
      <c r="V131" s="773">
        <f t="shared" si="149"/>
        <v>0</v>
      </c>
      <c r="W131" s="773">
        <f t="shared" ref="W131:W139" si="173">IF(V131=1,W130+1,W130)</f>
        <v>0</v>
      </c>
      <c r="X131" s="773">
        <f t="shared" si="150"/>
        <v>0</v>
      </c>
      <c r="Y131" s="773">
        <f t="shared" si="151"/>
        <v>0</v>
      </c>
      <c r="Z131" s="773">
        <f t="shared" ref="Z131:Z139" si="174">IF(Y131=1,Z130+1,Z130)</f>
        <v>0</v>
      </c>
      <c r="AA131" s="773">
        <f t="shared" si="152"/>
        <v>0</v>
      </c>
      <c r="AB131" s="773">
        <f t="shared" si="153"/>
        <v>0</v>
      </c>
      <c r="AC131" s="773">
        <f t="shared" ref="AC131:AC139" si="175">IF(AB131=1,AC130+1,AC130)</f>
        <v>0</v>
      </c>
      <c r="AD131" s="773">
        <f t="shared" si="154"/>
        <v>0</v>
      </c>
      <c r="AE131" s="773">
        <f t="shared" si="155"/>
        <v>0</v>
      </c>
      <c r="AF131" s="773">
        <f t="shared" ref="AF131:AF139" si="176">IF(AE131=1,AF130+1,AF130)</f>
        <v>1</v>
      </c>
      <c r="AG131" s="773">
        <f t="shared" si="156"/>
        <v>0</v>
      </c>
      <c r="AH131" s="773">
        <f t="shared" si="157"/>
        <v>0</v>
      </c>
      <c r="AI131" s="773">
        <f t="shared" ref="AI131:AI139" si="177">IF(AH131=1,AI130+1,AI130)</f>
        <v>0</v>
      </c>
      <c r="AJ131" s="773">
        <f t="shared" si="158"/>
        <v>0</v>
      </c>
      <c r="AK131" s="773">
        <f t="shared" si="159"/>
        <v>0</v>
      </c>
      <c r="AL131" s="773">
        <f t="shared" ref="AL131:AL139" si="178">IF(AK131=1,AL130+1,AL130)</f>
        <v>0</v>
      </c>
      <c r="AM131" s="773">
        <f t="shared" si="160"/>
        <v>0</v>
      </c>
      <c r="AN131" s="773">
        <f t="shared" si="161"/>
        <v>0</v>
      </c>
      <c r="AO131" s="773">
        <f t="shared" ref="AO131:AO139" si="179">IF(AN131=1,AO130+1,AO130)</f>
        <v>0</v>
      </c>
      <c r="AP131" s="773">
        <f t="shared" si="162"/>
        <v>0</v>
      </c>
      <c r="AQ131" s="773">
        <f t="shared" si="163"/>
        <v>0</v>
      </c>
      <c r="AR131" s="773">
        <f t="shared" ref="AR131:AR139" si="180">IF(AQ131=1,AR130+1,AR130)</f>
        <v>0</v>
      </c>
      <c r="AS131" s="773">
        <f t="shared" si="164"/>
        <v>0</v>
      </c>
      <c r="AT131" s="773">
        <f t="shared" si="165"/>
        <v>0</v>
      </c>
      <c r="AU131" s="773">
        <f t="shared" ref="AU131:AU139" si="181">IF(AT131=1,AU130+1,AU130)</f>
        <v>0</v>
      </c>
      <c r="AV131" s="773">
        <f t="shared" si="166"/>
        <v>0</v>
      </c>
      <c r="AW131" s="773">
        <f t="shared" si="167"/>
        <v>1</v>
      </c>
      <c r="AX131" s="773">
        <f t="shared" ref="AX131:AX139" si="182">IF(AW131=1,AX130+1,AX130)</f>
        <v>1</v>
      </c>
      <c r="AY131" s="773">
        <f t="shared" si="168"/>
        <v>1</v>
      </c>
      <c r="AZ131" s="773">
        <f t="shared" si="169"/>
        <v>0</v>
      </c>
      <c r="BA131" s="773">
        <f t="shared" ref="BA131:BA139" si="183">IF(AZ131=1,BA130+1,BA130)</f>
        <v>0</v>
      </c>
      <c r="BB131" s="773">
        <f t="shared" si="170"/>
        <v>0</v>
      </c>
      <c r="BC131" s="773">
        <f t="shared" si="171"/>
        <v>0</v>
      </c>
      <c r="BD131" s="773">
        <f t="shared" ref="BD131:BD139" si="184">IF(BC131=1,BD130+1,BD130)</f>
        <v>0</v>
      </c>
      <c r="BE131" s="773">
        <f t="shared" si="172"/>
        <v>0</v>
      </c>
      <c r="BF131" s="787" t="s">
        <v>8548</v>
      </c>
      <c r="BX131" s="773">
        <v>2029</v>
      </c>
      <c r="BY131" s="773" t="s">
        <v>7910</v>
      </c>
    </row>
    <row r="132" spans="1:77" ht="12.75" customHeight="1">
      <c r="A132" s="806" t="s">
        <v>7873</v>
      </c>
      <c r="B132" s="855" t="s">
        <v>507</v>
      </c>
      <c r="C132" s="855" t="s">
        <v>507</v>
      </c>
      <c r="D132" s="855" t="s">
        <v>507</v>
      </c>
      <c r="E132" s="855" t="s">
        <v>1399</v>
      </c>
      <c r="F132" s="855" t="s">
        <v>9298</v>
      </c>
      <c r="G132" s="855" t="s">
        <v>1402</v>
      </c>
      <c r="H132" s="855" t="s">
        <v>9297</v>
      </c>
      <c r="I132" s="855" t="s">
        <v>1402</v>
      </c>
      <c r="J132" s="855" t="s">
        <v>506</v>
      </c>
      <c r="K132" s="806" t="s">
        <v>7871</v>
      </c>
      <c r="L132" s="855" t="s">
        <v>9301</v>
      </c>
      <c r="M132" s="855" t="s">
        <v>1402</v>
      </c>
      <c r="N132" s="806" t="s">
        <v>7871</v>
      </c>
      <c r="O132" s="855" t="s">
        <v>9297</v>
      </c>
      <c r="P132" s="855" t="s">
        <v>507</v>
      </c>
      <c r="Q132" s="806" t="s">
        <v>7871</v>
      </c>
      <c r="R132" s="855" t="s">
        <v>505</v>
      </c>
      <c r="V132" s="773">
        <f t="shared" si="149"/>
        <v>0</v>
      </c>
      <c r="W132" s="773">
        <f t="shared" si="173"/>
        <v>0</v>
      </c>
      <c r="X132" s="773">
        <f t="shared" si="150"/>
        <v>0</v>
      </c>
      <c r="Y132" s="773">
        <f t="shared" si="151"/>
        <v>0</v>
      </c>
      <c r="Z132" s="773">
        <f t="shared" si="174"/>
        <v>0</v>
      </c>
      <c r="AA132" s="773">
        <f t="shared" si="152"/>
        <v>0</v>
      </c>
      <c r="AB132" s="773">
        <f t="shared" si="153"/>
        <v>0</v>
      </c>
      <c r="AC132" s="773">
        <f t="shared" si="175"/>
        <v>0</v>
      </c>
      <c r="AD132" s="773">
        <f t="shared" si="154"/>
        <v>0</v>
      </c>
      <c r="AE132" s="773">
        <f t="shared" si="155"/>
        <v>0</v>
      </c>
      <c r="AF132" s="773">
        <f t="shared" si="176"/>
        <v>1</v>
      </c>
      <c r="AG132" s="773">
        <f t="shared" si="156"/>
        <v>0</v>
      </c>
      <c r="AH132" s="773">
        <f t="shared" si="157"/>
        <v>0</v>
      </c>
      <c r="AI132" s="773">
        <f t="shared" si="177"/>
        <v>0</v>
      </c>
      <c r="AJ132" s="773">
        <f t="shared" si="158"/>
        <v>0</v>
      </c>
      <c r="AK132" s="773">
        <f t="shared" si="159"/>
        <v>0</v>
      </c>
      <c r="AL132" s="773">
        <f t="shared" si="178"/>
        <v>0</v>
      </c>
      <c r="AM132" s="773">
        <f t="shared" si="160"/>
        <v>0</v>
      </c>
      <c r="AN132" s="773">
        <f t="shared" si="161"/>
        <v>0</v>
      </c>
      <c r="AO132" s="773">
        <f t="shared" si="179"/>
        <v>0</v>
      </c>
      <c r="AP132" s="773">
        <f t="shared" si="162"/>
        <v>0</v>
      </c>
      <c r="AQ132" s="773">
        <f t="shared" si="163"/>
        <v>0</v>
      </c>
      <c r="AR132" s="773">
        <f t="shared" si="180"/>
        <v>0</v>
      </c>
      <c r="AS132" s="773">
        <f t="shared" si="164"/>
        <v>0</v>
      </c>
      <c r="AT132" s="773">
        <f t="shared" si="165"/>
        <v>0</v>
      </c>
      <c r="AU132" s="773">
        <f t="shared" si="181"/>
        <v>0</v>
      </c>
      <c r="AV132" s="773">
        <f t="shared" si="166"/>
        <v>0</v>
      </c>
      <c r="AW132" s="773">
        <f t="shared" si="167"/>
        <v>0</v>
      </c>
      <c r="AX132" s="773">
        <f t="shared" si="182"/>
        <v>1</v>
      </c>
      <c r="AY132" s="773">
        <f t="shared" si="168"/>
        <v>0</v>
      </c>
      <c r="AZ132" s="773">
        <f t="shared" si="169"/>
        <v>1</v>
      </c>
      <c r="BA132" s="773">
        <f t="shared" si="183"/>
        <v>1</v>
      </c>
      <c r="BB132" s="773">
        <f t="shared" si="170"/>
        <v>1</v>
      </c>
      <c r="BC132" s="773">
        <f t="shared" si="171"/>
        <v>0</v>
      </c>
      <c r="BD132" s="773">
        <f t="shared" si="184"/>
        <v>0</v>
      </c>
      <c r="BE132" s="773">
        <f t="shared" si="172"/>
        <v>0</v>
      </c>
      <c r="BF132" s="787" t="s">
        <v>8549</v>
      </c>
      <c r="BX132" s="773">
        <v>2030</v>
      </c>
      <c r="BY132" s="773" t="s">
        <v>7913</v>
      </c>
    </row>
    <row r="133" spans="1:77" ht="12.75" customHeight="1">
      <c r="A133" s="806" t="s">
        <v>7872</v>
      </c>
      <c r="B133" s="855" t="s">
        <v>9297</v>
      </c>
      <c r="C133" s="855" t="s">
        <v>506</v>
      </c>
      <c r="D133" s="855" t="s">
        <v>506</v>
      </c>
      <c r="E133" s="855" t="s">
        <v>353</v>
      </c>
      <c r="F133" s="855" t="s">
        <v>9299</v>
      </c>
      <c r="G133" s="855" t="s">
        <v>9301</v>
      </c>
      <c r="H133" s="855" t="s">
        <v>9298</v>
      </c>
      <c r="I133" s="855" t="s">
        <v>9300</v>
      </c>
      <c r="J133" s="806" t="s">
        <v>7871</v>
      </c>
      <c r="K133" s="806" t="s">
        <v>7871</v>
      </c>
      <c r="L133" s="855" t="s">
        <v>9301</v>
      </c>
      <c r="M133" s="855" t="s">
        <v>9298</v>
      </c>
      <c r="N133" s="855" t="s">
        <v>353</v>
      </c>
      <c r="O133" s="806" t="s">
        <v>7871</v>
      </c>
      <c r="P133" s="855" t="s">
        <v>505</v>
      </c>
      <c r="Q133" s="855" t="s">
        <v>9301</v>
      </c>
      <c r="R133" s="806" t="s">
        <v>7871</v>
      </c>
      <c r="V133" s="773">
        <f t="shared" si="149"/>
        <v>0</v>
      </c>
      <c r="W133" s="773">
        <f t="shared" si="173"/>
        <v>0</v>
      </c>
      <c r="X133" s="773">
        <f t="shared" si="150"/>
        <v>0</v>
      </c>
      <c r="Y133" s="773">
        <f t="shared" si="151"/>
        <v>0</v>
      </c>
      <c r="Z133" s="773">
        <f t="shared" si="174"/>
        <v>0</v>
      </c>
      <c r="AA133" s="773">
        <f t="shared" si="152"/>
        <v>0</v>
      </c>
      <c r="AB133" s="773">
        <f t="shared" si="153"/>
        <v>0</v>
      </c>
      <c r="AC133" s="773">
        <f t="shared" si="175"/>
        <v>0</v>
      </c>
      <c r="AD133" s="773">
        <f t="shared" si="154"/>
        <v>0</v>
      </c>
      <c r="AE133" s="773">
        <f t="shared" si="155"/>
        <v>0</v>
      </c>
      <c r="AF133" s="773">
        <f t="shared" si="176"/>
        <v>1</v>
      </c>
      <c r="AG133" s="773">
        <f t="shared" si="156"/>
        <v>0</v>
      </c>
      <c r="AH133" s="773">
        <f t="shared" si="157"/>
        <v>0</v>
      </c>
      <c r="AI133" s="773">
        <f t="shared" si="177"/>
        <v>0</v>
      </c>
      <c r="AJ133" s="773">
        <f t="shared" si="158"/>
        <v>0</v>
      </c>
      <c r="AK133" s="773">
        <f t="shared" si="159"/>
        <v>0</v>
      </c>
      <c r="AL133" s="773">
        <f t="shared" si="178"/>
        <v>0</v>
      </c>
      <c r="AM133" s="773">
        <f t="shared" si="160"/>
        <v>0</v>
      </c>
      <c r="AN133" s="773">
        <f t="shared" si="161"/>
        <v>0</v>
      </c>
      <c r="AO133" s="773">
        <f t="shared" si="179"/>
        <v>0</v>
      </c>
      <c r="AP133" s="773">
        <f t="shared" si="162"/>
        <v>0</v>
      </c>
      <c r="AQ133" s="773">
        <f t="shared" si="163"/>
        <v>0</v>
      </c>
      <c r="AR133" s="773">
        <f t="shared" si="180"/>
        <v>0</v>
      </c>
      <c r="AS133" s="773">
        <f t="shared" si="164"/>
        <v>0</v>
      </c>
      <c r="AT133" s="773">
        <f t="shared" si="165"/>
        <v>1</v>
      </c>
      <c r="AU133" s="773">
        <f t="shared" si="181"/>
        <v>1</v>
      </c>
      <c r="AV133" s="773">
        <f t="shared" si="166"/>
        <v>1</v>
      </c>
      <c r="AW133" s="773">
        <f t="shared" si="167"/>
        <v>0</v>
      </c>
      <c r="AX133" s="773">
        <f t="shared" si="182"/>
        <v>1</v>
      </c>
      <c r="AY133" s="773">
        <f t="shared" si="168"/>
        <v>0</v>
      </c>
      <c r="AZ133" s="773">
        <f t="shared" si="169"/>
        <v>0</v>
      </c>
      <c r="BA133" s="773">
        <f t="shared" si="183"/>
        <v>1</v>
      </c>
      <c r="BB133" s="773">
        <f t="shared" si="170"/>
        <v>0</v>
      </c>
      <c r="BC133" s="773">
        <f t="shared" si="171"/>
        <v>0</v>
      </c>
      <c r="BD133" s="773">
        <f t="shared" si="184"/>
        <v>0</v>
      </c>
      <c r="BE133" s="773">
        <f t="shared" si="172"/>
        <v>0</v>
      </c>
      <c r="BF133" s="787" t="s">
        <v>8550</v>
      </c>
      <c r="BX133" s="773">
        <v>2031</v>
      </c>
      <c r="BY133" s="773" t="s">
        <v>7914</v>
      </c>
    </row>
    <row r="134" spans="1:77" ht="12.75" customHeight="1">
      <c r="A134" s="806" t="s">
        <v>7871</v>
      </c>
      <c r="B134" s="855" t="s">
        <v>9298</v>
      </c>
      <c r="C134" s="806" t="s">
        <v>7871</v>
      </c>
      <c r="D134" s="806" t="s">
        <v>7871</v>
      </c>
      <c r="E134" s="855" t="s">
        <v>9301</v>
      </c>
      <c r="F134" s="855" t="s">
        <v>9300</v>
      </c>
      <c r="G134" s="855" t="s">
        <v>353</v>
      </c>
      <c r="H134" s="855" t="s">
        <v>9299</v>
      </c>
      <c r="I134" s="855" t="s">
        <v>9299</v>
      </c>
      <c r="J134" s="855" t="s">
        <v>505</v>
      </c>
      <c r="K134" s="855" t="s">
        <v>9297</v>
      </c>
      <c r="L134" s="855" t="s">
        <v>505</v>
      </c>
      <c r="M134" s="855" t="s">
        <v>506</v>
      </c>
      <c r="N134" s="855" t="s">
        <v>9300</v>
      </c>
      <c r="O134" s="855" t="s">
        <v>353</v>
      </c>
      <c r="P134" s="855" t="s">
        <v>9301</v>
      </c>
      <c r="Q134" s="855" t="s">
        <v>9298</v>
      </c>
      <c r="R134" s="855" t="s">
        <v>506</v>
      </c>
      <c r="V134" s="773">
        <f t="shared" si="149"/>
        <v>0</v>
      </c>
      <c r="W134" s="773">
        <f t="shared" si="173"/>
        <v>0</v>
      </c>
      <c r="X134" s="773">
        <f t="shared" si="150"/>
        <v>0</v>
      </c>
      <c r="Y134" s="773">
        <f t="shared" si="151"/>
        <v>0</v>
      </c>
      <c r="Z134" s="773">
        <f t="shared" si="174"/>
        <v>0</v>
      </c>
      <c r="AA134" s="773">
        <f t="shared" si="152"/>
        <v>0</v>
      </c>
      <c r="AB134" s="773">
        <f t="shared" si="153"/>
        <v>0</v>
      </c>
      <c r="AC134" s="773">
        <f t="shared" si="175"/>
        <v>0</v>
      </c>
      <c r="AD134" s="773">
        <f t="shared" si="154"/>
        <v>0</v>
      </c>
      <c r="AE134" s="773">
        <f t="shared" si="155"/>
        <v>1</v>
      </c>
      <c r="AF134" s="773">
        <f t="shared" si="176"/>
        <v>2</v>
      </c>
      <c r="AG134" s="773">
        <f t="shared" si="156"/>
        <v>2</v>
      </c>
      <c r="AH134" s="773">
        <f t="shared" si="157"/>
        <v>0</v>
      </c>
      <c r="AI134" s="773">
        <f t="shared" si="177"/>
        <v>0</v>
      </c>
      <c r="AJ134" s="773">
        <f t="shared" si="158"/>
        <v>0</v>
      </c>
      <c r="AK134" s="773">
        <f t="shared" si="159"/>
        <v>0</v>
      </c>
      <c r="AL134" s="773">
        <f t="shared" si="178"/>
        <v>0</v>
      </c>
      <c r="AM134" s="773">
        <f t="shared" si="160"/>
        <v>0</v>
      </c>
      <c r="AN134" s="773">
        <f t="shared" si="161"/>
        <v>0</v>
      </c>
      <c r="AO134" s="773">
        <f t="shared" si="179"/>
        <v>0</v>
      </c>
      <c r="AP134" s="773">
        <f t="shared" si="162"/>
        <v>0</v>
      </c>
      <c r="AQ134" s="773">
        <f t="shared" si="163"/>
        <v>0</v>
      </c>
      <c r="AR134" s="773">
        <f t="shared" si="180"/>
        <v>0</v>
      </c>
      <c r="AS134" s="773">
        <f t="shared" si="164"/>
        <v>0</v>
      </c>
      <c r="AT134" s="773">
        <f t="shared" si="165"/>
        <v>0</v>
      </c>
      <c r="AU134" s="773">
        <f t="shared" si="181"/>
        <v>1</v>
      </c>
      <c r="AV134" s="773">
        <f t="shared" si="166"/>
        <v>0</v>
      </c>
      <c r="AW134" s="773">
        <f t="shared" si="167"/>
        <v>0</v>
      </c>
      <c r="AX134" s="773">
        <f t="shared" si="182"/>
        <v>1</v>
      </c>
      <c r="AY134" s="773">
        <f t="shared" si="168"/>
        <v>0</v>
      </c>
      <c r="AZ134" s="773">
        <f t="shared" si="169"/>
        <v>0</v>
      </c>
      <c r="BA134" s="773">
        <f t="shared" si="183"/>
        <v>1</v>
      </c>
      <c r="BB134" s="773">
        <f t="shared" si="170"/>
        <v>0</v>
      </c>
      <c r="BC134" s="773">
        <f t="shared" si="171"/>
        <v>0</v>
      </c>
      <c r="BD134" s="773">
        <f t="shared" si="184"/>
        <v>0</v>
      </c>
      <c r="BE134" s="773">
        <f t="shared" si="172"/>
        <v>0</v>
      </c>
      <c r="BF134" s="787" t="s">
        <v>8551</v>
      </c>
      <c r="BX134" s="773">
        <v>2032</v>
      </c>
      <c r="BY134" s="773" t="s">
        <v>7915</v>
      </c>
    </row>
    <row r="135" spans="1:77" ht="12.75" customHeight="1">
      <c r="A135" s="806" t="s">
        <v>7883</v>
      </c>
      <c r="B135" s="855" t="s">
        <v>9299</v>
      </c>
      <c r="C135" s="855" t="s">
        <v>505</v>
      </c>
      <c r="D135" s="855" t="s">
        <v>505</v>
      </c>
      <c r="E135" s="855" t="s">
        <v>1402</v>
      </c>
      <c r="F135" s="855" t="s">
        <v>1402</v>
      </c>
      <c r="G135" s="855" t="s">
        <v>1399</v>
      </c>
      <c r="H135" s="855" t="s">
        <v>9300</v>
      </c>
      <c r="I135" s="855" t="s">
        <v>9298</v>
      </c>
      <c r="J135" s="855" t="s">
        <v>1399</v>
      </c>
      <c r="K135" s="855" t="s">
        <v>9297</v>
      </c>
      <c r="L135" s="855" t="s">
        <v>505</v>
      </c>
      <c r="M135" s="855" t="s">
        <v>1399</v>
      </c>
      <c r="N135" s="855" t="s">
        <v>9297</v>
      </c>
      <c r="O135" s="855" t="s">
        <v>9300</v>
      </c>
      <c r="P135" s="855" t="s">
        <v>9299</v>
      </c>
      <c r="Q135" s="806" t="s">
        <v>7871</v>
      </c>
      <c r="R135" s="855" t="s">
        <v>507</v>
      </c>
      <c r="V135" s="773">
        <f t="shared" si="149"/>
        <v>0</v>
      </c>
      <c r="W135" s="773">
        <f t="shared" si="173"/>
        <v>0</v>
      </c>
      <c r="X135" s="773">
        <f t="shared" si="150"/>
        <v>0</v>
      </c>
      <c r="Y135" s="773">
        <f t="shared" si="151"/>
        <v>0</v>
      </c>
      <c r="Z135" s="773">
        <f t="shared" si="174"/>
        <v>0</v>
      </c>
      <c r="AA135" s="773">
        <f t="shared" si="152"/>
        <v>0</v>
      </c>
      <c r="AB135" s="773">
        <f t="shared" si="153"/>
        <v>0</v>
      </c>
      <c r="AC135" s="773">
        <f t="shared" si="175"/>
        <v>0</v>
      </c>
      <c r="AD135" s="773">
        <f t="shared" si="154"/>
        <v>0</v>
      </c>
      <c r="AE135" s="773">
        <f t="shared" si="155"/>
        <v>0</v>
      </c>
      <c r="AF135" s="773">
        <f t="shared" si="176"/>
        <v>2</v>
      </c>
      <c r="AG135" s="773">
        <f t="shared" si="156"/>
        <v>0</v>
      </c>
      <c r="AH135" s="773">
        <f t="shared" si="157"/>
        <v>0</v>
      </c>
      <c r="AI135" s="773">
        <f t="shared" si="177"/>
        <v>0</v>
      </c>
      <c r="AJ135" s="773">
        <f t="shared" si="158"/>
        <v>0</v>
      </c>
      <c r="AK135" s="773">
        <f t="shared" si="159"/>
        <v>0</v>
      </c>
      <c r="AL135" s="773">
        <f t="shared" si="178"/>
        <v>0</v>
      </c>
      <c r="AM135" s="773">
        <f t="shared" si="160"/>
        <v>0</v>
      </c>
      <c r="AN135" s="773">
        <f t="shared" si="161"/>
        <v>0</v>
      </c>
      <c r="AO135" s="773">
        <f t="shared" si="179"/>
        <v>0</v>
      </c>
      <c r="AP135" s="773">
        <f t="shared" si="162"/>
        <v>0</v>
      </c>
      <c r="AQ135" s="773">
        <f t="shared" si="163"/>
        <v>0</v>
      </c>
      <c r="AR135" s="773">
        <f t="shared" si="180"/>
        <v>0</v>
      </c>
      <c r="AS135" s="773">
        <f t="shared" si="164"/>
        <v>0</v>
      </c>
      <c r="AT135" s="773">
        <f t="shared" si="165"/>
        <v>0</v>
      </c>
      <c r="AU135" s="773">
        <f t="shared" si="181"/>
        <v>1</v>
      </c>
      <c r="AV135" s="773">
        <f t="shared" si="166"/>
        <v>0</v>
      </c>
      <c r="AW135" s="773">
        <f t="shared" si="167"/>
        <v>1</v>
      </c>
      <c r="AX135" s="773">
        <f t="shared" si="182"/>
        <v>2</v>
      </c>
      <c r="AY135" s="773">
        <f t="shared" si="168"/>
        <v>2</v>
      </c>
      <c r="AZ135" s="773">
        <f t="shared" si="169"/>
        <v>0</v>
      </c>
      <c r="BA135" s="773">
        <f t="shared" si="183"/>
        <v>1</v>
      </c>
      <c r="BB135" s="773">
        <f t="shared" si="170"/>
        <v>0</v>
      </c>
      <c r="BC135" s="773">
        <f t="shared" si="171"/>
        <v>0</v>
      </c>
      <c r="BD135" s="773">
        <f t="shared" si="184"/>
        <v>0</v>
      </c>
      <c r="BE135" s="773">
        <f t="shared" si="172"/>
        <v>0</v>
      </c>
      <c r="BF135" s="787" t="s">
        <v>8552</v>
      </c>
      <c r="BX135" s="773">
        <v>2033</v>
      </c>
      <c r="BY135" s="773" t="s">
        <v>7916</v>
      </c>
    </row>
    <row r="136" spans="1:77" ht="30">
      <c r="A136" s="806" t="s">
        <v>7882</v>
      </c>
      <c r="B136" s="855" t="s">
        <v>9300</v>
      </c>
      <c r="C136" s="855" t="s">
        <v>1399</v>
      </c>
      <c r="D136" s="855" t="s">
        <v>1399</v>
      </c>
      <c r="E136" s="855" t="s">
        <v>9300</v>
      </c>
      <c r="F136" s="855" t="s">
        <v>9301</v>
      </c>
      <c r="G136" s="855" t="s">
        <v>505</v>
      </c>
      <c r="H136" s="855" t="s">
        <v>1402</v>
      </c>
      <c r="I136" s="855" t="s">
        <v>9297</v>
      </c>
      <c r="J136" s="855" t="s">
        <v>353</v>
      </c>
      <c r="K136" s="855" t="s">
        <v>9297</v>
      </c>
      <c r="L136" s="855" t="s">
        <v>505</v>
      </c>
      <c r="M136" s="855" t="s">
        <v>1402</v>
      </c>
      <c r="N136" s="806" t="s">
        <v>7871</v>
      </c>
      <c r="O136" s="855" t="s">
        <v>9297</v>
      </c>
      <c r="P136" s="855" t="s">
        <v>507</v>
      </c>
      <c r="Q136" s="855" t="s">
        <v>9301</v>
      </c>
      <c r="R136" s="855" t="s">
        <v>9297</v>
      </c>
      <c r="V136" s="773">
        <f t="shared" si="149"/>
        <v>0</v>
      </c>
      <c r="W136" s="773">
        <f t="shared" si="173"/>
        <v>0</v>
      </c>
      <c r="X136" s="773">
        <f t="shared" si="150"/>
        <v>0</v>
      </c>
      <c r="Y136" s="773">
        <f t="shared" si="151"/>
        <v>0</v>
      </c>
      <c r="Z136" s="773">
        <f t="shared" si="174"/>
        <v>0</v>
      </c>
      <c r="AA136" s="773">
        <f t="shared" si="152"/>
        <v>0</v>
      </c>
      <c r="AB136" s="773">
        <f t="shared" si="153"/>
        <v>0</v>
      </c>
      <c r="AC136" s="773">
        <f t="shared" si="175"/>
        <v>0</v>
      </c>
      <c r="AD136" s="773">
        <f t="shared" si="154"/>
        <v>0</v>
      </c>
      <c r="AE136" s="773">
        <f t="shared" si="155"/>
        <v>0</v>
      </c>
      <c r="AF136" s="773">
        <f t="shared" si="176"/>
        <v>2</v>
      </c>
      <c r="AG136" s="773">
        <f t="shared" si="156"/>
        <v>0</v>
      </c>
      <c r="AH136" s="773">
        <f t="shared" si="157"/>
        <v>0</v>
      </c>
      <c r="AI136" s="773">
        <f t="shared" si="177"/>
        <v>0</v>
      </c>
      <c r="AJ136" s="773">
        <f t="shared" si="158"/>
        <v>0</v>
      </c>
      <c r="AK136" s="773">
        <f t="shared" si="159"/>
        <v>1</v>
      </c>
      <c r="AL136" s="773">
        <f t="shared" si="178"/>
        <v>1</v>
      </c>
      <c r="AM136" s="773">
        <f t="shared" si="160"/>
        <v>1</v>
      </c>
      <c r="AN136" s="773">
        <f t="shared" si="161"/>
        <v>0</v>
      </c>
      <c r="AO136" s="773">
        <f t="shared" si="179"/>
        <v>0</v>
      </c>
      <c r="AP136" s="773">
        <f t="shared" si="162"/>
        <v>0</v>
      </c>
      <c r="AQ136" s="773">
        <f t="shared" si="163"/>
        <v>0</v>
      </c>
      <c r="AR136" s="773">
        <f t="shared" si="180"/>
        <v>0</v>
      </c>
      <c r="AS136" s="773">
        <f t="shared" si="164"/>
        <v>0</v>
      </c>
      <c r="AT136" s="773">
        <f t="shared" si="165"/>
        <v>0</v>
      </c>
      <c r="AU136" s="773">
        <f t="shared" si="181"/>
        <v>1</v>
      </c>
      <c r="AV136" s="773">
        <f t="shared" si="166"/>
        <v>0</v>
      </c>
      <c r="AW136" s="773">
        <f t="shared" si="167"/>
        <v>0</v>
      </c>
      <c r="AX136" s="773">
        <f t="shared" si="182"/>
        <v>2</v>
      </c>
      <c r="AY136" s="773">
        <f t="shared" si="168"/>
        <v>0</v>
      </c>
      <c r="AZ136" s="773">
        <f t="shared" si="169"/>
        <v>0</v>
      </c>
      <c r="BA136" s="773">
        <f t="shared" si="183"/>
        <v>1</v>
      </c>
      <c r="BB136" s="773">
        <f t="shared" si="170"/>
        <v>0</v>
      </c>
      <c r="BC136" s="773">
        <f t="shared" si="171"/>
        <v>0</v>
      </c>
      <c r="BD136" s="773">
        <f t="shared" si="184"/>
        <v>0</v>
      </c>
      <c r="BE136" s="773">
        <f t="shared" si="172"/>
        <v>0</v>
      </c>
      <c r="BF136" s="787" t="s">
        <v>8553</v>
      </c>
      <c r="BX136" s="773">
        <v>2034</v>
      </c>
      <c r="BY136" s="773" t="s">
        <v>7917</v>
      </c>
    </row>
    <row r="137" spans="1:77" ht="15">
      <c r="A137" s="806" t="s">
        <v>7887</v>
      </c>
      <c r="B137" s="855" t="s">
        <v>1402</v>
      </c>
      <c r="C137" s="855" t="s">
        <v>353</v>
      </c>
      <c r="D137" s="855" t="s">
        <v>353</v>
      </c>
      <c r="E137" s="855" t="s">
        <v>9299</v>
      </c>
      <c r="F137" s="855" t="s">
        <v>353</v>
      </c>
      <c r="G137" s="806" t="s">
        <v>7871</v>
      </c>
      <c r="H137" s="855" t="s">
        <v>9301</v>
      </c>
      <c r="I137" s="855" t="s">
        <v>507</v>
      </c>
      <c r="J137" s="855" t="s">
        <v>9301</v>
      </c>
      <c r="K137" s="855" t="s">
        <v>9300</v>
      </c>
      <c r="L137" s="855" t="s">
        <v>507</v>
      </c>
      <c r="M137" s="855" t="s">
        <v>9298</v>
      </c>
      <c r="N137" s="855" t="s">
        <v>353</v>
      </c>
      <c r="O137" s="806" t="s">
        <v>7871</v>
      </c>
      <c r="P137" s="855" t="s">
        <v>505</v>
      </c>
      <c r="Q137" s="855" t="s">
        <v>9298</v>
      </c>
      <c r="R137" s="855" t="s">
        <v>9298</v>
      </c>
      <c r="V137" s="773">
        <f t="shared" si="149"/>
        <v>0</v>
      </c>
      <c r="W137" s="773">
        <f t="shared" si="173"/>
        <v>0</v>
      </c>
      <c r="X137" s="773">
        <f t="shared" si="150"/>
        <v>0</v>
      </c>
      <c r="Y137" s="773">
        <f t="shared" si="151"/>
        <v>0</v>
      </c>
      <c r="Z137" s="773">
        <f t="shared" si="174"/>
        <v>0</v>
      </c>
      <c r="AA137" s="773">
        <f t="shared" si="152"/>
        <v>0</v>
      </c>
      <c r="AB137" s="773">
        <f t="shared" si="153"/>
        <v>0</v>
      </c>
      <c r="AC137" s="773">
        <f t="shared" si="175"/>
        <v>0</v>
      </c>
      <c r="AD137" s="773">
        <f t="shared" si="154"/>
        <v>0</v>
      </c>
      <c r="AE137" s="773">
        <f t="shared" si="155"/>
        <v>0</v>
      </c>
      <c r="AF137" s="773">
        <f t="shared" si="176"/>
        <v>2</v>
      </c>
      <c r="AG137" s="773">
        <f t="shared" si="156"/>
        <v>0</v>
      </c>
      <c r="AH137" s="773">
        <f t="shared" si="157"/>
        <v>0</v>
      </c>
      <c r="AI137" s="773">
        <f t="shared" si="177"/>
        <v>0</v>
      </c>
      <c r="AJ137" s="773">
        <f t="shared" si="158"/>
        <v>0</v>
      </c>
      <c r="AK137" s="773">
        <f t="shared" si="159"/>
        <v>1</v>
      </c>
      <c r="AL137" s="773">
        <f t="shared" si="178"/>
        <v>2</v>
      </c>
      <c r="AM137" s="773">
        <f t="shared" si="160"/>
        <v>2</v>
      </c>
      <c r="AN137" s="773">
        <f t="shared" si="161"/>
        <v>0</v>
      </c>
      <c r="AO137" s="773">
        <f t="shared" si="179"/>
        <v>0</v>
      </c>
      <c r="AP137" s="773">
        <f t="shared" si="162"/>
        <v>0</v>
      </c>
      <c r="AQ137" s="773">
        <f t="shared" si="163"/>
        <v>0</v>
      </c>
      <c r="AR137" s="773">
        <f t="shared" si="180"/>
        <v>0</v>
      </c>
      <c r="AS137" s="773">
        <f t="shared" si="164"/>
        <v>0</v>
      </c>
      <c r="AT137" s="773">
        <f t="shared" si="165"/>
        <v>0</v>
      </c>
      <c r="AU137" s="773">
        <f t="shared" si="181"/>
        <v>1</v>
      </c>
      <c r="AV137" s="773">
        <f t="shared" si="166"/>
        <v>0</v>
      </c>
      <c r="AW137" s="773">
        <f t="shared" si="167"/>
        <v>0</v>
      </c>
      <c r="AX137" s="773">
        <f t="shared" si="182"/>
        <v>2</v>
      </c>
      <c r="AY137" s="773">
        <f t="shared" si="168"/>
        <v>0</v>
      </c>
      <c r="AZ137" s="773">
        <f t="shared" si="169"/>
        <v>0</v>
      </c>
      <c r="BA137" s="773">
        <f t="shared" si="183"/>
        <v>1</v>
      </c>
      <c r="BB137" s="773">
        <f t="shared" si="170"/>
        <v>0</v>
      </c>
      <c r="BC137" s="773">
        <f t="shared" si="171"/>
        <v>0</v>
      </c>
      <c r="BD137" s="773">
        <f t="shared" si="184"/>
        <v>0</v>
      </c>
      <c r="BE137" s="773">
        <f t="shared" si="172"/>
        <v>0</v>
      </c>
      <c r="BF137" s="787" t="s">
        <v>8554</v>
      </c>
      <c r="BX137" s="773">
        <v>2035</v>
      </c>
      <c r="BY137" s="773" t="s">
        <v>7918</v>
      </c>
    </row>
    <row r="138" spans="1:77" ht="15">
      <c r="A138" s="806" t="s">
        <v>7886</v>
      </c>
      <c r="B138" s="855" t="s">
        <v>9301</v>
      </c>
      <c r="C138" s="855" t="s">
        <v>9301</v>
      </c>
      <c r="D138" s="855" t="s">
        <v>9301</v>
      </c>
      <c r="E138" s="855" t="s">
        <v>9298</v>
      </c>
      <c r="F138" s="855" t="s">
        <v>1399</v>
      </c>
      <c r="G138" s="855" t="s">
        <v>506</v>
      </c>
      <c r="H138" s="855" t="s">
        <v>353</v>
      </c>
      <c r="I138" s="855" t="s">
        <v>506</v>
      </c>
      <c r="J138" s="855" t="s">
        <v>1402</v>
      </c>
      <c r="K138" s="855" t="s">
        <v>9300</v>
      </c>
      <c r="L138" s="855" t="s">
        <v>507</v>
      </c>
      <c r="M138" s="855" t="s">
        <v>506</v>
      </c>
      <c r="N138" s="855" t="s">
        <v>9300</v>
      </c>
      <c r="O138" s="855" t="s">
        <v>353</v>
      </c>
      <c r="P138" s="855" t="s">
        <v>9301</v>
      </c>
      <c r="Q138" s="806" t="s">
        <v>7871</v>
      </c>
      <c r="R138" s="855" t="s">
        <v>9299</v>
      </c>
      <c r="V138" s="773">
        <f t="shared" si="149"/>
        <v>0</v>
      </c>
      <c r="W138" s="773">
        <f t="shared" si="173"/>
        <v>0</v>
      </c>
      <c r="X138" s="773">
        <f t="shared" si="150"/>
        <v>0</v>
      </c>
      <c r="Y138" s="773">
        <f t="shared" si="151"/>
        <v>0</v>
      </c>
      <c r="Z138" s="773">
        <f t="shared" si="174"/>
        <v>0</v>
      </c>
      <c r="AA138" s="773">
        <f t="shared" si="152"/>
        <v>0</v>
      </c>
      <c r="AB138" s="773">
        <f t="shared" si="153"/>
        <v>0</v>
      </c>
      <c r="AC138" s="773">
        <f t="shared" si="175"/>
        <v>0</v>
      </c>
      <c r="AD138" s="773">
        <f t="shared" si="154"/>
        <v>0</v>
      </c>
      <c r="AE138" s="773">
        <f t="shared" si="155"/>
        <v>0</v>
      </c>
      <c r="AF138" s="773">
        <f t="shared" si="176"/>
        <v>2</v>
      </c>
      <c r="AG138" s="773">
        <f t="shared" si="156"/>
        <v>0</v>
      </c>
      <c r="AH138" s="773">
        <f t="shared" si="157"/>
        <v>0</v>
      </c>
      <c r="AI138" s="773">
        <f t="shared" si="177"/>
        <v>0</v>
      </c>
      <c r="AJ138" s="773">
        <f t="shared" si="158"/>
        <v>0</v>
      </c>
      <c r="AK138" s="773">
        <f t="shared" si="159"/>
        <v>0</v>
      </c>
      <c r="AL138" s="773">
        <f t="shared" si="178"/>
        <v>2</v>
      </c>
      <c r="AM138" s="773">
        <f t="shared" si="160"/>
        <v>0</v>
      </c>
      <c r="AN138" s="773">
        <f t="shared" si="161"/>
        <v>0</v>
      </c>
      <c r="AO138" s="773">
        <f t="shared" si="179"/>
        <v>0</v>
      </c>
      <c r="AP138" s="773">
        <f t="shared" si="162"/>
        <v>0</v>
      </c>
      <c r="AQ138" s="773">
        <f t="shared" si="163"/>
        <v>0</v>
      </c>
      <c r="AR138" s="773">
        <f t="shared" si="180"/>
        <v>0</v>
      </c>
      <c r="AS138" s="773">
        <f t="shared" si="164"/>
        <v>0</v>
      </c>
      <c r="AT138" s="773">
        <f t="shared" si="165"/>
        <v>0</v>
      </c>
      <c r="AU138" s="773">
        <f t="shared" si="181"/>
        <v>1</v>
      </c>
      <c r="AV138" s="773">
        <f t="shared" si="166"/>
        <v>0</v>
      </c>
      <c r="AW138" s="773">
        <f t="shared" si="167"/>
        <v>0</v>
      </c>
      <c r="AX138" s="773">
        <f t="shared" si="182"/>
        <v>2</v>
      </c>
      <c r="AY138" s="773">
        <f t="shared" si="168"/>
        <v>0</v>
      </c>
      <c r="AZ138" s="773">
        <f t="shared" si="169"/>
        <v>0</v>
      </c>
      <c r="BA138" s="773">
        <f t="shared" si="183"/>
        <v>1</v>
      </c>
      <c r="BB138" s="773">
        <f t="shared" si="170"/>
        <v>0</v>
      </c>
      <c r="BC138" s="773">
        <f t="shared" si="171"/>
        <v>1</v>
      </c>
      <c r="BD138" s="773">
        <f t="shared" si="184"/>
        <v>1</v>
      </c>
      <c r="BE138" s="773">
        <f t="shared" si="172"/>
        <v>1</v>
      </c>
      <c r="BF138" s="787" t="s">
        <v>8555</v>
      </c>
      <c r="BX138" s="773">
        <v>2036</v>
      </c>
      <c r="BY138" s="773" t="s">
        <v>7919</v>
      </c>
    </row>
    <row r="139" spans="1:77" ht="15">
      <c r="A139" s="806" t="s">
        <v>7880</v>
      </c>
      <c r="B139" s="855" t="s">
        <v>353</v>
      </c>
      <c r="C139" s="855" t="s">
        <v>1402</v>
      </c>
      <c r="D139" s="855" t="s">
        <v>1402</v>
      </c>
      <c r="E139" s="855" t="s">
        <v>9297</v>
      </c>
      <c r="F139" s="855" t="s">
        <v>505</v>
      </c>
      <c r="G139" s="855" t="s">
        <v>507</v>
      </c>
      <c r="H139" s="855" t="s">
        <v>1399</v>
      </c>
      <c r="I139" s="806" t="s">
        <v>7871</v>
      </c>
      <c r="J139" s="855" t="s">
        <v>9300</v>
      </c>
      <c r="K139" s="855" t="s">
        <v>9300</v>
      </c>
      <c r="L139" s="855" t="s">
        <v>507</v>
      </c>
      <c r="M139" s="855" t="s">
        <v>1399</v>
      </c>
      <c r="N139" s="855" t="s">
        <v>9297</v>
      </c>
      <c r="O139" s="855" t="s">
        <v>9300</v>
      </c>
      <c r="P139" s="855" t="s">
        <v>9299</v>
      </c>
      <c r="Q139" s="855" t="s">
        <v>9301</v>
      </c>
      <c r="R139" s="855" t="s">
        <v>9300</v>
      </c>
      <c r="V139" s="773">
        <f t="shared" si="149"/>
        <v>0</v>
      </c>
      <c r="W139" s="773">
        <f t="shared" si="173"/>
        <v>0</v>
      </c>
      <c r="X139" s="773">
        <f t="shared" si="150"/>
        <v>0</v>
      </c>
      <c r="Y139" s="773">
        <f t="shared" si="151"/>
        <v>0</v>
      </c>
      <c r="Z139" s="773">
        <f t="shared" si="174"/>
        <v>0</v>
      </c>
      <c r="AA139" s="773">
        <f t="shared" si="152"/>
        <v>0</v>
      </c>
      <c r="AB139" s="773">
        <f t="shared" si="153"/>
        <v>0</v>
      </c>
      <c r="AC139" s="773">
        <f t="shared" si="175"/>
        <v>0</v>
      </c>
      <c r="AD139" s="773">
        <f t="shared" si="154"/>
        <v>0</v>
      </c>
      <c r="AE139" s="773">
        <f t="shared" si="155"/>
        <v>0</v>
      </c>
      <c r="AF139" s="773">
        <f t="shared" si="176"/>
        <v>2</v>
      </c>
      <c r="AG139" s="773">
        <f t="shared" si="156"/>
        <v>0</v>
      </c>
      <c r="AH139" s="773">
        <f t="shared" si="157"/>
        <v>0</v>
      </c>
      <c r="AI139" s="773">
        <f t="shared" si="177"/>
        <v>0</v>
      </c>
      <c r="AJ139" s="773">
        <f t="shared" si="158"/>
        <v>0</v>
      </c>
      <c r="AK139" s="773">
        <f t="shared" si="159"/>
        <v>0</v>
      </c>
      <c r="AL139" s="773">
        <f t="shared" si="178"/>
        <v>2</v>
      </c>
      <c r="AM139" s="773">
        <f t="shared" si="160"/>
        <v>0</v>
      </c>
      <c r="AN139" s="773">
        <f t="shared" si="161"/>
        <v>0</v>
      </c>
      <c r="AO139" s="773">
        <f t="shared" si="179"/>
        <v>0</v>
      </c>
      <c r="AP139" s="773">
        <f t="shared" si="162"/>
        <v>0</v>
      </c>
      <c r="AQ139" s="773">
        <f t="shared" si="163"/>
        <v>0</v>
      </c>
      <c r="AR139" s="773">
        <f t="shared" si="180"/>
        <v>0</v>
      </c>
      <c r="AS139" s="773">
        <f t="shared" si="164"/>
        <v>0</v>
      </c>
      <c r="AT139" s="773">
        <f t="shared" si="165"/>
        <v>0</v>
      </c>
      <c r="AU139" s="773">
        <f t="shared" si="181"/>
        <v>1</v>
      </c>
      <c r="AV139" s="773">
        <f t="shared" si="166"/>
        <v>0</v>
      </c>
      <c r="AW139" s="773">
        <f t="shared" si="167"/>
        <v>0</v>
      </c>
      <c r="AX139" s="773">
        <f t="shared" si="182"/>
        <v>2</v>
      </c>
      <c r="AY139" s="773">
        <f t="shared" si="168"/>
        <v>0</v>
      </c>
      <c r="AZ139" s="773">
        <f t="shared" si="169"/>
        <v>0</v>
      </c>
      <c r="BA139" s="773">
        <f t="shared" si="183"/>
        <v>1</v>
      </c>
      <c r="BB139" s="773">
        <f t="shared" si="170"/>
        <v>0</v>
      </c>
      <c r="BC139" s="773">
        <f t="shared" si="171"/>
        <v>0</v>
      </c>
      <c r="BD139" s="773">
        <f t="shared" si="184"/>
        <v>1</v>
      </c>
      <c r="BE139" s="773">
        <f t="shared" si="172"/>
        <v>0</v>
      </c>
      <c r="BX139" s="773">
        <v>2037</v>
      </c>
      <c r="BY139" s="773" t="s">
        <v>7920</v>
      </c>
    </row>
    <row r="140" spans="1:77" ht="15">
      <c r="A140" s="806" t="s">
        <v>7877</v>
      </c>
      <c r="B140" s="855" t="s">
        <v>1399</v>
      </c>
      <c r="C140" s="855" t="s">
        <v>9300</v>
      </c>
      <c r="D140" s="855" t="s">
        <v>9300</v>
      </c>
      <c r="E140" s="855" t="s">
        <v>507</v>
      </c>
      <c r="F140" s="806" t="s">
        <v>7871</v>
      </c>
      <c r="G140" s="855" t="s">
        <v>9297</v>
      </c>
      <c r="H140" s="855" t="s">
        <v>505</v>
      </c>
      <c r="I140" s="855" t="s">
        <v>505</v>
      </c>
      <c r="J140" s="855" t="s">
        <v>9299</v>
      </c>
      <c r="K140" s="855" t="s">
        <v>353</v>
      </c>
      <c r="L140" s="855" t="s">
        <v>9299</v>
      </c>
      <c r="M140" s="855" t="s">
        <v>1402</v>
      </c>
      <c r="N140" s="806" t="s">
        <v>7871</v>
      </c>
      <c r="O140" s="855" t="s">
        <v>9297</v>
      </c>
      <c r="P140" s="855" t="s">
        <v>507</v>
      </c>
      <c r="Q140" s="855" t="s">
        <v>9298</v>
      </c>
      <c r="R140" s="855" t="s">
        <v>1402</v>
      </c>
      <c r="S140" s="912"/>
      <c r="T140" s="912"/>
      <c r="U140" s="912"/>
      <c r="BX140" s="773">
        <v>2038</v>
      </c>
      <c r="BY140" s="773" t="s">
        <v>7922</v>
      </c>
    </row>
    <row r="141" spans="1:77" ht="15" customHeight="1">
      <c r="A141" s="855"/>
      <c r="Y141" s="796"/>
      <c r="AD141" s="796"/>
      <c r="AI141" s="796"/>
      <c r="AM141" s="796"/>
      <c r="AQ141" s="796"/>
      <c r="AU141" s="796"/>
      <c r="AY141" s="796"/>
      <c r="BC141" s="796"/>
      <c r="BG141" s="796"/>
      <c r="BK141" s="796"/>
      <c r="BO141" s="796"/>
      <c r="BS141" s="796"/>
      <c r="BX141" s="773">
        <v>2039</v>
      </c>
      <c r="BY141" s="773" t="s">
        <v>7923</v>
      </c>
    </row>
    <row r="142" spans="1:77" s="912" customFormat="1" ht="14.25" customHeight="1">
      <c r="A142" s="914"/>
      <c r="B142" s="912" t="str">
        <f t="shared" ref="B142:R142" ca="1" si="185">VLOOKUP($G$17,$A$128:$R$140,B123,0)</f>
        <v>Tuất</v>
      </c>
      <c r="C142" s="912" t="str">
        <f t="shared" ca="1" si="185"/>
        <v>Thìn</v>
      </c>
      <c r="D142" s="912" t="str">
        <f t="shared" ca="1" si="185"/>
        <v>Thìn</v>
      </c>
      <c r="E142" s="912" t="str">
        <f t="shared" ca="1" si="185"/>
        <v>Tý</v>
      </c>
      <c r="F142" s="912" t="str">
        <f t="shared" ca="1" si="185"/>
        <v>Tý</v>
      </c>
      <c r="G142" s="912" t="str">
        <f t="shared" ca="1" si="185"/>
        <v>Mão</v>
      </c>
      <c r="H142" s="912" t="str">
        <f t="shared" ca="1" si="185"/>
        <v>Hợi</v>
      </c>
      <c r="I142" s="912" t="str">
        <f t="shared" ca="1" si="185"/>
        <v>Dậu</v>
      </c>
      <c r="J142" s="912" t="str">
        <f t="shared" ca="1" si="185"/>
        <v>Mão</v>
      </c>
      <c r="K142" s="912" t="str">
        <f t="shared" ca="1" si="185"/>
        <v>Thân</v>
      </c>
      <c r="L142" s="912" t="str">
        <f t="shared" ca="1" si="185"/>
        <v>Thìn</v>
      </c>
      <c r="M142" s="912" t="str">
        <f t="shared" ca="1" si="185"/>
        <v>Mão</v>
      </c>
      <c r="N142" s="912" t="str">
        <f t="shared" ca="1" si="185"/>
        <v>Thân</v>
      </c>
      <c r="O142" s="912" t="str">
        <f t="shared" ca="1" si="185"/>
        <v>Hợi</v>
      </c>
      <c r="P142" s="912" t="str">
        <f t="shared" ca="1" si="185"/>
        <v>Tuất</v>
      </c>
      <c r="Q142" s="912" t="str">
        <f t="shared" ca="1" si="185"/>
        <v>tỵ</v>
      </c>
      <c r="R142" s="912" t="str">
        <f t="shared" ca="1" si="185"/>
        <v>Mùi</v>
      </c>
      <c r="S142" s="773"/>
      <c r="T142" s="773"/>
      <c r="U142" s="773"/>
      <c r="V142" s="773" t="e">
        <f t="shared" ref="V142:V150" si="186">VLOOKUP(T63,$X$129:$BF$139,35,0)</f>
        <v>#N/A</v>
      </c>
      <c r="W142" s="773" t="b">
        <f t="shared" ref="W142:W150" si="187">ISTEXT(V142)</f>
        <v>0</v>
      </c>
      <c r="X142" s="773">
        <f t="shared" ref="X142:X150" si="188">IF(LEFT(W142,1)="T",1,0)</f>
        <v>0</v>
      </c>
      <c r="Y142" s="773" t="str">
        <f t="shared" ref="Y142:Y150" si="189">IF(X142=1,V142," ")</f>
        <v xml:space="preserve"> </v>
      </c>
      <c r="Z142" s="773"/>
      <c r="AA142" s="773" t="e">
        <f t="shared" ref="AA142:AA150" si="190">VLOOKUP(T63,$AA$129:$BF$139,32,0)</f>
        <v>#N/A</v>
      </c>
      <c r="AB142" s="773" t="b">
        <f t="shared" ref="AB142:AB150" si="191">ISTEXT(AA142)</f>
        <v>0</v>
      </c>
      <c r="AC142" s="773">
        <f t="shared" ref="AC142:AC150" si="192">IF(LEFT(AB142,1)="T",1,0)</f>
        <v>0</v>
      </c>
      <c r="AD142" s="773" t="str">
        <f t="shared" ref="AD142:AD150" si="193">IF(AC142=1,AA142," ")</f>
        <v xml:space="preserve"> </v>
      </c>
      <c r="AE142" s="773"/>
      <c r="AF142" s="773" t="e">
        <f t="shared" ref="AF142:AF150" si="194">VLOOKUP(T63,$AD$129:$BF$139,29,0)</f>
        <v>#N/A</v>
      </c>
      <c r="AG142" s="773" t="b">
        <f t="shared" ref="AG142:AG150" si="195">ISTEXT(AF142)</f>
        <v>0</v>
      </c>
      <c r="AH142" s="773">
        <f t="shared" ref="AH142:AH150" si="196">IF(LEFT(AG142,1)="T",1,0)</f>
        <v>0</v>
      </c>
      <c r="AI142" s="773" t="str">
        <f t="shared" ref="AI142:AI150" si="197">IF(AH142=1,AF142," ")</f>
        <v xml:space="preserve"> </v>
      </c>
      <c r="AJ142" s="773" t="str">
        <f t="shared" ref="AJ142:AJ150" si="198">VLOOKUP(T63,$AG$129:$BF$139,26,0)</f>
        <v>L.TTuế</v>
      </c>
      <c r="AK142" s="773" t="b">
        <f t="shared" ref="AK142:AK150" si="199">ISTEXT(AJ142)</f>
        <v>1</v>
      </c>
      <c r="AL142" s="773">
        <f t="shared" ref="AL142:AL150" si="200">IF(LEFT(AK142,1)="T",1,0)</f>
        <v>1</v>
      </c>
      <c r="AM142" s="773" t="str">
        <f t="shared" ref="AM142:AM150" si="201">IF(AL142=1,AJ142," ")</f>
        <v>L.TTuế</v>
      </c>
      <c r="AN142" s="773" t="e">
        <f t="shared" ref="AN142:AN150" si="202">VLOOKUP(T63,$AJ$129:$BF$139,23,0)</f>
        <v>#N/A</v>
      </c>
      <c r="AO142" s="773" t="b">
        <f t="shared" ref="AO142:AO150" si="203">ISTEXT(AN142)</f>
        <v>0</v>
      </c>
      <c r="AP142" s="773">
        <f t="shared" ref="AP142:AP150" si="204">IF(LEFT(AO142,1)="T",1,0)</f>
        <v>0</v>
      </c>
      <c r="AQ142" s="773" t="str">
        <f t="shared" ref="AQ142:AQ150" si="205">IF(AP142=1,AN142," ")</f>
        <v xml:space="preserve"> </v>
      </c>
      <c r="AR142" s="773" t="str">
        <f t="shared" ref="AR142:AR150" si="206">VLOOKUP(T63,$AM$129:$BF$139,20,0)</f>
        <v>L.Mã</v>
      </c>
      <c r="AS142" s="773" t="b">
        <f t="shared" ref="AS142:AS150" si="207">ISTEXT(AR142)</f>
        <v>1</v>
      </c>
      <c r="AT142" s="773">
        <f t="shared" ref="AT142:AT150" si="208">IF(LEFT(AS142,1)="T",1,0)</f>
        <v>1</v>
      </c>
      <c r="AU142" s="773" t="str">
        <f t="shared" ref="AU142:AU150" si="209">IF(AT142=1,AR142," ")</f>
        <v>L.Mã</v>
      </c>
      <c r="AV142" s="773" t="e">
        <f t="shared" ref="AV142:AV150" si="210">VLOOKUP(T63,$AP$129:$BF$139,17,0)</f>
        <v>#N/A</v>
      </c>
      <c r="AW142" s="773" t="b">
        <f t="shared" ref="AW142:AW150" si="211">ISTEXT(AV142)</f>
        <v>0</v>
      </c>
      <c r="AX142" s="773">
        <f t="shared" ref="AX142:AX150" si="212">IF(LEFT(AW142,1)="T",1,0)</f>
        <v>0</v>
      </c>
      <c r="AY142" s="773" t="str">
        <f t="shared" ref="AY142:AY150" si="213">IF(AX142=1,AV142," ")</f>
        <v xml:space="preserve"> </v>
      </c>
      <c r="AZ142" s="773" t="e">
        <f t="shared" ref="AZ142:AZ150" si="214">VLOOKUP(T63,$AS$129:$BF$139,14,0)</f>
        <v>#N/A</v>
      </c>
      <c r="BA142" s="773" t="b">
        <f t="shared" ref="BA142:BA150" si="215">ISTEXT(AZ142)</f>
        <v>0</v>
      </c>
      <c r="BB142" s="773">
        <f t="shared" ref="BB142:BB150" si="216">IF(LEFT(BA142,1)="T",1,0)</f>
        <v>0</v>
      </c>
      <c r="BC142" s="773" t="str">
        <f t="shared" ref="BC142:BC150" si="217">IF(BB142=1,AZ142," ")</f>
        <v xml:space="preserve"> </v>
      </c>
      <c r="BD142" s="773" t="str">
        <f t="shared" ref="BD142:BD150" si="218">VLOOKUP(T63,$AV$129:$BF$139,11,0)</f>
        <v>L.Đà</v>
      </c>
      <c r="BE142" s="773" t="b">
        <f t="shared" ref="BE142:BE150" si="219">ISTEXT(BD142)</f>
        <v>1</v>
      </c>
      <c r="BF142" s="773">
        <f t="shared" ref="BF142:BF150" si="220">IF(LEFT(BE142,1)="T",1,0)</f>
        <v>1</v>
      </c>
      <c r="BG142" s="773" t="str">
        <f t="shared" ref="BG142:BG150" si="221">IF(BF142=1,BD142," ")</f>
        <v>L.Đà</v>
      </c>
      <c r="BH142" s="773" t="str">
        <f t="shared" ref="BH142:BH150" si="222">VLOOKUP(T63,$AY$129:$BF$139,8,0)</f>
        <v>L.Lộc</v>
      </c>
      <c r="BI142" s="773" t="b">
        <f t="shared" ref="BI142:BI150" si="223">ISTEXT(BH142)</f>
        <v>1</v>
      </c>
      <c r="BJ142" s="773">
        <f t="shared" ref="BJ142:BJ150" si="224">IF(LEFT(BI142,1)="T",1,0)</f>
        <v>1</v>
      </c>
      <c r="BK142" s="773" t="str">
        <f t="shared" ref="BK142:BK150" si="225">IF(BJ142=1,BH142," ")</f>
        <v>L.Lộc</v>
      </c>
      <c r="BL142" s="773" t="str">
        <f t="shared" ref="BL142:BL150" si="226">VLOOKUP(T63,$BB$129:$BF$139,5,0)</f>
        <v>L.Kình</v>
      </c>
      <c r="BM142" s="773" t="b">
        <f t="shared" ref="BM142:BM150" si="227">ISTEXT(BL142)</f>
        <v>1</v>
      </c>
      <c r="BN142" s="773">
        <f t="shared" ref="BN142:BN150" si="228">IF(LEFT(BM142,1)="T",1,0)</f>
        <v>1</v>
      </c>
      <c r="BO142" s="773" t="str">
        <f t="shared" ref="BO142:BO150" si="229">IF(BN142=1,BL142," ")</f>
        <v>L.Kình</v>
      </c>
      <c r="BP142" s="773" t="str">
        <f t="shared" ref="BP142:BP150" si="230">VLOOKUP(T63,$BE$129:$BF$139,2,0)</f>
        <v>L.Hổ</v>
      </c>
      <c r="BQ142" s="773" t="b">
        <f t="shared" ref="BQ142:BQ150" si="231">ISTEXT(BP142)</f>
        <v>1</v>
      </c>
      <c r="BR142" s="773">
        <f t="shared" ref="BR142:BR150" si="232">IF(LEFT(BQ142,1)="T",1,0)</f>
        <v>1</v>
      </c>
      <c r="BS142" s="773" t="str">
        <f t="shared" ref="BS142:BS150" si="233">IF(BR142=1,BP142," ")</f>
        <v>L.Hổ</v>
      </c>
      <c r="BX142" s="773">
        <v>2040</v>
      </c>
      <c r="BY142" s="773" t="s">
        <v>7924</v>
      </c>
    </row>
    <row r="143" spans="1:77" ht="15">
      <c r="A143" s="855"/>
      <c r="V143" s="773" t="e">
        <f t="shared" si="186"/>
        <v>#N/A</v>
      </c>
      <c r="W143" s="773" t="b">
        <f t="shared" si="187"/>
        <v>0</v>
      </c>
      <c r="X143" s="773">
        <f t="shared" si="188"/>
        <v>0</v>
      </c>
      <c r="Y143" s="773" t="str">
        <f t="shared" si="189"/>
        <v xml:space="preserve"> </v>
      </c>
      <c r="AA143" s="773" t="e">
        <f t="shared" si="190"/>
        <v>#N/A</v>
      </c>
      <c r="AB143" s="773" t="b">
        <f t="shared" si="191"/>
        <v>0</v>
      </c>
      <c r="AC143" s="773">
        <f t="shared" si="192"/>
        <v>0</v>
      </c>
      <c r="AD143" s="773" t="str">
        <f t="shared" si="193"/>
        <v xml:space="preserve"> </v>
      </c>
      <c r="AF143" s="773" t="e">
        <f t="shared" si="194"/>
        <v>#N/A</v>
      </c>
      <c r="AG143" s="773" t="b">
        <f t="shared" si="195"/>
        <v>0</v>
      </c>
      <c r="AH143" s="773">
        <f t="shared" si="196"/>
        <v>0</v>
      </c>
      <c r="AI143" s="773" t="str">
        <f t="shared" si="197"/>
        <v xml:space="preserve"> </v>
      </c>
      <c r="AJ143" s="773" t="str">
        <f t="shared" si="198"/>
        <v>L.Khốc</v>
      </c>
      <c r="AK143" s="773" t="b">
        <f t="shared" si="199"/>
        <v>1</v>
      </c>
      <c r="AL143" s="773">
        <f t="shared" si="200"/>
        <v>1</v>
      </c>
      <c r="AM143" s="773" t="str">
        <f t="shared" si="201"/>
        <v>L.Khốc</v>
      </c>
      <c r="AN143" s="773" t="e">
        <f t="shared" si="202"/>
        <v>#N/A</v>
      </c>
      <c r="AO143" s="773" t="b">
        <f t="shared" si="203"/>
        <v>0</v>
      </c>
      <c r="AP143" s="773">
        <f t="shared" si="204"/>
        <v>0</v>
      </c>
      <c r="AQ143" s="773" t="str">
        <f t="shared" si="205"/>
        <v xml:space="preserve"> </v>
      </c>
      <c r="AR143" s="773" t="str">
        <f t="shared" si="206"/>
        <v>L.Tang</v>
      </c>
      <c r="AS143" s="773" t="b">
        <f t="shared" si="207"/>
        <v>1</v>
      </c>
      <c r="AT143" s="773">
        <f t="shared" si="208"/>
        <v>1</v>
      </c>
      <c r="AU143" s="773" t="str">
        <f t="shared" si="209"/>
        <v>L.Tang</v>
      </c>
      <c r="AV143" s="773" t="e">
        <f t="shared" si="210"/>
        <v>#N/A</v>
      </c>
      <c r="AW143" s="773" t="b">
        <f t="shared" si="211"/>
        <v>0</v>
      </c>
      <c r="AX143" s="773">
        <f t="shared" si="212"/>
        <v>0</v>
      </c>
      <c r="AY143" s="773" t="str">
        <f t="shared" si="213"/>
        <v xml:space="preserve"> </v>
      </c>
      <c r="AZ143" s="773" t="e">
        <f t="shared" si="214"/>
        <v>#N/A</v>
      </c>
      <c r="BA143" s="773" t="b">
        <f t="shared" si="215"/>
        <v>0</v>
      </c>
      <c r="BB143" s="773">
        <f t="shared" si="216"/>
        <v>0</v>
      </c>
      <c r="BC143" s="773" t="str">
        <f t="shared" si="217"/>
        <v xml:space="preserve"> </v>
      </c>
      <c r="BD143" s="773" t="e">
        <f t="shared" si="218"/>
        <v>#N/A</v>
      </c>
      <c r="BE143" s="773" t="b">
        <f t="shared" si="219"/>
        <v>0</v>
      </c>
      <c r="BF143" s="773">
        <f t="shared" si="220"/>
        <v>0</v>
      </c>
      <c r="BG143" s="773" t="str">
        <f t="shared" si="221"/>
        <v xml:space="preserve"> </v>
      </c>
      <c r="BH143" s="773" t="str">
        <f t="shared" si="222"/>
        <v>L.Hư</v>
      </c>
      <c r="BI143" s="773" t="b">
        <f t="shared" si="223"/>
        <v>1</v>
      </c>
      <c r="BJ143" s="773">
        <f t="shared" si="224"/>
        <v>1</v>
      </c>
      <c r="BK143" s="773" t="str">
        <f t="shared" si="225"/>
        <v>L.Hư</v>
      </c>
      <c r="BL143" s="773" t="e">
        <f t="shared" si="226"/>
        <v>#N/A</v>
      </c>
      <c r="BM143" s="773" t="b">
        <f t="shared" si="227"/>
        <v>0</v>
      </c>
      <c r="BN143" s="773">
        <f t="shared" si="228"/>
        <v>0</v>
      </c>
      <c r="BO143" s="773" t="str">
        <f t="shared" si="229"/>
        <v xml:space="preserve"> </v>
      </c>
      <c r="BP143" s="773" t="e">
        <f t="shared" si="230"/>
        <v>#N/A</v>
      </c>
      <c r="BQ143" s="773" t="b">
        <f t="shared" si="231"/>
        <v>0</v>
      </c>
      <c r="BR143" s="773">
        <f t="shared" si="232"/>
        <v>0</v>
      </c>
      <c r="BS143" s="773" t="str">
        <f t="shared" si="233"/>
        <v xml:space="preserve"> </v>
      </c>
      <c r="BX143" s="773">
        <v>2041</v>
      </c>
      <c r="BY143" s="773" t="s">
        <v>7925</v>
      </c>
    </row>
    <row r="144" spans="1:77" ht="15.75">
      <c r="A144" s="936" t="s">
        <v>8556</v>
      </c>
      <c r="V144" s="773" t="e">
        <f t="shared" si="186"/>
        <v>#N/A</v>
      </c>
      <c r="W144" s="773" t="b">
        <f t="shared" si="187"/>
        <v>0</v>
      </c>
      <c r="X144" s="773">
        <f t="shared" si="188"/>
        <v>0</v>
      </c>
      <c r="Y144" s="773" t="str">
        <f t="shared" si="189"/>
        <v xml:space="preserve"> </v>
      </c>
      <c r="AA144" s="773" t="e">
        <f t="shared" si="190"/>
        <v>#N/A</v>
      </c>
      <c r="AB144" s="773" t="b">
        <f t="shared" si="191"/>
        <v>0</v>
      </c>
      <c r="AC144" s="773">
        <f t="shared" si="192"/>
        <v>0</v>
      </c>
      <c r="AD144" s="773" t="str">
        <f t="shared" si="193"/>
        <v xml:space="preserve"> </v>
      </c>
      <c r="AF144" s="773" t="e">
        <f t="shared" si="194"/>
        <v>#N/A</v>
      </c>
      <c r="AG144" s="773" t="b">
        <f t="shared" si="195"/>
        <v>0</v>
      </c>
      <c r="AH144" s="773">
        <f t="shared" si="196"/>
        <v>0</v>
      </c>
      <c r="AI144" s="773" t="str">
        <f t="shared" si="197"/>
        <v xml:space="preserve"> </v>
      </c>
      <c r="AJ144" s="773" t="e">
        <f t="shared" si="198"/>
        <v>#N/A</v>
      </c>
      <c r="AK144" s="773" t="b">
        <f t="shared" si="199"/>
        <v>0</v>
      </c>
      <c r="AL144" s="773">
        <f t="shared" si="200"/>
        <v>0</v>
      </c>
      <c r="AM144" s="773" t="str">
        <f t="shared" si="201"/>
        <v xml:space="preserve"> </v>
      </c>
      <c r="AN144" s="773" t="e">
        <f t="shared" si="202"/>
        <v>#N/A</v>
      </c>
      <c r="AO144" s="773" t="b">
        <f t="shared" si="203"/>
        <v>0</v>
      </c>
      <c r="AP144" s="773">
        <f t="shared" si="204"/>
        <v>0</v>
      </c>
      <c r="AQ144" s="773" t="str">
        <f t="shared" si="205"/>
        <v xml:space="preserve"> </v>
      </c>
      <c r="AR144" s="773" t="e">
        <f t="shared" si="206"/>
        <v>#N/A</v>
      </c>
      <c r="AS144" s="773" t="b">
        <f t="shared" si="207"/>
        <v>0</v>
      </c>
      <c r="AT144" s="773">
        <f t="shared" si="208"/>
        <v>0</v>
      </c>
      <c r="AU144" s="773" t="str">
        <f t="shared" si="209"/>
        <v xml:space="preserve"> </v>
      </c>
      <c r="AV144" s="773" t="e">
        <f t="shared" si="210"/>
        <v>#N/A</v>
      </c>
      <c r="AW144" s="773" t="b">
        <f t="shared" si="211"/>
        <v>0</v>
      </c>
      <c r="AX144" s="773">
        <f t="shared" si="212"/>
        <v>0</v>
      </c>
      <c r="AY144" s="773" t="str">
        <f t="shared" si="213"/>
        <v xml:space="preserve"> </v>
      </c>
      <c r="AZ144" s="773" t="e">
        <f t="shared" si="214"/>
        <v>#N/A</v>
      </c>
      <c r="BA144" s="773" t="b">
        <f t="shared" si="215"/>
        <v>0</v>
      </c>
      <c r="BB144" s="773">
        <f t="shared" si="216"/>
        <v>0</v>
      </c>
      <c r="BC144" s="773" t="str">
        <f t="shared" si="217"/>
        <v xml:space="preserve"> </v>
      </c>
      <c r="BD144" s="773" t="e">
        <f t="shared" si="218"/>
        <v>#N/A</v>
      </c>
      <c r="BE144" s="773" t="b">
        <f t="shared" si="219"/>
        <v>0</v>
      </c>
      <c r="BF144" s="773">
        <f t="shared" si="220"/>
        <v>0</v>
      </c>
      <c r="BG144" s="773" t="str">
        <f t="shared" si="221"/>
        <v xml:space="preserve"> </v>
      </c>
      <c r="BH144" s="773" t="e">
        <f t="shared" si="222"/>
        <v>#N/A</v>
      </c>
      <c r="BI144" s="773" t="b">
        <f t="shared" si="223"/>
        <v>0</v>
      </c>
      <c r="BJ144" s="773">
        <f t="shared" si="224"/>
        <v>0</v>
      </c>
      <c r="BK144" s="773" t="str">
        <f t="shared" si="225"/>
        <v xml:space="preserve"> </v>
      </c>
      <c r="BL144" s="773" t="e">
        <f t="shared" si="226"/>
        <v>#N/A</v>
      </c>
      <c r="BM144" s="773" t="b">
        <f t="shared" si="227"/>
        <v>0</v>
      </c>
      <c r="BN144" s="773">
        <f t="shared" si="228"/>
        <v>0</v>
      </c>
      <c r="BO144" s="773" t="str">
        <f t="shared" si="229"/>
        <v xml:space="preserve"> </v>
      </c>
      <c r="BP144" s="773" t="e">
        <f t="shared" si="230"/>
        <v>#N/A</v>
      </c>
      <c r="BQ144" s="773" t="b">
        <f t="shared" si="231"/>
        <v>0</v>
      </c>
      <c r="BR144" s="773">
        <f t="shared" si="232"/>
        <v>0</v>
      </c>
      <c r="BS144" s="773" t="str">
        <f t="shared" si="233"/>
        <v xml:space="preserve"> </v>
      </c>
      <c r="BX144" s="773">
        <v>2042</v>
      </c>
      <c r="BY144" s="773" t="s">
        <v>7927</v>
      </c>
    </row>
    <row r="145" spans="1:77" ht="30">
      <c r="A145" s="1028"/>
      <c r="B145" s="855" t="s">
        <v>8557</v>
      </c>
      <c r="C145" s="855" t="s">
        <v>6667</v>
      </c>
      <c r="D145" s="855" t="s">
        <v>9333</v>
      </c>
      <c r="E145" s="855" t="s">
        <v>5946</v>
      </c>
      <c r="F145" s="1028" t="s">
        <v>6659</v>
      </c>
      <c r="G145" s="1028" t="s">
        <v>6662</v>
      </c>
      <c r="H145" s="1028" t="s">
        <v>6654</v>
      </c>
      <c r="I145" s="1028" t="s">
        <v>6657</v>
      </c>
      <c r="J145" s="1028" t="s">
        <v>6664</v>
      </c>
      <c r="K145" s="1028" t="s">
        <v>6656</v>
      </c>
      <c r="L145" s="1028" t="s">
        <v>6655</v>
      </c>
      <c r="M145" s="1028" t="s">
        <v>6663</v>
      </c>
      <c r="O145" s="773">
        <v>1</v>
      </c>
      <c r="P145" s="773" t="s">
        <v>8558</v>
      </c>
      <c r="Q145" s="773" t="str">
        <f ca="1">H86</f>
        <v>Mão</v>
      </c>
      <c r="R145" s="773">
        <v>1</v>
      </c>
      <c r="S145" s="796" t="e">
        <f t="shared" ref="S145:S152" ca="1" si="234">VLOOKUP(I33,$P$145:$R$187,3,0)</f>
        <v>#N/A</v>
      </c>
      <c r="V145" s="773" t="e">
        <f t="shared" si="186"/>
        <v>#N/A</v>
      </c>
      <c r="W145" s="773" t="b">
        <f t="shared" si="187"/>
        <v>0</v>
      </c>
      <c r="X145" s="773">
        <f t="shared" si="188"/>
        <v>0</v>
      </c>
      <c r="Y145" s="773" t="str">
        <f t="shared" si="189"/>
        <v xml:space="preserve"> </v>
      </c>
      <c r="AA145" s="773" t="e">
        <f t="shared" si="190"/>
        <v>#N/A</v>
      </c>
      <c r="AB145" s="773" t="b">
        <f t="shared" si="191"/>
        <v>0</v>
      </c>
      <c r="AC145" s="773">
        <f t="shared" si="192"/>
        <v>0</v>
      </c>
      <c r="AD145" s="773" t="str">
        <f t="shared" si="193"/>
        <v xml:space="preserve"> </v>
      </c>
      <c r="AF145" s="773" t="e">
        <f t="shared" si="194"/>
        <v>#N/A</v>
      </c>
      <c r="AG145" s="773" t="b">
        <f t="shared" si="195"/>
        <v>0</v>
      </c>
      <c r="AH145" s="773">
        <f t="shared" si="196"/>
        <v>0</v>
      </c>
      <c r="AI145" s="773" t="str">
        <f t="shared" si="197"/>
        <v xml:space="preserve"> </v>
      </c>
      <c r="AJ145" s="773" t="e">
        <f t="shared" si="198"/>
        <v>#N/A</v>
      </c>
      <c r="AK145" s="773" t="b">
        <f t="shared" si="199"/>
        <v>0</v>
      </c>
      <c r="AL145" s="773">
        <f t="shared" si="200"/>
        <v>0</v>
      </c>
      <c r="AM145" s="773" t="str">
        <f t="shared" si="201"/>
        <v xml:space="preserve"> </v>
      </c>
      <c r="AN145" s="773" t="e">
        <f t="shared" si="202"/>
        <v>#N/A</v>
      </c>
      <c r="AO145" s="773" t="b">
        <f t="shared" si="203"/>
        <v>0</v>
      </c>
      <c r="AP145" s="773">
        <f t="shared" si="204"/>
        <v>0</v>
      </c>
      <c r="AQ145" s="773" t="str">
        <f t="shared" si="205"/>
        <v xml:space="preserve"> </v>
      </c>
      <c r="AR145" s="773" t="e">
        <f t="shared" si="206"/>
        <v>#N/A</v>
      </c>
      <c r="AS145" s="773" t="b">
        <f t="shared" si="207"/>
        <v>0</v>
      </c>
      <c r="AT145" s="773">
        <f t="shared" si="208"/>
        <v>0</v>
      </c>
      <c r="AU145" s="773" t="str">
        <f t="shared" si="209"/>
        <v xml:space="preserve"> </v>
      </c>
      <c r="AV145" s="773" t="e">
        <f t="shared" si="210"/>
        <v>#N/A</v>
      </c>
      <c r="AW145" s="773" t="b">
        <f t="shared" si="211"/>
        <v>0</v>
      </c>
      <c r="AX145" s="773">
        <f t="shared" si="212"/>
        <v>0</v>
      </c>
      <c r="AY145" s="773" t="str">
        <f t="shared" si="213"/>
        <v xml:space="preserve"> </v>
      </c>
      <c r="AZ145" s="773" t="e">
        <f t="shared" si="214"/>
        <v>#N/A</v>
      </c>
      <c r="BA145" s="773" t="b">
        <f t="shared" si="215"/>
        <v>0</v>
      </c>
      <c r="BB145" s="773">
        <f t="shared" si="216"/>
        <v>0</v>
      </c>
      <c r="BC145" s="773" t="str">
        <f t="shared" si="217"/>
        <v xml:space="preserve"> </v>
      </c>
      <c r="BD145" s="773" t="e">
        <f t="shared" si="218"/>
        <v>#N/A</v>
      </c>
      <c r="BE145" s="773" t="b">
        <f t="shared" si="219"/>
        <v>0</v>
      </c>
      <c r="BF145" s="773">
        <f t="shared" si="220"/>
        <v>0</v>
      </c>
      <c r="BG145" s="773" t="str">
        <f t="shared" si="221"/>
        <v xml:space="preserve"> </v>
      </c>
      <c r="BH145" s="773" t="e">
        <f t="shared" si="222"/>
        <v>#N/A</v>
      </c>
      <c r="BI145" s="773" t="b">
        <f t="shared" si="223"/>
        <v>0</v>
      </c>
      <c r="BJ145" s="773">
        <f t="shared" si="224"/>
        <v>0</v>
      </c>
      <c r="BK145" s="773" t="str">
        <f t="shared" si="225"/>
        <v xml:space="preserve"> </v>
      </c>
      <c r="BL145" s="773" t="e">
        <f t="shared" si="226"/>
        <v>#N/A</v>
      </c>
      <c r="BM145" s="773" t="b">
        <f t="shared" si="227"/>
        <v>0</v>
      </c>
      <c r="BN145" s="773">
        <f t="shared" si="228"/>
        <v>0</v>
      </c>
      <c r="BO145" s="773" t="str">
        <f t="shared" si="229"/>
        <v xml:space="preserve"> </v>
      </c>
      <c r="BP145" s="773" t="e">
        <f t="shared" si="230"/>
        <v>#N/A</v>
      </c>
      <c r="BQ145" s="773" t="b">
        <f t="shared" si="231"/>
        <v>0</v>
      </c>
      <c r="BR145" s="773">
        <f t="shared" si="232"/>
        <v>0</v>
      </c>
      <c r="BS145" s="773" t="str">
        <f t="shared" si="233"/>
        <v xml:space="preserve"> </v>
      </c>
      <c r="BX145" s="773">
        <v>2043</v>
      </c>
      <c r="BY145" s="773" t="s">
        <v>7928</v>
      </c>
    </row>
    <row r="146" spans="1:77" ht="15">
      <c r="A146" s="1028"/>
      <c r="B146" s="855" t="s">
        <v>8467</v>
      </c>
      <c r="C146" s="855" t="s">
        <v>8559</v>
      </c>
      <c r="D146" s="855" t="s">
        <v>8560</v>
      </c>
      <c r="E146" s="855" t="s">
        <v>9333</v>
      </c>
      <c r="F146" s="1028"/>
      <c r="G146" s="1028"/>
      <c r="H146" s="1028"/>
      <c r="I146" s="1028"/>
      <c r="J146" s="1028"/>
      <c r="K146" s="1028"/>
      <c r="L146" s="1028"/>
      <c r="M146" s="1028"/>
      <c r="O146" s="773">
        <v>2</v>
      </c>
      <c r="P146" s="773" t="s">
        <v>8561</v>
      </c>
      <c r="Q146" s="773" t="str">
        <f ca="1">H85</f>
        <v>Mùi</v>
      </c>
      <c r="R146" s="773">
        <v>1</v>
      </c>
      <c r="S146" s="773">
        <f t="shared" ca="1" si="234"/>
        <v>4</v>
      </c>
      <c r="V146" s="773" t="e">
        <f t="shared" si="186"/>
        <v>#N/A</v>
      </c>
      <c r="W146" s="773" t="b">
        <f t="shared" si="187"/>
        <v>0</v>
      </c>
      <c r="X146" s="773">
        <f t="shared" si="188"/>
        <v>0</v>
      </c>
      <c r="Y146" s="773" t="str">
        <f t="shared" si="189"/>
        <v xml:space="preserve"> </v>
      </c>
      <c r="AA146" s="773" t="e">
        <f t="shared" si="190"/>
        <v>#N/A</v>
      </c>
      <c r="AB146" s="773" t="b">
        <f t="shared" si="191"/>
        <v>0</v>
      </c>
      <c r="AC146" s="773">
        <f t="shared" si="192"/>
        <v>0</v>
      </c>
      <c r="AD146" s="773" t="str">
        <f t="shared" si="193"/>
        <v xml:space="preserve"> </v>
      </c>
      <c r="AF146" s="773" t="e">
        <f t="shared" si="194"/>
        <v>#N/A</v>
      </c>
      <c r="AG146" s="773" t="b">
        <f t="shared" si="195"/>
        <v>0</v>
      </c>
      <c r="AH146" s="773">
        <f t="shared" si="196"/>
        <v>0</v>
      </c>
      <c r="AI146" s="773" t="str">
        <f t="shared" si="197"/>
        <v xml:space="preserve"> </v>
      </c>
      <c r="AJ146" s="773" t="e">
        <f t="shared" si="198"/>
        <v>#N/A</v>
      </c>
      <c r="AK146" s="773" t="b">
        <f t="shared" si="199"/>
        <v>0</v>
      </c>
      <c r="AL146" s="773">
        <f t="shared" si="200"/>
        <v>0</v>
      </c>
      <c r="AM146" s="773" t="str">
        <f t="shared" si="201"/>
        <v xml:space="preserve"> </v>
      </c>
      <c r="AN146" s="773" t="e">
        <f t="shared" si="202"/>
        <v>#N/A</v>
      </c>
      <c r="AO146" s="773" t="b">
        <f t="shared" si="203"/>
        <v>0</v>
      </c>
      <c r="AP146" s="773">
        <f t="shared" si="204"/>
        <v>0</v>
      </c>
      <c r="AQ146" s="773" t="str">
        <f t="shared" si="205"/>
        <v xml:space="preserve"> </v>
      </c>
      <c r="AR146" s="773" t="e">
        <f t="shared" si="206"/>
        <v>#N/A</v>
      </c>
      <c r="AS146" s="773" t="b">
        <f t="shared" si="207"/>
        <v>0</v>
      </c>
      <c r="AT146" s="773">
        <f t="shared" si="208"/>
        <v>0</v>
      </c>
      <c r="AU146" s="773" t="str">
        <f t="shared" si="209"/>
        <v xml:space="preserve"> </v>
      </c>
      <c r="AV146" s="773" t="e">
        <f t="shared" si="210"/>
        <v>#N/A</v>
      </c>
      <c r="AW146" s="773" t="b">
        <f t="shared" si="211"/>
        <v>0</v>
      </c>
      <c r="AX146" s="773">
        <f t="shared" si="212"/>
        <v>0</v>
      </c>
      <c r="AY146" s="773" t="str">
        <f t="shared" si="213"/>
        <v xml:space="preserve"> </v>
      </c>
      <c r="AZ146" s="773" t="e">
        <f t="shared" si="214"/>
        <v>#N/A</v>
      </c>
      <c r="BA146" s="773" t="b">
        <f t="shared" si="215"/>
        <v>0</v>
      </c>
      <c r="BB146" s="773">
        <f t="shared" si="216"/>
        <v>0</v>
      </c>
      <c r="BC146" s="773" t="str">
        <f t="shared" si="217"/>
        <v xml:space="preserve"> </v>
      </c>
      <c r="BD146" s="773" t="e">
        <f t="shared" si="218"/>
        <v>#N/A</v>
      </c>
      <c r="BE146" s="773" t="b">
        <f t="shared" si="219"/>
        <v>0</v>
      </c>
      <c r="BF146" s="773">
        <f t="shared" si="220"/>
        <v>0</v>
      </c>
      <c r="BG146" s="773" t="str">
        <f t="shared" si="221"/>
        <v xml:space="preserve"> </v>
      </c>
      <c r="BH146" s="773" t="e">
        <f t="shared" si="222"/>
        <v>#N/A</v>
      </c>
      <c r="BI146" s="773" t="b">
        <f t="shared" si="223"/>
        <v>0</v>
      </c>
      <c r="BJ146" s="773">
        <f t="shared" si="224"/>
        <v>0</v>
      </c>
      <c r="BK146" s="773" t="str">
        <f t="shared" si="225"/>
        <v xml:space="preserve"> </v>
      </c>
      <c r="BL146" s="773" t="e">
        <f t="shared" si="226"/>
        <v>#N/A</v>
      </c>
      <c r="BM146" s="773" t="b">
        <f t="shared" si="227"/>
        <v>0</v>
      </c>
      <c r="BN146" s="773">
        <f t="shared" si="228"/>
        <v>0</v>
      </c>
      <c r="BO146" s="773" t="str">
        <f t="shared" si="229"/>
        <v xml:space="preserve"> </v>
      </c>
      <c r="BP146" s="773" t="e">
        <f t="shared" si="230"/>
        <v>#N/A</v>
      </c>
      <c r="BQ146" s="773" t="b">
        <f t="shared" si="231"/>
        <v>0</v>
      </c>
      <c r="BR146" s="773">
        <f t="shared" si="232"/>
        <v>0</v>
      </c>
      <c r="BS146" s="773" t="str">
        <f t="shared" si="233"/>
        <v xml:space="preserve"> </v>
      </c>
    </row>
    <row r="147" spans="1:77" ht="15">
      <c r="A147" s="855" t="s">
        <v>8320</v>
      </c>
      <c r="B147" s="855"/>
      <c r="C147" s="855"/>
      <c r="D147" s="855"/>
      <c r="E147" s="855"/>
      <c r="F147" s="855"/>
      <c r="G147" s="855"/>
      <c r="H147" s="855"/>
      <c r="I147" s="855"/>
      <c r="J147" s="855"/>
      <c r="K147" s="855"/>
      <c r="L147" s="855"/>
      <c r="M147" s="855"/>
      <c r="O147" s="773">
        <v>3</v>
      </c>
      <c r="P147" s="773" t="s">
        <v>6581</v>
      </c>
      <c r="Q147" s="773" t="str">
        <f ca="1">C124</f>
        <v>Tý</v>
      </c>
      <c r="R147" s="773">
        <v>4</v>
      </c>
      <c r="S147" s="773">
        <f t="shared" ca="1" si="234"/>
        <v>5</v>
      </c>
      <c r="V147" s="773" t="e">
        <f t="shared" si="186"/>
        <v>#N/A</v>
      </c>
      <c r="W147" s="773" t="b">
        <f t="shared" si="187"/>
        <v>0</v>
      </c>
      <c r="X147" s="773">
        <f t="shared" si="188"/>
        <v>0</v>
      </c>
      <c r="Y147" s="773" t="str">
        <f t="shared" si="189"/>
        <v xml:space="preserve"> </v>
      </c>
      <c r="AA147" s="773" t="e">
        <f t="shared" si="190"/>
        <v>#N/A</v>
      </c>
      <c r="AB147" s="773" t="b">
        <f t="shared" si="191"/>
        <v>0</v>
      </c>
      <c r="AC147" s="773">
        <f t="shared" si="192"/>
        <v>0</v>
      </c>
      <c r="AD147" s="773" t="str">
        <f t="shared" si="193"/>
        <v xml:space="preserve"> </v>
      </c>
      <c r="AF147" s="773" t="e">
        <f t="shared" si="194"/>
        <v>#N/A</v>
      </c>
      <c r="AG147" s="773" t="b">
        <f t="shared" si="195"/>
        <v>0</v>
      </c>
      <c r="AH147" s="773">
        <f t="shared" si="196"/>
        <v>0</v>
      </c>
      <c r="AI147" s="773" t="str">
        <f t="shared" si="197"/>
        <v xml:space="preserve"> </v>
      </c>
      <c r="AJ147" s="773" t="e">
        <f t="shared" si="198"/>
        <v>#N/A</v>
      </c>
      <c r="AK147" s="773" t="b">
        <f t="shared" si="199"/>
        <v>0</v>
      </c>
      <c r="AL147" s="773">
        <f t="shared" si="200"/>
        <v>0</v>
      </c>
      <c r="AM147" s="773" t="str">
        <f t="shared" si="201"/>
        <v xml:space="preserve"> </v>
      </c>
      <c r="AN147" s="773" t="e">
        <f t="shared" si="202"/>
        <v>#N/A</v>
      </c>
      <c r="AO147" s="773" t="b">
        <f t="shared" si="203"/>
        <v>0</v>
      </c>
      <c r="AP147" s="773">
        <f t="shared" si="204"/>
        <v>0</v>
      </c>
      <c r="AQ147" s="773" t="str">
        <f t="shared" si="205"/>
        <v xml:space="preserve"> </v>
      </c>
      <c r="AR147" s="773" t="e">
        <f t="shared" si="206"/>
        <v>#N/A</v>
      </c>
      <c r="AS147" s="773" t="b">
        <f t="shared" si="207"/>
        <v>0</v>
      </c>
      <c r="AT147" s="773">
        <f t="shared" si="208"/>
        <v>0</v>
      </c>
      <c r="AU147" s="773" t="str">
        <f t="shared" si="209"/>
        <v xml:space="preserve"> </v>
      </c>
      <c r="AV147" s="773" t="e">
        <f t="shared" si="210"/>
        <v>#N/A</v>
      </c>
      <c r="AW147" s="773" t="b">
        <f t="shared" si="211"/>
        <v>0</v>
      </c>
      <c r="AX147" s="773">
        <f t="shared" si="212"/>
        <v>0</v>
      </c>
      <c r="AY147" s="773" t="str">
        <f t="shared" si="213"/>
        <v xml:space="preserve"> </v>
      </c>
      <c r="AZ147" s="773" t="e">
        <f t="shared" si="214"/>
        <v>#N/A</v>
      </c>
      <c r="BA147" s="773" t="b">
        <f t="shared" si="215"/>
        <v>0</v>
      </c>
      <c r="BB147" s="773">
        <f t="shared" si="216"/>
        <v>0</v>
      </c>
      <c r="BC147" s="773" t="str">
        <f t="shared" si="217"/>
        <v xml:space="preserve"> </v>
      </c>
      <c r="BD147" s="773" t="e">
        <f t="shared" si="218"/>
        <v>#N/A</v>
      </c>
      <c r="BE147" s="773" t="b">
        <f t="shared" si="219"/>
        <v>0</v>
      </c>
      <c r="BF147" s="773">
        <f t="shared" si="220"/>
        <v>0</v>
      </c>
      <c r="BG147" s="773" t="str">
        <f t="shared" si="221"/>
        <v xml:space="preserve"> </v>
      </c>
      <c r="BH147" s="773" t="e">
        <f t="shared" si="222"/>
        <v>#N/A</v>
      </c>
      <c r="BI147" s="773" t="b">
        <f t="shared" si="223"/>
        <v>0</v>
      </c>
      <c r="BJ147" s="773">
        <f t="shared" si="224"/>
        <v>0</v>
      </c>
      <c r="BK147" s="773" t="str">
        <f t="shared" si="225"/>
        <v xml:space="preserve"> </v>
      </c>
      <c r="BL147" s="773" t="e">
        <f t="shared" si="226"/>
        <v>#N/A</v>
      </c>
      <c r="BM147" s="773" t="b">
        <f t="shared" si="227"/>
        <v>0</v>
      </c>
      <c r="BN147" s="773">
        <f t="shared" si="228"/>
        <v>0</v>
      </c>
      <c r="BO147" s="773" t="str">
        <f t="shared" si="229"/>
        <v xml:space="preserve"> </v>
      </c>
      <c r="BP147" s="773" t="e">
        <f t="shared" si="230"/>
        <v>#N/A</v>
      </c>
      <c r="BQ147" s="773" t="b">
        <f t="shared" si="231"/>
        <v>0</v>
      </c>
      <c r="BR147" s="773">
        <f t="shared" si="232"/>
        <v>0</v>
      </c>
      <c r="BS147" s="773" t="str">
        <f t="shared" si="233"/>
        <v xml:space="preserve"> </v>
      </c>
    </row>
    <row r="148" spans="1:77" ht="14.25" customHeight="1">
      <c r="A148" s="787" t="s">
        <v>6711</v>
      </c>
      <c r="B148" s="855" t="s">
        <v>353</v>
      </c>
      <c r="C148" s="855" t="s">
        <v>1399</v>
      </c>
      <c r="D148" s="855" t="s">
        <v>505</v>
      </c>
      <c r="E148" s="806" t="s">
        <v>7871</v>
      </c>
      <c r="F148" s="855" t="s">
        <v>506</v>
      </c>
      <c r="G148" s="855" t="s">
        <v>507</v>
      </c>
      <c r="H148" s="855" t="s">
        <v>9297</v>
      </c>
      <c r="I148" s="855" t="s">
        <v>9298</v>
      </c>
      <c r="J148" s="855" t="s">
        <v>9299</v>
      </c>
      <c r="K148" s="855" t="s">
        <v>9300</v>
      </c>
      <c r="L148" s="855" t="s">
        <v>1402</v>
      </c>
      <c r="M148" s="855" t="s">
        <v>9301</v>
      </c>
      <c r="O148" s="773">
        <v>4</v>
      </c>
      <c r="P148" s="773" t="s">
        <v>8562</v>
      </c>
      <c r="Q148" s="773" t="str">
        <f ca="1">D124</f>
        <v>Tuất</v>
      </c>
      <c r="R148" s="773">
        <v>4</v>
      </c>
      <c r="S148" s="773">
        <f t="shared" ca="1" si="234"/>
        <v>5</v>
      </c>
      <c r="V148" s="773" t="e">
        <f t="shared" si="186"/>
        <v>#N/A</v>
      </c>
      <c r="W148" s="773" t="b">
        <f t="shared" si="187"/>
        <v>0</v>
      </c>
      <c r="X148" s="773">
        <f t="shared" si="188"/>
        <v>0</v>
      </c>
      <c r="Y148" s="773" t="str">
        <f t="shared" si="189"/>
        <v xml:space="preserve"> </v>
      </c>
      <c r="AA148" s="773" t="e">
        <f t="shared" si="190"/>
        <v>#N/A</v>
      </c>
      <c r="AB148" s="773" t="b">
        <f t="shared" si="191"/>
        <v>0</v>
      </c>
      <c r="AC148" s="773">
        <f t="shared" si="192"/>
        <v>0</v>
      </c>
      <c r="AD148" s="773" t="str">
        <f t="shared" si="193"/>
        <v xml:space="preserve"> </v>
      </c>
      <c r="AF148" s="773" t="e">
        <f t="shared" si="194"/>
        <v>#N/A</v>
      </c>
      <c r="AG148" s="773" t="b">
        <f t="shared" si="195"/>
        <v>0</v>
      </c>
      <c r="AH148" s="773">
        <f t="shared" si="196"/>
        <v>0</v>
      </c>
      <c r="AI148" s="773" t="str">
        <f t="shared" si="197"/>
        <v xml:space="preserve"> </v>
      </c>
      <c r="AJ148" s="773" t="e">
        <f t="shared" si="198"/>
        <v>#N/A</v>
      </c>
      <c r="AK148" s="773" t="b">
        <f t="shared" si="199"/>
        <v>0</v>
      </c>
      <c r="AL148" s="773">
        <f t="shared" si="200"/>
        <v>0</v>
      </c>
      <c r="AM148" s="773" t="str">
        <f t="shared" si="201"/>
        <v xml:space="preserve"> </v>
      </c>
      <c r="AN148" s="773" t="e">
        <f t="shared" si="202"/>
        <v>#N/A</v>
      </c>
      <c r="AO148" s="773" t="b">
        <f t="shared" si="203"/>
        <v>0</v>
      </c>
      <c r="AP148" s="773">
        <f t="shared" si="204"/>
        <v>0</v>
      </c>
      <c r="AQ148" s="773" t="str">
        <f t="shared" si="205"/>
        <v xml:space="preserve"> </v>
      </c>
      <c r="AR148" s="773" t="e">
        <f t="shared" si="206"/>
        <v>#N/A</v>
      </c>
      <c r="AS148" s="773" t="b">
        <f t="shared" si="207"/>
        <v>0</v>
      </c>
      <c r="AT148" s="773">
        <f t="shared" si="208"/>
        <v>0</v>
      </c>
      <c r="AU148" s="773" t="str">
        <f t="shared" si="209"/>
        <v xml:space="preserve"> </v>
      </c>
      <c r="AV148" s="773" t="e">
        <f t="shared" si="210"/>
        <v>#N/A</v>
      </c>
      <c r="AW148" s="773" t="b">
        <f t="shared" si="211"/>
        <v>0</v>
      </c>
      <c r="AX148" s="773">
        <f t="shared" si="212"/>
        <v>0</v>
      </c>
      <c r="AY148" s="773" t="str">
        <f t="shared" si="213"/>
        <v xml:space="preserve"> </v>
      </c>
      <c r="AZ148" s="773" t="e">
        <f t="shared" si="214"/>
        <v>#N/A</v>
      </c>
      <c r="BA148" s="773" t="b">
        <f t="shared" si="215"/>
        <v>0</v>
      </c>
      <c r="BB148" s="773">
        <f t="shared" si="216"/>
        <v>0</v>
      </c>
      <c r="BC148" s="773" t="str">
        <f t="shared" si="217"/>
        <v xml:space="preserve"> </v>
      </c>
      <c r="BD148" s="773" t="e">
        <f t="shared" si="218"/>
        <v>#N/A</v>
      </c>
      <c r="BE148" s="773" t="b">
        <f t="shared" si="219"/>
        <v>0</v>
      </c>
      <c r="BF148" s="773">
        <f t="shared" si="220"/>
        <v>0</v>
      </c>
      <c r="BG148" s="773" t="str">
        <f t="shared" si="221"/>
        <v xml:space="preserve"> </v>
      </c>
      <c r="BH148" s="773" t="e">
        <f t="shared" si="222"/>
        <v>#N/A</v>
      </c>
      <c r="BI148" s="773" t="b">
        <f t="shared" si="223"/>
        <v>0</v>
      </c>
      <c r="BJ148" s="773">
        <f t="shared" si="224"/>
        <v>0</v>
      </c>
      <c r="BK148" s="773" t="str">
        <f t="shared" si="225"/>
        <v xml:space="preserve"> </v>
      </c>
      <c r="BL148" s="773" t="e">
        <f t="shared" si="226"/>
        <v>#N/A</v>
      </c>
      <c r="BM148" s="773" t="b">
        <f t="shared" si="227"/>
        <v>0</v>
      </c>
      <c r="BN148" s="773">
        <f t="shared" si="228"/>
        <v>0</v>
      </c>
      <c r="BO148" s="773" t="str">
        <f t="shared" si="229"/>
        <v xml:space="preserve"> </v>
      </c>
      <c r="BP148" s="773" t="e">
        <f t="shared" si="230"/>
        <v>#N/A</v>
      </c>
      <c r="BQ148" s="773" t="b">
        <f t="shared" si="231"/>
        <v>0</v>
      </c>
      <c r="BR148" s="773">
        <f t="shared" si="232"/>
        <v>0</v>
      </c>
      <c r="BS148" s="773" t="str">
        <f t="shared" si="233"/>
        <v xml:space="preserve"> </v>
      </c>
    </row>
    <row r="149" spans="1:77" ht="30">
      <c r="A149" s="787" t="s">
        <v>6720</v>
      </c>
      <c r="B149" s="855" t="s">
        <v>9297</v>
      </c>
      <c r="C149" s="855" t="s">
        <v>9298</v>
      </c>
      <c r="D149" s="855" t="s">
        <v>9299</v>
      </c>
      <c r="E149" s="855" t="s">
        <v>9300</v>
      </c>
      <c r="F149" s="855" t="s">
        <v>1402</v>
      </c>
      <c r="G149" s="855" t="s">
        <v>9301</v>
      </c>
      <c r="H149" s="855" t="s">
        <v>353</v>
      </c>
      <c r="I149" s="855" t="s">
        <v>1399</v>
      </c>
      <c r="J149" s="855" t="s">
        <v>505</v>
      </c>
      <c r="K149" s="806" t="s">
        <v>7871</v>
      </c>
      <c r="L149" s="855" t="s">
        <v>506</v>
      </c>
      <c r="M149" s="855" t="s">
        <v>507</v>
      </c>
      <c r="O149" s="773">
        <v>5</v>
      </c>
      <c r="P149" s="773" t="s">
        <v>8563</v>
      </c>
      <c r="Q149" s="773" t="str">
        <f ca="1">M219</f>
        <v>Dậu</v>
      </c>
      <c r="R149" s="773">
        <v>1</v>
      </c>
      <c r="S149" s="773">
        <f t="shared" ca="1" si="234"/>
        <v>5</v>
      </c>
      <c r="U149" s="937"/>
      <c r="V149" s="773" t="e">
        <f t="shared" si="186"/>
        <v>#N/A</v>
      </c>
      <c r="W149" s="773" t="b">
        <f t="shared" si="187"/>
        <v>0</v>
      </c>
      <c r="X149" s="773">
        <f t="shared" si="188"/>
        <v>0</v>
      </c>
      <c r="Y149" s="773" t="str">
        <f t="shared" si="189"/>
        <v xml:space="preserve"> </v>
      </c>
      <c r="AA149" s="773" t="e">
        <f t="shared" si="190"/>
        <v>#N/A</v>
      </c>
      <c r="AB149" s="773" t="b">
        <f t="shared" si="191"/>
        <v>0</v>
      </c>
      <c r="AC149" s="773">
        <f t="shared" si="192"/>
        <v>0</v>
      </c>
      <c r="AD149" s="773" t="str">
        <f t="shared" si="193"/>
        <v xml:space="preserve"> </v>
      </c>
      <c r="AF149" s="773" t="e">
        <f t="shared" si="194"/>
        <v>#N/A</v>
      </c>
      <c r="AG149" s="773" t="b">
        <f t="shared" si="195"/>
        <v>0</v>
      </c>
      <c r="AH149" s="773">
        <f t="shared" si="196"/>
        <v>0</v>
      </c>
      <c r="AI149" s="773" t="str">
        <f t="shared" si="197"/>
        <v xml:space="preserve"> </v>
      </c>
      <c r="AJ149" s="773" t="e">
        <f t="shared" si="198"/>
        <v>#N/A</v>
      </c>
      <c r="AK149" s="773" t="b">
        <f t="shared" si="199"/>
        <v>0</v>
      </c>
      <c r="AL149" s="773">
        <f t="shared" si="200"/>
        <v>0</v>
      </c>
      <c r="AM149" s="773" t="str">
        <f t="shared" si="201"/>
        <v xml:space="preserve"> </v>
      </c>
      <c r="AN149" s="773" t="e">
        <f t="shared" si="202"/>
        <v>#N/A</v>
      </c>
      <c r="AO149" s="773" t="b">
        <f t="shared" si="203"/>
        <v>0</v>
      </c>
      <c r="AP149" s="773">
        <f t="shared" si="204"/>
        <v>0</v>
      </c>
      <c r="AQ149" s="773" t="str">
        <f t="shared" si="205"/>
        <v xml:space="preserve"> </v>
      </c>
      <c r="AR149" s="773" t="e">
        <f t="shared" si="206"/>
        <v>#N/A</v>
      </c>
      <c r="AS149" s="773" t="b">
        <f t="shared" si="207"/>
        <v>0</v>
      </c>
      <c r="AT149" s="773">
        <f t="shared" si="208"/>
        <v>0</v>
      </c>
      <c r="AU149" s="773" t="str">
        <f t="shared" si="209"/>
        <v xml:space="preserve"> </v>
      </c>
      <c r="AV149" s="773" t="e">
        <f t="shared" si="210"/>
        <v>#N/A</v>
      </c>
      <c r="AW149" s="773" t="b">
        <f t="shared" si="211"/>
        <v>0</v>
      </c>
      <c r="AX149" s="773">
        <f t="shared" si="212"/>
        <v>0</v>
      </c>
      <c r="AY149" s="773" t="str">
        <f t="shared" si="213"/>
        <v xml:space="preserve"> </v>
      </c>
      <c r="AZ149" s="773" t="e">
        <f t="shared" si="214"/>
        <v>#N/A</v>
      </c>
      <c r="BA149" s="773" t="b">
        <f t="shared" si="215"/>
        <v>0</v>
      </c>
      <c r="BB149" s="773">
        <f t="shared" si="216"/>
        <v>0</v>
      </c>
      <c r="BC149" s="773" t="str">
        <f t="shared" si="217"/>
        <v xml:space="preserve"> </v>
      </c>
      <c r="BD149" s="773" t="e">
        <f t="shared" si="218"/>
        <v>#N/A</v>
      </c>
      <c r="BE149" s="773" t="b">
        <f t="shared" si="219"/>
        <v>0</v>
      </c>
      <c r="BF149" s="773">
        <f t="shared" si="220"/>
        <v>0</v>
      </c>
      <c r="BG149" s="773" t="str">
        <f t="shared" si="221"/>
        <v xml:space="preserve"> </v>
      </c>
      <c r="BH149" s="773" t="e">
        <f t="shared" si="222"/>
        <v>#N/A</v>
      </c>
      <c r="BI149" s="773" t="b">
        <f t="shared" si="223"/>
        <v>0</v>
      </c>
      <c r="BJ149" s="773">
        <f t="shared" si="224"/>
        <v>0</v>
      </c>
      <c r="BK149" s="773" t="str">
        <f t="shared" si="225"/>
        <v xml:space="preserve"> </v>
      </c>
      <c r="BL149" s="773" t="e">
        <f t="shared" si="226"/>
        <v>#N/A</v>
      </c>
      <c r="BM149" s="773" t="b">
        <f t="shared" si="227"/>
        <v>0</v>
      </c>
      <c r="BN149" s="773">
        <f t="shared" si="228"/>
        <v>0</v>
      </c>
      <c r="BO149" s="773" t="str">
        <f t="shared" si="229"/>
        <v xml:space="preserve"> </v>
      </c>
      <c r="BP149" s="773" t="e">
        <f t="shared" si="230"/>
        <v>#N/A</v>
      </c>
      <c r="BQ149" s="773" t="b">
        <f t="shared" si="231"/>
        <v>0</v>
      </c>
      <c r="BR149" s="773">
        <f t="shared" si="232"/>
        <v>0</v>
      </c>
      <c r="BS149" s="773" t="str">
        <f t="shared" si="233"/>
        <v xml:space="preserve"> </v>
      </c>
    </row>
    <row r="150" spans="1:77" ht="30">
      <c r="A150" s="787" t="s">
        <v>6717</v>
      </c>
      <c r="B150" s="855" t="s">
        <v>9297</v>
      </c>
      <c r="C150" s="855" t="s">
        <v>9298</v>
      </c>
      <c r="D150" s="855" t="s">
        <v>9299</v>
      </c>
      <c r="E150" s="855" t="s">
        <v>9300</v>
      </c>
      <c r="F150" s="855" t="s">
        <v>1402</v>
      </c>
      <c r="G150" s="855" t="s">
        <v>9301</v>
      </c>
      <c r="H150" s="855" t="s">
        <v>353</v>
      </c>
      <c r="I150" s="855" t="s">
        <v>1399</v>
      </c>
      <c r="J150" s="855" t="s">
        <v>505</v>
      </c>
      <c r="K150" s="806" t="s">
        <v>7871</v>
      </c>
      <c r="L150" s="855" t="s">
        <v>506</v>
      </c>
      <c r="M150" s="855" t="s">
        <v>507</v>
      </c>
      <c r="O150" s="773">
        <v>6</v>
      </c>
      <c r="P150" s="773" t="s">
        <v>8564</v>
      </c>
      <c r="Q150" s="773" t="str">
        <f ca="1">M220</f>
        <v>Mùi</v>
      </c>
      <c r="R150" s="773">
        <v>1</v>
      </c>
      <c r="S150" s="773">
        <f t="shared" ca="1" si="234"/>
        <v>1</v>
      </c>
      <c r="V150" s="773" t="e">
        <f t="shared" si="186"/>
        <v>#N/A</v>
      </c>
      <c r="W150" s="773" t="b">
        <f t="shared" si="187"/>
        <v>0</v>
      </c>
      <c r="X150" s="773">
        <f t="shared" si="188"/>
        <v>0</v>
      </c>
      <c r="Y150" s="773" t="str">
        <f t="shared" si="189"/>
        <v xml:space="preserve"> </v>
      </c>
      <c r="AA150" s="773" t="e">
        <f t="shared" si="190"/>
        <v>#N/A</v>
      </c>
      <c r="AB150" s="773" t="b">
        <f t="shared" si="191"/>
        <v>0</v>
      </c>
      <c r="AC150" s="773">
        <f t="shared" si="192"/>
        <v>0</v>
      </c>
      <c r="AD150" s="773" t="str">
        <f t="shared" si="193"/>
        <v xml:space="preserve"> </v>
      </c>
      <c r="AF150" s="773" t="e">
        <f t="shared" si="194"/>
        <v>#N/A</v>
      </c>
      <c r="AG150" s="773" t="b">
        <f t="shared" si="195"/>
        <v>0</v>
      </c>
      <c r="AH150" s="773">
        <f t="shared" si="196"/>
        <v>0</v>
      </c>
      <c r="AI150" s="773" t="str">
        <f t="shared" si="197"/>
        <v xml:space="preserve"> </v>
      </c>
      <c r="AJ150" s="773" t="e">
        <f t="shared" si="198"/>
        <v>#N/A</v>
      </c>
      <c r="AK150" s="773" t="b">
        <f t="shared" si="199"/>
        <v>0</v>
      </c>
      <c r="AL150" s="773">
        <f t="shared" si="200"/>
        <v>0</v>
      </c>
      <c r="AM150" s="773" t="str">
        <f t="shared" si="201"/>
        <v xml:space="preserve"> </v>
      </c>
      <c r="AN150" s="773" t="e">
        <f t="shared" si="202"/>
        <v>#N/A</v>
      </c>
      <c r="AO150" s="773" t="b">
        <f t="shared" si="203"/>
        <v>0</v>
      </c>
      <c r="AP150" s="773">
        <f t="shared" si="204"/>
        <v>0</v>
      </c>
      <c r="AQ150" s="773" t="str">
        <f t="shared" si="205"/>
        <v xml:space="preserve"> </v>
      </c>
      <c r="AR150" s="773" t="e">
        <f t="shared" si="206"/>
        <v>#N/A</v>
      </c>
      <c r="AS150" s="773" t="b">
        <f t="shared" si="207"/>
        <v>0</v>
      </c>
      <c r="AT150" s="773">
        <f t="shared" si="208"/>
        <v>0</v>
      </c>
      <c r="AU150" s="773" t="str">
        <f t="shared" si="209"/>
        <v xml:space="preserve"> </v>
      </c>
      <c r="AV150" s="773" t="e">
        <f t="shared" si="210"/>
        <v>#N/A</v>
      </c>
      <c r="AW150" s="773" t="b">
        <f t="shared" si="211"/>
        <v>0</v>
      </c>
      <c r="AX150" s="773">
        <f t="shared" si="212"/>
        <v>0</v>
      </c>
      <c r="AY150" s="773" t="str">
        <f t="shared" si="213"/>
        <v xml:space="preserve"> </v>
      </c>
      <c r="AZ150" s="773" t="e">
        <f t="shared" si="214"/>
        <v>#N/A</v>
      </c>
      <c r="BA150" s="773" t="b">
        <f t="shared" si="215"/>
        <v>0</v>
      </c>
      <c r="BB150" s="773">
        <f t="shared" si="216"/>
        <v>0</v>
      </c>
      <c r="BC150" s="773" t="str">
        <f t="shared" si="217"/>
        <v xml:space="preserve"> </v>
      </c>
      <c r="BD150" s="773" t="e">
        <f t="shared" si="218"/>
        <v>#N/A</v>
      </c>
      <c r="BE150" s="773" t="b">
        <f t="shared" si="219"/>
        <v>0</v>
      </c>
      <c r="BF150" s="773">
        <f t="shared" si="220"/>
        <v>0</v>
      </c>
      <c r="BG150" s="773" t="str">
        <f t="shared" si="221"/>
        <v xml:space="preserve"> </v>
      </c>
      <c r="BH150" s="773" t="e">
        <f t="shared" si="222"/>
        <v>#N/A</v>
      </c>
      <c r="BI150" s="773" t="b">
        <f t="shared" si="223"/>
        <v>0</v>
      </c>
      <c r="BJ150" s="773">
        <f t="shared" si="224"/>
        <v>0</v>
      </c>
      <c r="BK150" s="773" t="str">
        <f t="shared" si="225"/>
        <v xml:space="preserve"> </v>
      </c>
      <c r="BL150" s="773" t="e">
        <f t="shared" si="226"/>
        <v>#N/A</v>
      </c>
      <c r="BM150" s="773" t="b">
        <f t="shared" si="227"/>
        <v>0</v>
      </c>
      <c r="BN150" s="773">
        <f t="shared" si="228"/>
        <v>0</v>
      </c>
      <c r="BO150" s="773" t="str">
        <f t="shared" si="229"/>
        <v xml:space="preserve"> </v>
      </c>
      <c r="BP150" s="773" t="e">
        <f t="shared" si="230"/>
        <v>#N/A</v>
      </c>
      <c r="BQ150" s="773" t="b">
        <f t="shared" si="231"/>
        <v>0</v>
      </c>
      <c r="BR150" s="773">
        <f t="shared" si="232"/>
        <v>0</v>
      </c>
      <c r="BS150" s="773" t="str">
        <f t="shared" si="233"/>
        <v xml:space="preserve"> </v>
      </c>
    </row>
    <row r="151" spans="1:77" s="937" customFormat="1" ht="15">
      <c r="A151" s="787" t="s">
        <v>6718</v>
      </c>
      <c r="B151" s="806" t="s">
        <v>7871</v>
      </c>
      <c r="C151" s="855" t="s">
        <v>506</v>
      </c>
      <c r="D151" s="855" t="s">
        <v>507</v>
      </c>
      <c r="E151" s="855" t="s">
        <v>9297</v>
      </c>
      <c r="F151" s="855" t="s">
        <v>9298</v>
      </c>
      <c r="G151" s="855" t="s">
        <v>9299</v>
      </c>
      <c r="H151" s="855" t="s">
        <v>9300</v>
      </c>
      <c r="I151" s="855" t="s">
        <v>1402</v>
      </c>
      <c r="J151" s="855" t="s">
        <v>9301</v>
      </c>
      <c r="K151" s="855" t="s">
        <v>353</v>
      </c>
      <c r="L151" s="855" t="s">
        <v>1399</v>
      </c>
      <c r="M151" s="855" t="s">
        <v>505</v>
      </c>
      <c r="O151" s="773">
        <v>7</v>
      </c>
      <c r="P151" s="773" t="s">
        <v>8565</v>
      </c>
      <c r="Q151" s="773" t="str">
        <f ca="1">R142</f>
        <v>Mùi</v>
      </c>
      <c r="R151" s="773">
        <v>1</v>
      </c>
      <c r="S151" s="773">
        <f t="shared" ca="1" si="234"/>
        <v>1</v>
      </c>
      <c r="T151" s="912"/>
      <c r="U151" s="912"/>
    </row>
    <row r="152" spans="1:77" ht="30">
      <c r="A152" s="787" t="s">
        <v>6719</v>
      </c>
      <c r="B152" s="855" t="s">
        <v>9300</v>
      </c>
      <c r="C152" s="855" t="s">
        <v>1402</v>
      </c>
      <c r="D152" s="855" t="s">
        <v>9301</v>
      </c>
      <c r="E152" s="855" t="s">
        <v>353</v>
      </c>
      <c r="F152" s="855" t="s">
        <v>1399</v>
      </c>
      <c r="G152" s="855" t="s">
        <v>505</v>
      </c>
      <c r="H152" s="806" t="s">
        <v>7871</v>
      </c>
      <c r="I152" s="855" t="s">
        <v>506</v>
      </c>
      <c r="J152" s="855" t="s">
        <v>507</v>
      </c>
      <c r="K152" s="855" t="s">
        <v>9297</v>
      </c>
      <c r="L152" s="855" t="s">
        <v>9298</v>
      </c>
      <c r="M152" s="855" t="s">
        <v>9299</v>
      </c>
      <c r="O152" s="773">
        <v>8</v>
      </c>
      <c r="P152" s="773" t="s">
        <v>8566</v>
      </c>
      <c r="Q152" s="773" t="str">
        <f ca="1">D95</f>
        <v>Dậu</v>
      </c>
      <c r="R152" s="773">
        <v>1</v>
      </c>
      <c r="S152" s="773" t="e">
        <f t="shared" ca="1" si="234"/>
        <v>#N/A</v>
      </c>
      <c r="V152" s="912">
        <v>1</v>
      </c>
      <c r="Y152" s="912">
        <v>2</v>
      </c>
      <c r="AB152" s="773">
        <v>3</v>
      </c>
      <c r="AE152" s="773">
        <v>4</v>
      </c>
      <c r="AH152" s="773">
        <v>5</v>
      </c>
      <c r="AK152" s="773">
        <v>6</v>
      </c>
      <c r="AN152" s="773">
        <v>7</v>
      </c>
      <c r="AQ152" s="773">
        <v>8</v>
      </c>
      <c r="AT152" s="773">
        <v>9</v>
      </c>
      <c r="AW152" s="773">
        <v>10</v>
      </c>
      <c r="AZ152" s="773">
        <v>11</v>
      </c>
      <c r="BC152" s="773">
        <v>12</v>
      </c>
    </row>
    <row r="153" spans="1:77" s="912" customFormat="1" ht="15" customHeight="1">
      <c r="A153" s="914"/>
      <c r="B153" s="914" t="str">
        <f t="shared" ref="B153:M153" ca="1" si="235">VLOOKUP($N$42,$A$147:$M$152,B123,0)</f>
        <v>tỵ</v>
      </c>
      <c r="C153" s="914" t="str">
        <f t="shared" ca="1" si="235"/>
        <v>Ngọ</v>
      </c>
      <c r="D153" s="914" t="str">
        <f t="shared" ca="1" si="235"/>
        <v>Mùi</v>
      </c>
      <c r="E153" s="914" t="str">
        <f t="shared" ca="1" si="235"/>
        <v>Thân</v>
      </c>
      <c r="F153" s="914" t="str">
        <f t="shared" ca="1" si="235"/>
        <v>Dậu</v>
      </c>
      <c r="G153" s="914" t="str">
        <f t="shared" ca="1" si="235"/>
        <v>Tuất</v>
      </c>
      <c r="H153" s="914" t="str">
        <f t="shared" ca="1" si="235"/>
        <v>Hợi</v>
      </c>
      <c r="I153" s="914" t="str">
        <f t="shared" ca="1" si="235"/>
        <v>Tý</v>
      </c>
      <c r="J153" s="914" t="str">
        <f t="shared" ca="1" si="235"/>
        <v>Sửu</v>
      </c>
      <c r="K153" s="914" t="str">
        <f t="shared" ca="1" si="235"/>
        <v>Dần</v>
      </c>
      <c r="L153" s="914" t="str">
        <f t="shared" ca="1" si="235"/>
        <v>Mão</v>
      </c>
      <c r="M153" s="914" t="str">
        <f t="shared" ca="1" si="235"/>
        <v>Thìn</v>
      </c>
      <c r="O153" s="773">
        <v>9</v>
      </c>
      <c r="P153" s="773" t="s">
        <v>6599</v>
      </c>
      <c r="Q153" s="773" t="str">
        <f ca="1">O142</f>
        <v>Hợi</v>
      </c>
      <c r="R153" s="912">
        <v>1</v>
      </c>
      <c r="S153" s="796" t="e">
        <f t="shared" ref="S153:S160" ca="1" si="236">VLOOKUP(F33,$P$145:$R$187,3,0)</f>
        <v>#N/A</v>
      </c>
      <c r="V153" s="773">
        <f t="shared" ref="V153:V195" ca="1" si="237">IF($N$49=Q145,1,0)</f>
        <v>0</v>
      </c>
      <c r="W153" s="773">
        <f ca="1">IF(V153=1,1,0)</f>
        <v>0</v>
      </c>
      <c r="X153" s="773">
        <f t="shared" ref="X153:X195" ca="1" si="238">IF(V153=1,W153,0)</f>
        <v>0</v>
      </c>
      <c r="Y153" s="773">
        <f t="shared" ref="Y153:Y195" ca="1" si="239">IF($N$50=Q145,1,0)</f>
        <v>0</v>
      </c>
      <c r="Z153" s="773">
        <f ca="1">IF(Y153=1,1,0)</f>
        <v>0</v>
      </c>
      <c r="AA153" s="773">
        <f t="shared" ref="AA153:AA195" ca="1" si="240">IF(Y153=1,Z153,0)</f>
        <v>0</v>
      </c>
      <c r="AB153" s="773">
        <f t="shared" ref="AB153:AB195" ca="1" si="241">IF($N$51=Q145,1,0)</f>
        <v>0</v>
      </c>
      <c r="AC153" s="773">
        <f ca="1">IF(AB153=1,1,0)</f>
        <v>0</v>
      </c>
      <c r="AD153" s="773">
        <f t="shared" ref="AD153:AD195" ca="1" si="242">IF(AB153=1,AC153,0)</f>
        <v>0</v>
      </c>
      <c r="AE153" s="773">
        <f t="shared" ref="AE153:AE195" ca="1" si="243">IF($N$52=Q145,1,0)</f>
        <v>1</v>
      </c>
      <c r="AF153" s="773">
        <f ca="1">IF(AE153=1,1,0)</f>
        <v>1</v>
      </c>
      <c r="AG153" s="773">
        <f t="shared" ref="AG153:AG195" ca="1" si="244">IF(AE153=1,AF153,0)</f>
        <v>1</v>
      </c>
      <c r="AH153" s="773">
        <f t="shared" ref="AH153:AH195" ca="1" si="245">IF($N$53=Q145,1,0)</f>
        <v>0</v>
      </c>
      <c r="AI153" s="773">
        <f ca="1">IF(AH153=1,1,0)</f>
        <v>0</v>
      </c>
      <c r="AJ153" s="773">
        <f t="shared" ref="AJ153:AJ195" ca="1" si="246">IF(AH153=1,AI153,0)</f>
        <v>0</v>
      </c>
      <c r="AK153" s="773">
        <f t="shared" ref="AK153:AK195" ca="1" si="247">IF($N$54=Q145,1,0)</f>
        <v>0</v>
      </c>
      <c r="AL153" s="773">
        <f ca="1">IF(AK153=1,1,0)</f>
        <v>0</v>
      </c>
      <c r="AM153" s="773">
        <f t="shared" ref="AM153:AM195" ca="1" si="248">IF(AK153=1,AL153,0)</f>
        <v>0</v>
      </c>
      <c r="AN153" s="773">
        <f t="shared" ref="AN153:AN195" ca="1" si="249">IF($N$55=Q145,1,0)</f>
        <v>0</v>
      </c>
      <c r="AO153" s="773">
        <f ca="1">IF(AN153=1,1,0)</f>
        <v>0</v>
      </c>
      <c r="AP153" s="773">
        <f t="shared" ref="AP153:AP195" ca="1" si="250">IF(AN153=1,AO153,0)</f>
        <v>0</v>
      </c>
      <c r="AQ153" s="773">
        <f t="shared" ref="AQ153:AQ195" ca="1" si="251">IF($N$56=Q145,1,0)</f>
        <v>0</v>
      </c>
      <c r="AR153" s="773">
        <f ca="1">IF(AQ153=1,1,0)</f>
        <v>0</v>
      </c>
      <c r="AS153" s="773">
        <f t="shared" ref="AS153:AS195" ca="1" si="252">IF(AQ153=1,AR153,0)</f>
        <v>0</v>
      </c>
      <c r="AT153" s="773">
        <f t="shared" ref="AT153:AT195" ca="1" si="253">IF($N$57=Q145,1,0)</f>
        <v>0</v>
      </c>
      <c r="AU153" s="773">
        <f ca="1">IF(AT153=1,1,0)</f>
        <v>0</v>
      </c>
      <c r="AV153" s="773">
        <f t="shared" ref="AV153:AV195" ca="1" si="254">IF(AT153=1,AU153,0)</f>
        <v>0</v>
      </c>
      <c r="AW153" s="773">
        <f t="shared" ref="AW153:AW195" ca="1" si="255">IF($N$58=Q145,1,0)</f>
        <v>0</v>
      </c>
      <c r="AX153" s="773">
        <f ca="1">IF(AW153=1,1,0)</f>
        <v>0</v>
      </c>
      <c r="AY153" s="773">
        <f t="shared" ref="AY153:AY195" ca="1" si="256">IF(AW153=1,AX153,0)</f>
        <v>0</v>
      </c>
      <c r="AZ153" s="773">
        <f t="shared" ref="AZ153:AZ195" ca="1" si="257">IF($N$59=Q145,1,0)</f>
        <v>0</v>
      </c>
      <c r="BA153" s="773">
        <f ca="1">IF(AZ153=1,1,0)</f>
        <v>0</v>
      </c>
      <c r="BB153" s="773">
        <f t="shared" ref="BB153:BB195" ca="1" si="258">IF(AZ153=1,BA153,0)</f>
        <v>0</v>
      </c>
      <c r="BC153" s="773">
        <f t="shared" ref="BC153:BC195" ca="1" si="259">IF($N$60=Q145,1,0)</f>
        <v>0</v>
      </c>
      <c r="BD153" s="773">
        <f ca="1">IF(BC153=1,1,0)</f>
        <v>0</v>
      </c>
      <c r="BE153" s="773">
        <f t="shared" ref="BE153:BE195" ca="1" si="260">IF(BC153=1,BD153,0)</f>
        <v>0</v>
      </c>
      <c r="BF153" s="912" t="str">
        <f t="shared" ref="BF153:BF195" si="261">PROPER(P145)</f>
        <v>Địa Kiếp</v>
      </c>
    </row>
    <row r="154" spans="1:77" ht="15">
      <c r="A154" s="855" t="s">
        <v>4213</v>
      </c>
      <c r="B154" s="855"/>
      <c r="C154" s="855"/>
      <c r="D154" s="855"/>
      <c r="E154" s="855"/>
      <c r="F154" s="855"/>
      <c r="G154" s="855"/>
      <c r="H154" s="855"/>
      <c r="I154" s="855"/>
      <c r="J154" s="855"/>
      <c r="K154" s="855"/>
      <c r="L154" s="855"/>
      <c r="M154" s="855"/>
      <c r="O154" s="773">
        <v>10</v>
      </c>
      <c r="P154" s="773" t="s">
        <v>8567</v>
      </c>
      <c r="Q154" s="773" t="str">
        <f ca="1">K124</f>
        <v>Hợi</v>
      </c>
      <c r="R154" s="773">
        <v>5</v>
      </c>
      <c r="S154" s="773">
        <f t="shared" ca="1" si="236"/>
        <v>5</v>
      </c>
      <c r="V154" s="773">
        <f t="shared" ca="1" si="237"/>
        <v>0</v>
      </c>
      <c r="W154" s="773">
        <f t="shared" ref="W154:W195" ca="1" si="262">IF(V154=1,W153+1,W153)</f>
        <v>0</v>
      </c>
      <c r="X154" s="773">
        <f t="shared" ca="1" si="238"/>
        <v>0</v>
      </c>
      <c r="Y154" s="773">
        <f t="shared" ca="1" si="239"/>
        <v>0</v>
      </c>
      <c r="Z154" s="773">
        <f t="shared" ref="Z154:Z195" ca="1" si="263">IF(Y154=1,Z153+1,Z153)</f>
        <v>0</v>
      </c>
      <c r="AA154" s="773">
        <f t="shared" ca="1" si="240"/>
        <v>0</v>
      </c>
      <c r="AB154" s="773">
        <f t="shared" ca="1" si="241"/>
        <v>0</v>
      </c>
      <c r="AC154" s="773">
        <f t="shared" ref="AC154:AC195" ca="1" si="264">IF(AB154=1,AC153+1,AC153)</f>
        <v>0</v>
      </c>
      <c r="AD154" s="773">
        <f t="shared" ca="1" si="242"/>
        <v>0</v>
      </c>
      <c r="AE154" s="773">
        <f t="shared" ca="1" si="243"/>
        <v>0</v>
      </c>
      <c r="AF154" s="773">
        <f t="shared" ref="AF154:AF195" ca="1" si="265">IF(AE154=1,AF153+1,AF153)</f>
        <v>1</v>
      </c>
      <c r="AG154" s="773">
        <f t="shared" ca="1" si="244"/>
        <v>0</v>
      </c>
      <c r="AH154" s="773">
        <f t="shared" ca="1" si="245"/>
        <v>0</v>
      </c>
      <c r="AI154" s="773">
        <f t="shared" ref="AI154:AI195" ca="1" si="266">IF(AH154=1,AI153+1,AI153)</f>
        <v>0</v>
      </c>
      <c r="AJ154" s="773">
        <f t="shared" ca="1" si="246"/>
        <v>0</v>
      </c>
      <c r="AK154" s="773">
        <f t="shared" ca="1" si="247"/>
        <v>0</v>
      </c>
      <c r="AL154" s="773">
        <f t="shared" ref="AL154:AL195" ca="1" si="267">IF(AK154=1,AL153+1,AL153)</f>
        <v>0</v>
      </c>
      <c r="AM154" s="773">
        <f t="shared" ca="1" si="248"/>
        <v>0</v>
      </c>
      <c r="AN154" s="773">
        <f t="shared" ca="1" si="249"/>
        <v>0</v>
      </c>
      <c r="AO154" s="773">
        <f t="shared" ref="AO154:AO195" ca="1" si="268">IF(AN154=1,AO153+1,AO153)</f>
        <v>0</v>
      </c>
      <c r="AP154" s="773">
        <f t="shared" ca="1" si="250"/>
        <v>0</v>
      </c>
      <c r="AQ154" s="773">
        <f t="shared" ca="1" si="251"/>
        <v>1</v>
      </c>
      <c r="AR154" s="773">
        <f t="shared" ref="AR154:AR195" ca="1" si="269">IF(AQ154=1,AR153+1,AR153)</f>
        <v>1</v>
      </c>
      <c r="AS154" s="773">
        <f t="shared" ca="1" si="252"/>
        <v>1</v>
      </c>
      <c r="AT154" s="773">
        <f t="shared" ca="1" si="253"/>
        <v>0</v>
      </c>
      <c r="AU154" s="773">
        <f t="shared" ref="AU154:AU195" ca="1" si="270">IF(AT154=1,AU153+1,AU153)</f>
        <v>0</v>
      </c>
      <c r="AV154" s="773">
        <f t="shared" ca="1" si="254"/>
        <v>0</v>
      </c>
      <c r="AW154" s="773">
        <f t="shared" ca="1" si="255"/>
        <v>0</v>
      </c>
      <c r="AX154" s="773">
        <f t="shared" ref="AX154:AX195" ca="1" si="271">IF(AW154=1,AX153+1,AX153)</f>
        <v>0</v>
      </c>
      <c r="AY154" s="773">
        <f t="shared" ca="1" si="256"/>
        <v>0</v>
      </c>
      <c r="AZ154" s="773">
        <f t="shared" ca="1" si="257"/>
        <v>0</v>
      </c>
      <c r="BA154" s="773">
        <f t="shared" ref="BA154:BA195" ca="1" si="272">IF(AZ154=1,BA153+1,BA153)</f>
        <v>0</v>
      </c>
      <c r="BB154" s="773">
        <f t="shared" ca="1" si="258"/>
        <v>0</v>
      </c>
      <c r="BC154" s="773">
        <f t="shared" ca="1" si="259"/>
        <v>0</v>
      </c>
      <c r="BD154" s="773">
        <f t="shared" ref="BD154:BD195" ca="1" si="273">IF(BC154=1,BD153+1,BD153)</f>
        <v>0</v>
      </c>
      <c r="BE154" s="773">
        <f t="shared" ca="1" si="260"/>
        <v>0</v>
      </c>
      <c r="BF154" s="912" t="str">
        <f t="shared" si="261"/>
        <v>Địa Không</v>
      </c>
    </row>
    <row r="155" spans="1:77" ht="15">
      <c r="A155" s="787" t="s">
        <v>6711</v>
      </c>
      <c r="B155" s="855" t="s">
        <v>353</v>
      </c>
      <c r="C155" s="855" t="s">
        <v>9301</v>
      </c>
      <c r="D155" s="855" t="s">
        <v>1402</v>
      </c>
      <c r="E155" s="855" t="s">
        <v>9300</v>
      </c>
      <c r="F155" s="855" t="s">
        <v>9299</v>
      </c>
      <c r="G155" s="855" t="s">
        <v>9298</v>
      </c>
      <c r="H155" s="855" t="s">
        <v>9297</v>
      </c>
      <c r="I155" s="855" t="s">
        <v>507</v>
      </c>
      <c r="J155" s="855" t="s">
        <v>506</v>
      </c>
      <c r="K155" s="806" t="s">
        <v>7871</v>
      </c>
      <c r="L155" s="855" t="s">
        <v>505</v>
      </c>
      <c r="M155" s="855" t="s">
        <v>1399</v>
      </c>
      <c r="O155" s="773">
        <v>11</v>
      </c>
      <c r="P155" s="773" t="s">
        <v>8568</v>
      </c>
      <c r="Q155" s="773" t="str">
        <f ca="1">Q125</f>
        <v>Sửu</v>
      </c>
      <c r="R155" s="773">
        <v>5</v>
      </c>
      <c r="S155" s="773">
        <f t="shared" ca="1" si="236"/>
        <v>5</v>
      </c>
      <c r="V155" s="773">
        <f t="shared" ca="1" si="237"/>
        <v>1</v>
      </c>
      <c r="W155" s="773">
        <f t="shared" ca="1" si="262"/>
        <v>1</v>
      </c>
      <c r="X155" s="773">
        <f t="shared" ca="1" si="238"/>
        <v>1</v>
      </c>
      <c r="Y155" s="773">
        <f t="shared" ca="1" si="239"/>
        <v>0</v>
      </c>
      <c r="Z155" s="773">
        <f t="shared" ca="1" si="263"/>
        <v>0</v>
      </c>
      <c r="AA155" s="773">
        <f t="shared" ca="1" si="240"/>
        <v>0</v>
      </c>
      <c r="AB155" s="773">
        <f t="shared" ca="1" si="241"/>
        <v>0</v>
      </c>
      <c r="AC155" s="773">
        <f t="shared" ca="1" si="264"/>
        <v>0</v>
      </c>
      <c r="AD155" s="773">
        <f t="shared" ca="1" si="242"/>
        <v>0</v>
      </c>
      <c r="AE155" s="773">
        <f t="shared" ca="1" si="243"/>
        <v>0</v>
      </c>
      <c r="AF155" s="773">
        <f t="shared" ca="1" si="265"/>
        <v>1</v>
      </c>
      <c r="AG155" s="773">
        <f t="shared" ca="1" si="244"/>
        <v>0</v>
      </c>
      <c r="AH155" s="773">
        <f t="shared" ca="1" si="245"/>
        <v>0</v>
      </c>
      <c r="AI155" s="773">
        <f t="shared" ca="1" si="266"/>
        <v>0</v>
      </c>
      <c r="AJ155" s="773">
        <f t="shared" ca="1" si="246"/>
        <v>0</v>
      </c>
      <c r="AK155" s="773">
        <f t="shared" ca="1" si="247"/>
        <v>0</v>
      </c>
      <c r="AL155" s="773">
        <f t="shared" ca="1" si="267"/>
        <v>0</v>
      </c>
      <c r="AM155" s="773">
        <f t="shared" ca="1" si="248"/>
        <v>0</v>
      </c>
      <c r="AN155" s="773">
        <f t="shared" ca="1" si="249"/>
        <v>0</v>
      </c>
      <c r="AO155" s="773">
        <f t="shared" ca="1" si="268"/>
        <v>0</v>
      </c>
      <c r="AP155" s="773">
        <f t="shared" ca="1" si="250"/>
        <v>0</v>
      </c>
      <c r="AQ155" s="773">
        <f t="shared" ca="1" si="251"/>
        <v>0</v>
      </c>
      <c r="AR155" s="773">
        <f t="shared" ca="1" si="269"/>
        <v>1</v>
      </c>
      <c r="AS155" s="773">
        <f t="shared" ca="1" si="252"/>
        <v>0</v>
      </c>
      <c r="AT155" s="773">
        <f t="shared" ca="1" si="253"/>
        <v>0</v>
      </c>
      <c r="AU155" s="773">
        <f t="shared" ca="1" si="270"/>
        <v>0</v>
      </c>
      <c r="AV155" s="773">
        <f t="shared" ca="1" si="254"/>
        <v>0</v>
      </c>
      <c r="AW155" s="773">
        <f t="shared" ca="1" si="255"/>
        <v>0</v>
      </c>
      <c r="AX155" s="773">
        <f t="shared" ca="1" si="271"/>
        <v>0</v>
      </c>
      <c r="AY155" s="773">
        <f t="shared" ca="1" si="256"/>
        <v>0</v>
      </c>
      <c r="AZ155" s="773">
        <f t="shared" ca="1" si="257"/>
        <v>0</v>
      </c>
      <c r="BA155" s="773">
        <f t="shared" ca="1" si="272"/>
        <v>0</v>
      </c>
      <c r="BB155" s="773">
        <f t="shared" ca="1" si="258"/>
        <v>0</v>
      </c>
      <c r="BC155" s="773">
        <f t="shared" ca="1" si="259"/>
        <v>0</v>
      </c>
      <c r="BD155" s="773">
        <f t="shared" ca="1" si="273"/>
        <v>0</v>
      </c>
      <c r="BE155" s="773">
        <f t="shared" ca="1" si="260"/>
        <v>0</v>
      </c>
      <c r="BF155" s="912" t="str">
        <f t="shared" si="261"/>
        <v>Kình Dương</v>
      </c>
    </row>
    <row r="156" spans="1:77" ht="30">
      <c r="A156" s="787" t="s">
        <v>6720</v>
      </c>
      <c r="B156" s="855" t="s">
        <v>9297</v>
      </c>
      <c r="C156" s="855" t="s">
        <v>507</v>
      </c>
      <c r="D156" s="855" t="s">
        <v>506</v>
      </c>
      <c r="E156" s="806" t="s">
        <v>7871</v>
      </c>
      <c r="F156" s="855" t="s">
        <v>505</v>
      </c>
      <c r="G156" s="855" t="s">
        <v>1399</v>
      </c>
      <c r="H156" s="855" t="s">
        <v>353</v>
      </c>
      <c r="I156" s="855" t="s">
        <v>9301</v>
      </c>
      <c r="J156" s="855" t="s">
        <v>1402</v>
      </c>
      <c r="K156" s="855" t="s">
        <v>9300</v>
      </c>
      <c r="L156" s="855" t="s">
        <v>9299</v>
      </c>
      <c r="M156" s="855" t="s">
        <v>9298</v>
      </c>
      <c r="O156" s="773">
        <v>12</v>
      </c>
      <c r="P156" s="773" t="s">
        <v>8569</v>
      </c>
      <c r="Q156" s="773" t="str">
        <f ca="1">E95</f>
        <v>Sửu</v>
      </c>
      <c r="R156" s="773">
        <v>5</v>
      </c>
      <c r="S156" s="773">
        <f t="shared" ca="1" si="236"/>
        <v>5</v>
      </c>
      <c r="V156" s="773">
        <f t="shared" ca="1" si="237"/>
        <v>0</v>
      </c>
      <c r="W156" s="773">
        <f t="shared" ca="1" si="262"/>
        <v>1</v>
      </c>
      <c r="X156" s="773">
        <f t="shared" ca="1" si="238"/>
        <v>0</v>
      </c>
      <c r="Y156" s="773">
        <f t="shared" ca="1" si="239"/>
        <v>0</v>
      </c>
      <c r="Z156" s="773">
        <f t="shared" ca="1" si="263"/>
        <v>0</v>
      </c>
      <c r="AA156" s="773">
        <f t="shared" ca="1" si="240"/>
        <v>0</v>
      </c>
      <c r="AB156" s="773">
        <f t="shared" ca="1" si="241"/>
        <v>0</v>
      </c>
      <c r="AC156" s="773">
        <f t="shared" ca="1" si="264"/>
        <v>0</v>
      </c>
      <c r="AD156" s="773">
        <f t="shared" ca="1" si="242"/>
        <v>0</v>
      </c>
      <c r="AE156" s="773">
        <f t="shared" ca="1" si="243"/>
        <v>0</v>
      </c>
      <c r="AF156" s="773">
        <f t="shared" ca="1" si="265"/>
        <v>1</v>
      </c>
      <c r="AG156" s="773">
        <f t="shared" ca="1" si="244"/>
        <v>0</v>
      </c>
      <c r="AH156" s="773">
        <f t="shared" ca="1" si="245"/>
        <v>0</v>
      </c>
      <c r="AI156" s="773">
        <f t="shared" ca="1" si="266"/>
        <v>0</v>
      </c>
      <c r="AJ156" s="773">
        <f t="shared" ca="1" si="246"/>
        <v>0</v>
      </c>
      <c r="AK156" s="773">
        <f t="shared" ca="1" si="247"/>
        <v>0</v>
      </c>
      <c r="AL156" s="773">
        <f t="shared" ca="1" si="267"/>
        <v>0</v>
      </c>
      <c r="AM156" s="773">
        <f t="shared" ca="1" si="248"/>
        <v>0</v>
      </c>
      <c r="AN156" s="773">
        <f t="shared" ca="1" si="249"/>
        <v>0</v>
      </c>
      <c r="AO156" s="773">
        <f t="shared" ca="1" si="268"/>
        <v>0</v>
      </c>
      <c r="AP156" s="773">
        <f t="shared" ca="1" si="250"/>
        <v>0</v>
      </c>
      <c r="AQ156" s="773">
        <f t="shared" ca="1" si="251"/>
        <v>0</v>
      </c>
      <c r="AR156" s="773">
        <f t="shared" ca="1" si="269"/>
        <v>1</v>
      </c>
      <c r="AS156" s="773">
        <f t="shared" ca="1" si="252"/>
        <v>0</v>
      </c>
      <c r="AT156" s="773">
        <f t="shared" ca="1" si="253"/>
        <v>0</v>
      </c>
      <c r="AU156" s="773">
        <f t="shared" ca="1" si="270"/>
        <v>0</v>
      </c>
      <c r="AV156" s="773">
        <f t="shared" ca="1" si="254"/>
        <v>0</v>
      </c>
      <c r="AW156" s="773">
        <f t="shared" ca="1" si="255"/>
        <v>0</v>
      </c>
      <c r="AX156" s="773">
        <f t="shared" ca="1" si="271"/>
        <v>0</v>
      </c>
      <c r="AY156" s="773">
        <f t="shared" ca="1" si="256"/>
        <v>0</v>
      </c>
      <c r="AZ156" s="773">
        <f t="shared" ca="1" si="257"/>
        <v>1</v>
      </c>
      <c r="BA156" s="773">
        <f t="shared" ca="1" si="272"/>
        <v>1</v>
      </c>
      <c r="BB156" s="773">
        <f t="shared" ca="1" si="258"/>
        <v>1</v>
      </c>
      <c r="BC156" s="773">
        <f t="shared" ca="1" si="259"/>
        <v>0</v>
      </c>
      <c r="BD156" s="773">
        <f t="shared" ca="1" si="273"/>
        <v>0</v>
      </c>
      <c r="BE156" s="773">
        <f t="shared" ca="1" si="260"/>
        <v>0</v>
      </c>
      <c r="BF156" s="912" t="str">
        <f t="shared" si="261"/>
        <v>Đà La</v>
      </c>
    </row>
    <row r="157" spans="1:77" ht="30">
      <c r="A157" s="787" t="s">
        <v>6717</v>
      </c>
      <c r="B157" s="855" t="s">
        <v>9297</v>
      </c>
      <c r="C157" s="855" t="s">
        <v>507</v>
      </c>
      <c r="D157" s="855" t="s">
        <v>506</v>
      </c>
      <c r="E157" s="806" t="s">
        <v>7871</v>
      </c>
      <c r="F157" s="855" t="s">
        <v>505</v>
      </c>
      <c r="G157" s="855" t="s">
        <v>1399</v>
      </c>
      <c r="H157" s="855" t="s">
        <v>353</v>
      </c>
      <c r="I157" s="855" t="s">
        <v>9301</v>
      </c>
      <c r="J157" s="855" t="s">
        <v>1402</v>
      </c>
      <c r="K157" s="855" t="s">
        <v>9300</v>
      </c>
      <c r="L157" s="855" t="s">
        <v>9299</v>
      </c>
      <c r="M157" s="855" t="s">
        <v>9298</v>
      </c>
      <c r="O157" s="773">
        <v>13</v>
      </c>
      <c r="P157" s="773" t="s">
        <v>6601</v>
      </c>
      <c r="Q157" s="773" t="str">
        <f ca="1">F95</f>
        <v>Sửu</v>
      </c>
      <c r="R157" s="773">
        <v>5</v>
      </c>
      <c r="S157" s="773">
        <f t="shared" ca="1" si="236"/>
        <v>1</v>
      </c>
      <c r="V157" s="773">
        <f t="shared" ca="1" si="237"/>
        <v>0</v>
      </c>
      <c r="W157" s="773">
        <f t="shared" ca="1" si="262"/>
        <v>1</v>
      </c>
      <c r="X157" s="773">
        <f t="shared" ca="1" si="238"/>
        <v>0</v>
      </c>
      <c r="Y157" s="773">
        <f t="shared" ca="1" si="239"/>
        <v>0</v>
      </c>
      <c r="Z157" s="773">
        <f t="shared" ca="1" si="263"/>
        <v>0</v>
      </c>
      <c r="AA157" s="773">
        <f t="shared" ca="1" si="240"/>
        <v>0</v>
      </c>
      <c r="AB157" s="773">
        <f t="shared" ca="1" si="241"/>
        <v>0</v>
      </c>
      <c r="AC157" s="773">
        <f t="shared" ca="1" si="264"/>
        <v>0</v>
      </c>
      <c r="AD157" s="773">
        <f t="shared" ca="1" si="242"/>
        <v>0</v>
      </c>
      <c r="AE157" s="773">
        <f t="shared" ca="1" si="243"/>
        <v>0</v>
      </c>
      <c r="AF157" s="773">
        <f t="shared" ca="1" si="265"/>
        <v>1</v>
      </c>
      <c r="AG157" s="773">
        <f t="shared" ca="1" si="244"/>
        <v>0</v>
      </c>
      <c r="AH157" s="773">
        <f t="shared" ca="1" si="245"/>
        <v>0</v>
      </c>
      <c r="AI157" s="773">
        <f t="shared" ca="1" si="266"/>
        <v>0</v>
      </c>
      <c r="AJ157" s="773">
        <f t="shared" ca="1" si="246"/>
        <v>0</v>
      </c>
      <c r="AK157" s="773">
        <f t="shared" ca="1" si="247"/>
        <v>0</v>
      </c>
      <c r="AL157" s="773">
        <f t="shared" ca="1" si="267"/>
        <v>0</v>
      </c>
      <c r="AM157" s="773">
        <f t="shared" ca="1" si="248"/>
        <v>0</v>
      </c>
      <c r="AN157" s="773">
        <f t="shared" ca="1" si="249"/>
        <v>0</v>
      </c>
      <c r="AO157" s="773">
        <f t="shared" ca="1" si="268"/>
        <v>0</v>
      </c>
      <c r="AP157" s="773">
        <f t="shared" ca="1" si="250"/>
        <v>0</v>
      </c>
      <c r="AQ157" s="773">
        <f t="shared" ca="1" si="251"/>
        <v>0</v>
      </c>
      <c r="AR157" s="773">
        <f t="shared" ca="1" si="269"/>
        <v>1</v>
      </c>
      <c r="AS157" s="773">
        <f t="shared" ca="1" si="252"/>
        <v>0</v>
      </c>
      <c r="AT157" s="773">
        <f t="shared" ca="1" si="253"/>
        <v>0</v>
      </c>
      <c r="AU157" s="773">
        <f t="shared" ca="1" si="270"/>
        <v>0</v>
      </c>
      <c r="AV157" s="773">
        <f t="shared" ca="1" si="254"/>
        <v>0</v>
      </c>
      <c r="AW157" s="773">
        <f t="shared" ca="1" si="255"/>
        <v>1</v>
      </c>
      <c r="AX157" s="773">
        <f t="shared" ca="1" si="271"/>
        <v>1</v>
      </c>
      <c r="AY157" s="773">
        <f t="shared" ca="1" si="256"/>
        <v>1</v>
      </c>
      <c r="AZ157" s="773">
        <f t="shared" ca="1" si="257"/>
        <v>0</v>
      </c>
      <c r="BA157" s="773">
        <f t="shared" ca="1" si="272"/>
        <v>1</v>
      </c>
      <c r="BB157" s="773">
        <f t="shared" ca="1" si="258"/>
        <v>0</v>
      </c>
      <c r="BC157" s="773">
        <f t="shared" ca="1" si="259"/>
        <v>0</v>
      </c>
      <c r="BD157" s="773">
        <f t="shared" ca="1" si="273"/>
        <v>0</v>
      </c>
      <c r="BE157" s="773">
        <f t="shared" ca="1" si="260"/>
        <v>0</v>
      </c>
      <c r="BF157" s="912" t="str">
        <f t="shared" si="261"/>
        <v>Hỏa Tinh</v>
      </c>
    </row>
    <row r="158" spans="1:77" ht="30">
      <c r="A158" s="787" t="s">
        <v>6718</v>
      </c>
      <c r="B158" s="806" t="s">
        <v>7871</v>
      </c>
      <c r="C158" s="855" t="s">
        <v>505</v>
      </c>
      <c r="D158" s="855" t="s">
        <v>1399</v>
      </c>
      <c r="E158" s="855" t="s">
        <v>353</v>
      </c>
      <c r="F158" s="855" t="s">
        <v>9301</v>
      </c>
      <c r="G158" s="855" t="s">
        <v>1402</v>
      </c>
      <c r="H158" s="855" t="s">
        <v>9300</v>
      </c>
      <c r="I158" s="855" t="s">
        <v>9299</v>
      </c>
      <c r="J158" s="855" t="s">
        <v>9298</v>
      </c>
      <c r="K158" s="855" t="s">
        <v>9297</v>
      </c>
      <c r="L158" s="855" t="s">
        <v>507</v>
      </c>
      <c r="M158" s="855" t="s">
        <v>506</v>
      </c>
      <c r="O158" s="773">
        <v>14</v>
      </c>
      <c r="P158" s="773" t="s">
        <v>8570</v>
      </c>
      <c r="Q158" s="773" t="str">
        <f ca="1">D202</f>
        <v>Thân</v>
      </c>
      <c r="R158" s="773">
        <v>2</v>
      </c>
      <c r="S158" s="773" t="e">
        <f t="shared" ca="1" si="236"/>
        <v>#N/A</v>
      </c>
      <c r="V158" s="773">
        <f t="shared" ca="1" si="237"/>
        <v>0</v>
      </c>
      <c r="W158" s="773">
        <f t="shared" ca="1" si="262"/>
        <v>1</v>
      </c>
      <c r="X158" s="773">
        <f t="shared" ca="1" si="238"/>
        <v>0</v>
      </c>
      <c r="Y158" s="773">
        <f t="shared" ca="1" si="239"/>
        <v>0</v>
      </c>
      <c r="Z158" s="773">
        <f t="shared" ca="1" si="263"/>
        <v>0</v>
      </c>
      <c r="AA158" s="773">
        <f t="shared" ca="1" si="240"/>
        <v>0</v>
      </c>
      <c r="AB158" s="773">
        <f t="shared" ca="1" si="241"/>
        <v>0</v>
      </c>
      <c r="AC158" s="773">
        <f t="shared" ca="1" si="264"/>
        <v>0</v>
      </c>
      <c r="AD158" s="773">
        <f t="shared" ca="1" si="242"/>
        <v>0</v>
      </c>
      <c r="AE158" s="773">
        <f t="shared" ca="1" si="243"/>
        <v>0</v>
      </c>
      <c r="AF158" s="773">
        <f t="shared" ca="1" si="265"/>
        <v>1</v>
      </c>
      <c r="AG158" s="773">
        <f t="shared" ca="1" si="244"/>
        <v>0</v>
      </c>
      <c r="AH158" s="773">
        <f t="shared" ca="1" si="245"/>
        <v>0</v>
      </c>
      <c r="AI158" s="773">
        <f t="shared" ca="1" si="266"/>
        <v>0</v>
      </c>
      <c r="AJ158" s="773">
        <f t="shared" ca="1" si="246"/>
        <v>0</v>
      </c>
      <c r="AK158" s="773">
        <f t="shared" ca="1" si="247"/>
        <v>0</v>
      </c>
      <c r="AL158" s="773">
        <f t="shared" ca="1" si="267"/>
        <v>0</v>
      </c>
      <c r="AM158" s="773">
        <f t="shared" ca="1" si="248"/>
        <v>0</v>
      </c>
      <c r="AN158" s="773">
        <f t="shared" ca="1" si="249"/>
        <v>0</v>
      </c>
      <c r="AO158" s="773">
        <f t="shared" ca="1" si="268"/>
        <v>0</v>
      </c>
      <c r="AP158" s="773">
        <f t="shared" ca="1" si="250"/>
        <v>0</v>
      </c>
      <c r="AQ158" s="773">
        <f t="shared" ca="1" si="251"/>
        <v>1</v>
      </c>
      <c r="AR158" s="773">
        <f t="shared" ca="1" si="269"/>
        <v>2</v>
      </c>
      <c r="AS158" s="773">
        <f t="shared" ca="1" si="252"/>
        <v>2</v>
      </c>
      <c r="AT158" s="773">
        <f t="shared" ca="1" si="253"/>
        <v>0</v>
      </c>
      <c r="AU158" s="773">
        <f t="shared" ca="1" si="270"/>
        <v>0</v>
      </c>
      <c r="AV158" s="773">
        <f t="shared" ca="1" si="254"/>
        <v>0</v>
      </c>
      <c r="AW158" s="773">
        <f t="shared" ca="1" si="255"/>
        <v>0</v>
      </c>
      <c r="AX158" s="773">
        <f t="shared" ca="1" si="271"/>
        <v>1</v>
      </c>
      <c r="AY158" s="773">
        <f t="shared" ca="1" si="256"/>
        <v>0</v>
      </c>
      <c r="AZ158" s="773">
        <f t="shared" ca="1" si="257"/>
        <v>0</v>
      </c>
      <c r="BA158" s="773">
        <f t="shared" ca="1" si="272"/>
        <v>1</v>
      </c>
      <c r="BB158" s="773">
        <f t="shared" ca="1" si="258"/>
        <v>0</v>
      </c>
      <c r="BC158" s="773">
        <f t="shared" ca="1" si="259"/>
        <v>0</v>
      </c>
      <c r="BD158" s="773">
        <f t="shared" ca="1" si="273"/>
        <v>0</v>
      </c>
      <c r="BE158" s="773">
        <f t="shared" ca="1" si="260"/>
        <v>0</v>
      </c>
      <c r="BF158" s="912" t="str">
        <f t="shared" si="261"/>
        <v>Linh Tinh</v>
      </c>
    </row>
    <row r="159" spans="1:77" ht="15">
      <c r="A159" s="787" t="s">
        <v>6719</v>
      </c>
      <c r="B159" s="855" t="s">
        <v>9300</v>
      </c>
      <c r="C159" s="855" t="s">
        <v>9299</v>
      </c>
      <c r="D159" s="855" t="s">
        <v>9298</v>
      </c>
      <c r="E159" s="855" t="s">
        <v>9297</v>
      </c>
      <c r="F159" s="855" t="s">
        <v>507</v>
      </c>
      <c r="G159" s="855" t="s">
        <v>506</v>
      </c>
      <c r="H159" s="806" t="s">
        <v>7871</v>
      </c>
      <c r="I159" s="855" t="s">
        <v>505</v>
      </c>
      <c r="J159" s="855" t="s">
        <v>1399</v>
      </c>
      <c r="K159" s="855" t="s">
        <v>9298</v>
      </c>
      <c r="L159" s="855" t="s">
        <v>9301</v>
      </c>
      <c r="M159" s="855" t="s">
        <v>1402</v>
      </c>
      <c r="O159" s="773">
        <v>15</v>
      </c>
      <c r="P159" s="773" t="s">
        <v>8571</v>
      </c>
      <c r="Q159" s="773" t="str">
        <f ca="1">J202</f>
        <v>Dần</v>
      </c>
      <c r="R159" s="773">
        <v>4</v>
      </c>
      <c r="S159" s="773" t="e">
        <f t="shared" ca="1" si="236"/>
        <v>#N/A</v>
      </c>
      <c r="V159" s="773">
        <f t="shared" ca="1" si="237"/>
        <v>0</v>
      </c>
      <c r="W159" s="773">
        <f t="shared" ca="1" si="262"/>
        <v>1</v>
      </c>
      <c r="X159" s="773">
        <f t="shared" ca="1" si="238"/>
        <v>0</v>
      </c>
      <c r="Y159" s="773">
        <f t="shared" ca="1" si="239"/>
        <v>0</v>
      </c>
      <c r="Z159" s="773">
        <f t="shared" ca="1" si="263"/>
        <v>0</v>
      </c>
      <c r="AA159" s="773">
        <f t="shared" ca="1" si="240"/>
        <v>0</v>
      </c>
      <c r="AB159" s="773">
        <f t="shared" ca="1" si="241"/>
        <v>0</v>
      </c>
      <c r="AC159" s="773">
        <f t="shared" ca="1" si="264"/>
        <v>0</v>
      </c>
      <c r="AD159" s="773">
        <f t="shared" ca="1" si="242"/>
        <v>0</v>
      </c>
      <c r="AE159" s="773">
        <f t="shared" ca="1" si="243"/>
        <v>0</v>
      </c>
      <c r="AF159" s="773">
        <f t="shared" ca="1" si="265"/>
        <v>1</v>
      </c>
      <c r="AG159" s="773">
        <f t="shared" ca="1" si="244"/>
        <v>0</v>
      </c>
      <c r="AH159" s="773">
        <f t="shared" ca="1" si="245"/>
        <v>0</v>
      </c>
      <c r="AI159" s="773">
        <f t="shared" ca="1" si="266"/>
        <v>0</v>
      </c>
      <c r="AJ159" s="773">
        <f t="shared" ca="1" si="246"/>
        <v>0</v>
      </c>
      <c r="AK159" s="773">
        <f t="shared" ca="1" si="247"/>
        <v>0</v>
      </c>
      <c r="AL159" s="773">
        <f t="shared" ca="1" si="267"/>
        <v>0</v>
      </c>
      <c r="AM159" s="773">
        <f t="shared" ca="1" si="248"/>
        <v>0</v>
      </c>
      <c r="AN159" s="773">
        <f t="shared" ca="1" si="249"/>
        <v>0</v>
      </c>
      <c r="AO159" s="773">
        <f t="shared" ca="1" si="268"/>
        <v>0</v>
      </c>
      <c r="AP159" s="773">
        <f t="shared" ca="1" si="250"/>
        <v>0</v>
      </c>
      <c r="AQ159" s="773">
        <f t="shared" ca="1" si="251"/>
        <v>1</v>
      </c>
      <c r="AR159" s="773">
        <f t="shared" ca="1" si="269"/>
        <v>3</v>
      </c>
      <c r="AS159" s="773">
        <f t="shared" ca="1" si="252"/>
        <v>3</v>
      </c>
      <c r="AT159" s="773">
        <f t="shared" ca="1" si="253"/>
        <v>0</v>
      </c>
      <c r="AU159" s="773">
        <f t="shared" ca="1" si="270"/>
        <v>0</v>
      </c>
      <c r="AV159" s="773">
        <f t="shared" ca="1" si="254"/>
        <v>0</v>
      </c>
      <c r="AW159" s="773">
        <f t="shared" ca="1" si="255"/>
        <v>0</v>
      </c>
      <c r="AX159" s="773">
        <f t="shared" ca="1" si="271"/>
        <v>1</v>
      </c>
      <c r="AY159" s="773">
        <f t="shared" ca="1" si="256"/>
        <v>0</v>
      </c>
      <c r="AZ159" s="773">
        <f t="shared" ca="1" si="257"/>
        <v>0</v>
      </c>
      <c r="BA159" s="773">
        <f t="shared" ca="1" si="272"/>
        <v>1</v>
      </c>
      <c r="BB159" s="773">
        <f t="shared" ca="1" si="258"/>
        <v>0</v>
      </c>
      <c r="BC159" s="773">
        <f t="shared" ca="1" si="259"/>
        <v>0</v>
      </c>
      <c r="BD159" s="773">
        <f t="shared" ca="1" si="273"/>
        <v>0</v>
      </c>
      <c r="BE159" s="773">
        <f t="shared" ca="1" si="260"/>
        <v>0</v>
      </c>
      <c r="BF159" s="912" t="str">
        <f t="shared" si="261"/>
        <v>Thiên Không</v>
      </c>
    </row>
    <row r="160" spans="1:77" ht="15">
      <c r="B160" s="914" t="str">
        <f t="shared" ref="B160:M160" ca="1" si="274">VLOOKUP($N$42,$A$154:$M$159,B123,0)</f>
        <v>tỵ</v>
      </c>
      <c r="C160" s="914" t="str">
        <f t="shared" ca="1" si="274"/>
        <v>Thìn</v>
      </c>
      <c r="D160" s="914" t="str">
        <f t="shared" ca="1" si="274"/>
        <v>Mão</v>
      </c>
      <c r="E160" s="914" t="str">
        <f t="shared" ca="1" si="274"/>
        <v>Dần</v>
      </c>
      <c r="F160" s="914" t="str">
        <f t="shared" ca="1" si="274"/>
        <v>Sửu</v>
      </c>
      <c r="G160" s="914" t="str">
        <f t="shared" ca="1" si="274"/>
        <v>Tý</v>
      </c>
      <c r="H160" s="914" t="str">
        <f t="shared" ca="1" si="274"/>
        <v>Hợi</v>
      </c>
      <c r="I160" s="914" t="str">
        <f t="shared" ca="1" si="274"/>
        <v>Tuất</v>
      </c>
      <c r="J160" s="914" t="str">
        <f t="shared" ca="1" si="274"/>
        <v>Dậu</v>
      </c>
      <c r="K160" s="914" t="str">
        <f t="shared" ca="1" si="274"/>
        <v>Thân</v>
      </c>
      <c r="L160" s="914" t="str">
        <f t="shared" ca="1" si="274"/>
        <v>Mùi</v>
      </c>
      <c r="M160" s="914" t="str">
        <f t="shared" ca="1" si="274"/>
        <v>Ngọ</v>
      </c>
      <c r="O160" s="773">
        <v>16</v>
      </c>
      <c r="P160" s="773" t="s">
        <v>8572</v>
      </c>
      <c r="Q160" s="773" t="str">
        <f ca="1">F142</f>
        <v>Tý</v>
      </c>
      <c r="R160" s="773">
        <v>5</v>
      </c>
      <c r="S160" s="773" t="e">
        <f t="shared" ca="1" si="236"/>
        <v>#N/A</v>
      </c>
      <c r="V160" s="773">
        <f t="shared" ca="1" si="237"/>
        <v>0</v>
      </c>
      <c r="W160" s="773">
        <f t="shared" ca="1" si="262"/>
        <v>1</v>
      </c>
      <c r="X160" s="773">
        <f t="shared" ca="1" si="238"/>
        <v>0</v>
      </c>
      <c r="Y160" s="773">
        <f t="shared" ca="1" si="239"/>
        <v>0</v>
      </c>
      <c r="Z160" s="773">
        <f t="shared" ca="1" si="263"/>
        <v>0</v>
      </c>
      <c r="AA160" s="773">
        <f t="shared" ca="1" si="240"/>
        <v>0</v>
      </c>
      <c r="AB160" s="773">
        <f t="shared" ca="1" si="241"/>
        <v>0</v>
      </c>
      <c r="AC160" s="773">
        <f t="shared" ca="1" si="264"/>
        <v>0</v>
      </c>
      <c r="AD160" s="773">
        <f t="shared" ca="1" si="242"/>
        <v>0</v>
      </c>
      <c r="AE160" s="773">
        <f t="shared" ca="1" si="243"/>
        <v>0</v>
      </c>
      <c r="AF160" s="773">
        <f t="shared" ca="1" si="265"/>
        <v>1</v>
      </c>
      <c r="AG160" s="773">
        <f t="shared" ca="1" si="244"/>
        <v>0</v>
      </c>
      <c r="AH160" s="773">
        <f t="shared" ca="1" si="245"/>
        <v>0</v>
      </c>
      <c r="AI160" s="773">
        <f t="shared" ca="1" si="266"/>
        <v>0</v>
      </c>
      <c r="AJ160" s="773">
        <f t="shared" ca="1" si="246"/>
        <v>0</v>
      </c>
      <c r="AK160" s="773">
        <f t="shared" ca="1" si="247"/>
        <v>0</v>
      </c>
      <c r="AL160" s="773">
        <f t="shared" ca="1" si="267"/>
        <v>0</v>
      </c>
      <c r="AM160" s="773">
        <f t="shared" ca="1" si="248"/>
        <v>0</v>
      </c>
      <c r="AN160" s="773">
        <f t="shared" ca="1" si="249"/>
        <v>0</v>
      </c>
      <c r="AO160" s="773">
        <f t="shared" ca="1" si="268"/>
        <v>0</v>
      </c>
      <c r="AP160" s="773">
        <f t="shared" ca="1" si="250"/>
        <v>0</v>
      </c>
      <c r="AQ160" s="773">
        <f t="shared" ca="1" si="251"/>
        <v>0</v>
      </c>
      <c r="AR160" s="773">
        <f t="shared" ca="1" si="269"/>
        <v>3</v>
      </c>
      <c r="AS160" s="773">
        <f t="shared" ca="1" si="252"/>
        <v>0</v>
      </c>
      <c r="AT160" s="773">
        <f t="shared" ca="1" si="253"/>
        <v>0</v>
      </c>
      <c r="AU160" s="773">
        <f t="shared" ca="1" si="270"/>
        <v>0</v>
      </c>
      <c r="AV160" s="773">
        <f t="shared" ca="1" si="254"/>
        <v>0</v>
      </c>
      <c r="AW160" s="773">
        <f t="shared" ca="1" si="255"/>
        <v>1</v>
      </c>
      <c r="AX160" s="773">
        <f t="shared" ca="1" si="271"/>
        <v>2</v>
      </c>
      <c r="AY160" s="773">
        <f t="shared" ca="1" si="256"/>
        <v>2</v>
      </c>
      <c r="AZ160" s="773">
        <f t="shared" ca="1" si="257"/>
        <v>0</v>
      </c>
      <c r="BA160" s="773">
        <f t="shared" ca="1" si="272"/>
        <v>1</v>
      </c>
      <c r="BB160" s="773">
        <f t="shared" ca="1" si="258"/>
        <v>0</v>
      </c>
      <c r="BC160" s="773">
        <f t="shared" ca="1" si="259"/>
        <v>0</v>
      </c>
      <c r="BD160" s="773">
        <f t="shared" ca="1" si="273"/>
        <v>0</v>
      </c>
      <c r="BE160" s="773">
        <f t="shared" ca="1" si="260"/>
        <v>0</v>
      </c>
      <c r="BF160" s="912" t="str">
        <f t="shared" si="261"/>
        <v>Thiên Hình</v>
      </c>
    </row>
    <row r="161" spans="1:58">
      <c r="A161" s="938" t="s">
        <v>8573</v>
      </c>
      <c r="O161" s="773">
        <v>17</v>
      </c>
      <c r="P161" s="773" t="s">
        <v>8574</v>
      </c>
      <c r="Q161" s="773" t="str">
        <f ca="1">E142</f>
        <v>Tý</v>
      </c>
      <c r="R161" s="773">
        <v>5</v>
      </c>
      <c r="S161" s="796">
        <f t="shared" ref="S161:S167" ca="1" si="275">VLOOKUP(C34,$P$145:$R$187,3,0)</f>
        <v>4</v>
      </c>
      <c r="V161" s="773">
        <f t="shared" ca="1" si="237"/>
        <v>0</v>
      </c>
      <c r="W161" s="773">
        <f t="shared" ca="1" si="262"/>
        <v>1</v>
      </c>
      <c r="X161" s="773">
        <f t="shared" ca="1" si="238"/>
        <v>0</v>
      </c>
      <c r="Y161" s="773">
        <f t="shared" ca="1" si="239"/>
        <v>0</v>
      </c>
      <c r="Z161" s="773">
        <f t="shared" ca="1" si="263"/>
        <v>0</v>
      </c>
      <c r="AA161" s="773">
        <f t="shared" ca="1" si="240"/>
        <v>0</v>
      </c>
      <c r="AB161" s="773">
        <f t="shared" ca="1" si="241"/>
        <v>0</v>
      </c>
      <c r="AC161" s="773">
        <f t="shared" ca="1" si="264"/>
        <v>0</v>
      </c>
      <c r="AD161" s="773">
        <f t="shared" ca="1" si="242"/>
        <v>0</v>
      </c>
      <c r="AE161" s="773">
        <f t="shared" ca="1" si="243"/>
        <v>0</v>
      </c>
      <c r="AF161" s="773">
        <f t="shared" ca="1" si="265"/>
        <v>1</v>
      </c>
      <c r="AG161" s="773">
        <f t="shared" ca="1" si="244"/>
        <v>0</v>
      </c>
      <c r="AH161" s="773">
        <f t="shared" ca="1" si="245"/>
        <v>0</v>
      </c>
      <c r="AI161" s="773">
        <f t="shared" ca="1" si="266"/>
        <v>0</v>
      </c>
      <c r="AJ161" s="773">
        <f t="shared" ca="1" si="246"/>
        <v>0</v>
      </c>
      <c r="AK161" s="773">
        <f t="shared" ca="1" si="247"/>
        <v>0</v>
      </c>
      <c r="AL161" s="773">
        <f t="shared" ca="1" si="267"/>
        <v>0</v>
      </c>
      <c r="AM161" s="773">
        <f t="shared" ca="1" si="248"/>
        <v>0</v>
      </c>
      <c r="AN161" s="773">
        <f t="shared" ca="1" si="249"/>
        <v>0</v>
      </c>
      <c r="AO161" s="773">
        <f t="shared" ca="1" si="268"/>
        <v>0</v>
      </c>
      <c r="AP161" s="773">
        <f t="shared" ca="1" si="250"/>
        <v>0</v>
      </c>
      <c r="AQ161" s="773">
        <f t="shared" ca="1" si="251"/>
        <v>0</v>
      </c>
      <c r="AR161" s="773">
        <f t="shared" ca="1" si="269"/>
        <v>3</v>
      </c>
      <c r="AS161" s="773">
        <f t="shared" ca="1" si="252"/>
        <v>0</v>
      </c>
      <c r="AT161" s="773">
        <f t="shared" ca="1" si="253"/>
        <v>0</v>
      </c>
      <c r="AU161" s="773">
        <f t="shared" ca="1" si="270"/>
        <v>0</v>
      </c>
      <c r="AV161" s="773">
        <f t="shared" ca="1" si="254"/>
        <v>0</v>
      </c>
      <c r="AW161" s="773">
        <f t="shared" ca="1" si="255"/>
        <v>0</v>
      </c>
      <c r="AX161" s="773">
        <f t="shared" ca="1" si="271"/>
        <v>2</v>
      </c>
      <c r="AY161" s="773">
        <f t="shared" ca="1" si="256"/>
        <v>0</v>
      </c>
      <c r="AZ161" s="773">
        <f t="shared" ca="1" si="257"/>
        <v>0</v>
      </c>
      <c r="BA161" s="773">
        <f t="shared" ca="1" si="272"/>
        <v>1</v>
      </c>
      <c r="BB161" s="773">
        <f t="shared" ca="1" si="258"/>
        <v>0</v>
      </c>
      <c r="BC161" s="773">
        <f t="shared" ca="1" si="259"/>
        <v>1</v>
      </c>
      <c r="BD161" s="773">
        <f t="shared" ca="1" si="273"/>
        <v>1</v>
      </c>
      <c r="BE161" s="773">
        <f t="shared" ca="1" si="260"/>
        <v>1</v>
      </c>
      <c r="BF161" s="912" t="str">
        <f t="shared" si="261"/>
        <v>Kiếp Sát</v>
      </c>
    </row>
    <row r="162" spans="1:58">
      <c r="B162" s="912" t="str">
        <f t="shared" ref="B162:M162" ca="1" si="276">VLOOKUP($B$124,$A$163:$M$174,B123,0)</f>
        <v>Hợi</v>
      </c>
      <c r="C162" s="912" t="str">
        <f t="shared" ca="1" si="276"/>
        <v>Tý</v>
      </c>
      <c r="D162" s="912" t="str">
        <f t="shared" ca="1" si="276"/>
        <v>Sửu</v>
      </c>
      <c r="E162" s="912" t="str">
        <f t="shared" ca="1" si="276"/>
        <v>Dần</v>
      </c>
      <c r="F162" s="912" t="str">
        <f t="shared" ca="1" si="276"/>
        <v>Mão</v>
      </c>
      <c r="G162" s="912" t="str">
        <f t="shared" ca="1" si="276"/>
        <v>Thìn</v>
      </c>
      <c r="H162" s="912" t="str">
        <f t="shared" ca="1" si="276"/>
        <v>tỵ</v>
      </c>
      <c r="I162" s="912" t="str">
        <f t="shared" ca="1" si="276"/>
        <v>Ngọ</v>
      </c>
      <c r="J162" s="912" t="str">
        <f t="shared" ca="1" si="276"/>
        <v>Mùi</v>
      </c>
      <c r="K162" s="912" t="str">
        <f t="shared" ca="1" si="276"/>
        <v>Thân</v>
      </c>
      <c r="L162" s="912" t="str">
        <f t="shared" ca="1" si="276"/>
        <v>Dậu</v>
      </c>
      <c r="M162" s="912" t="str">
        <f t="shared" ca="1" si="276"/>
        <v>Tuất</v>
      </c>
      <c r="O162" s="773">
        <v>18</v>
      </c>
      <c r="P162" s="773" t="s">
        <v>6595</v>
      </c>
      <c r="R162" s="773">
        <v>4</v>
      </c>
      <c r="S162" s="773">
        <f t="shared" ca="1" si="275"/>
        <v>1</v>
      </c>
      <c r="V162" s="773">
        <f t="shared" ca="1" si="237"/>
        <v>0</v>
      </c>
      <c r="W162" s="773">
        <f t="shared" ca="1" si="262"/>
        <v>1</v>
      </c>
      <c r="X162" s="773">
        <f t="shared" ca="1" si="238"/>
        <v>0</v>
      </c>
      <c r="Y162" s="773">
        <f t="shared" ca="1" si="239"/>
        <v>0</v>
      </c>
      <c r="Z162" s="773">
        <f t="shared" ca="1" si="263"/>
        <v>0</v>
      </c>
      <c r="AA162" s="773">
        <f t="shared" ca="1" si="240"/>
        <v>0</v>
      </c>
      <c r="AB162" s="773">
        <f t="shared" ca="1" si="241"/>
        <v>0</v>
      </c>
      <c r="AC162" s="773">
        <f t="shared" ca="1" si="264"/>
        <v>0</v>
      </c>
      <c r="AD162" s="773">
        <f t="shared" ca="1" si="242"/>
        <v>0</v>
      </c>
      <c r="AE162" s="773">
        <f t="shared" ca="1" si="243"/>
        <v>0</v>
      </c>
      <c r="AF162" s="773">
        <f t="shared" ca="1" si="265"/>
        <v>1</v>
      </c>
      <c r="AG162" s="773">
        <f t="shared" ca="1" si="244"/>
        <v>0</v>
      </c>
      <c r="AH162" s="773">
        <f t="shared" ca="1" si="245"/>
        <v>0</v>
      </c>
      <c r="AI162" s="773">
        <f t="shared" ca="1" si="266"/>
        <v>0</v>
      </c>
      <c r="AJ162" s="773">
        <f t="shared" ca="1" si="246"/>
        <v>0</v>
      </c>
      <c r="AK162" s="773">
        <f t="shared" ca="1" si="247"/>
        <v>0</v>
      </c>
      <c r="AL162" s="773">
        <f t="shared" ca="1" si="267"/>
        <v>0</v>
      </c>
      <c r="AM162" s="773">
        <f t="shared" ca="1" si="248"/>
        <v>0</v>
      </c>
      <c r="AN162" s="773">
        <f t="shared" ca="1" si="249"/>
        <v>0</v>
      </c>
      <c r="AO162" s="773">
        <f t="shared" ca="1" si="268"/>
        <v>0</v>
      </c>
      <c r="AP162" s="773">
        <f t="shared" ca="1" si="250"/>
        <v>0</v>
      </c>
      <c r="AQ162" s="773">
        <f t="shared" ca="1" si="251"/>
        <v>0</v>
      </c>
      <c r="AR162" s="773">
        <f t="shared" ca="1" si="269"/>
        <v>3</v>
      </c>
      <c r="AS162" s="773">
        <f t="shared" ca="1" si="252"/>
        <v>0</v>
      </c>
      <c r="AT162" s="773">
        <f t="shared" ca="1" si="253"/>
        <v>0</v>
      </c>
      <c r="AU162" s="773">
        <f t="shared" ca="1" si="270"/>
        <v>0</v>
      </c>
      <c r="AV162" s="773">
        <f t="shared" ca="1" si="254"/>
        <v>0</v>
      </c>
      <c r="AW162" s="773">
        <f t="shared" ca="1" si="255"/>
        <v>0</v>
      </c>
      <c r="AX162" s="773">
        <f t="shared" ca="1" si="271"/>
        <v>2</v>
      </c>
      <c r="AY162" s="773">
        <f t="shared" ca="1" si="256"/>
        <v>0</v>
      </c>
      <c r="AZ162" s="773">
        <f t="shared" ca="1" si="257"/>
        <v>0</v>
      </c>
      <c r="BA162" s="773">
        <f t="shared" ca="1" si="272"/>
        <v>1</v>
      </c>
      <c r="BB162" s="773">
        <f t="shared" ca="1" si="258"/>
        <v>0</v>
      </c>
      <c r="BC162" s="773">
        <f t="shared" ca="1" si="259"/>
        <v>1</v>
      </c>
      <c r="BD162" s="773">
        <f t="shared" ca="1" si="273"/>
        <v>2</v>
      </c>
      <c r="BE162" s="773">
        <f t="shared" ca="1" si="260"/>
        <v>2</v>
      </c>
      <c r="BF162" s="912" t="str">
        <f t="shared" si="261"/>
        <v>Lưu Hà</v>
      </c>
    </row>
    <row r="163" spans="1:58" ht="16.5">
      <c r="A163" s="939" t="s">
        <v>8575</v>
      </c>
      <c r="O163" s="773">
        <v>19</v>
      </c>
      <c r="P163" s="773" t="s">
        <v>6614</v>
      </c>
      <c r="Q163" s="773" t="str">
        <f ca="1">K142</f>
        <v>Thân</v>
      </c>
      <c r="R163" s="773">
        <v>3</v>
      </c>
      <c r="S163" s="773" t="e">
        <f t="shared" ca="1" si="275"/>
        <v>#N/A</v>
      </c>
      <c r="V163" s="773">
        <f t="shared" ca="1" si="237"/>
        <v>0</v>
      </c>
      <c r="W163" s="773">
        <f t="shared" ca="1" si="262"/>
        <v>1</v>
      </c>
      <c r="X163" s="773">
        <f t="shared" ca="1" si="238"/>
        <v>0</v>
      </c>
      <c r="Y163" s="773">
        <f t="shared" ca="1" si="239"/>
        <v>1</v>
      </c>
      <c r="Z163" s="773">
        <f t="shared" ca="1" si="263"/>
        <v>1</v>
      </c>
      <c r="AA163" s="773">
        <f t="shared" ca="1" si="240"/>
        <v>1</v>
      </c>
      <c r="AB163" s="773">
        <f t="shared" ca="1" si="241"/>
        <v>0</v>
      </c>
      <c r="AC163" s="773">
        <f t="shared" ca="1" si="264"/>
        <v>0</v>
      </c>
      <c r="AD163" s="773">
        <f t="shared" ca="1" si="242"/>
        <v>0</v>
      </c>
      <c r="AE163" s="773">
        <f t="shared" ca="1" si="243"/>
        <v>0</v>
      </c>
      <c r="AF163" s="773">
        <f t="shared" ca="1" si="265"/>
        <v>1</v>
      </c>
      <c r="AG163" s="773">
        <f t="shared" ca="1" si="244"/>
        <v>0</v>
      </c>
      <c r="AH163" s="773">
        <f t="shared" ca="1" si="245"/>
        <v>0</v>
      </c>
      <c r="AI163" s="773">
        <f t="shared" ca="1" si="266"/>
        <v>0</v>
      </c>
      <c r="AJ163" s="773">
        <f t="shared" ca="1" si="246"/>
        <v>0</v>
      </c>
      <c r="AK163" s="773">
        <f t="shared" ca="1" si="247"/>
        <v>0</v>
      </c>
      <c r="AL163" s="773">
        <f t="shared" ca="1" si="267"/>
        <v>0</v>
      </c>
      <c r="AM163" s="773">
        <f t="shared" ca="1" si="248"/>
        <v>0</v>
      </c>
      <c r="AN163" s="773">
        <f t="shared" ca="1" si="249"/>
        <v>0</v>
      </c>
      <c r="AO163" s="773">
        <f t="shared" ca="1" si="268"/>
        <v>0</v>
      </c>
      <c r="AP163" s="773">
        <f t="shared" ca="1" si="250"/>
        <v>0</v>
      </c>
      <c r="AQ163" s="773">
        <f t="shared" ca="1" si="251"/>
        <v>0</v>
      </c>
      <c r="AR163" s="773">
        <f t="shared" ca="1" si="269"/>
        <v>3</v>
      </c>
      <c r="AS163" s="773">
        <f t="shared" ca="1" si="252"/>
        <v>0</v>
      </c>
      <c r="AT163" s="773">
        <f t="shared" ca="1" si="253"/>
        <v>0</v>
      </c>
      <c r="AU163" s="773">
        <f t="shared" ca="1" si="270"/>
        <v>0</v>
      </c>
      <c r="AV163" s="773">
        <f t="shared" ca="1" si="254"/>
        <v>0</v>
      </c>
      <c r="AW163" s="773">
        <f t="shared" ca="1" si="255"/>
        <v>0</v>
      </c>
      <c r="AX163" s="773">
        <f t="shared" ca="1" si="271"/>
        <v>2</v>
      </c>
      <c r="AY163" s="773">
        <f t="shared" ca="1" si="256"/>
        <v>0</v>
      </c>
      <c r="AZ163" s="773">
        <f t="shared" ca="1" si="257"/>
        <v>0</v>
      </c>
      <c r="BA163" s="773">
        <f t="shared" ca="1" si="272"/>
        <v>1</v>
      </c>
      <c r="BB163" s="773">
        <f t="shared" ca="1" si="258"/>
        <v>0</v>
      </c>
      <c r="BC163" s="773">
        <f t="shared" ca="1" si="259"/>
        <v>0</v>
      </c>
      <c r="BD163" s="773">
        <f t="shared" ca="1" si="273"/>
        <v>2</v>
      </c>
      <c r="BE163" s="773">
        <f t="shared" ca="1" si="260"/>
        <v>0</v>
      </c>
      <c r="BF163" s="912" t="str">
        <f t="shared" si="261"/>
        <v>Hóa Kỵ</v>
      </c>
    </row>
    <row r="164" spans="1:58" ht="15">
      <c r="A164" s="855" t="s">
        <v>6582</v>
      </c>
      <c r="B164" s="855" t="s">
        <v>9302</v>
      </c>
      <c r="C164" s="855" t="s">
        <v>8576</v>
      </c>
      <c r="D164" s="855" t="s">
        <v>8577</v>
      </c>
      <c r="E164" s="855" t="s">
        <v>8578</v>
      </c>
      <c r="F164" s="855" t="s">
        <v>8325</v>
      </c>
      <c r="G164" s="1028" t="s">
        <v>8579</v>
      </c>
      <c r="H164" s="855" t="s">
        <v>8580</v>
      </c>
      <c r="I164" s="1028" t="s">
        <v>8581</v>
      </c>
      <c r="J164" s="1028" t="s">
        <v>8582</v>
      </c>
      <c r="K164" s="855" t="s">
        <v>8583</v>
      </c>
      <c r="L164" s="855" t="s">
        <v>3028</v>
      </c>
      <c r="M164" s="855" t="s">
        <v>9333</v>
      </c>
      <c r="O164" s="773">
        <v>20</v>
      </c>
      <c r="P164" s="773" t="s">
        <v>6618</v>
      </c>
      <c r="Q164" s="773" t="str">
        <f ca="1">L142</f>
        <v>Thìn</v>
      </c>
      <c r="R164" s="773">
        <v>3</v>
      </c>
      <c r="S164" s="773" t="e">
        <f t="shared" ca="1" si="275"/>
        <v>#N/A</v>
      </c>
      <c r="V164" s="773">
        <f t="shared" ca="1" si="237"/>
        <v>0</v>
      </c>
      <c r="W164" s="773">
        <f t="shared" ca="1" si="262"/>
        <v>1</v>
      </c>
      <c r="X164" s="773">
        <f t="shared" ca="1" si="238"/>
        <v>0</v>
      </c>
      <c r="Y164" s="773">
        <f t="shared" ca="1" si="239"/>
        <v>1</v>
      </c>
      <c r="Z164" s="773">
        <f t="shared" ca="1" si="263"/>
        <v>2</v>
      </c>
      <c r="AA164" s="773">
        <f t="shared" ca="1" si="240"/>
        <v>2</v>
      </c>
      <c r="AB164" s="773">
        <f t="shared" ca="1" si="241"/>
        <v>0</v>
      </c>
      <c r="AC164" s="773">
        <f t="shared" ca="1" si="264"/>
        <v>0</v>
      </c>
      <c r="AD164" s="773">
        <f t="shared" ca="1" si="242"/>
        <v>0</v>
      </c>
      <c r="AE164" s="773">
        <f t="shared" ca="1" si="243"/>
        <v>0</v>
      </c>
      <c r="AF164" s="773">
        <f t="shared" ca="1" si="265"/>
        <v>1</v>
      </c>
      <c r="AG164" s="773">
        <f t="shared" ca="1" si="244"/>
        <v>0</v>
      </c>
      <c r="AH164" s="773">
        <f t="shared" ca="1" si="245"/>
        <v>0</v>
      </c>
      <c r="AI164" s="773">
        <f t="shared" ca="1" si="266"/>
        <v>0</v>
      </c>
      <c r="AJ164" s="773">
        <f t="shared" ca="1" si="246"/>
        <v>0</v>
      </c>
      <c r="AK164" s="773">
        <f t="shared" ca="1" si="247"/>
        <v>0</v>
      </c>
      <c r="AL164" s="773">
        <f t="shared" ca="1" si="267"/>
        <v>0</v>
      </c>
      <c r="AM164" s="773">
        <f t="shared" ca="1" si="248"/>
        <v>0</v>
      </c>
      <c r="AN164" s="773">
        <f t="shared" ca="1" si="249"/>
        <v>0</v>
      </c>
      <c r="AO164" s="773">
        <f t="shared" ca="1" si="268"/>
        <v>0</v>
      </c>
      <c r="AP164" s="773">
        <f t="shared" ca="1" si="250"/>
        <v>0</v>
      </c>
      <c r="AQ164" s="773">
        <f t="shared" ca="1" si="251"/>
        <v>0</v>
      </c>
      <c r="AR164" s="773">
        <f t="shared" ca="1" si="269"/>
        <v>3</v>
      </c>
      <c r="AS164" s="773">
        <f t="shared" ca="1" si="252"/>
        <v>0</v>
      </c>
      <c r="AT164" s="773">
        <f t="shared" ca="1" si="253"/>
        <v>0</v>
      </c>
      <c r="AU164" s="773">
        <f t="shared" ca="1" si="270"/>
        <v>0</v>
      </c>
      <c r="AV164" s="773">
        <f t="shared" ca="1" si="254"/>
        <v>0</v>
      </c>
      <c r="AW164" s="773">
        <f t="shared" ca="1" si="255"/>
        <v>0</v>
      </c>
      <c r="AX164" s="773">
        <f t="shared" ca="1" si="271"/>
        <v>2</v>
      </c>
      <c r="AY164" s="773">
        <f t="shared" ca="1" si="256"/>
        <v>0</v>
      </c>
      <c r="AZ164" s="773">
        <f t="shared" ca="1" si="257"/>
        <v>0</v>
      </c>
      <c r="BA164" s="773">
        <f t="shared" ca="1" si="272"/>
        <v>1</v>
      </c>
      <c r="BB164" s="773">
        <f t="shared" ca="1" si="258"/>
        <v>0</v>
      </c>
      <c r="BC164" s="773">
        <f t="shared" ca="1" si="259"/>
        <v>0</v>
      </c>
      <c r="BD164" s="773">
        <f t="shared" ca="1" si="273"/>
        <v>2</v>
      </c>
      <c r="BE164" s="773">
        <f t="shared" ca="1" si="260"/>
        <v>0</v>
      </c>
      <c r="BF164" s="912" t="str">
        <f t="shared" si="261"/>
        <v>Thiên Riêu</v>
      </c>
    </row>
    <row r="165" spans="1:58" ht="15">
      <c r="A165" s="855" t="s">
        <v>8502</v>
      </c>
      <c r="B165" s="855" t="s">
        <v>8584</v>
      </c>
      <c r="C165" s="855" t="s">
        <v>8584</v>
      </c>
      <c r="D165" s="855" t="s">
        <v>8526</v>
      </c>
      <c r="E165" s="855" t="s">
        <v>8585</v>
      </c>
      <c r="F165" s="855" t="s">
        <v>8326</v>
      </c>
      <c r="G165" s="1028"/>
      <c r="H165" s="855" t="s">
        <v>8309</v>
      </c>
      <c r="I165" s="1028"/>
      <c r="J165" s="1028"/>
      <c r="K165" s="855" t="s">
        <v>8585</v>
      </c>
      <c r="L165" s="855" t="s">
        <v>8586</v>
      </c>
      <c r="M165" s="855" t="s">
        <v>8322</v>
      </c>
      <c r="O165" s="773">
        <v>21</v>
      </c>
      <c r="P165" s="773" t="s">
        <v>8587</v>
      </c>
      <c r="Q165" s="773" t="str">
        <f ca="1">Q142</f>
        <v>tỵ</v>
      </c>
      <c r="R165" s="773">
        <v>1</v>
      </c>
      <c r="S165" s="773" t="e">
        <f t="shared" ca="1" si="275"/>
        <v>#N/A</v>
      </c>
      <c r="V165" s="773">
        <f t="shared" ca="1" si="237"/>
        <v>0</v>
      </c>
      <c r="W165" s="773">
        <f t="shared" ca="1" si="262"/>
        <v>1</v>
      </c>
      <c r="X165" s="773">
        <f t="shared" ca="1" si="238"/>
        <v>0</v>
      </c>
      <c r="Y165" s="773">
        <f t="shared" ca="1" si="239"/>
        <v>1</v>
      </c>
      <c r="Z165" s="773">
        <f t="shared" ca="1" si="263"/>
        <v>3</v>
      </c>
      <c r="AA165" s="773">
        <f t="shared" ca="1" si="240"/>
        <v>3</v>
      </c>
      <c r="AB165" s="773">
        <f t="shared" ca="1" si="241"/>
        <v>0</v>
      </c>
      <c r="AC165" s="773">
        <f t="shared" ca="1" si="264"/>
        <v>0</v>
      </c>
      <c r="AD165" s="773">
        <f t="shared" ca="1" si="242"/>
        <v>0</v>
      </c>
      <c r="AE165" s="773">
        <f t="shared" ca="1" si="243"/>
        <v>0</v>
      </c>
      <c r="AF165" s="773">
        <f t="shared" ca="1" si="265"/>
        <v>1</v>
      </c>
      <c r="AG165" s="773">
        <f t="shared" ca="1" si="244"/>
        <v>0</v>
      </c>
      <c r="AH165" s="773">
        <f t="shared" ca="1" si="245"/>
        <v>0</v>
      </c>
      <c r="AI165" s="773">
        <f t="shared" ca="1" si="266"/>
        <v>0</v>
      </c>
      <c r="AJ165" s="773">
        <f t="shared" ca="1" si="246"/>
        <v>0</v>
      </c>
      <c r="AK165" s="773">
        <f t="shared" ca="1" si="247"/>
        <v>0</v>
      </c>
      <c r="AL165" s="773">
        <f t="shared" ca="1" si="267"/>
        <v>0</v>
      </c>
      <c r="AM165" s="773">
        <f t="shared" ca="1" si="248"/>
        <v>0</v>
      </c>
      <c r="AN165" s="773">
        <f t="shared" ca="1" si="249"/>
        <v>0</v>
      </c>
      <c r="AO165" s="773">
        <f t="shared" ca="1" si="268"/>
        <v>0</v>
      </c>
      <c r="AP165" s="773">
        <f t="shared" ca="1" si="250"/>
        <v>0</v>
      </c>
      <c r="AQ165" s="773">
        <f t="shared" ca="1" si="251"/>
        <v>0</v>
      </c>
      <c r="AR165" s="773">
        <f t="shared" ca="1" si="269"/>
        <v>3</v>
      </c>
      <c r="AS165" s="773">
        <f t="shared" ca="1" si="252"/>
        <v>0</v>
      </c>
      <c r="AT165" s="773">
        <f t="shared" ca="1" si="253"/>
        <v>0</v>
      </c>
      <c r="AU165" s="773">
        <f t="shared" ca="1" si="270"/>
        <v>0</v>
      </c>
      <c r="AV165" s="773">
        <f t="shared" ca="1" si="254"/>
        <v>0</v>
      </c>
      <c r="AW165" s="773">
        <f t="shared" ca="1" si="255"/>
        <v>0</v>
      </c>
      <c r="AX165" s="773">
        <f t="shared" ca="1" si="271"/>
        <v>2</v>
      </c>
      <c r="AY165" s="773">
        <f t="shared" ca="1" si="256"/>
        <v>0</v>
      </c>
      <c r="AZ165" s="773">
        <f t="shared" ca="1" si="257"/>
        <v>0</v>
      </c>
      <c r="BA165" s="773">
        <f t="shared" ca="1" si="272"/>
        <v>1</v>
      </c>
      <c r="BB165" s="773">
        <f t="shared" ca="1" si="258"/>
        <v>0</v>
      </c>
      <c r="BC165" s="773">
        <f t="shared" ca="1" si="259"/>
        <v>0</v>
      </c>
      <c r="BD165" s="773">
        <f t="shared" ca="1" si="273"/>
        <v>2</v>
      </c>
      <c r="BE165" s="773">
        <f t="shared" ca="1" si="260"/>
        <v>0</v>
      </c>
      <c r="BF165" s="912" t="str">
        <f t="shared" si="261"/>
        <v>Thiên Y</v>
      </c>
    </row>
    <row r="166" spans="1:58">
      <c r="A166" s="1035" t="s">
        <v>8588</v>
      </c>
      <c r="B166" s="1035"/>
      <c r="C166" s="1035"/>
      <c r="D166" s="1035"/>
      <c r="E166" s="1035"/>
      <c r="F166" s="1035"/>
      <c r="G166" s="1035"/>
      <c r="H166" s="1035"/>
      <c r="I166" s="1035"/>
      <c r="J166" s="1035"/>
      <c r="K166" s="1035"/>
      <c r="L166" s="1035"/>
      <c r="M166" s="1035"/>
      <c r="O166" s="773">
        <v>22</v>
      </c>
      <c r="P166" s="773" t="s">
        <v>8589</v>
      </c>
      <c r="Q166" s="773" t="str">
        <f ca="1">IF($N$63=1,J162,J184)</f>
        <v>Mão</v>
      </c>
      <c r="R166" s="773">
        <v>3</v>
      </c>
      <c r="S166" s="773" t="e">
        <f t="shared" ca="1" si="275"/>
        <v>#N/A</v>
      </c>
      <c r="V166" s="773">
        <f t="shared" ca="1" si="237"/>
        <v>0</v>
      </c>
      <c r="W166" s="773">
        <f t="shared" ca="1" si="262"/>
        <v>1</v>
      </c>
      <c r="X166" s="773">
        <f t="shared" ca="1" si="238"/>
        <v>0</v>
      </c>
      <c r="Y166" s="773">
        <f t="shared" ca="1" si="239"/>
        <v>0</v>
      </c>
      <c r="Z166" s="773">
        <f t="shared" ca="1" si="263"/>
        <v>3</v>
      </c>
      <c r="AA166" s="773">
        <f t="shared" ca="1" si="240"/>
        <v>0</v>
      </c>
      <c r="AB166" s="773">
        <f t="shared" ca="1" si="241"/>
        <v>0</v>
      </c>
      <c r="AC166" s="773">
        <f t="shared" ca="1" si="264"/>
        <v>0</v>
      </c>
      <c r="AD166" s="773">
        <f t="shared" ca="1" si="242"/>
        <v>0</v>
      </c>
      <c r="AE166" s="773">
        <f t="shared" ca="1" si="243"/>
        <v>0</v>
      </c>
      <c r="AF166" s="773">
        <f t="shared" ca="1" si="265"/>
        <v>1</v>
      </c>
      <c r="AG166" s="773">
        <f t="shared" ca="1" si="244"/>
        <v>0</v>
      </c>
      <c r="AH166" s="773">
        <f t="shared" ca="1" si="245"/>
        <v>0</v>
      </c>
      <c r="AI166" s="773">
        <f t="shared" ca="1" si="266"/>
        <v>0</v>
      </c>
      <c r="AJ166" s="773">
        <f t="shared" ca="1" si="246"/>
        <v>0</v>
      </c>
      <c r="AK166" s="773">
        <f t="shared" ca="1" si="247"/>
        <v>0</v>
      </c>
      <c r="AL166" s="773">
        <f t="shared" ca="1" si="267"/>
        <v>0</v>
      </c>
      <c r="AM166" s="773">
        <f t="shared" ca="1" si="248"/>
        <v>0</v>
      </c>
      <c r="AN166" s="773">
        <f t="shared" ca="1" si="249"/>
        <v>0</v>
      </c>
      <c r="AO166" s="773">
        <f t="shared" ca="1" si="268"/>
        <v>0</v>
      </c>
      <c r="AP166" s="773">
        <f t="shared" ca="1" si="250"/>
        <v>0</v>
      </c>
      <c r="AQ166" s="773">
        <f t="shared" ca="1" si="251"/>
        <v>0</v>
      </c>
      <c r="AR166" s="773">
        <f t="shared" ca="1" si="269"/>
        <v>3</v>
      </c>
      <c r="AS166" s="773">
        <f t="shared" ca="1" si="252"/>
        <v>0</v>
      </c>
      <c r="AT166" s="773">
        <f t="shared" ca="1" si="253"/>
        <v>1</v>
      </c>
      <c r="AU166" s="773">
        <f t="shared" ca="1" si="270"/>
        <v>1</v>
      </c>
      <c r="AV166" s="773">
        <f t="shared" ca="1" si="254"/>
        <v>1</v>
      </c>
      <c r="AW166" s="773">
        <f t="shared" ca="1" si="255"/>
        <v>0</v>
      </c>
      <c r="AX166" s="773">
        <f t="shared" ca="1" si="271"/>
        <v>2</v>
      </c>
      <c r="AY166" s="773">
        <f t="shared" ca="1" si="256"/>
        <v>0</v>
      </c>
      <c r="AZ166" s="773">
        <f t="shared" ca="1" si="257"/>
        <v>0</v>
      </c>
      <c r="BA166" s="773">
        <f t="shared" ca="1" si="272"/>
        <v>1</v>
      </c>
      <c r="BB166" s="773">
        <f t="shared" ca="1" si="258"/>
        <v>0</v>
      </c>
      <c r="BC166" s="773">
        <f t="shared" ca="1" si="259"/>
        <v>0</v>
      </c>
      <c r="BD166" s="773">
        <f t="shared" ca="1" si="273"/>
        <v>2</v>
      </c>
      <c r="BE166" s="773">
        <f t="shared" ca="1" si="260"/>
        <v>0</v>
      </c>
      <c r="BF166" s="912" t="str">
        <f t="shared" si="261"/>
        <v>Tang Môn</v>
      </c>
    </row>
    <row r="167" spans="1:58" ht="15">
      <c r="A167" s="855" t="s">
        <v>1402</v>
      </c>
      <c r="B167" s="855" t="s">
        <v>1402</v>
      </c>
      <c r="C167" s="855" t="s">
        <v>9301</v>
      </c>
      <c r="D167" s="855" t="s">
        <v>353</v>
      </c>
      <c r="E167" s="855" t="s">
        <v>1399</v>
      </c>
      <c r="F167" s="855" t="s">
        <v>505</v>
      </c>
      <c r="G167" s="806" t="s">
        <v>7871</v>
      </c>
      <c r="H167" s="855" t="s">
        <v>506</v>
      </c>
      <c r="I167" s="855" t="s">
        <v>507</v>
      </c>
      <c r="J167" s="855" t="s">
        <v>9297</v>
      </c>
      <c r="K167" s="855" t="s">
        <v>9298</v>
      </c>
      <c r="L167" s="855" t="s">
        <v>9299</v>
      </c>
      <c r="M167" s="855" t="s">
        <v>9300</v>
      </c>
      <c r="O167" s="773">
        <v>23</v>
      </c>
      <c r="P167" s="773" t="s">
        <v>6579</v>
      </c>
      <c r="Q167" s="773" t="str">
        <f ca="1">IF($N$63=1,K162,K184)</f>
        <v>Dần</v>
      </c>
      <c r="R167" s="773">
        <v>1</v>
      </c>
      <c r="S167" s="773" t="e">
        <f t="shared" ca="1" si="275"/>
        <v>#N/A</v>
      </c>
      <c r="V167" s="773">
        <f t="shared" ca="1" si="237"/>
        <v>0</v>
      </c>
      <c r="W167" s="773">
        <f t="shared" ca="1" si="262"/>
        <v>1</v>
      </c>
      <c r="X167" s="773">
        <f t="shared" ca="1" si="238"/>
        <v>0</v>
      </c>
      <c r="Y167" s="773">
        <f t="shared" ca="1" si="239"/>
        <v>0</v>
      </c>
      <c r="Z167" s="773">
        <f t="shared" ca="1" si="263"/>
        <v>3</v>
      </c>
      <c r="AA167" s="773">
        <f t="shared" ca="1" si="240"/>
        <v>0</v>
      </c>
      <c r="AB167" s="773">
        <f t="shared" ca="1" si="241"/>
        <v>1</v>
      </c>
      <c r="AC167" s="773">
        <f t="shared" ca="1" si="264"/>
        <v>1</v>
      </c>
      <c r="AD167" s="773">
        <f t="shared" ca="1" si="242"/>
        <v>1</v>
      </c>
      <c r="AE167" s="773">
        <f t="shared" ca="1" si="243"/>
        <v>0</v>
      </c>
      <c r="AF167" s="773">
        <f t="shared" ca="1" si="265"/>
        <v>1</v>
      </c>
      <c r="AG167" s="773">
        <f t="shared" ca="1" si="244"/>
        <v>0</v>
      </c>
      <c r="AH167" s="773">
        <f t="shared" ca="1" si="245"/>
        <v>0</v>
      </c>
      <c r="AI167" s="773">
        <f t="shared" ca="1" si="266"/>
        <v>0</v>
      </c>
      <c r="AJ167" s="773">
        <f t="shared" ca="1" si="246"/>
        <v>0</v>
      </c>
      <c r="AK167" s="773">
        <f t="shared" ca="1" si="247"/>
        <v>0</v>
      </c>
      <c r="AL167" s="773">
        <f t="shared" ca="1" si="267"/>
        <v>0</v>
      </c>
      <c r="AM167" s="773">
        <f t="shared" ca="1" si="248"/>
        <v>0</v>
      </c>
      <c r="AN167" s="773">
        <f t="shared" ca="1" si="249"/>
        <v>0</v>
      </c>
      <c r="AO167" s="773">
        <f t="shared" ca="1" si="268"/>
        <v>0</v>
      </c>
      <c r="AP167" s="773">
        <f t="shared" ca="1" si="250"/>
        <v>0</v>
      </c>
      <c r="AQ167" s="773">
        <f t="shared" ca="1" si="251"/>
        <v>0</v>
      </c>
      <c r="AR167" s="773">
        <f t="shared" ca="1" si="269"/>
        <v>3</v>
      </c>
      <c r="AS167" s="773">
        <f t="shared" ca="1" si="252"/>
        <v>0</v>
      </c>
      <c r="AT167" s="773">
        <f t="shared" ca="1" si="253"/>
        <v>0</v>
      </c>
      <c r="AU167" s="773">
        <f t="shared" ca="1" si="270"/>
        <v>1</v>
      </c>
      <c r="AV167" s="773">
        <f t="shared" ca="1" si="254"/>
        <v>0</v>
      </c>
      <c r="AW167" s="773">
        <f t="shared" ca="1" si="255"/>
        <v>0</v>
      </c>
      <c r="AX167" s="773">
        <f t="shared" ca="1" si="271"/>
        <v>2</v>
      </c>
      <c r="AY167" s="773">
        <f t="shared" ca="1" si="256"/>
        <v>0</v>
      </c>
      <c r="AZ167" s="773">
        <f t="shared" ca="1" si="257"/>
        <v>0</v>
      </c>
      <c r="BA167" s="773">
        <f t="shared" ca="1" si="272"/>
        <v>1</v>
      </c>
      <c r="BB167" s="773">
        <f t="shared" ca="1" si="258"/>
        <v>0</v>
      </c>
      <c r="BC167" s="773">
        <f t="shared" ca="1" si="259"/>
        <v>0</v>
      </c>
      <c r="BD167" s="773">
        <f t="shared" ca="1" si="273"/>
        <v>2</v>
      </c>
      <c r="BE167" s="773">
        <f t="shared" ca="1" si="260"/>
        <v>0</v>
      </c>
      <c r="BF167" s="912" t="str">
        <f t="shared" si="261"/>
        <v>Bạch Hổ</v>
      </c>
    </row>
    <row r="168" spans="1:58" ht="15">
      <c r="A168" s="855" t="s">
        <v>353</v>
      </c>
      <c r="B168" s="855" t="s">
        <v>353</v>
      </c>
      <c r="C168" s="855" t="s">
        <v>1399</v>
      </c>
      <c r="D168" s="855" t="s">
        <v>505</v>
      </c>
      <c r="E168" s="806" t="s">
        <v>7871</v>
      </c>
      <c r="F168" s="855" t="s">
        <v>506</v>
      </c>
      <c r="G168" s="855" t="s">
        <v>507</v>
      </c>
      <c r="H168" s="855" t="s">
        <v>9297</v>
      </c>
      <c r="I168" s="855" t="s">
        <v>9298</v>
      </c>
      <c r="J168" s="855" t="s">
        <v>9299</v>
      </c>
      <c r="K168" s="855" t="s">
        <v>9300</v>
      </c>
      <c r="L168" s="855" t="s">
        <v>1402</v>
      </c>
      <c r="M168" s="855" t="s">
        <v>9301</v>
      </c>
      <c r="O168" s="773">
        <v>24</v>
      </c>
      <c r="P168" s="773" t="s">
        <v>8590</v>
      </c>
      <c r="Q168" s="773" t="str">
        <f ca="1">IF($N$63=1,E162,E184)</f>
        <v>Thân</v>
      </c>
      <c r="R168" s="773">
        <v>1</v>
      </c>
      <c r="S168" s="773" t="e">
        <f ca="1">VLOOKUP(B40,$P$145:$R$187,3,0)</f>
        <v>#N/A</v>
      </c>
      <c r="V168" s="773">
        <f t="shared" ca="1" si="237"/>
        <v>1</v>
      </c>
      <c r="W168" s="773">
        <f t="shared" ca="1" si="262"/>
        <v>2</v>
      </c>
      <c r="X168" s="773">
        <f t="shared" ca="1" si="238"/>
        <v>2</v>
      </c>
      <c r="Y168" s="773">
        <f t="shared" ca="1" si="239"/>
        <v>0</v>
      </c>
      <c r="Z168" s="773">
        <f t="shared" ca="1" si="263"/>
        <v>3</v>
      </c>
      <c r="AA168" s="773">
        <f t="shared" ca="1" si="240"/>
        <v>0</v>
      </c>
      <c r="AB168" s="773">
        <f t="shared" ca="1" si="241"/>
        <v>0</v>
      </c>
      <c r="AC168" s="773">
        <f t="shared" ca="1" si="264"/>
        <v>1</v>
      </c>
      <c r="AD168" s="773">
        <f t="shared" ca="1" si="242"/>
        <v>0</v>
      </c>
      <c r="AE168" s="773">
        <f t="shared" ca="1" si="243"/>
        <v>0</v>
      </c>
      <c r="AF168" s="773">
        <f t="shared" ca="1" si="265"/>
        <v>1</v>
      </c>
      <c r="AG168" s="773">
        <f t="shared" ca="1" si="244"/>
        <v>0</v>
      </c>
      <c r="AH168" s="773">
        <f t="shared" ca="1" si="245"/>
        <v>0</v>
      </c>
      <c r="AI168" s="773">
        <f t="shared" ca="1" si="266"/>
        <v>0</v>
      </c>
      <c r="AJ168" s="773">
        <f t="shared" ca="1" si="246"/>
        <v>0</v>
      </c>
      <c r="AK168" s="773">
        <f t="shared" ca="1" si="247"/>
        <v>0</v>
      </c>
      <c r="AL168" s="773">
        <f t="shared" ca="1" si="267"/>
        <v>0</v>
      </c>
      <c r="AM168" s="773">
        <f t="shared" ca="1" si="248"/>
        <v>0</v>
      </c>
      <c r="AN168" s="773">
        <f t="shared" ca="1" si="249"/>
        <v>0</v>
      </c>
      <c r="AO168" s="773">
        <f t="shared" ca="1" si="268"/>
        <v>0</v>
      </c>
      <c r="AP168" s="773">
        <f t="shared" ca="1" si="250"/>
        <v>0</v>
      </c>
      <c r="AQ168" s="773">
        <f t="shared" ca="1" si="251"/>
        <v>0</v>
      </c>
      <c r="AR168" s="773">
        <f t="shared" ca="1" si="269"/>
        <v>3</v>
      </c>
      <c r="AS168" s="773">
        <f t="shared" ca="1" si="252"/>
        <v>0</v>
      </c>
      <c r="AT168" s="773">
        <f t="shared" ca="1" si="253"/>
        <v>0</v>
      </c>
      <c r="AU168" s="773">
        <f t="shared" ca="1" si="270"/>
        <v>1</v>
      </c>
      <c r="AV168" s="773">
        <f t="shared" ca="1" si="254"/>
        <v>0</v>
      </c>
      <c r="AW168" s="773">
        <f t="shared" ca="1" si="255"/>
        <v>0</v>
      </c>
      <c r="AX168" s="773">
        <f t="shared" ca="1" si="271"/>
        <v>2</v>
      </c>
      <c r="AY168" s="773">
        <f t="shared" ca="1" si="256"/>
        <v>0</v>
      </c>
      <c r="AZ168" s="773">
        <f t="shared" ca="1" si="257"/>
        <v>0</v>
      </c>
      <c r="BA168" s="773">
        <f t="shared" ca="1" si="272"/>
        <v>1</v>
      </c>
      <c r="BB168" s="773">
        <f t="shared" ca="1" si="258"/>
        <v>0</v>
      </c>
      <c r="BC168" s="773">
        <f t="shared" ca="1" si="259"/>
        <v>0</v>
      </c>
      <c r="BD168" s="773">
        <f t="shared" ca="1" si="273"/>
        <v>2</v>
      </c>
      <c r="BE168" s="773">
        <f t="shared" ca="1" si="260"/>
        <v>0</v>
      </c>
      <c r="BF168" s="912" t="str">
        <f t="shared" si="261"/>
        <v>Thiên Hư</v>
      </c>
    </row>
    <row r="169" spans="1:58" ht="15">
      <c r="A169" s="855" t="s">
        <v>1399</v>
      </c>
      <c r="B169" s="855" t="s">
        <v>1399</v>
      </c>
      <c r="C169" s="855" t="s">
        <v>505</v>
      </c>
      <c r="D169" s="806" t="s">
        <v>7871</v>
      </c>
      <c r="E169" s="855" t="s">
        <v>506</v>
      </c>
      <c r="F169" s="855" t="s">
        <v>507</v>
      </c>
      <c r="G169" s="855" t="s">
        <v>9297</v>
      </c>
      <c r="H169" s="855" t="s">
        <v>9298</v>
      </c>
      <c r="I169" s="855" t="s">
        <v>9299</v>
      </c>
      <c r="J169" s="855" t="s">
        <v>9300</v>
      </c>
      <c r="K169" s="855" t="s">
        <v>1402</v>
      </c>
      <c r="L169" s="855" t="s">
        <v>9301</v>
      </c>
      <c r="M169" s="855" t="s">
        <v>353</v>
      </c>
      <c r="O169" s="773">
        <v>25</v>
      </c>
      <c r="P169" s="773" t="s">
        <v>8591</v>
      </c>
      <c r="Q169" s="773" t="str">
        <f ca="1">IF($N$63=1,L162,L184)</f>
        <v>Sửu</v>
      </c>
      <c r="R169" s="773">
        <v>1</v>
      </c>
      <c r="S169" s="773">
        <f t="shared" ref="S169:S176" ca="1" si="277">VLOOKUP(C23,$P$145:$R$187,3,0)</f>
        <v>1</v>
      </c>
      <c r="V169" s="773">
        <f t="shared" ca="1" si="237"/>
        <v>1</v>
      </c>
      <c r="W169" s="773">
        <f t="shared" ca="1" si="262"/>
        <v>3</v>
      </c>
      <c r="X169" s="773">
        <f t="shared" ca="1" si="238"/>
        <v>3</v>
      </c>
      <c r="Y169" s="773">
        <f t="shared" ca="1" si="239"/>
        <v>0</v>
      </c>
      <c r="Z169" s="773">
        <f t="shared" ca="1" si="263"/>
        <v>3</v>
      </c>
      <c r="AA169" s="773">
        <f t="shared" ca="1" si="240"/>
        <v>0</v>
      </c>
      <c r="AB169" s="773">
        <f t="shared" ca="1" si="241"/>
        <v>0</v>
      </c>
      <c r="AC169" s="773">
        <f t="shared" ca="1" si="264"/>
        <v>1</v>
      </c>
      <c r="AD169" s="773">
        <f t="shared" ca="1" si="242"/>
        <v>0</v>
      </c>
      <c r="AE169" s="773">
        <f t="shared" ca="1" si="243"/>
        <v>0</v>
      </c>
      <c r="AF169" s="773">
        <f t="shared" ca="1" si="265"/>
        <v>1</v>
      </c>
      <c r="AG169" s="773">
        <f t="shared" ca="1" si="244"/>
        <v>0</v>
      </c>
      <c r="AH169" s="773">
        <f t="shared" ca="1" si="245"/>
        <v>0</v>
      </c>
      <c r="AI169" s="773">
        <f t="shared" ca="1" si="266"/>
        <v>0</v>
      </c>
      <c r="AJ169" s="773">
        <f t="shared" ca="1" si="246"/>
        <v>0</v>
      </c>
      <c r="AK169" s="773">
        <f t="shared" ca="1" si="247"/>
        <v>0</v>
      </c>
      <c r="AL169" s="773">
        <f t="shared" ca="1" si="267"/>
        <v>0</v>
      </c>
      <c r="AM169" s="773">
        <f t="shared" ca="1" si="248"/>
        <v>0</v>
      </c>
      <c r="AN169" s="773">
        <f t="shared" ca="1" si="249"/>
        <v>0</v>
      </c>
      <c r="AO169" s="773">
        <f t="shared" ca="1" si="268"/>
        <v>0</v>
      </c>
      <c r="AP169" s="773">
        <f t="shared" ca="1" si="250"/>
        <v>0</v>
      </c>
      <c r="AQ169" s="773">
        <f t="shared" ca="1" si="251"/>
        <v>0</v>
      </c>
      <c r="AR169" s="773">
        <f t="shared" ca="1" si="269"/>
        <v>3</v>
      </c>
      <c r="AS169" s="773">
        <f t="shared" ca="1" si="252"/>
        <v>0</v>
      </c>
      <c r="AT169" s="773">
        <f t="shared" ca="1" si="253"/>
        <v>0</v>
      </c>
      <c r="AU169" s="773">
        <f t="shared" ca="1" si="270"/>
        <v>1</v>
      </c>
      <c r="AV169" s="773">
        <f t="shared" ca="1" si="254"/>
        <v>0</v>
      </c>
      <c r="AW169" s="773">
        <f t="shared" ca="1" si="255"/>
        <v>0</v>
      </c>
      <c r="AX169" s="773">
        <f t="shared" ca="1" si="271"/>
        <v>2</v>
      </c>
      <c r="AY169" s="773">
        <f t="shared" ca="1" si="256"/>
        <v>0</v>
      </c>
      <c r="AZ169" s="773">
        <f t="shared" ca="1" si="257"/>
        <v>0</v>
      </c>
      <c r="BA169" s="773">
        <f t="shared" ca="1" si="272"/>
        <v>1</v>
      </c>
      <c r="BB169" s="773">
        <f t="shared" ca="1" si="258"/>
        <v>0</v>
      </c>
      <c r="BC169" s="773">
        <f t="shared" ca="1" si="259"/>
        <v>0</v>
      </c>
      <c r="BD169" s="773">
        <f t="shared" ca="1" si="273"/>
        <v>2</v>
      </c>
      <c r="BE169" s="773">
        <f t="shared" ca="1" si="260"/>
        <v>0</v>
      </c>
      <c r="BF169" s="912" t="str">
        <f t="shared" si="261"/>
        <v>Thiên Khốc</v>
      </c>
    </row>
    <row r="170" spans="1:58" ht="15">
      <c r="A170" s="806" t="s">
        <v>7871</v>
      </c>
      <c r="B170" s="806" t="s">
        <v>7871</v>
      </c>
      <c r="C170" s="855" t="s">
        <v>506</v>
      </c>
      <c r="D170" s="855" t="s">
        <v>507</v>
      </c>
      <c r="E170" s="855" t="s">
        <v>9297</v>
      </c>
      <c r="F170" s="855" t="s">
        <v>9298</v>
      </c>
      <c r="G170" s="855" t="s">
        <v>9299</v>
      </c>
      <c r="H170" s="855" t="s">
        <v>9300</v>
      </c>
      <c r="I170" s="855" t="s">
        <v>1402</v>
      </c>
      <c r="J170" s="855" t="s">
        <v>9301</v>
      </c>
      <c r="K170" s="855" t="s">
        <v>353</v>
      </c>
      <c r="L170" s="855" t="s">
        <v>1399</v>
      </c>
      <c r="M170" s="806" t="s">
        <v>7872</v>
      </c>
      <c r="O170" s="773">
        <v>26</v>
      </c>
      <c r="P170" s="773" t="s">
        <v>8592</v>
      </c>
      <c r="Q170" s="773" t="str">
        <f ca="1">IF($N$63=1,G$153,G$160)</f>
        <v>Tý</v>
      </c>
      <c r="R170" s="773">
        <v>5</v>
      </c>
      <c r="S170" s="773">
        <f t="shared" ca="1" si="277"/>
        <v>3</v>
      </c>
      <c r="V170" s="773">
        <f t="shared" si="237"/>
        <v>0</v>
      </c>
      <c r="W170" s="773">
        <f t="shared" ca="1" si="262"/>
        <v>3</v>
      </c>
      <c r="X170" s="773">
        <f t="shared" si="238"/>
        <v>0</v>
      </c>
      <c r="Y170" s="773">
        <f t="shared" si="239"/>
        <v>0</v>
      </c>
      <c r="Z170" s="773">
        <f t="shared" ca="1" si="263"/>
        <v>3</v>
      </c>
      <c r="AA170" s="773">
        <f t="shared" si="240"/>
        <v>0</v>
      </c>
      <c r="AB170" s="773">
        <f t="shared" si="241"/>
        <v>0</v>
      </c>
      <c r="AC170" s="773">
        <f t="shared" ca="1" si="264"/>
        <v>1</v>
      </c>
      <c r="AD170" s="773">
        <f t="shared" si="242"/>
        <v>0</v>
      </c>
      <c r="AE170" s="773">
        <f t="shared" si="243"/>
        <v>0</v>
      </c>
      <c r="AF170" s="773">
        <f t="shared" ca="1" si="265"/>
        <v>1</v>
      </c>
      <c r="AG170" s="773">
        <f t="shared" si="244"/>
        <v>0</v>
      </c>
      <c r="AH170" s="773">
        <f t="shared" si="245"/>
        <v>0</v>
      </c>
      <c r="AI170" s="773">
        <f t="shared" ca="1" si="266"/>
        <v>0</v>
      </c>
      <c r="AJ170" s="773">
        <f t="shared" si="246"/>
        <v>0</v>
      </c>
      <c r="AK170" s="773">
        <f t="shared" si="247"/>
        <v>0</v>
      </c>
      <c r="AL170" s="773">
        <f t="shared" ca="1" si="267"/>
        <v>0</v>
      </c>
      <c r="AM170" s="773">
        <f t="shared" si="248"/>
        <v>0</v>
      </c>
      <c r="AN170" s="773">
        <f t="shared" si="249"/>
        <v>0</v>
      </c>
      <c r="AO170" s="773">
        <f t="shared" ca="1" si="268"/>
        <v>0</v>
      </c>
      <c r="AP170" s="773">
        <f t="shared" si="250"/>
        <v>0</v>
      </c>
      <c r="AQ170" s="773">
        <f t="shared" si="251"/>
        <v>0</v>
      </c>
      <c r="AR170" s="773">
        <f t="shared" ca="1" si="269"/>
        <v>3</v>
      </c>
      <c r="AS170" s="773">
        <f t="shared" si="252"/>
        <v>0</v>
      </c>
      <c r="AT170" s="773">
        <f t="shared" si="253"/>
        <v>0</v>
      </c>
      <c r="AU170" s="773">
        <f t="shared" ca="1" si="270"/>
        <v>1</v>
      </c>
      <c r="AV170" s="773">
        <f t="shared" si="254"/>
        <v>0</v>
      </c>
      <c r="AW170" s="773">
        <f t="shared" si="255"/>
        <v>0</v>
      </c>
      <c r="AX170" s="773">
        <f t="shared" ca="1" si="271"/>
        <v>2</v>
      </c>
      <c r="AY170" s="773">
        <f t="shared" si="256"/>
        <v>0</v>
      </c>
      <c r="AZ170" s="773">
        <f t="shared" si="257"/>
        <v>0</v>
      </c>
      <c r="BA170" s="773">
        <f t="shared" ca="1" si="272"/>
        <v>1</v>
      </c>
      <c r="BB170" s="773">
        <f t="shared" si="258"/>
        <v>0</v>
      </c>
      <c r="BC170" s="773">
        <f t="shared" si="259"/>
        <v>0</v>
      </c>
      <c r="BD170" s="773">
        <f t="shared" ca="1" si="273"/>
        <v>2</v>
      </c>
      <c r="BE170" s="773">
        <f t="shared" si="260"/>
        <v>0</v>
      </c>
      <c r="BF170" s="912" t="str">
        <f t="shared" si="261"/>
        <v>Hoa Cái</v>
      </c>
    </row>
    <row r="171" spans="1:58" ht="15">
      <c r="A171" s="855" t="s">
        <v>506</v>
      </c>
      <c r="B171" s="855" t="s">
        <v>506</v>
      </c>
      <c r="C171" s="855" t="s">
        <v>507</v>
      </c>
      <c r="D171" s="855" t="s">
        <v>9297</v>
      </c>
      <c r="E171" s="855" t="s">
        <v>9298</v>
      </c>
      <c r="F171" s="855" t="s">
        <v>9299</v>
      </c>
      <c r="G171" s="855" t="s">
        <v>9300</v>
      </c>
      <c r="H171" s="855" t="s">
        <v>1402</v>
      </c>
      <c r="I171" s="855" t="s">
        <v>9301</v>
      </c>
      <c r="J171" s="855" t="s">
        <v>353</v>
      </c>
      <c r="K171" s="855" t="s">
        <v>1399</v>
      </c>
      <c r="L171" s="855" t="s">
        <v>505</v>
      </c>
      <c r="M171" s="806" t="s">
        <v>7871</v>
      </c>
      <c r="O171" s="773">
        <v>27</v>
      </c>
      <c r="P171" s="773" t="s">
        <v>8593</v>
      </c>
      <c r="Q171" s="773" t="str">
        <f ca="1">IF($N$63=1,H$153,H$160)</f>
        <v>Hợi</v>
      </c>
      <c r="R171" s="773">
        <v>1</v>
      </c>
      <c r="S171" s="773">
        <f t="shared" ca="1" si="277"/>
        <v>3</v>
      </c>
      <c r="V171" s="773">
        <f t="shared" ca="1" si="237"/>
        <v>0</v>
      </c>
      <c r="W171" s="773">
        <f t="shared" ca="1" si="262"/>
        <v>3</v>
      </c>
      <c r="X171" s="773">
        <f t="shared" ca="1" si="238"/>
        <v>0</v>
      </c>
      <c r="Y171" s="773">
        <f t="shared" ca="1" si="239"/>
        <v>0</v>
      </c>
      <c r="Z171" s="773">
        <f t="shared" ca="1" si="263"/>
        <v>3</v>
      </c>
      <c r="AA171" s="773">
        <f t="shared" ca="1" si="240"/>
        <v>0</v>
      </c>
      <c r="AB171" s="773">
        <f t="shared" ca="1" si="241"/>
        <v>0</v>
      </c>
      <c r="AC171" s="773">
        <f t="shared" ca="1" si="264"/>
        <v>1</v>
      </c>
      <c r="AD171" s="773">
        <f t="shared" ca="1" si="242"/>
        <v>0</v>
      </c>
      <c r="AE171" s="773">
        <f t="shared" ca="1" si="243"/>
        <v>0</v>
      </c>
      <c r="AF171" s="773">
        <f t="shared" ca="1" si="265"/>
        <v>1</v>
      </c>
      <c r="AG171" s="773">
        <f t="shared" ca="1" si="244"/>
        <v>0</v>
      </c>
      <c r="AH171" s="773">
        <f t="shared" ca="1" si="245"/>
        <v>0</v>
      </c>
      <c r="AI171" s="773">
        <f t="shared" ca="1" si="266"/>
        <v>0</v>
      </c>
      <c r="AJ171" s="773">
        <f t="shared" ca="1" si="246"/>
        <v>0</v>
      </c>
      <c r="AK171" s="773">
        <f t="shared" ca="1" si="247"/>
        <v>0</v>
      </c>
      <c r="AL171" s="773">
        <f t="shared" ca="1" si="267"/>
        <v>0</v>
      </c>
      <c r="AM171" s="773">
        <f t="shared" ca="1" si="248"/>
        <v>0</v>
      </c>
      <c r="AN171" s="773">
        <f t="shared" ca="1" si="249"/>
        <v>0</v>
      </c>
      <c r="AO171" s="773">
        <f t="shared" ca="1" si="268"/>
        <v>0</v>
      </c>
      <c r="AP171" s="773">
        <f t="shared" ca="1" si="250"/>
        <v>0</v>
      </c>
      <c r="AQ171" s="773">
        <f t="shared" ca="1" si="251"/>
        <v>0</v>
      </c>
      <c r="AR171" s="773">
        <f t="shared" ca="1" si="269"/>
        <v>3</v>
      </c>
      <c r="AS171" s="773">
        <f t="shared" ca="1" si="252"/>
        <v>0</v>
      </c>
      <c r="AT171" s="773">
        <f t="shared" ca="1" si="253"/>
        <v>1</v>
      </c>
      <c r="AU171" s="773">
        <f t="shared" ca="1" si="270"/>
        <v>2</v>
      </c>
      <c r="AV171" s="773">
        <f t="shared" ca="1" si="254"/>
        <v>2</v>
      </c>
      <c r="AW171" s="773">
        <f t="shared" ca="1" si="255"/>
        <v>0</v>
      </c>
      <c r="AX171" s="773">
        <f t="shared" ca="1" si="271"/>
        <v>2</v>
      </c>
      <c r="AY171" s="773">
        <f t="shared" ca="1" si="256"/>
        <v>0</v>
      </c>
      <c r="AZ171" s="773">
        <f t="shared" ca="1" si="257"/>
        <v>0</v>
      </c>
      <c r="BA171" s="773">
        <f t="shared" ca="1" si="272"/>
        <v>1</v>
      </c>
      <c r="BB171" s="773">
        <f t="shared" ca="1" si="258"/>
        <v>0</v>
      </c>
      <c r="BC171" s="773">
        <f t="shared" ca="1" si="259"/>
        <v>0</v>
      </c>
      <c r="BD171" s="773">
        <f t="shared" ca="1" si="273"/>
        <v>2</v>
      </c>
      <c r="BE171" s="773">
        <f t="shared" ca="1" si="260"/>
        <v>0</v>
      </c>
      <c r="BF171" s="912" t="str">
        <f t="shared" si="261"/>
        <v>Cô Thần</v>
      </c>
    </row>
    <row r="172" spans="1:58" ht="30">
      <c r="A172" s="855" t="s">
        <v>9297</v>
      </c>
      <c r="B172" s="855" t="s">
        <v>9297</v>
      </c>
      <c r="C172" s="855" t="s">
        <v>9298</v>
      </c>
      <c r="D172" s="855" t="s">
        <v>9299</v>
      </c>
      <c r="E172" s="855" t="s">
        <v>9300</v>
      </c>
      <c r="F172" s="855" t="s">
        <v>1402</v>
      </c>
      <c r="G172" s="855" t="s">
        <v>9301</v>
      </c>
      <c r="H172" s="855" t="s">
        <v>353</v>
      </c>
      <c r="I172" s="855" t="s">
        <v>1399</v>
      </c>
      <c r="J172" s="855" t="s">
        <v>505</v>
      </c>
      <c r="K172" s="806" t="s">
        <v>7871</v>
      </c>
      <c r="L172" s="855" t="s">
        <v>506</v>
      </c>
      <c r="M172" s="855" t="s">
        <v>507</v>
      </c>
      <c r="O172" s="773">
        <v>28</v>
      </c>
      <c r="P172" s="773" t="s">
        <v>8594</v>
      </c>
      <c r="Q172" s="773" t="str">
        <f ca="1">IF($N$63=1,I$153,I$160)</f>
        <v>Tuất</v>
      </c>
      <c r="R172" s="773">
        <v>5</v>
      </c>
      <c r="S172" s="773" t="e">
        <f t="shared" ca="1" si="277"/>
        <v>#N/A</v>
      </c>
      <c r="V172" s="773">
        <f t="shared" ca="1" si="237"/>
        <v>0</v>
      </c>
      <c r="W172" s="773">
        <f t="shared" ca="1" si="262"/>
        <v>3</v>
      </c>
      <c r="X172" s="773">
        <f t="shared" ca="1" si="238"/>
        <v>0</v>
      </c>
      <c r="Y172" s="773">
        <f t="shared" ca="1" si="239"/>
        <v>0</v>
      </c>
      <c r="Z172" s="773">
        <f t="shared" ca="1" si="263"/>
        <v>3</v>
      </c>
      <c r="AA172" s="773">
        <f t="shared" ca="1" si="240"/>
        <v>0</v>
      </c>
      <c r="AB172" s="773">
        <f t="shared" ca="1" si="241"/>
        <v>0</v>
      </c>
      <c r="AC172" s="773">
        <f t="shared" ca="1" si="264"/>
        <v>1</v>
      </c>
      <c r="AD172" s="773">
        <f t="shared" ca="1" si="242"/>
        <v>0</v>
      </c>
      <c r="AE172" s="773">
        <f t="shared" ca="1" si="243"/>
        <v>0</v>
      </c>
      <c r="AF172" s="773">
        <f t="shared" ca="1" si="265"/>
        <v>1</v>
      </c>
      <c r="AG172" s="773">
        <f t="shared" ca="1" si="244"/>
        <v>0</v>
      </c>
      <c r="AH172" s="773">
        <f t="shared" ca="1" si="245"/>
        <v>1</v>
      </c>
      <c r="AI172" s="773">
        <f t="shared" ca="1" si="266"/>
        <v>1</v>
      </c>
      <c r="AJ172" s="773">
        <f t="shared" ca="1" si="246"/>
        <v>1</v>
      </c>
      <c r="AK172" s="773">
        <f t="shared" ca="1" si="247"/>
        <v>0</v>
      </c>
      <c r="AL172" s="773">
        <f t="shared" ca="1" si="267"/>
        <v>0</v>
      </c>
      <c r="AM172" s="773">
        <f t="shared" ca="1" si="248"/>
        <v>0</v>
      </c>
      <c r="AN172" s="773">
        <f t="shared" ca="1" si="249"/>
        <v>0</v>
      </c>
      <c r="AO172" s="773">
        <f t="shared" ca="1" si="268"/>
        <v>0</v>
      </c>
      <c r="AP172" s="773">
        <f t="shared" ca="1" si="250"/>
        <v>0</v>
      </c>
      <c r="AQ172" s="773">
        <f t="shared" ca="1" si="251"/>
        <v>0</v>
      </c>
      <c r="AR172" s="773">
        <f t="shared" ca="1" si="269"/>
        <v>3</v>
      </c>
      <c r="AS172" s="773">
        <f t="shared" ca="1" si="252"/>
        <v>0</v>
      </c>
      <c r="AT172" s="773">
        <f t="shared" ca="1" si="253"/>
        <v>0</v>
      </c>
      <c r="AU172" s="773">
        <f t="shared" ca="1" si="270"/>
        <v>2</v>
      </c>
      <c r="AV172" s="773">
        <f t="shared" ca="1" si="254"/>
        <v>0</v>
      </c>
      <c r="AW172" s="773">
        <f t="shared" ca="1" si="255"/>
        <v>0</v>
      </c>
      <c r="AX172" s="773">
        <f t="shared" ca="1" si="271"/>
        <v>2</v>
      </c>
      <c r="AY172" s="773">
        <f t="shared" ca="1" si="256"/>
        <v>0</v>
      </c>
      <c r="AZ172" s="773">
        <f t="shared" ca="1" si="257"/>
        <v>0</v>
      </c>
      <c r="BA172" s="773">
        <f t="shared" ca="1" si="272"/>
        <v>1</v>
      </c>
      <c r="BB172" s="773">
        <f t="shared" ca="1" si="258"/>
        <v>0</v>
      </c>
      <c r="BC172" s="773">
        <f t="shared" ca="1" si="259"/>
        <v>0</v>
      </c>
      <c r="BD172" s="773">
        <f t="shared" ca="1" si="273"/>
        <v>2</v>
      </c>
      <c r="BE172" s="773">
        <f t="shared" ca="1" si="260"/>
        <v>0</v>
      </c>
      <c r="BF172" s="912" t="str">
        <f t="shared" si="261"/>
        <v>Quả Tú</v>
      </c>
    </row>
    <row r="173" spans="1:58" ht="15">
      <c r="A173" s="855" t="s">
        <v>9298</v>
      </c>
      <c r="B173" s="855" t="s">
        <v>9298</v>
      </c>
      <c r="C173" s="855" t="s">
        <v>9299</v>
      </c>
      <c r="D173" s="855" t="s">
        <v>9300</v>
      </c>
      <c r="E173" s="855" t="s">
        <v>1402</v>
      </c>
      <c r="F173" s="855" t="s">
        <v>9301</v>
      </c>
      <c r="G173" s="855" t="s">
        <v>353</v>
      </c>
      <c r="H173" s="855" t="s">
        <v>1399</v>
      </c>
      <c r="I173" s="855" t="s">
        <v>505</v>
      </c>
      <c r="J173" s="806" t="s">
        <v>7871</v>
      </c>
      <c r="K173" s="855" t="s">
        <v>506</v>
      </c>
      <c r="L173" s="855" t="s">
        <v>507</v>
      </c>
      <c r="M173" s="855" t="s">
        <v>9297</v>
      </c>
      <c r="O173" s="773">
        <v>29</v>
      </c>
      <c r="P173" s="773" t="s">
        <v>8595</v>
      </c>
      <c r="Q173" s="773" t="str">
        <f ca="1">IF($N$63=1,J$153,J$160)</f>
        <v>Dậu</v>
      </c>
      <c r="R173" s="773">
        <v>3</v>
      </c>
      <c r="S173" s="773" t="e">
        <f t="shared" ca="1" si="277"/>
        <v>#N/A</v>
      </c>
      <c r="V173" s="773">
        <f t="shared" ca="1" si="237"/>
        <v>0</v>
      </c>
      <c r="W173" s="773">
        <f t="shared" ca="1" si="262"/>
        <v>3</v>
      </c>
      <c r="X173" s="773">
        <f t="shared" ca="1" si="238"/>
        <v>0</v>
      </c>
      <c r="Y173" s="773">
        <f t="shared" ca="1" si="239"/>
        <v>0</v>
      </c>
      <c r="Z173" s="773">
        <f t="shared" ca="1" si="263"/>
        <v>3</v>
      </c>
      <c r="AA173" s="773">
        <f t="shared" ca="1" si="240"/>
        <v>0</v>
      </c>
      <c r="AB173" s="773">
        <f t="shared" ca="1" si="241"/>
        <v>0</v>
      </c>
      <c r="AC173" s="773">
        <f t="shared" ca="1" si="264"/>
        <v>1</v>
      </c>
      <c r="AD173" s="773">
        <f t="shared" ca="1" si="242"/>
        <v>0</v>
      </c>
      <c r="AE173" s="773">
        <f t="shared" ca="1" si="243"/>
        <v>0</v>
      </c>
      <c r="AF173" s="773">
        <f t="shared" ca="1" si="265"/>
        <v>1</v>
      </c>
      <c r="AG173" s="773">
        <f t="shared" ca="1" si="244"/>
        <v>0</v>
      </c>
      <c r="AH173" s="773">
        <f t="shared" ca="1" si="245"/>
        <v>0</v>
      </c>
      <c r="AI173" s="773">
        <f t="shared" ca="1" si="266"/>
        <v>1</v>
      </c>
      <c r="AJ173" s="773">
        <f t="shared" ca="1" si="246"/>
        <v>0</v>
      </c>
      <c r="AK173" s="773">
        <f t="shared" ca="1" si="247"/>
        <v>1</v>
      </c>
      <c r="AL173" s="773">
        <f t="shared" ca="1" si="267"/>
        <v>1</v>
      </c>
      <c r="AM173" s="773">
        <f t="shared" ca="1" si="248"/>
        <v>1</v>
      </c>
      <c r="AN173" s="773">
        <f t="shared" ca="1" si="249"/>
        <v>0</v>
      </c>
      <c r="AO173" s="773">
        <f t="shared" ca="1" si="268"/>
        <v>0</v>
      </c>
      <c r="AP173" s="773">
        <f t="shared" ca="1" si="250"/>
        <v>0</v>
      </c>
      <c r="AQ173" s="773">
        <f t="shared" ca="1" si="251"/>
        <v>0</v>
      </c>
      <c r="AR173" s="773">
        <f t="shared" ca="1" si="269"/>
        <v>3</v>
      </c>
      <c r="AS173" s="773">
        <f t="shared" ca="1" si="252"/>
        <v>0</v>
      </c>
      <c r="AT173" s="773">
        <f t="shared" ca="1" si="253"/>
        <v>0</v>
      </c>
      <c r="AU173" s="773">
        <f t="shared" ca="1" si="270"/>
        <v>2</v>
      </c>
      <c r="AV173" s="773">
        <f t="shared" ca="1" si="254"/>
        <v>0</v>
      </c>
      <c r="AW173" s="773">
        <f t="shared" ca="1" si="255"/>
        <v>0</v>
      </c>
      <c r="AX173" s="773">
        <f t="shared" ca="1" si="271"/>
        <v>2</v>
      </c>
      <c r="AY173" s="773">
        <f t="shared" ca="1" si="256"/>
        <v>0</v>
      </c>
      <c r="AZ173" s="773">
        <f t="shared" ca="1" si="257"/>
        <v>0</v>
      </c>
      <c r="BA173" s="773">
        <f t="shared" ca="1" si="272"/>
        <v>1</v>
      </c>
      <c r="BB173" s="773">
        <f t="shared" ca="1" si="258"/>
        <v>0</v>
      </c>
      <c r="BC173" s="773">
        <f t="shared" ca="1" si="259"/>
        <v>0</v>
      </c>
      <c r="BD173" s="773">
        <f t="shared" ca="1" si="273"/>
        <v>2</v>
      </c>
      <c r="BE173" s="773">
        <f t="shared" ca="1" si="260"/>
        <v>0</v>
      </c>
      <c r="BF173" s="912" t="str">
        <f t="shared" si="261"/>
        <v>Phá Toái</v>
      </c>
    </row>
    <row r="174" spans="1:58" ht="30">
      <c r="A174" s="855" t="s">
        <v>9300</v>
      </c>
      <c r="B174" s="855" t="s">
        <v>9300</v>
      </c>
      <c r="C174" s="855" t="s">
        <v>1402</v>
      </c>
      <c r="D174" s="855" t="s">
        <v>9301</v>
      </c>
      <c r="E174" s="855" t="s">
        <v>353</v>
      </c>
      <c r="F174" s="855" t="s">
        <v>1399</v>
      </c>
      <c r="G174" s="855" t="s">
        <v>505</v>
      </c>
      <c r="H174" s="806" t="s">
        <v>7871</v>
      </c>
      <c r="I174" s="855" t="s">
        <v>506</v>
      </c>
      <c r="J174" s="855" t="s">
        <v>507</v>
      </c>
      <c r="K174" s="855" t="s">
        <v>9297</v>
      </c>
      <c r="L174" s="855" t="s">
        <v>9298</v>
      </c>
      <c r="M174" s="855" t="s">
        <v>9299</v>
      </c>
      <c r="O174" s="773">
        <v>30</v>
      </c>
      <c r="P174" s="773" t="s">
        <v>8596</v>
      </c>
      <c r="Q174" s="773" t="str">
        <f ca="1">IF($N$63=1,K$153,K$160)</f>
        <v>Thân</v>
      </c>
      <c r="R174" s="773">
        <v>3</v>
      </c>
      <c r="S174" s="773" t="e">
        <f t="shared" ca="1" si="277"/>
        <v>#N/A</v>
      </c>
      <c r="V174" s="773">
        <f t="shared" ca="1" si="237"/>
        <v>0</v>
      </c>
      <c r="W174" s="773">
        <f t="shared" ca="1" si="262"/>
        <v>3</v>
      </c>
      <c r="X174" s="773">
        <f t="shared" ca="1" si="238"/>
        <v>0</v>
      </c>
      <c r="Y174" s="773">
        <f t="shared" ca="1" si="239"/>
        <v>0</v>
      </c>
      <c r="Z174" s="773">
        <f t="shared" ca="1" si="263"/>
        <v>3</v>
      </c>
      <c r="AA174" s="773">
        <f t="shared" ca="1" si="240"/>
        <v>0</v>
      </c>
      <c r="AB174" s="773">
        <f t="shared" ca="1" si="241"/>
        <v>0</v>
      </c>
      <c r="AC174" s="773">
        <f t="shared" ca="1" si="264"/>
        <v>1</v>
      </c>
      <c r="AD174" s="773">
        <f t="shared" ca="1" si="242"/>
        <v>0</v>
      </c>
      <c r="AE174" s="773">
        <f t="shared" ca="1" si="243"/>
        <v>1</v>
      </c>
      <c r="AF174" s="773">
        <f t="shared" ca="1" si="265"/>
        <v>2</v>
      </c>
      <c r="AG174" s="773">
        <f t="shared" ca="1" si="244"/>
        <v>2</v>
      </c>
      <c r="AH174" s="773">
        <f t="shared" ca="1" si="245"/>
        <v>0</v>
      </c>
      <c r="AI174" s="773">
        <f t="shared" ca="1" si="266"/>
        <v>1</v>
      </c>
      <c r="AJ174" s="773">
        <f t="shared" ca="1" si="246"/>
        <v>0</v>
      </c>
      <c r="AK174" s="773">
        <f t="shared" ca="1" si="247"/>
        <v>0</v>
      </c>
      <c r="AL174" s="773">
        <f t="shared" ca="1" si="267"/>
        <v>1</v>
      </c>
      <c r="AM174" s="773">
        <f t="shared" ca="1" si="248"/>
        <v>0</v>
      </c>
      <c r="AN174" s="773">
        <f t="shared" ca="1" si="249"/>
        <v>0</v>
      </c>
      <c r="AO174" s="773">
        <f t="shared" ca="1" si="268"/>
        <v>0</v>
      </c>
      <c r="AP174" s="773">
        <f t="shared" ca="1" si="250"/>
        <v>0</v>
      </c>
      <c r="AQ174" s="773">
        <f t="shared" ca="1" si="251"/>
        <v>0</v>
      </c>
      <c r="AR174" s="773">
        <f t="shared" ca="1" si="269"/>
        <v>3</v>
      </c>
      <c r="AS174" s="773">
        <f t="shared" ca="1" si="252"/>
        <v>0</v>
      </c>
      <c r="AT174" s="773">
        <f t="shared" ca="1" si="253"/>
        <v>0</v>
      </c>
      <c r="AU174" s="773">
        <f t="shared" ca="1" si="270"/>
        <v>2</v>
      </c>
      <c r="AV174" s="773">
        <f t="shared" ca="1" si="254"/>
        <v>0</v>
      </c>
      <c r="AW174" s="773">
        <f t="shared" ca="1" si="255"/>
        <v>0</v>
      </c>
      <c r="AX174" s="773">
        <f t="shared" ca="1" si="271"/>
        <v>2</v>
      </c>
      <c r="AY174" s="773">
        <f t="shared" ca="1" si="256"/>
        <v>0</v>
      </c>
      <c r="AZ174" s="773">
        <f t="shared" ca="1" si="257"/>
        <v>0</v>
      </c>
      <c r="BA174" s="773">
        <f t="shared" ca="1" si="272"/>
        <v>1</v>
      </c>
      <c r="BB174" s="773">
        <f t="shared" ca="1" si="258"/>
        <v>0</v>
      </c>
      <c r="BC174" s="773">
        <f t="shared" ca="1" si="259"/>
        <v>0</v>
      </c>
      <c r="BD174" s="773">
        <f t="shared" ca="1" si="273"/>
        <v>2</v>
      </c>
      <c r="BE174" s="773">
        <f t="shared" ca="1" si="260"/>
        <v>0</v>
      </c>
      <c r="BF174" s="912" t="str">
        <f t="shared" si="261"/>
        <v>Bệnh Phù</v>
      </c>
    </row>
    <row r="175" spans="1:58" ht="15.75">
      <c r="A175" s="940" t="s">
        <v>7912</v>
      </c>
      <c r="B175" s="855"/>
      <c r="C175" s="855"/>
      <c r="D175" s="855"/>
      <c r="E175" s="855"/>
      <c r="F175" s="855"/>
      <c r="G175" s="855"/>
      <c r="H175" s="855"/>
      <c r="I175" s="855"/>
      <c r="J175" s="855"/>
      <c r="K175" s="855"/>
      <c r="L175" s="855"/>
      <c r="M175" s="855"/>
      <c r="O175" s="773">
        <v>31</v>
      </c>
      <c r="P175" s="773" t="s">
        <v>8597</v>
      </c>
      <c r="Q175" s="773" t="str">
        <f ca="1">IF($N$63=1,L$153,L$160)</f>
        <v>Mùi</v>
      </c>
      <c r="R175" s="773">
        <v>3</v>
      </c>
      <c r="S175" s="773" t="e">
        <f t="shared" ca="1" si="277"/>
        <v>#N/A</v>
      </c>
      <c r="V175" s="773">
        <f t="shared" ca="1" si="237"/>
        <v>0</v>
      </c>
      <c r="W175" s="773">
        <f t="shared" ca="1" si="262"/>
        <v>3</v>
      </c>
      <c r="X175" s="773">
        <f t="shared" ca="1" si="238"/>
        <v>0</v>
      </c>
      <c r="Y175" s="773">
        <f t="shared" ca="1" si="239"/>
        <v>0</v>
      </c>
      <c r="Z175" s="773">
        <f t="shared" ca="1" si="263"/>
        <v>3</v>
      </c>
      <c r="AA175" s="773">
        <f t="shared" ca="1" si="240"/>
        <v>0</v>
      </c>
      <c r="AB175" s="773">
        <f t="shared" ca="1" si="241"/>
        <v>1</v>
      </c>
      <c r="AC175" s="773">
        <f t="shared" ca="1" si="264"/>
        <v>2</v>
      </c>
      <c r="AD175" s="773">
        <f t="shared" ca="1" si="242"/>
        <v>2</v>
      </c>
      <c r="AE175" s="773">
        <f t="shared" ca="1" si="243"/>
        <v>0</v>
      </c>
      <c r="AF175" s="773">
        <f t="shared" ca="1" si="265"/>
        <v>2</v>
      </c>
      <c r="AG175" s="773">
        <f t="shared" ca="1" si="244"/>
        <v>0</v>
      </c>
      <c r="AH175" s="773">
        <f t="shared" ca="1" si="245"/>
        <v>0</v>
      </c>
      <c r="AI175" s="773">
        <f t="shared" ca="1" si="266"/>
        <v>1</v>
      </c>
      <c r="AJ175" s="773">
        <f t="shared" ca="1" si="246"/>
        <v>0</v>
      </c>
      <c r="AK175" s="773">
        <f t="shared" ca="1" si="247"/>
        <v>0</v>
      </c>
      <c r="AL175" s="773">
        <f t="shared" ca="1" si="267"/>
        <v>1</v>
      </c>
      <c r="AM175" s="773">
        <f t="shared" ca="1" si="248"/>
        <v>0</v>
      </c>
      <c r="AN175" s="773">
        <f t="shared" ca="1" si="249"/>
        <v>0</v>
      </c>
      <c r="AO175" s="773">
        <f t="shared" ca="1" si="268"/>
        <v>0</v>
      </c>
      <c r="AP175" s="773">
        <f t="shared" ca="1" si="250"/>
        <v>0</v>
      </c>
      <c r="AQ175" s="773">
        <f t="shared" ca="1" si="251"/>
        <v>0</v>
      </c>
      <c r="AR175" s="773">
        <f t="shared" ca="1" si="269"/>
        <v>3</v>
      </c>
      <c r="AS175" s="773">
        <f t="shared" ca="1" si="252"/>
        <v>0</v>
      </c>
      <c r="AT175" s="773">
        <f t="shared" ca="1" si="253"/>
        <v>0</v>
      </c>
      <c r="AU175" s="773">
        <f t="shared" ca="1" si="270"/>
        <v>2</v>
      </c>
      <c r="AV175" s="773">
        <f t="shared" ca="1" si="254"/>
        <v>0</v>
      </c>
      <c r="AW175" s="773">
        <f t="shared" ca="1" si="255"/>
        <v>0</v>
      </c>
      <c r="AX175" s="773">
        <f t="shared" ca="1" si="271"/>
        <v>2</v>
      </c>
      <c r="AY175" s="773">
        <f t="shared" ca="1" si="256"/>
        <v>0</v>
      </c>
      <c r="AZ175" s="773">
        <f t="shared" ca="1" si="257"/>
        <v>0</v>
      </c>
      <c r="BA175" s="773">
        <f t="shared" ca="1" si="272"/>
        <v>1</v>
      </c>
      <c r="BB175" s="773">
        <f t="shared" ca="1" si="258"/>
        <v>0</v>
      </c>
      <c r="BC175" s="773">
        <f t="shared" ca="1" si="259"/>
        <v>0</v>
      </c>
      <c r="BD175" s="773">
        <f t="shared" ca="1" si="273"/>
        <v>2</v>
      </c>
      <c r="BE175" s="773">
        <f t="shared" ca="1" si="260"/>
        <v>0</v>
      </c>
      <c r="BF175" s="912" t="str">
        <f t="shared" si="261"/>
        <v>Đại Hao</v>
      </c>
    </row>
    <row r="176" spans="1:58" ht="15">
      <c r="A176" s="855" t="s">
        <v>1402</v>
      </c>
      <c r="B176" s="855" t="s">
        <v>1402</v>
      </c>
      <c r="C176" s="855" t="s">
        <v>9300</v>
      </c>
      <c r="D176" s="855" t="s">
        <v>9299</v>
      </c>
      <c r="E176" s="855" t="s">
        <v>9298</v>
      </c>
      <c r="F176" s="855" t="s">
        <v>9297</v>
      </c>
      <c r="G176" s="855" t="s">
        <v>507</v>
      </c>
      <c r="H176" s="855" t="s">
        <v>506</v>
      </c>
      <c r="I176" s="806" t="s">
        <v>7871</v>
      </c>
      <c r="J176" s="855" t="s">
        <v>505</v>
      </c>
      <c r="K176" s="855" t="s">
        <v>1399</v>
      </c>
      <c r="L176" s="855" t="s">
        <v>353</v>
      </c>
      <c r="M176" s="855" t="s">
        <v>9301</v>
      </c>
      <c r="O176" s="773">
        <v>32</v>
      </c>
      <c r="P176" s="773" t="s">
        <v>8598</v>
      </c>
      <c r="Q176" s="773" t="str">
        <f ca="1">G202</f>
        <v>Hợi</v>
      </c>
      <c r="R176" s="773">
        <v>1</v>
      </c>
      <c r="S176" s="773" t="e">
        <f t="shared" ca="1" si="277"/>
        <v>#N/A</v>
      </c>
      <c r="V176" s="773">
        <f t="shared" ca="1" si="237"/>
        <v>0</v>
      </c>
      <c r="W176" s="773">
        <f t="shared" ca="1" si="262"/>
        <v>3</v>
      </c>
      <c r="X176" s="773">
        <f t="shared" ca="1" si="238"/>
        <v>0</v>
      </c>
      <c r="Y176" s="773">
        <f t="shared" ca="1" si="239"/>
        <v>0</v>
      </c>
      <c r="Z176" s="773">
        <f t="shared" ca="1" si="263"/>
        <v>3</v>
      </c>
      <c r="AA176" s="773">
        <f t="shared" ca="1" si="240"/>
        <v>0</v>
      </c>
      <c r="AB176" s="773">
        <f t="shared" ca="1" si="241"/>
        <v>0</v>
      </c>
      <c r="AC176" s="773">
        <f t="shared" ca="1" si="264"/>
        <v>2</v>
      </c>
      <c r="AD176" s="773">
        <f t="shared" ca="1" si="242"/>
        <v>0</v>
      </c>
      <c r="AE176" s="773">
        <f t="shared" ca="1" si="243"/>
        <v>0</v>
      </c>
      <c r="AF176" s="773">
        <f t="shared" ca="1" si="265"/>
        <v>2</v>
      </c>
      <c r="AG176" s="773">
        <f t="shared" ca="1" si="244"/>
        <v>0</v>
      </c>
      <c r="AH176" s="773">
        <f t="shared" ca="1" si="245"/>
        <v>0</v>
      </c>
      <c r="AI176" s="773">
        <f t="shared" ca="1" si="266"/>
        <v>1</v>
      </c>
      <c r="AJ176" s="773">
        <f t="shared" ca="1" si="246"/>
        <v>0</v>
      </c>
      <c r="AK176" s="773">
        <f t="shared" ca="1" si="247"/>
        <v>0</v>
      </c>
      <c r="AL176" s="773">
        <f t="shared" ca="1" si="267"/>
        <v>1</v>
      </c>
      <c r="AM176" s="773">
        <f t="shared" ca="1" si="248"/>
        <v>0</v>
      </c>
      <c r="AN176" s="773">
        <f t="shared" ca="1" si="249"/>
        <v>0</v>
      </c>
      <c r="AO176" s="773">
        <f t="shared" ca="1" si="268"/>
        <v>0</v>
      </c>
      <c r="AP176" s="773">
        <f t="shared" ca="1" si="250"/>
        <v>0</v>
      </c>
      <c r="AQ176" s="773">
        <f t="shared" ca="1" si="251"/>
        <v>0</v>
      </c>
      <c r="AR176" s="773">
        <f t="shared" ca="1" si="269"/>
        <v>3</v>
      </c>
      <c r="AS176" s="773">
        <f t="shared" ca="1" si="252"/>
        <v>0</v>
      </c>
      <c r="AT176" s="773">
        <f t="shared" ca="1" si="253"/>
        <v>1</v>
      </c>
      <c r="AU176" s="773">
        <f t="shared" ca="1" si="270"/>
        <v>3</v>
      </c>
      <c r="AV176" s="773">
        <f t="shared" ca="1" si="254"/>
        <v>3</v>
      </c>
      <c r="AW176" s="773">
        <f t="shared" ca="1" si="255"/>
        <v>0</v>
      </c>
      <c r="AX176" s="773">
        <f t="shared" ca="1" si="271"/>
        <v>2</v>
      </c>
      <c r="AY176" s="773">
        <f t="shared" ca="1" si="256"/>
        <v>0</v>
      </c>
      <c r="AZ176" s="773">
        <f t="shared" ca="1" si="257"/>
        <v>0</v>
      </c>
      <c r="BA176" s="773">
        <f t="shared" ca="1" si="272"/>
        <v>1</v>
      </c>
      <c r="BB176" s="773">
        <f t="shared" ca="1" si="258"/>
        <v>0</v>
      </c>
      <c r="BC176" s="773">
        <f t="shared" ca="1" si="259"/>
        <v>0</v>
      </c>
      <c r="BD176" s="773">
        <f t="shared" ca="1" si="273"/>
        <v>2</v>
      </c>
      <c r="BE176" s="773">
        <f t="shared" ca="1" si="260"/>
        <v>0</v>
      </c>
      <c r="BF176" s="912" t="str">
        <f t="shared" si="261"/>
        <v>Tiểu Hao</v>
      </c>
    </row>
    <row r="177" spans="1:58" ht="15">
      <c r="A177" s="855" t="s">
        <v>353</v>
      </c>
      <c r="B177" s="855" t="s">
        <v>353</v>
      </c>
      <c r="C177" s="855" t="s">
        <v>9301</v>
      </c>
      <c r="D177" s="855" t="s">
        <v>1402</v>
      </c>
      <c r="E177" s="855" t="s">
        <v>9300</v>
      </c>
      <c r="F177" s="855" t="s">
        <v>9299</v>
      </c>
      <c r="G177" s="855" t="s">
        <v>9298</v>
      </c>
      <c r="H177" s="855" t="s">
        <v>9297</v>
      </c>
      <c r="I177" s="855" t="s">
        <v>507</v>
      </c>
      <c r="J177" s="855" t="s">
        <v>506</v>
      </c>
      <c r="K177" s="806" t="s">
        <v>7871</v>
      </c>
      <c r="L177" s="855" t="s">
        <v>505</v>
      </c>
      <c r="M177" s="855" t="s">
        <v>1399</v>
      </c>
      <c r="O177" s="773">
        <v>33</v>
      </c>
      <c r="P177" s="773" t="s">
        <v>8599</v>
      </c>
      <c r="Q177" s="773" t="str">
        <f ca="1">H202</f>
        <v>Tý</v>
      </c>
      <c r="R177" s="773">
        <v>1</v>
      </c>
      <c r="S177" s="773">
        <f t="shared" ref="S177:S183" ca="1" si="278">VLOOKUP(C14,$P$145:$R$187,3,0)</f>
        <v>3</v>
      </c>
      <c r="V177" s="773">
        <f t="shared" ca="1" si="237"/>
        <v>0</v>
      </c>
      <c r="W177" s="773">
        <f t="shared" ca="1" si="262"/>
        <v>3</v>
      </c>
      <c r="X177" s="773">
        <f t="shared" ca="1" si="238"/>
        <v>0</v>
      </c>
      <c r="Y177" s="773">
        <f t="shared" ca="1" si="239"/>
        <v>1</v>
      </c>
      <c r="Z177" s="773">
        <f t="shared" ca="1" si="263"/>
        <v>4</v>
      </c>
      <c r="AA177" s="773">
        <f t="shared" ca="1" si="240"/>
        <v>4</v>
      </c>
      <c r="AB177" s="773">
        <f t="shared" ca="1" si="241"/>
        <v>0</v>
      </c>
      <c r="AC177" s="773">
        <f t="shared" ca="1" si="264"/>
        <v>2</v>
      </c>
      <c r="AD177" s="773">
        <f t="shared" ca="1" si="242"/>
        <v>0</v>
      </c>
      <c r="AE177" s="773">
        <f t="shared" ca="1" si="243"/>
        <v>0</v>
      </c>
      <c r="AF177" s="773">
        <f t="shared" ca="1" si="265"/>
        <v>2</v>
      </c>
      <c r="AG177" s="773">
        <f t="shared" ca="1" si="244"/>
        <v>0</v>
      </c>
      <c r="AH177" s="773">
        <f t="shared" ca="1" si="245"/>
        <v>0</v>
      </c>
      <c r="AI177" s="773">
        <f t="shared" ca="1" si="266"/>
        <v>1</v>
      </c>
      <c r="AJ177" s="773">
        <f t="shared" ca="1" si="246"/>
        <v>0</v>
      </c>
      <c r="AK177" s="773">
        <f t="shared" ca="1" si="247"/>
        <v>0</v>
      </c>
      <c r="AL177" s="773">
        <f t="shared" ca="1" si="267"/>
        <v>1</v>
      </c>
      <c r="AM177" s="773">
        <f t="shared" ca="1" si="248"/>
        <v>0</v>
      </c>
      <c r="AN177" s="773">
        <f t="shared" ca="1" si="249"/>
        <v>0</v>
      </c>
      <c r="AO177" s="773">
        <f t="shared" ca="1" si="268"/>
        <v>0</v>
      </c>
      <c r="AP177" s="773">
        <f t="shared" ca="1" si="250"/>
        <v>0</v>
      </c>
      <c r="AQ177" s="773">
        <f t="shared" ca="1" si="251"/>
        <v>0</v>
      </c>
      <c r="AR177" s="773">
        <f t="shared" ca="1" si="269"/>
        <v>3</v>
      </c>
      <c r="AS177" s="773">
        <f t="shared" ca="1" si="252"/>
        <v>0</v>
      </c>
      <c r="AT177" s="773">
        <f t="shared" ca="1" si="253"/>
        <v>0</v>
      </c>
      <c r="AU177" s="773">
        <f t="shared" ca="1" si="270"/>
        <v>3</v>
      </c>
      <c r="AV177" s="773">
        <f t="shared" ca="1" si="254"/>
        <v>0</v>
      </c>
      <c r="AW177" s="773">
        <f t="shared" ca="1" si="255"/>
        <v>0</v>
      </c>
      <c r="AX177" s="773">
        <f t="shared" ca="1" si="271"/>
        <v>2</v>
      </c>
      <c r="AY177" s="773">
        <f t="shared" ca="1" si="256"/>
        <v>0</v>
      </c>
      <c r="AZ177" s="773">
        <f t="shared" ca="1" si="257"/>
        <v>0</v>
      </c>
      <c r="BA177" s="773">
        <f t="shared" ca="1" si="272"/>
        <v>1</v>
      </c>
      <c r="BB177" s="773">
        <f t="shared" ca="1" si="258"/>
        <v>0</v>
      </c>
      <c r="BC177" s="773">
        <f t="shared" ca="1" si="259"/>
        <v>0</v>
      </c>
      <c r="BD177" s="773">
        <f t="shared" ca="1" si="273"/>
        <v>2</v>
      </c>
      <c r="BE177" s="773">
        <f t="shared" ca="1" si="260"/>
        <v>0</v>
      </c>
      <c r="BF177" s="912" t="str">
        <f t="shared" si="261"/>
        <v>Phục Binh</v>
      </c>
    </row>
    <row r="178" spans="1:58" ht="15">
      <c r="A178" s="855" t="s">
        <v>1399</v>
      </c>
      <c r="B178" s="855" t="s">
        <v>1399</v>
      </c>
      <c r="C178" s="855" t="s">
        <v>353</v>
      </c>
      <c r="D178" s="855" t="s">
        <v>9301</v>
      </c>
      <c r="E178" s="855" t="s">
        <v>1402</v>
      </c>
      <c r="F178" s="855" t="s">
        <v>9300</v>
      </c>
      <c r="G178" s="855" t="s">
        <v>9299</v>
      </c>
      <c r="H178" s="855" t="s">
        <v>9298</v>
      </c>
      <c r="I178" s="855" t="s">
        <v>9297</v>
      </c>
      <c r="J178" s="855" t="s">
        <v>507</v>
      </c>
      <c r="K178" s="855" t="s">
        <v>506</v>
      </c>
      <c r="L178" s="806" t="s">
        <v>7871</v>
      </c>
      <c r="M178" s="855" t="s">
        <v>505</v>
      </c>
      <c r="O178" s="773">
        <v>34</v>
      </c>
      <c r="P178" s="773" t="s">
        <v>8600</v>
      </c>
      <c r="Q178" s="773" t="str">
        <f ca="1">L202</f>
        <v>Thìn</v>
      </c>
      <c r="R178" s="773">
        <v>1</v>
      </c>
      <c r="S178" s="773">
        <f t="shared" ca="1" si="278"/>
        <v>1</v>
      </c>
      <c r="V178" s="773">
        <f t="shared" ca="1" si="237"/>
        <v>1</v>
      </c>
      <c r="W178" s="773">
        <f t="shared" ca="1" si="262"/>
        <v>4</v>
      </c>
      <c r="X178" s="773">
        <f t="shared" ca="1" si="238"/>
        <v>4</v>
      </c>
      <c r="Y178" s="773">
        <f t="shared" ca="1" si="239"/>
        <v>0</v>
      </c>
      <c r="Z178" s="773">
        <f t="shared" ca="1" si="263"/>
        <v>4</v>
      </c>
      <c r="AA178" s="773">
        <f t="shared" ca="1" si="240"/>
        <v>0</v>
      </c>
      <c r="AB178" s="773">
        <f t="shared" ca="1" si="241"/>
        <v>0</v>
      </c>
      <c r="AC178" s="773">
        <f t="shared" ca="1" si="264"/>
        <v>2</v>
      </c>
      <c r="AD178" s="773">
        <f t="shared" ca="1" si="242"/>
        <v>0</v>
      </c>
      <c r="AE178" s="773">
        <f t="shared" ca="1" si="243"/>
        <v>0</v>
      </c>
      <c r="AF178" s="773">
        <f t="shared" ca="1" si="265"/>
        <v>2</v>
      </c>
      <c r="AG178" s="773">
        <f t="shared" ca="1" si="244"/>
        <v>0</v>
      </c>
      <c r="AH178" s="773">
        <f t="shared" ca="1" si="245"/>
        <v>0</v>
      </c>
      <c r="AI178" s="773">
        <f t="shared" ca="1" si="266"/>
        <v>1</v>
      </c>
      <c r="AJ178" s="773">
        <f t="shared" ca="1" si="246"/>
        <v>0</v>
      </c>
      <c r="AK178" s="773">
        <f t="shared" ca="1" si="247"/>
        <v>0</v>
      </c>
      <c r="AL178" s="773">
        <f t="shared" ca="1" si="267"/>
        <v>1</v>
      </c>
      <c r="AM178" s="773">
        <f t="shared" ca="1" si="248"/>
        <v>0</v>
      </c>
      <c r="AN178" s="773">
        <f t="shared" ca="1" si="249"/>
        <v>0</v>
      </c>
      <c r="AO178" s="773">
        <f t="shared" ca="1" si="268"/>
        <v>0</v>
      </c>
      <c r="AP178" s="773">
        <f t="shared" ca="1" si="250"/>
        <v>0</v>
      </c>
      <c r="AQ178" s="773">
        <f t="shared" ca="1" si="251"/>
        <v>0</v>
      </c>
      <c r="AR178" s="773">
        <f t="shared" ca="1" si="269"/>
        <v>3</v>
      </c>
      <c r="AS178" s="773">
        <f t="shared" ca="1" si="252"/>
        <v>0</v>
      </c>
      <c r="AT178" s="773">
        <f t="shared" ca="1" si="253"/>
        <v>0</v>
      </c>
      <c r="AU178" s="773">
        <f t="shared" ca="1" si="270"/>
        <v>3</v>
      </c>
      <c r="AV178" s="773">
        <f t="shared" ca="1" si="254"/>
        <v>0</v>
      </c>
      <c r="AW178" s="773">
        <f t="shared" ca="1" si="255"/>
        <v>0</v>
      </c>
      <c r="AX178" s="773">
        <f t="shared" ca="1" si="271"/>
        <v>2</v>
      </c>
      <c r="AY178" s="773">
        <f t="shared" ca="1" si="256"/>
        <v>0</v>
      </c>
      <c r="AZ178" s="773">
        <f t="shared" ca="1" si="257"/>
        <v>0</v>
      </c>
      <c r="BA178" s="773">
        <f t="shared" ca="1" si="272"/>
        <v>1</v>
      </c>
      <c r="BB178" s="773">
        <f t="shared" ca="1" si="258"/>
        <v>0</v>
      </c>
      <c r="BC178" s="773">
        <f t="shared" ca="1" si="259"/>
        <v>0</v>
      </c>
      <c r="BD178" s="773">
        <f t="shared" ca="1" si="273"/>
        <v>2</v>
      </c>
      <c r="BE178" s="773">
        <f t="shared" ca="1" si="260"/>
        <v>0</v>
      </c>
      <c r="BF178" s="912" t="str">
        <f t="shared" si="261"/>
        <v>Suy</v>
      </c>
    </row>
    <row r="179" spans="1:58" ht="30">
      <c r="A179" s="806" t="s">
        <v>7871</v>
      </c>
      <c r="B179" s="806" t="s">
        <v>7871</v>
      </c>
      <c r="C179" s="855" t="s">
        <v>505</v>
      </c>
      <c r="D179" s="855" t="s">
        <v>1399</v>
      </c>
      <c r="E179" s="855" t="s">
        <v>353</v>
      </c>
      <c r="F179" s="855" t="s">
        <v>9301</v>
      </c>
      <c r="G179" s="855" t="s">
        <v>1402</v>
      </c>
      <c r="H179" s="855" t="s">
        <v>9300</v>
      </c>
      <c r="I179" s="855" t="s">
        <v>9299</v>
      </c>
      <c r="J179" s="855" t="s">
        <v>9298</v>
      </c>
      <c r="K179" s="855" t="s">
        <v>9297</v>
      </c>
      <c r="L179" s="855" t="s">
        <v>507</v>
      </c>
      <c r="M179" s="855" t="s">
        <v>506</v>
      </c>
      <c r="O179" s="773">
        <v>35</v>
      </c>
      <c r="P179" s="773" t="s">
        <v>8601</v>
      </c>
      <c r="Q179" s="773" t="str">
        <f ca="1">M202</f>
        <v>tỵ</v>
      </c>
      <c r="R179" s="773">
        <v>1</v>
      </c>
      <c r="S179" s="773">
        <f t="shared" ca="1" si="278"/>
        <v>3</v>
      </c>
      <c r="V179" s="773">
        <f t="shared" ca="1" si="237"/>
        <v>0</v>
      </c>
      <c r="W179" s="773">
        <f t="shared" ca="1" si="262"/>
        <v>4</v>
      </c>
      <c r="X179" s="773">
        <f t="shared" ca="1" si="238"/>
        <v>0</v>
      </c>
      <c r="Y179" s="773">
        <f t="shared" ca="1" si="239"/>
        <v>0</v>
      </c>
      <c r="Z179" s="773">
        <f t="shared" ca="1" si="263"/>
        <v>4</v>
      </c>
      <c r="AA179" s="773">
        <f t="shared" ca="1" si="240"/>
        <v>0</v>
      </c>
      <c r="AB179" s="773">
        <f t="shared" ca="1" si="241"/>
        <v>0</v>
      </c>
      <c r="AC179" s="773">
        <f t="shared" ca="1" si="264"/>
        <v>2</v>
      </c>
      <c r="AD179" s="773">
        <f t="shared" ca="1" si="242"/>
        <v>0</v>
      </c>
      <c r="AE179" s="773">
        <f t="shared" ca="1" si="243"/>
        <v>0</v>
      </c>
      <c r="AF179" s="773">
        <f t="shared" ca="1" si="265"/>
        <v>2</v>
      </c>
      <c r="AG179" s="773">
        <f t="shared" ca="1" si="244"/>
        <v>0</v>
      </c>
      <c r="AH179" s="773">
        <f t="shared" ca="1" si="245"/>
        <v>0</v>
      </c>
      <c r="AI179" s="773">
        <f t="shared" ca="1" si="266"/>
        <v>1</v>
      </c>
      <c r="AJ179" s="773">
        <f t="shared" ca="1" si="246"/>
        <v>0</v>
      </c>
      <c r="AK179" s="773">
        <f t="shared" ca="1" si="247"/>
        <v>0</v>
      </c>
      <c r="AL179" s="773">
        <f t="shared" ca="1" si="267"/>
        <v>1</v>
      </c>
      <c r="AM179" s="773">
        <f t="shared" ca="1" si="248"/>
        <v>0</v>
      </c>
      <c r="AN179" s="773">
        <f t="shared" ca="1" si="249"/>
        <v>0</v>
      </c>
      <c r="AO179" s="773">
        <f t="shared" ca="1" si="268"/>
        <v>0</v>
      </c>
      <c r="AP179" s="773">
        <f t="shared" ca="1" si="250"/>
        <v>0</v>
      </c>
      <c r="AQ179" s="773">
        <f t="shared" ca="1" si="251"/>
        <v>0</v>
      </c>
      <c r="AR179" s="773">
        <f t="shared" ca="1" si="269"/>
        <v>3</v>
      </c>
      <c r="AS179" s="773">
        <f t="shared" ca="1" si="252"/>
        <v>0</v>
      </c>
      <c r="AT179" s="773">
        <f t="shared" ca="1" si="253"/>
        <v>0</v>
      </c>
      <c r="AU179" s="773">
        <f t="shared" ca="1" si="270"/>
        <v>3</v>
      </c>
      <c r="AV179" s="773">
        <f t="shared" ca="1" si="254"/>
        <v>0</v>
      </c>
      <c r="AW179" s="773">
        <f t="shared" ca="1" si="255"/>
        <v>0</v>
      </c>
      <c r="AX179" s="773">
        <f t="shared" ca="1" si="271"/>
        <v>2</v>
      </c>
      <c r="AY179" s="773">
        <f t="shared" ca="1" si="256"/>
        <v>0</v>
      </c>
      <c r="AZ179" s="773">
        <f t="shared" ca="1" si="257"/>
        <v>0</v>
      </c>
      <c r="BA179" s="773">
        <f t="shared" ca="1" si="272"/>
        <v>1</v>
      </c>
      <c r="BB179" s="773">
        <f t="shared" ca="1" si="258"/>
        <v>0</v>
      </c>
      <c r="BC179" s="773">
        <f t="shared" ca="1" si="259"/>
        <v>1</v>
      </c>
      <c r="BD179" s="773">
        <f t="shared" ca="1" si="273"/>
        <v>3</v>
      </c>
      <c r="BE179" s="773">
        <f t="shared" ca="1" si="260"/>
        <v>3</v>
      </c>
      <c r="BF179" s="912" t="str">
        <f t="shared" si="261"/>
        <v>Bệnh</v>
      </c>
    </row>
    <row r="180" spans="1:58" ht="15">
      <c r="A180" s="855" t="s">
        <v>506</v>
      </c>
      <c r="B180" s="855" t="s">
        <v>506</v>
      </c>
      <c r="C180" s="806" t="s">
        <v>7871</v>
      </c>
      <c r="D180" s="855" t="s">
        <v>505</v>
      </c>
      <c r="E180" s="855" t="s">
        <v>1399</v>
      </c>
      <c r="F180" s="855" t="s">
        <v>353</v>
      </c>
      <c r="G180" s="855" t="s">
        <v>9301</v>
      </c>
      <c r="H180" s="855" t="s">
        <v>1402</v>
      </c>
      <c r="I180" s="855" t="s">
        <v>9300</v>
      </c>
      <c r="J180" s="855" t="s">
        <v>9299</v>
      </c>
      <c r="K180" s="855" t="s">
        <v>9298</v>
      </c>
      <c r="L180" s="855" t="s">
        <v>9297</v>
      </c>
      <c r="M180" s="855" t="s">
        <v>507</v>
      </c>
      <c r="O180" s="773">
        <v>36</v>
      </c>
      <c r="P180" s="773" t="s">
        <v>8602</v>
      </c>
      <c r="Q180" s="773" t="str">
        <f ca="1">F202</f>
        <v>Tuất</v>
      </c>
      <c r="R180" s="773">
        <v>1</v>
      </c>
      <c r="S180" s="773" t="e">
        <f t="shared" ca="1" si="278"/>
        <v>#N/A</v>
      </c>
      <c r="V180" s="773">
        <f t="shared" ca="1" si="237"/>
        <v>0</v>
      </c>
      <c r="W180" s="773">
        <f t="shared" ca="1" si="262"/>
        <v>4</v>
      </c>
      <c r="X180" s="773">
        <f t="shared" ca="1" si="238"/>
        <v>0</v>
      </c>
      <c r="Y180" s="773">
        <f t="shared" ca="1" si="239"/>
        <v>0</v>
      </c>
      <c r="Z180" s="773">
        <f t="shared" ca="1" si="263"/>
        <v>4</v>
      </c>
      <c r="AA180" s="773">
        <f t="shared" ca="1" si="240"/>
        <v>0</v>
      </c>
      <c r="AB180" s="773">
        <f t="shared" ca="1" si="241"/>
        <v>0</v>
      </c>
      <c r="AC180" s="773">
        <f t="shared" ca="1" si="264"/>
        <v>2</v>
      </c>
      <c r="AD180" s="773">
        <f t="shared" ca="1" si="242"/>
        <v>0</v>
      </c>
      <c r="AE180" s="773">
        <f t="shared" ca="1" si="243"/>
        <v>0</v>
      </c>
      <c r="AF180" s="773">
        <f t="shared" ca="1" si="265"/>
        <v>2</v>
      </c>
      <c r="AG180" s="773">
        <f t="shared" ca="1" si="244"/>
        <v>0</v>
      </c>
      <c r="AH180" s="773">
        <f t="shared" ca="1" si="245"/>
        <v>0</v>
      </c>
      <c r="AI180" s="773">
        <f t="shared" ca="1" si="266"/>
        <v>1</v>
      </c>
      <c r="AJ180" s="773">
        <f t="shared" ca="1" si="246"/>
        <v>0</v>
      </c>
      <c r="AK180" s="773">
        <f t="shared" ca="1" si="247"/>
        <v>0</v>
      </c>
      <c r="AL180" s="773">
        <f t="shared" ca="1" si="267"/>
        <v>1</v>
      </c>
      <c r="AM180" s="773">
        <f t="shared" ca="1" si="248"/>
        <v>0</v>
      </c>
      <c r="AN180" s="773">
        <f t="shared" ca="1" si="249"/>
        <v>0</v>
      </c>
      <c r="AO180" s="773">
        <f t="shared" ca="1" si="268"/>
        <v>0</v>
      </c>
      <c r="AP180" s="773">
        <f t="shared" ca="1" si="250"/>
        <v>0</v>
      </c>
      <c r="AQ180" s="773">
        <f t="shared" ca="1" si="251"/>
        <v>0</v>
      </c>
      <c r="AR180" s="773">
        <f t="shared" ca="1" si="269"/>
        <v>3</v>
      </c>
      <c r="AS180" s="773">
        <f t="shared" ca="1" si="252"/>
        <v>0</v>
      </c>
      <c r="AT180" s="773">
        <f t="shared" ca="1" si="253"/>
        <v>0</v>
      </c>
      <c r="AU180" s="773">
        <f t="shared" ca="1" si="270"/>
        <v>3</v>
      </c>
      <c r="AV180" s="773">
        <f t="shared" ca="1" si="254"/>
        <v>0</v>
      </c>
      <c r="AW180" s="773">
        <f t="shared" ca="1" si="255"/>
        <v>0</v>
      </c>
      <c r="AX180" s="773">
        <f t="shared" ca="1" si="271"/>
        <v>2</v>
      </c>
      <c r="AY180" s="773">
        <f t="shared" ca="1" si="256"/>
        <v>0</v>
      </c>
      <c r="AZ180" s="773">
        <f t="shared" ca="1" si="257"/>
        <v>1</v>
      </c>
      <c r="BA180" s="773">
        <f t="shared" ca="1" si="272"/>
        <v>2</v>
      </c>
      <c r="BB180" s="773">
        <f t="shared" ca="1" si="258"/>
        <v>2</v>
      </c>
      <c r="BC180" s="773">
        <f t="shared" ca="1" si="259"/>
        <v>0</v>
      </c>
      <c r="BD180" s="773">
        <f t="shared" ca="1" si="273"/>
        <v>3</v>
      </c>
      <c r="BE180" s="773">
        <f t="shared" ca="1" si="260"/>
        <v>0</v>
      </c>
      <c r="BF180" s="912" t="str">
        <f t="shared" si="261"/>
        <v>Tử</v>
      </c>
    </row>
    <row r="181" spans="1:58" ht="30">
      <c r="A181" s="855" t="s">
        <v>9297</v>
      </c>
      <c r="B181" s="855" t="s">
        <v>9297</v>
      </c>
      <c r="C181" s="855" t="s">
        <v>507</v>
      </c>
      <c r="D181" s="855" t="s">
        <v>506</v>
      </c>
      <c r="E181" s="806" t="s">
        <v>7871</v>
      </c>
      <c r="F181" s="855" t="s">
        <v>505</v>
      </c>
      <c r="G181" s="855" t="s">
        <v>1399</v>
      </c>
      <c r="H181" s="855" t="s">
        <v>353</v>
      </c>
      <c r="I181" s="855" t="s">
        <v>9301</v>
      </c>
      <c r="J181" s="855" t="s">
        <v>1402</v>
      </c>
      <c r="K181" s="855" t="s">
        <v>9300</v>
      </c>
      <c r="L181" s="855" t="s">
        <v>9299</v>
      </c>
      <c r="M181" s="855" t="s">
        <v>9298</v>
      </c>
      <c r="O181" s="773">
        <v>37</v>
      </c>
      <c r="P181" s="773" t="s">
        <v>8603</v>
      </c>
      <c r="Q181" s="773" t="str">
        <f ca="1">IF($N$63=1,M162,M184)</f>
        <v>Tý</v>
      </c>
      <c r="R181" s="773">
        <v>1</v>
      </c>
      <c r="S181" s="773" t="e">
        <f t="shared" ca="1" si="278"/>
        <v>#N/A</v>
      </c>
      <c r="V181" s="773">
        <f t="shared" ca="1" si="237"/>
        <v>0</v>
      </c>
      <c r="W181" s="773">
        <f t="shared" ca="1" si="262"/>
        <v>4</v>
      </c>
      <c r="X181" s="773">
        <f t="shared" ca="1" si="238"/>
        <v>0</v>
      </c>
      <c r="Y181" s="773">
        <f t="shared" ca="1" si="239"/>
        <v>0</v>
      </c>
      <c r="Z181" s="773">
        <f t="shared" ca="1" si="263"/>
        <v>4</v>
      </c>
      <c r="AA181" s="773">
        <f t="shared" ca="1" si="240"/>
        <v>0</v>
      </c>
      <c r="AB181" s="773">
        <f t="shared" ca="1" si="241"/>
        <v>0</v>
      </c>
      <c r="AC181" s="773">
        <f t="shared" ca="1" si="264"/>
        <v>2</v>
      </c>
      <c r="AD181" s="773">
        <f t="shared" ca="1" si="242"/>
        <v>0</v>
      </c>
      <c r="AE181" s="773">
        <f t="shared" ca="1" si="243"/>
        <v>0</v>
      </c>
      <c r="AF181" s="773">
        <f t="shared" ca="1" si="265"/>
        <v>2</v>
      </c>
      <c r="AG181" s="773">
        <f t="shared" ca="1" si="244"/>
        <v>0</v>
      </c>
      <c r="AH181" s="773">
        <f t="shared" ca="1" si="245"/>
        <v>0</v>
      </c>
      <c r="AI181" s="773">
        <f t="shared" ca="1" si="266"/>
        <v>1</v>
      </c>
      <c r="AJ181" s="773">
        <f t="shared" ca="1" si="246"/>
        <v>0</v>
      </c>
      <c r="AK181" s="773">
        <f t="shared" ca="1" si="247"/>
        <v>0</v>
      </c>
      <c r="AL181" s="773">
        <f t="shared" ca="1" si="267"/>
        <v>1</v>
      </c>
      <c r="AM181" s="773">
        <f t="shared" ca="1" si="248"/>
        <v>0</v>
      </c>
      <c r="AN181" s="773">
        <f t="shared" ca="1" si="249"/>
        <v>0</v>
      </c>
      <c r="AO181" s="773">
        <f t="shared" ca="1" si="268"/>
        <v>0</v>
      </c>
      <c r="AP181" s="773">
        <f t="shared" ca="1" si="250"/>
        <v>0</v>
      </c>
      <c r="AQ181" s="773">
        <f t="shared" ca="1" si="251"/>
        <v>0</v>
      </c>
      <c r="AR181" s="773">
        <f t="shared" ca="1" si="269"/>
        <v>3</v>
      </c>
      <c r="AS181" s="773">
        <f t="shared" ca="1" si="252"/>
        <v>0</v>
      </c>
      <c r="AT181" s="773">
        <f t="shared" ca="1" si="253"/>
        <v>0</v>
      </c>
      <c r="AU181" s="773">
        <f t="shared" ca="1" si="270"/>
        <v>3</v>
      </c>
      <c r="AV181" s="773">
        <f t="shared" ca="1" si="254"/>
        <v>0</v>
      </c>
      <c r="AW181" s="773">
        <f t="shared" ca="1" si="255"/>
        <v>1</v>
      </c>
      <c r="AX181" s="773">
        <f t="shared" ca="1" si="271"/>
        <v>3</v>
      </c>
      <c r="AY181" s="773">
        <f t="shared" ca="1" si="256"/>
        <v>3</v>
      </c>
      <c r="AZ181" s="773">
        <f t="shared" ca="1" si="257"/>
        <v>0</v>
      </c>
      <c r="BA181" s="773">
        <f t="shared" ca="1" si="272"/>
        <v>2</v>
      </c>
      <c r="BB181" s="773">
        <f t="shared" ca="1" si="258"/>
        <v>0</v>
      </c>
      <c r="BC181" s="773">
        <f t="shared" ca="1" si="259"/>
        <v>0</v>
      </c>
      <c r="BD181" s="773">
        <f t="shared" ca="1" si="273"/>
        <v>3</v>
      </c>
      <c r="BE181" s="773">
        <f t="shared" ca="1" si="260"/>
        <v>0</v>
      </c>
      <c r="BF181" s="912" t="str">
        <f t="shared" si="261"/>
        <v>Mộ</v>
      </c>
    </row>
    <row r="182" spans="1:58" ht="15">
      <c r="A182" s="855" t="s">
        <v>9298</v>
      </c>
      <c r="B182" s="855" t="s">
        <v>9298</v>
      </c>
      <c r="C182" s="855" t="s">
        <v>9297</v>
      </c>
      <c r="D182" s="855" t="s">
        <v>507</v>
      </c>
      <c r="E182" s="855" t="s">
        <v>506</v>
      </c>
      <c r="F182" s="806" t="s">
        <v>7871</v>
      </c>
      <c r="G182" s="855" t="s">
        <v>505</v>
      </c>
      <c r="H182" s="855" t="s">
        <v>1399</v>
      </c>
      <c r="I182" s="855" t="s">
        <v>353</v>
      </c>
      <c r="J182" s="855" t="s">
        <v>9301</v>
      </c>
      <c r="K182" s="855" t="s">
        <v>1402</v>
      </c>
      <c r="L182" s="855" t="s">
        <v>9300</v>
      </c>
      <c r="M182" s="855" t="s">
        <v>9299</v>
      </c>
      <c r="O182" s="773">
        <v>38</v>
      </c>
      <c r="P182" s="773" t="s">
        <v>8604</v>
      </c>
      <c r="Q182" s="773" t="str">
        <f ca="1">B202</f>
        <v>Ngọ</v>
      </c>
      <c r="R182" s="773">
        <v>1</v>
      </c>
      <c r="S182" s="773" t="e">
        <f t="shared" ca="1" si="278"/>
        <v>#N/A</v>
      </c>
      <c r="V182" s="773">
        <f t="shared" ca="1" si="237"/>
        <v>0</v>
      </c>
      <c r="W182" s="773">
        <f t="shared" ca="1" si="262"/>
        <v>4</v>
      </c>
      <c r="X182" s="773">
        <f t="shared" ca="1" si="238"/>
        <v>0</v>
      </c>
      <c r="Y182" s="773">
        <f t="shared" ca="1" si="239"/>
        <v>0</v>
      </c>
      <c r="Z182" s="773">
        <f t="shared" ca="1" si="263"/>
        <v>4</v>
      </c>
      <c r="AA182" s="773">
        <f t="shared" ca="1" si="240"/>
        <v>0</v>
      </c>
      <c r="AB182" s="773">
        <f t="shared" ca="1" si="241"/>
        <v>0</v>
      </c>
      <c r="AC182" s="773">
        <f t="shared" ca="1" si="264"/>
        <v>2</v>
      </c>
      <c r="AD182" s="773">
        <f t="shared" ca="1" si="242"/>
        <v>0</v>
      </c>
      <c r="AE182" s="773">
        <f t="shared" ca="1" si="243"/>
        <v>0</v>
      </c>
      <c r="AF182" s="773">
        <f t="shared" ca="1" si="265"/>
        <v>2</v>
      </c>
      <c r="AG182" s="773">
        <f t="shared" ca="1" si="244"/>
        <v>0</v>
      </c>
      <c r="AH182" s="773">
        <f t="shared" ca="1" si="245"/>
        <v>0</v>
      </c>
      <c r="AI182" s="773">
        <f t="shared" ca="1" si="266"/>
        <v>1</v>
      </c>
      <c r="AJ182" s="773">
        <f t="shared" ca="1" si="246"/>
        <v>0</v>
      </c>
      <c r="AK182" s="773">
        <f t="shared" ca="1" si="247"/>
        <v>0</v>
      </c>
      <c r="AL182" s="773">
        <f t="shared" ca="1" si="267"/>
        <v>1</v>
      </c>
      <c r="AM182" s="773">
        <f t="shared" ca="1" si="248"/>
        <v>0</v>
      </c>
      <c r="AN182" s="773">
        <f t="shared" ca="1" si="249"/>
        <v>0</v>
      </c>
      <c r="AO182" s="773">
        <f t="shared" ca="1" si="268"/>
        <v>0</v>
      </c>
      <c r="AP182" s="773">
        <f t="shared" ca="1" si="250"/>
        <v>0</v>
      </c>
      <c r="AQ182" s="773">
        <f t="shared" ca="1" si="251"/>
        <v>0</v>
      </c>
      <c r="AR182" s="773">
        <f t="shared" ca="1" si="269"/>
        <v>3</v>
      </c>
      <c r="AS182" s="773">
        <f t="shared" ca="1" si="252"/>
        <v>0</v>
      </c>
      <c r="AT182" s="773">
        <f t="shared" ca="1" si="253"/>
        <v>1</v>
      </c>
      <c r="AU182" s="773">
        <f t="shared" ca="1" si="270"/>
        <v>4</v>
      </c>
      <c r="AV182" s="773">
        <f t="shared" ca="1" si="254"/>
        <v>4</v>
      </c>
      <c r="AW182" s="773">
        <f t="shared" ca="1" si="255"/>
        <v>0</v>
      </c>
      <c r="AX182" s="773">
        <f t="shared" ca="1" si="271"/>
        <v>3</v>
      </c>
      <c r="AY182" s="773">
        <f t="shared" ca="1" si="256"/>
        <v>0</v>
      </c>
      <c r="AZ182" s="773">
        <f t="shared" ca="1" si="257"/>
        <v>0</v>
      </c>
      <c r="BA182" s="773">
        <f t="shared" ca="1" si="272"/>
        <v>2</v>
      </c>
      <c r="BB182" s="773">
        <f t="shared" ca="1" si="258"/>
        <v>0</v>
      </c>
      <c r="BC182" s="773">
        <f t="shared" ca="1" si="259"/>
        <v>0</v>
      </c>
      <c r="BD182" s="773">
        <f t="shared" ca="1" si="273"/>
        <v>3</v>
      </c>
      <c r="BE182" s="773">
        <f t="shared" ca="1" si="260"/>
        <v>0</v>
      </c>
      <c r="BF182" s="912" t="str">
        <f t="shared" si="261"/>
        <v>Tuyệt</v>
      </c>
    </row>
    <row r="183" spans="1:58" ht="15">
      <c r="A183" s="855" t="s">
        <v>9300</v>
      </c>
      <c r="B183" s="855" t="s">
        <v>9300</v>
      </c>
      <c r="C183" s="855" t="s">
        <v>9299</v>
      </c>
      <c r="D183" s="855" t="s">
        <v>9298</v>
      </c>
      <c r="E183" s="855" t="s">
        <v>9297</v>
      </c>
      <c r="F183" s="855" t="s">
        <v>507</v>
      </c>
      <c r="G183" s="855" t="s">
        <v>506</v>
      </c>
      <c r="H183" s="806" t="s">
        <v>7871</v>
      </c>
      <c r="I183" s="855" t="s">
        <v>505</v>
      </c>
      <c r="J183" s="855" t="s">
        <v>1399</v>
      </c>
      <c r="K183" s="855" t="s">
        <v>353</v>
      </c>
      <c r="L183" s="855" t="s">
        <v>9301</v>
      </c>
      <c r="M183" s="855" t="s">
        <v>1402</v>
      </c>
      <c r="O183" s="773">
        <v>39</v>
      </c>
      <c r="P183" s="773" t="s">
        <v>8605</v>
      </c>
      <c r="Q183" s="773" t="str">
        <f ca="1">L102</f>
        <v>mão</v>
      </c>
      <c r="R183" s="773">
        <v>3</v>
      </c>
      <c r="S183" s="773" t="e">
        <f t="shared" ca="1" si="278"/>
        <v>#N/A</v>
      </c>
      <c r="V183" s="773">
        <f t="shared" ca="1" si="237"/>
        <v>0</v>
      </c>
      <c r="W183" s="773">
        <f t="shared" ca="1" si="262"/>
        <v>4</v>
      </c>
      <c r="X183" s="773">
        <f t="shared" ca="1" si="238"/>
        <v>0</v>
      </c>
      <c r="Y183" s="773">
        <f t="shared" ca="1" si="239"/>
        <v>0</v>
      </c>
      <c r="Z183" s="773">
        <f t="shared" ca="1" si="263"/>
        <v>4</v>
      </c>
      <c r="AA183" s="773">
        <f t="shared" ca="1" si="240"/>
        <v>0</v>
      </c>
      <c r="AB183" s="773">
        <f t="shared" ca="1" si="241"/>
        <v>0</v>
      </c>
      <c r="AC183" s="773">
        <f t="shared" ca="1" si="264"/>
        <v>2</v>
      </c>
      <c r="AD183" s="773">
        <f t="shared" ca="1" si="242"/>
        <v>0</v>
      </c>
      <c r="AE183" s="773">
        <f t="shared" ca="1" si="243"/>
        <v>0</v>
      </c>
      <c r="AF183" s="773">
        <f t="shared" ca="1" si="265"/>
        <v>2</v>
      </c>
      <c r="AG183" s="773">
        <f t="shared" ca="1" si="244"/>
        <v>0</v>
      </c>
      <c r="AH183" s="773">
        <f t="shared" ca="1" si="245"/>
        <v>0</v>
      </c>
      <c r="AI183" s="773">
        <f t="shared" ca="1" si="266"/>
        <v>1</v>
      </c>
      <c r="AJ183" s="773">
        <f t="shared" ca="1" si="246"/>
        <v>0</v>
      </c>
      <c r="AK183" s="773">
        <f t="shared" ca="1" si="247"/>
        <v>0</v>
      </c>
      <c r="AL183" s="773">
        <f t="shared" ca="1" si="267"/>
        <v>1</v>
      </c>
      <c r="AM183" s="773">
        <f t="shared" ca="1" si="248"/>
        <v>0</v>
      </c>
      <c r="AN183" s="773">
        <f t="shared" ca="1" si="249"/>
        <v>0</v>
      </c>
      <c r="AO183" s="773">
        <f t="shared" ca="1" si="268"/>
        <v>0</v>
      </c>
      <c r="AP183" s="773">
        <f t="shared" ca="1" si="250"/>
        <v>0</v>
      </c>
      <c r="AQ183" s="773">
        <f t="shared" ca="1" si="251"/>
        <v>1</v>
      </c>
      <c r="AR183" s="773">
        <f t="shared" ca="1" si="269"/>
        <v>4</v>
      </c>
      <c r="AS183" s="773">
        <f t="shared" ca="1" si="252"/>
        <v>4</v>
      </c>
      <c r="AT183" s="773">
        <f t="shared" ca="1" si="253"/>
        <v>0</v>
      </c>
      <c r="AU183" s="773">
        <f t="shared" ca="1" si="270"/>
        <v>4</v>
      </c>
      <c r="AV183" s="773">
        <f t="shared" ca="1" si="254"/>
        <v>0</v>
      </c>
      <c r="AW183" s="773">
        <f t="shared" ca="1" si="255"/>
        <v>0</v>
      </c>
      <c r="AX183" s="773">
        <f t="shared" ca="1" si="271"/>
        <v>3</v>
      </c>
      <c r="AY183" s="773">
        <f t="shared" ca="1" si="256"/>
        <v>0</v>
      </c>
      <c r="AZ183" s="773">
        <f t="shared" ca="1" si="257"/>
        <v>0</v>
      </c>
      <c r="BA183" s="773">
        <f t="shared" ca="1" si="272"/>
        <v>2</v>
      </c>
      <c r="BB183" s="773">
        <f t="shared" ca="1" si="258"/>
        <v>0</v>
      </c>
      <c r="BC183" s="773">
        <f t="shared" ca="1" si="259"/>
        <v>0</v>
      </c>
      <c r="BD183" s="773">
        <f t="shared" ca="1" si="273"/>
        <v>3</v>
      </c>
      <c r="BE183" s="773">
        <f t="shared" ca="1" si="260"/>
        <v>0</v>
      </c>
      <c r="BF183" s="912" t="str">
        <f t="shared" si="261"/>
        <v>Thai</v>
      </c>
    </row>
    <row r="184" spans="1:58">
      <c r="A184" s="941"/>
      <c r="B184" s="912" t="str">
        <f t="shared" ref="B184:M184" ca="1" si="279">VLOOKUP($B$124,$A$176:$M$183,B123,0)</f>
        <v>Hợi</v>
      </c>
      <c r="C184" s="912" t="str">
        <f t="shared" ca="1" si="279"/>
        <v>Tuất</v>
      </c>
      <c r="D184" s="912" t="str">
        <f t="shared" ca="1" si="279"/>
        <v>Dậu</v>
      </c>
      <c r="E184" s="912" t="str">
        <f t="shared" ca="1" si="279"/>
        <v>Thân</v>
      </c>
      <c r="F184" s="912" t="str">
        <f t="shared" ca="1" si="279"/>
        <v>Mùi</v>
      </c>
      <c r="G184" s="912" t="str">
        <f t="shared" ca="1" si="279"/>
        <v>Ngọ</v>
      </c>
      <c r="H184" s="912" t="str">
        <f t="shared" ca="1" si="279"/>
        <v>tỵ</v>
      </c>
      <c r="I184" s="912" t="str">
        <f t="shared" ca="1" si="279"/>
        <v>Thìn</v>
      </c>
      <c r="J184" s="912" t="str">
        <f t="shared" ca="1" si="279"/>
        <v>Mão</v>
      </c>
      <c r="K184" s="912" t="str">
        <f t="shared" ca="1" si="279"/>
        <v>Dần</v>
      </c>
      <c r="L184" s="912" t="str">
        <f t="shared" ca="1" si="279"/>
        <v>Sửu</v>
      </c>
      <c r="M184" s="912" t="str">
        <f t="shared" ca="1" si="279"/>
        <v>Tý</v>
      </c>
      <c r="O184" s="773">
        <v>40</v>
      </c>
      <c r="P184" s="773" t="s">
        <v>8606</v>
      </c>
      <c r="Q184" s="773" t="str">
        <f ca="1">L103</f>
        <v>tỵ</v>
      </c>
      <c r="R184" s="773">
        <v>5</v>
      </c>
      <c r="S184" s="773" t="e">
        <f ca="1">VLOOKUP(B20,$P$145:$R$187,3,0)</f>
        <v>#N/A</v>
      </c>
      <c r="V184" s="773">
        <f t="shared" ca="1" si="237"/>
        <v>0</v>
      </c>
      <c r="W184" s="773">
        <f t="shared" ca="1" si="262"/>
        <v>4</v>
      </c>
      <c r="X184" s="773">
        <f t="shared" ca="1" si="238"/>
        <v>0</v>
      </c>
      <c r="Y184" s="773">
        <f t="shared" ca="1" si="239"/>
        <v>0</v>
      </c>
      <c r="Z184" s="773">
        <f t="shared" ca="1" si="263"/>
        <v>4</v>
      </c>
      <c r="AA184" s="773">
        <f t="shared" ca="1" si="240"/>
        <v>0</v>
      </c>
      <c r="AB184" s="773">
        <f t="shared" ca="1" si="241"/>
        <v>0</v>
      </c>
      <c r="AC184" s="773">
        <f t="shared" ca="1" si="264"/>
        <v>2</v>
      </c>
      <c r="AD184" s="773">
        <f t="shared" ca="1" si="242"/>
        <v>0</v>
      </c>
      <c r="AE184" s="773">
        <f t="shared" ca="1" si="243"/>
        <v>0</v>
      </c>
      <c r="AF184" s="773">
        <f t="shared" ca="1" si="265"/>
        <v>2</v>
      </c>
      <c r="AG184" s="773">
        <f t="shared" ca="1" si="244"/>
        <v>0</v>
      </c>
      <c r="AH184" s="773">
        <f t="shared" ca="1" si="245"/>
        <v>0</v>
      </c>
      <c r="AI184" s="773">
        <f t="shared" ca="1" si="266"/>
        <v>1</v>
      </c>
      <c r="AJ184" s="773">
        <f t="shared" ca="1" si="246"/>
        <v>0</v>
      </c>
      <c r="AK184" s="773">
        <f t="shared" ca="1" si="247"/>
        <v>0</v>
      </c>
      <c r="AL184" s="773">
        <f t="shared" ca="1" si="267"/>
        <v>1</v>
      </c>
      <c r="AM184" s="773">
        <f t="shared" ca="1" si="248"/>
        <v>0</v>
      </c>
      <c r="AN184" s="773">
        <f t="shared" ca="1" si="249"/>
        <v>0</v>
      </c>
      <c r="AO184" s="773">
        <f t="shared" ca="1" si="268"/>
        <v>0</v>
      </c>
      <c r="AP184" s="773">
        <f t="shared" ca="1" si="250"/>
        <v>0</v>
      </c>
      <c r="AQ184" s="773">
        <f t="shared" ca="1" si="251"/>
        <v>0</v>
      </c>
      <c r="AR184" s="773">
        <f t="shared" ca="1" si="269"/>
        <v>4</v>
      </c>
      <c r="AS184" s="773">
        <f t="shared" ca="1" si="252"/>
        <v>0</v>
      </c>
      <c r="AT184" s="773">
        <f t="shared" ca="1" si="253"/>
        <v>0</v>
      </c>
      <c r="AU184" s="773">
        <f t="shared" ca="1" si="270"/>
        <v>4</v>
      </c>
      <c r="AV184" s="773">
        <f t="shared" ca="1" si="254"/>
        <v>0</v>
      </c>
      <c r="AW184" s="773">
        <f t="shared" ca="1" si="255"/>
        <v>0</v>
      </c>
      <c r="AX184" s="773">
        <f t="shared" ca="1" si="271"/>
        <v>3</v>
      </c>
      <c r="AY184" s="773">
        <f t="shared" ca="1" si="256"/>
        <v>0</v>
      </c>
      <c r="AZ184" s="773">
        <f t="shared" ca="1" si="257"/>
        <v>0</v>
      </c>
      <c r="BA184" s="773">
        <f t="shared" ca="1" si="272"/>
        <v>2</v>
      </c>
      <c r="BB184" s="773">
        <f t="shared" ca="1" si="258"/>
        <v>0</v>
      </c>
      <c r="BC184" s="773">
        <f t="shared" ca="1" si="259"/>
        <v>1</v>
      </c>
      <c r="BD184" s="773">
        <f t="shared" ca="1" si="273"/>
        <v>4</v>
      </c>
      <c r="BE184" s="773">
        <f t="shared" ca="1" si="260"/>
        <v>4</v>
      </c>
      <c r="BF184" s="912" t="str">
        <f t="shared" si="261"/>
        <v>Tử Phù</v>
      </c>
    </row>
    <row r="185" spans="1:58">
      <c r="A185" s="806"/>
      <c r="O185" s="773">
        <v>41</v>
      </c>
      <c r="P185" s="773" t="s">
        <v>6593</v>
      </c>
      <c r="Q185" s="773" t="s">
        <v>7872</v>
      </c>
      <c r="R185" s="773">
        <v>3</v>
      </c>
      <c r="S185" s="773" t="e">
        <f t="shared" ref="S185:S192" ca="1" si="280">VLOOKUP(C3,$P$145:$R$187,3,0)</f>
        <v>#N/A</v>
      </c>
      <c r="V185" s="773">
        <f t="shared" ca="1" si="237"/>
        <v>1</v>
      </c>
      <c r="W185" s="773">
        <f t="shared" ca="1" si="262"/>
        <v>5</v>
      </c>
      <c r="X185" s="773">
        <f t="shared" ca="1" si="238"/>
        <v>5</v>
      </c>
      <c r="Y185" s="773">
        <f t="shared" ca="1" si="239"/>
        <v>0</v>
      </c>
      <c r="Z185" s="773">
        <f t="shared" ca="1" si="263"/>
        <v>4</v>
      </c>
      <c r="AA185" s="773">
        <f t="shared" ca="1" si="240"/>
        <v>0</v>
      </c>
      <c r="AB185" s="773">
        <f t="shared" ca="1" si="241"/>
        <v>0</v>
      </c>
      <c r="AC185" s="773">
        <f t="shared" ca="1" si="264"/>
        <v>2</v>
      </c>
      <c r="AD185" s="773">
        <f t="shared" ca="1" si="242"/>
        <v>0</v>
      </c>
      <c r="AE185" s="773">
        <f t="shared" ca="1" si="243"/>
        <v>0</v>
      </c>
      <c r="AF185" s="773">
        <f t="shared" ca="1" si="265"/>
        <v>2</v>
      </c>
      <c r="AG185" s="773">
        <f t="shared" ca="1" si="244"/>
        <v>0</v>
      </c>
      <c r="AH185" s="773">
        <f t="shared" ca="1" si="245"/>
        <v>0</v>
      </c>
      <c r="AI185" s="773">
        <f t="shared" ca="1" si="266"/>
        <v>1</v>
      </c>
      <c r="AJ185" s="773">
        <f t="shared" ca="1" si="246"/>
        <v>0</v>
      </c>
      <c r="AK185" s="773">
        <f t="shared" ca="1" si="247"/>
        <v>0</v>
      </c>
      <c r="AL185" s="773">
        <f t="shared" ca="1" si="267"/>
        <v>1</v>
      </c>
      <c r="AM185" s="773">
        <f t="shared" ca="1" si="248"/>
        <v>0</v>
      </c>
      <c r="AN185" s="773">
        <f t="shared" ca="1" si="249"/>
        <v>0</v>
      </c>
      <c r="AO185" s="773">
        <f t="shared" ca="1" si="268"/>
        <v>0</v>
      </c>
      <c r="AP185" s="773">
        <f t="shared" ca="1" si="250"/>
        <v>0</v>
      </c>
      <c r="AQ185" s="773">
        <f t="shared" ca="1" si="251"/>
        <v>0</v>
      </c>
      <c r="AR185" s="773">
        <f t="shared" ca="1" si="269"/>
        <v>4</v>
      </c>
      <c r="AS185" s="773">
        <f t="shared" ca="1" si="252"/>
        <v>0</v>
      </c>
      <c r="AT185" s="773">
        <f t="shared" ca="1" si="253"/>
        <v>0</v>
      </c>
      <c r="AU185" s="773">
        <f t="shared" ca="1" si="270"/>
        <v>4</v>
      </c>
      <c r="AV185" s="773">
        <f t="shared" ca="1" si="254"/>
        <v>0</v>
      </c>
      <c r="AW185" s="773">
        <f t="shared" ca="1" si="255"/>
        <v>0</v>
      </c>
      <c r="AX185" s="773">
        <f t="shared" ca="1" si="271"/>
        <v>3</v>
      </c>
      <c r="AY185" s="773">
        <f t="shared" ca="1" si="256"/>
        <v>0</v>
      </c>
      <c r="AZ185" s="773">
        <f t="shared" ca="1" si="257"/>
        <v>0</v>
      </c>
      <c r="BA185" s="773">
        <f t="shared" ca="1" si="272"/>
        <v>2</v>
      </c>
      <c r="BB185" s="773">
        <f t="shared" ca="1" si="258"/>
        <v>0</v>
      </c>
      <c r="BC185" s="773">
        <f t="shared" ca="1" si="259"/>
        <v>0</v>
      </c>
      <c r="BD185" s="773">
        <f t="shared" ca="1" si="273"/>
        <v>4</v>
      </c>
      <c r="BE185" s="773">
        <f t="shared" ca="1" si="260"/>
        <v>0</v>
      </c>
      <c r="BF185" s="912" t="str">
        <f t="shared" si="261"/>
        <v>Tuế Phá</v>
      </c>
    </row>
    <row r="186" spans="1:58">
      <c r="A186" s="934" t="s">
        <v>8607</v>
      </c>
      <c r="O186" s="773">
        <v>42</v>
      </c>
      <c r="P186" s="773" t="s">
        <v>8608</v>
      </c>
      <c r="Q186" s="773" t="s">
        <v>7880</v>
      </c>
      <c r="R186" s="773">
        <v>3</v>
      </c>
      <c r="S186" s="773">
        <f t="shared" ca="1" si="280"/>
        <v>1</v>
      </c>
      <c r="V186" s="773">
        <f t="shared" ca="1" si="237"/>
        <v>0</v>
      </c>
      <c r="W186" s="773">
        <f t="shared" ca="1" si="262"/>
        <v>5</v>
      </c>
      <c r="X186" s="773">
        <f t="shared" ca="1" si="238"/>
        <v>0</v>
      </c>
      <c r="Y186" s="773">
        <f t="shared" ca="1" si="239"/>
        <v>0</v>
      </c>
      <c r="Z186" s="773">
        <f t="shared" ca="1" si="263"/>
        <v>4</v>
      </c>
      <c r="AA186" s="773">
        <f t="shared" ca="1" si="240"/>
        <v>0</v>
      </c>
      <c r="AB186" s="773">
        <f t="shared" ca="1" si="241"/>
        <v>0</v>
      </c>
      <c r="AC186" s="773">
        <f t="shared" ca="1" si="264"/>
        <v>2</v>
      </c>
      <c r="AD186" s="773">
        <f t="shared" ca="1" si="242"/>
        <v>0</v>
      </c>
      <c r="AE186" s="773">
        <f t="shared" ca="1" si="243"/>
        <v>0</v>
      </c>
      <c r="AF186" s="773">
        <f t="shared" ca="1" si="265"/>
        <v>2</v>
      </c>
      <c r="AG186" s="773">
        <f t="shared" ca="1" si="244"/>
        <v>0</v>
      </c>
      <c r="AH186" s="773">
        <f t="shared" ca="1" si="245"/>
        <v>1</v>
      </c>
      <c r="AI186" s="773">
        <f t="shared" ca="1" si="266"/>
        <v>2</v>
      </c>
      <c r="AJ186" s="773">
        <f t="shared" ca="1" si="246"/>
        <v>2</v>
      </c>
      <c r="AK186" s="773">
        <f t="shared" ca="1" si="247"/>
        <v>0</v>
      </c>
      <c r="AL186" s="773">
        <f t="shared" ca="1" si="267"/>
        <v>1</v>
      </c>
      <c r="AM186" s="773">
        <f t="shared" ca="1" si="248"/>
        <v>0</v>
      </c>
      <c r="AN186" s="773">
        <f t="shared" ca="1" si="249"/>
        <v>0</v>
      </c>
      <c r="AO186" s="773">
        <f t="shared" ca="1" si="268"/>
        <v>0</v>
      </c>
      <c r="AP186" s="773">
        <f t="shared" ca="1" si="250"/>
        <v>0</v>
      </c>
      <c r="AQ186" s="773">
        <f t="shared" ca="1" si="251"/>
        <v>0</v>
      </c>
      <c r="AR186" s="773">
        <f t="shared" ca="1" si="269"/>
        <v>4</v>
      </c>
      <c r="AS186" s="773">
        <f t="shared" ca="1" si="252"/>
        <v>0</v>
      </c>
      <c r="AT186" s="773">
        <f t="shared" ca="1" si="253"/>
        <v>0</v>
      </c>
      <c r="AU186" s="773">
        <f t="shared" ca="1" si="270"/>
        <v>4</v>
      </c>
      <c r="AV186" s="773">
        <f t="shared" ca="1" si="254"/>
        <v>0</v>
      </c>
      <c r="AW186" s="773">
        <f t="shared" ca="1" si="255"/>
        <v>0</v>
      </c>
      <c r="AX186" s="773">
        <f t="shared" ca="1" si="271"/>
        <v>3</v>
      </c>
      <c r="AY186" s="773">
        <f t="shared" ca="1" si="256"/>
        <v>0</v>
      </c>
      <c r="AZ186" s="773">
        <f t="shared" ca="1" si="257"/>
        <v>0</v>
      </c>
      <c r="BA186" s="773">
        <f t="shared" ca="1" si="272"/>
        <v>2</v>
      </c>
      <c r="BB186" s="773">
        <f t="shared" ca="1" si="258"/>
        <v>0</v>
      </c>
      <c r="BC186" s="773">
        <f t="shared" ca="1" si="259"/>
        <v>0</v>
      </c>
      <c r="BD186" s="773">
        <f t="shared" ca="1" si="273"/>
        <v>4</v>
      </c>
      <c r="BE186" s="773">
        <f t="shared" ca="1" si="260"/>
        <v>0</v>
      </c>
      <c r="BF186" s="912" t="str">
        <f t="shared" si="261"/>
        <v>Điếu Khách</v>
      </c>
    </row>
    <row r="187" spans="1:58" ht="30">
      <c r="A187" s="855" t="s">
        <v>459</v>
      </c>
      <c r="B187" s="855" t="s">
        <v>5944</v>
      </c>
      <c r="C187" s="855" t="s">
        <v>8609</v>
      </c>
      <c r="D187" s="855" t="s">
        <v>8610</v>
      </c>
      <c r="E187" s="855" t="s">
        <v>8609</v>
      </c>
      <c r="F187" s="855" t="s">
        <v>9333</v>
      </c>
      <c r="G187" s="855" t="s">
        <v>6657</v>
      </c>
      <c r="H187" s="855" t="s">
        <v>8611</v>
      </c>
      <c r="I187" s="855" t="s">
        <v>8526</v>
      </c>
      <c r="J187" s="855" t="s">
        <v>8612</v>
      </c>
      <c r="K187" s="855" t="s">
        <v>8507</v>
      </c>
      <c r="L187" s="855" t="s">
        <v>8613</v>
      </c>
      <c r="M187" s="855" t="s">
        <v>8614</v>
      </c>
      <c r="O187" s="773">
        <v>43</v>
      </c>
      <c r="P187" s="773" t="s">
        <v>8615</v>
      </c>
      <c r="Q187" s="773" t="str">
        <f ca="1">K105</f>
        <v>tuất</v>
      </c>
      <c r="R187" s="773">
        <v>1</v>
      </c>
      <c r="S187" s="773">
        <f t="shared" ca="1" si="280"/>
        <v>1</v>
      </c>
      <c r="V187" s="773">
        <f t="shared" ca="1" si="237"/>
        <v>0</v>
      </c>
      <c r="W187" s="773">
        <f t="shared" ca="1" si="262"/>
        <v>5</v>
      </c>
      <c r="X187" s="773">
        <f t="shared" ca="1" si="238"/>
        <v>0</v>
      </c>
      <c r="Y187" s="773">
        <f t="shared" ca="1" si="239"/>
        <v>0</v>
      </c>
      <c r="Z187" s="773">
        <f t="shared" ca="1" si="263"/>
        <v>4</v>
      </c>
      <c r="AA187" s="773">
        <f t="shared" ca="1" si="240"/>
        <v>0</v>
      </c>
      <c r="AB187" s="773">
        <f t="shared" ca="1" si="241"/>
        <v>0</v>
      </c>
      <c r="AC187" s="773">
        <f t="shared" ca="1" si="264"/>
        <v>2</v>
      </c>
      <c r="AD187" s="773">
        <f t="shared" ca="1" si="242"/>
        <v>0</v>
      </c>
      <c r="AE187" s="773">
        <f t="shared" ca="1" si="243"/>
        <v>0</v>
      </c>
      <c r="AF187" s="773">
        <f t="shared" ca="1" si="265"/>
        <v>2</v>
      </c>
      <c r="AG187" s="773">
        <f t="shared" ca="1" si="244"/>
        <v>0</v>
      </c>
      <c r="AH187" s="773">
        <f t="shared" ca="1" si="245"/>
        <v>0</v>
      </c>
      <c r="AI187" s="773">
        <f t="shared" ca="1" si="266"/>
        <v>2</v>
      </c>
      <c r="AJ187" s="773">
        <f t="shared" ca="1" si="246"/>
        <v>0</v>
      </c>
      <c r="AK187" s="773">
        <f t="shared" ca="1" si="247"/>
        <v>1</v>
      </c>
      <c r="AL187" s="773">
        <f t="shared" ca="1" si="267"/>
        <v>2</v>
      </c>
      <c r="AM187" s="773">
        <f t="shared" ca="1" si="248"/>
        <v>2</v>
      </c>
      <c r="AN187" s="773">
        <f t="shared" ca="1" si="249"/>
        <v>0</v>
      </c>
      <c r="AO187" s="773">
        <f t="shared" ca="1" si="268"/>
        <v>0</v>
      </c>
      <c r="AP187" s="773">
        <f t="shared" ca="1" si="250"/>
        <v>0</v>
      </c>
      <c r="AQ187" s="773">
        <f t="shared" ca="1" si="251"/>
        <v>0</v>
      </c>
      <c r="AR187" s="773">
        <f t="shared" ca="1" si="269"/>
        <v>4</v>
      </c>
      <c r="AS187" s="773">
        <f t="shared" ca="1" si="252"/>
        <v>0</v>
      </c>
      <c r="AT187" s="773">
        <f t="shared" ca="1" si="253"/>
        <v>0</v>
      </c>
      <c r="AU187" s="773">
        <f t="shared" ca="1" si="270"/>
        <v>4</v>
      </c>
      <c r="AV187" s="773">
        <f t="shared" ca="1" si="254"/>
        <v>0</v>
      </c>
      <c r="AW187" s="773">
        <f t="shared" ca="1" si="255"/>
        <v>0</v>
      </c>
      <c r="AX187" s="773">
        <f t="shared" ca="1" si="271"/>
        <v>3</v>
      </c>
      <c r="AY187" s="773">
        <f t="shared" ca="1" si="256"/>
        <v>0</v>
      </c>
      <c r="AZ187" s="773">
        <f t="shared" ca="1" si="257"/>
        <v>0</v>
      </c>
      <c r="BA187" s="773">
        <f t="shared" ca="1" si="272"/>
        <v>2</v>
      </c>
      <c r="BB187" s="773">
        <f t="shared" ca="1" si="258"/>
        <v>0</v>
      </c>
      <c r="BC187" s="773">
        <f t="shared" ca="1" si="259"/>
        <v>0</v>
      </c>
      <c r="BD187" s="773">
        <f t="shared" ca="1" si="273"/>
        <v>4</v>
      </c>
      <c r="BE187" s="773">
        <f t="shared" ca="1" si="260"/>
        <v>0</v>
      </c>
      <c r="BF187" s="912" t="str">
        <f t="shared" si="261"/>
        <v>Trực Phù</v>
      </c>
    </row>
    <row r="188" spans="1:58" ht="15">
      <c r="A188" s="855" t="s">
        <v>8467</v>
      </c>
      <c r="B188" s="855" t="s">
        <v>8611</v>
      </c>
      <c r="C188" s="855" t="s">
        <v>8320</v>
      </c>
      <c r="D188" s="855" t="s">
        <v>8324</v>
      </c>
      <c r="E188" s="855" t="s">
        <v>4213</v>
      </c>
      <c r="F188" s="855" t="s">
        <v>8468</v>
      </c>
      <c r="G188" s="855" t="s">
        <v>8468</v>
      </c>
      <c r="H188" s="855" t="s">
        <v>8316</v>
      </c>
      <c r="I188" s="855" t="s">
        <v>8539</v>
      </c>
      <c r="J188" s="855" t="s">
        <v>8616</v>
      </c>
      <c r="K188" s="855" t="s">
        <v>8539</v>
      </c>
      <c r="L188" s="855" t="s">
        <v>8617</v>
      </c>
      <c r="M188" s="855" t="s">
        <v>8468</v>
      </c>
      <c r="S188" s="773">
        <f t="shared" ca="1" si="280"/>
        <v>5</v>
      </c>
      <c r="V188" s="773">
        <f t="shared" ca="1" si="237"/>
        <v>0</v>
      </c>
      <c r="W188" s="773">
        <f t="shared" ca="1" si="262"/>
        <v>5</v>
      </c>
      <c r="X188" s="773">
        <f t="shared" ca="1" si="238"/>
        <v>0</v>
      </c>
      <c r="Y188" s="773">
        <f t="shared" ca="1" si="239"/>
        <v>0</v>
      </c>
      <c r="Z188" s="773">
        <f t="shared" ca="1" si="263"/>
        <v>4</v>
      </c>
      <c r="AA188" s="773">
        <f t="shared" ca="1" si="240"/>
        <v>0</v>
      </c>
      <c r="AB188" s="773">
        <f t="shared" ca="1" si="241"/>
        <v>0</v>
      </c>
      <c r="AC188" s="773">
        <f t="shared" ca="1" si="264"/>
        <v>2</v>
      </c>
      <c r="AD188" s="773">
        <f t="shared" ca="1" si="242"/>
        <v>0</v>
      </c>
      <c r="AE188" s="773">
        <f t="shared" ca="1" si="243"/>
        <v>0</v>
      </c>
      <c r="AF188" s="773">
        <f t="shared" ca="1" si="265"/>
        <v>2</v>
      </c>
      <c r="AG188" s="773">
        <f t="shared" ca="1" si="244"/>
        <v>0</v>
      </c>
      <c r="AH188" s="773">
        <f t="shared" ca="1" si="245"/>
        <v>0</v>
      </c>
      <c r="AI188" s="773">
        <f t="shared" ca="1" si="266"/>
        <v>2</v>
      </c>
      <c r="AJ188" s="773">
        <f t="shared" ca="1" si="246"/>
        <v>0</v>
      </c>
      <c r="AK188" s="773">
        <f t="shared" ca="1" si="247"/>
        <v>0</v>
      </c>
      <c r="AL188" s="773">
        <f t="shared" ca="1" si="267"/>
        <v>2</v>
      </c>
      <c r="AM188" s="773">
        <f t="shared" ca="1" si="248"/>
        <v>0</v>
      </c>
      <c r="AN188" s="773">
        <f t="shared" ca="1" si="249"/>
        <v>0</v>
      </c>
      <c r="AO188" s="773">
        <f t="shared" ca="1" si="268"/>
        <v>0</v>
      </c>
      <c r="AP188" s="773">
        <f t="shared" ca="1" si="250"/>
        <v>0</v>
      </c>
      <c r="AQ188" s="773">
        <f t="shared" ca="1" si="251"/>
        <v>0</v>
      </c>
      <c r="AR188" s="773">
        <f t="shared" ca="1" si="269"/>
        <v>4</v>
      </c>
      <c r="AS188" s="773">
        <f t="shared" ca="1" si="252"/>
        <v>0</v>
      </c>
      <c r="AT188" s="773">
        <f t="shared" ca="1" si="253"/>
        <v>0</v>
      </c>
      <c r="AU188" s="773">
        <f t="shared" ca="1" si="270"/>
        <v>4</v>
      </c>
      <c r="AV188" s="773">
        <f t="shared" ca="1" si="254"/>
        <v>0</v>
      </c>
      <c r="AW188" s="773">
        <f t="shared" ca="1" si="255"/>
        <v>0</v>
      </c>
      <c r="AX188" s="773">
        <f t="shared" ca="1" si="271"/>
        <v>3</v>
      </c>
      <c r="AY188" s="773">
        <f t="shared" ca="1" si="256"/>
        <v>0</v>
      </c>
      <c r="AZ188" s="773">
        <f t="shared" ca="1" si="257"/>
        <v>1</v>
      </c>
      <c r="BA188" s="773">
        <f t="shared" ca="1" si="272"/>
        <v>3</v>
      </c>
      <c r="BB188" s="773">
        <f t="shared" ca="1" si="258"/>
        <v>3</v>
      </c>
      <c r="BC188" s="773">
        <f t="shared" ca="1" si="259"/>
        <v>0</v>
      </c>
      <c r="BD188" s="773">
        <f t="shared" ca="1" si="273"/>
        <v>4</v>
      </c>
      <c r="BE188" s="773">
        <f t="shared" ca="1" si="260"/>
        <v>0</v>
      </c>
      <c r="BF188" s="912" t="str">
        <f t="shared" si="261"/>
        <v>Quan Phù</v>
      </c>
    </row>
    <row r="189" spans="1:58" ht="15">
      <c r="A189" s="806" t="s">
        <v>6548</v>
      </c>
      <c r="B189" s="806" t="s">
        <v>6548</v>
      </c>
      <c r="C189" s="855" t="s">
        <v>9301</v>
      </c>
      <c r="D189" s="855" t="s">
        <v>353</v>
      </c>
      <c r="E189" s="855" t="s">
        <v>1399</v>
      </c>
      <c r="F189" s="855" t="s">
        <v>505</v>
      </c>
      <c r="G189" s="806" t="s">
        <v>7871</v>
      </c>
      <c r="H189" s="855" t="s">
        <v>506</v>
      </c>
      <c r="I189" s="855" t="s">
        <v>507</v>
      </c>
      <c r="J189" s="855" t="s">
        <v>9297</v>
      </c>
      <c r="K189" s="855" t="s">
        <v>9298</v>
      </c>
      <c r="L189" s="855" t="s">
        <v>9299</v>
      </c>
      <c r="M189" s="855" t="s">
        <v>9300</v>
      </c>
      <c r="O189" s="942">
        <v>1</v>
      </c>
      <c r="P189" s="773" t="s">
        <v>8416</v>
      </c>
      <c r="Q189" s="773">
        <v>2</v>
      </c>
      <c r="R189" s="773" t="e">
        <f t="shared" ref="R189:R196" ca="1" si="281">VLOOKUP(G33,$P$189:$Q$241,2,0)</f>
        <v>#N/A</v>
      </c>
      <c r="S189" s="773" t="e">
        <f t="shared" ca="1" si="280"/>
        <v>#N/A</v>
      </c>
      <c r="V189" s="773">
        <f t="shared" ca="1" si="237"/>
        <v>1</v>
      </c>
      <c r="W189" s="773">
        <f t="shared" ca="1" si="262"/>
        <v>6</v>
      </c>
      <c r="X189" s="773">
        <f t="shared" ca="1" si="238"/>
        <v>6</v>
      </c>
      <c r="Y189" s="773">
        <f t="shared" ca="1" si="239"/>
        <v>0</v>
      </c>
      <c r="Z189" s="773">
        <f t="shared" ca="1" si="263"/>
        <v>4</v>
      </c>
      <c r="AA189" s="773">
        <f t="shared" ca="1" si="240"/>
        <v>0</v>
      </c>
      <c r="AB189" s="773">
        <f t="shared" ca="1" si="241"/>
        <v>0</v>
      </c>
      <c r="AC189" s="773">
        <f t="shared" ca="1" si="264"/>
        <v>2</v>
      </c>
      <c r="AD189" s="773">
        <f t="shared" ca="1" si="242"/>
        <v>0</v>
      </c>
      <c r="AE189" s="773">
        <f t="shared" ca="1" si="243"/>
        <v>0</v>
      </c>
      <c r="AF189" s="773">
        <f t="shared" ca="1" si="265"/>
        <v>2</v>
      </c>
      <c r="AG189" s="773">
        <f t="shared" ca="1" si="244"/>
        <v>0</v>
      </c>
      <c r="AH189" s="773">
        <f t="shared" ca="1" si="245"/>
        <v>0</v>
      </c>
      <c r="AI189" s="773">
        <f t="shared" ca="1" si="266"/>
        <v>2</v>
      </c>
      <c r="AJ189" s="773">
        <f t="shared" ca="1" si="246"/>
        <v>0</v>
      </c>
      <c r="AK189" s="773">
        <f t="shared" ca="1" si="247"/>
        <v>0</v>
      </c>
      <c r="AL189" s="773">
        <f t="shared" ca="1" si="267"/>
        <v>2</v>
      </c>
      <c r="AM189" s="773">
        <f t="shared" ca="1" si="248"/>
        <v>0</v>
      </c>
      <c r="AN189" s="773">
        <f t="shared" ca="1" si="249"/>
        <v>0</v>
      </c>
      <c r="AO189" s="773">
        <f t="shared" ca="1" si="268"/>
        <v>0</v>
      </c>
      <c r="AP189" s="773">
        <f t="shared" ca="1" si="250"/>
        <v>0</v>
      </c>
      <c r="AQ189" s="773">
        <f t="shared" ca="1" si="251"/>
        <v>0</v>
      </c>
      <c r="AR189" s="773">
        <f t="shared" ca="1" si="269"/>
        <v>4</v>
      </c>
      <c r="AS189" s="773">
        <f t="shared" ca="1" si="252"/>
        <v>0</v>
      </c>
      <c r="AT189" s="773">
        <f t="shared" ca="1" si="253"/>
        <v>0</v>
      </c>
      <c r="AU189" s="773">
        <f t="shared" ca="1" si="270"/>
        <v>4</v>
      </c>
      <c r="AV189" s="773">
        <f t="shared" ca="1" si="254"/>
        <v>0</v>
      </c>
      <c r="AW189" s="773">
        <f t="shared" ca="1" si="255"/>
        <v>0</v>
      </c>
      <c r="AX189" s="773">
        <f t="shared" ca="1" si="271"/>
        <v>3</v>
      </c>
      <c r="AY189" s="773">
        <f t="shared" ca="1" si="256"/>
        <v>0</v>
      </c>
      <c r="AZ189" s="773">
        <f t="shared" ca="1" si="257"/>
        <v>0</v>
      </c>
      <c r="BA189" s="773">
        <f t="shared" ca="1" si="272"/>
        <v>3</v>
      </c>
      <c r="BB189" s="773">
        <f t="shared" ca="1" si="258"/>
        <v>0</v>
      </c>
      <c r="BC189" s="773">
        <f t="shared" ca="1" si="259"/>
        <v>0</v>
      </c>
      <c r="BD189" s="773">
        <f t="shared" ca="1" si="273"/>
        <v>4</v>
      </c>
      <c r="BE189" s="773">
        <f t="shared" ca="1" si="260"/>
        <v>0</v>
      </c>
      <c r="BF189" s="912" t="str">
        <f t="shared" si="261"/>
        <v>Quan Phủ</v>
      </c>
    </row>
    <row r="190" spans="1:58" ht="15">
      <c r="A190" s="806" t="s">
        <v>7875</v>
      </c>
      <c r="B190" s="855" t="s">
        <v>9301</v>
      </c>
      <c r="C190" s="855" t="s">
        <v>353</v>
      </c>
      <c r="D190" s="855" t="s">
        <v>1399</v>
      </c>
      <c r="E190" s="855" t="s">
        <v>505</v>
      </c>
      <c r="F190" s="806" t="s">
        <v>7871</v>
      </c>
      <c r="G190" s="855" t="s">
        <v>506</v>
      </c>
      <c r="H190" s="855" t="s">
        <v>507</v>
      </c>
      <c r="I190" s="855" t="s">
        <v>9297</v>
      </c>
      <c r="J190" s="855" t="s">
        <v>9298</v>
      </c>
      <c r="K190" s="855" t="s">
        <v>9299</v>
      </c>
      <c r="L190" s="855" t="s">
        <v>9300</v>
      </c>
      <c r="M190" s="855" t="s">
        <v>1402</v>
      </c>
      <c r="O190" s="787">
        <v>2</v>
      </c>
      <c r="P190" s="773" t="s">
        <v>8419</v>
      </c>
      <c r="Q190" s="773">
        <v>3</v>
      </c>
      <c r="R190" s="796">
        <f t="shared" ca="1" si="281"/>
        <v>3</v>
      </c>
      <c r="S190" s="773" t="e">
        <f t="shared" ca="1" si="280"/>
        <v>#N/A</v>
      </c>
      <c r="V190" s="773">
        <f t="shared" ca="1" si="237"/>
        <v>0</v>
      </c>
      <c r="W190" s="773">
        <f t="shared" ca="1" si="262"/>
        <v>6</v>
      </c>
      <c r="X190" s="773">
        <f t="shared" ca="1" si="238"/>
        <v>0</v>
      </c>
      <c r="Y190" s="773">
        <f t="shared" ca="1" si="239"/>
        <v>0</v>
      </c>
      <c r="Z190" s="773">
        <f t="shared" ca="1" si="263"/>
        <v>4</v>
      </c>
      <c r="AA190" s="773">
        <f t="shared" ca="1" si="240"/>
        <v>0</v>
      </c>
      <c r="AB190" s="773">
        <f t="shared" ca="1" si="241"/>
        <v>0</v>
      </c>
      <c r="AC190" s="773">
        <f t="shared" ca="1" si="264"/>
        <v>2</v>
      </c>
      <c r="AD190" s="773">
        <f t="shared" ca="1" si="242"/>
        <v>0</v>
      </c>
      <c r="AE190" s="773">
        <f t="shared" ca="1" si="243"/>
        <v>0</v>
      </c>
      <c r="AF190" s="773">
        <f t="shared" ca="1" si="265"/>
        <v>2</v>
      </c>
      <c r="AG190" s="773">
        <f t="shared" ca="1" si="244"/>
        <v>0</v>
      </c>
      <c r="AH190" s="773">
        <f t="shared" ca="1" si="245"/>
        <v>0</v>
      </c>
      <c r="AI190" s="773">
        <f t="shared" ca="1" si="266"/>
        <v>2</v>
      </c>
      <c r="AJ190" s="773">
        <f t="shared" ca="1" si="246"/>
        <v>0</v>
      </c>
      <c r="AK190" s="773">
        <f t="shared" ca="1" si="247"/>
        <v>0</v>
      </c>
      <c r="AL190" s="773">
        <f t="shared" ca="1" si="267"/>
        <v>2</v>
      </c>
      <c r="AM190" s="773">
        <f t="shared" ca="1" si="248"/>
        <v>0</v>
      </c>
      <c r="AN190" s="773">
        <f t="shared" ca="1" si="249"/>
        <v>1</v>
      </c>
      <c r="AO190" s="773">
        <f t="shared" ca="1" si="268"/>
        <v>1</v>
      </c>
      <c r="AP190" s="773">
        <f t="shared" ca="1" si="250"/>
        <v>1</v>
      </c>
      <c r="AQ190" s="773">
        <f t="shared" ca="1" si="251"/>
        <v>0</v>
      </c>
      <c r="AR190" s="773">
        <f t="shared" ca="1" si="269"/>
        <v>4</v>
      </c>
      <c r="AS190" s="773">
        <f t="shared" ca="1" si="252"/>
        <v>0</v>
      </c>
      <c r="AT190" s="773">
        <f t="shared" ca="1" si="253"/>
        <v>0</v>
      </c>
      <c r="AU190" s="773">
        <f t="shared" ca="1" si="270"/>
        <v>4</v>
      </c>
      <c r="AV190" s="773">
        <f t="shared" ca="1" si="254"/>
        <v>0</v>
      </c>
      <c r="AW190" s="773">
        <f t="shared" ca="1" si="255"/>
        <v>0</v>
      </c>
      <c r="AX190" s="773">
        <f t="shared" ca="1" si="271"/>
        <v>3</v>
      </c>
      <c r="AY190" s="773">
        <f t="shared" ca="1" si="256"/>
        <v>0</v>
      </c>
      <c r="AZ190" s="773">
        <f t="shared" ca="1" si="257"/>
        <v>0</v>
      </c>
      <c r="BA190" s="773">
        <f t="shared" ca="1" si="272"/>
        <v>3</v>
      </c>
      <c r="BB190" s="773">
        <f t="shared" ca="1" si="258"/>
        <v>0</v>
      </c>
      <c r="BC190" s="773">
        <f t="shared" ca="1" si="259"/>
        <v>0</v>
      </c>
      <c r="BD190" s="773">
        <f t="shared" ca="1" si="273"/>
        <v>4</v>
      </c>
      <c r="BE190" s="773">
        <f t="shared" ca="1" si="260"/>
        <v>0</v>
      </c>
      <c r="BF190" s="912" t="str">
        <f t="shared" si="261"/>
        <v>Thái Tuế</v>
      </c>
    </row>
    <row r="191" spans="1:58" ht="15">
      <c r="A191" s="806" t="s">
        <v>7874</v>
      </c>
      <c r="B191" s="855" t="s">
        <v>353</v>
      </c>
      <c r="C191" s="855" t="s">
        <v>1399</v>
      </c>
      <c r="D191" s="855" t="s">
        <v>505</v>
      </c>
      <c r="E191" s="806" t="s">
        <v>7871</v>
      </c>
      <c r="F191" s="855" t="s">
        <v>506</v>
      </c>
      <c r="G191" s="855" t="s">
        <v>507</v>
      </c>
      <c r="H191" s="855" t="s">
        <v>9297</v>
      </c>
      <c r="I191" s="855" t="s">
        <v>9298</v>
      </c>
      <c r="J191" s="855" t="s">
        <v>9299</v>
      </c>
      <c r="K191" s="855" t="s">
        <v>9300</v>
      </c>
      <c r="L191" s="855" t="s">
        <v>1402</v>
      </c>
      <c r="M191" s="855" t="s">
        <v>9301</v>
      </c>
      <c r="O191" s="787">
        <v>3</v>
      </c>
      <c r="P191" s="773" t="s">
        <v>8422</v>
      </c>
      <c r="Q191" s="773">
        <v>1</v>
      </c>
      <c r="R191" s="796" t="e">
        <f t="shared" ca="1" si="281"/>
        <v>#N/A</v>
      </c>
      <c r="S191" s="773" t="e">
        <f t="shared" ca="1" si="280"/>
        <v>#N/A</v>
      </c>
      <c r="V191" s="773">
        <f t="shared" ca="1" si="237"/>
        <v>0</v>
      </c>
      <c r="W191" s="773">
        <f t="shared" ca="1" si="262"/>
        <v>6</v>
      </c>
      <c r="X191" s="773">
        <f t="shared" ca="1" si="238"/>
        <v>0</v>
      </c>
      <c r="Y191" s="773">
        <f t="shared" ca="1" si="239"/>
        <v>0</v>
      </c>
      <c r="Z191" s="773">
        <f t="shared" ca="1" si="263"/>
        <v>4</v>
      </c>
      <c r="AA191" s="773">
        <f t="shared" ca="1" si="240"/>
        <v>0</v>
      </c>
      <c r="AB191" s="773">
        <f t="shared" ca="1" si="241"/>
        <v>0</v>
      </c>
      <c r="AC191" s="773">
        <f t="shared" ca="1" si="264"/>
        <v>2</v>
      </c>
      <c r="AD191" s="773">
        <f t="shared" ca="1" si="242"/>
        <v>0</v>
      </c>
      <c r="AE191" s="773">
        <f t="shared" ca="1" si="243"/>
        <v>1</v>
      </c>
      <c r="AF191" s="773">
        <f t="shared" ca="1" si="265"/>
        <v>3</v>
      </c>
      <c r="AG191" s="773">
        <f t="shared" ca="1" si="244"/>
        <v>3</v>
      </c>
      <c r="AH191" s="773">
        <f t="shared" ca="1" si="245"/>
        <v>0</v>
      </c>
      <c r="AI191" s="773">
        <f t="shared" ca="1" si="266"/>
        <v>2</v>
      </c>
      <c r="AJ191" s="773">
        <f t="shared" ca="1" si="246"/>
        <v>0</v>
      </c>
      <c r="AK191" s="773">
        <f t="shared" ca="1" si="247"/>
        <v>0</v>
      </c>
      <c r="AL191" s="773">
        <f t="shared" ca="1" si="267"/>
        <v>2</v>
      </c>
      <c r="AM191" s="773">
        <f t="shared" ca="1" si="248"/>
        <v>0</v>
      </c>
      <c r="AN191" s="773">
        <f t="shared" ca="1" si="249"/>
        <v>0</v>
      </c>
      <c r="AO191" s="773">
        <f t="shared" ca="1" si="268"/>
        <v>1</v>
      </c>
      <c r="AP191" s="773">
        <f t="shared" ca="1" si="250"/>
        <v>0</v>
      </c>
      <c r="AQ191" s="773">
        <f t="shared" ca="1" si="251"/>
        <v>0</v>
      </c>
      <c r="AR191" s="773">
        <f t="shared" ca="1" si="269"/>
        <v>4</v>
      </c>
      <c r="AS191" s="773">
        <f t="shared" ca="1" si="252"/>
        <v>0</v>
      </c>
      <c r="AT191" s="773">
        <f t="shared" ca="1" si="253"/>
        <v>0</v>
      </c>
      <c r="AU191" s="773">
        <f t="shared" ca="1" si="270"/>
        <v>4</v>
      </c>
      <c r="AV191" s="773">
        <f t="shared" ca="1" si="254"/>
        <v>0</v>
      </c>
      <c r="AW191" s="773">
        <f t="shared" ca="1" si="255"/>
        <v>0</v>
      </c>
      <c r="AX191" s="773">
        <f t="shared" ca="1" si="271"/>
        <v>3</v>
      </c>
      <c r="AY191" s="773">
        <f t="shared" ca="1" si="256"/>
        <v>0</v>
      </c>
      <c r="AZ191" s="773">
        <f t="shared" ca="1" si="257"/>
        <v>0</v>
      </c>
      <c r="BA191" s="773">
        <f t="shared" ca="1" si="272"/>
        <v>3</v>
      </c>
      <c r="BB191" s="773">
        <f t="shared" ca="1" si="258"/>
        <v>0</v>
      </c>
      <c r="BC191" s="773">
        <f t="shared" ca="1" si="259"/>
        <v>0</v>
      </c>
      <c r="BD191" s="773">
        <f t="shared" ca="1" si="273"/>
        <v>4</v>
      </c>
      <c r="BE191" s="773">
        <f t="shared" ca="1" si="260"/>
        <v>0</v>
      </c>
      <c r="BF191" s="912" t="str">
        <f t="shared" si="261"/>
        <v>Thiên Thương</v>
      </c>
    </row>
    <row r="192" spans="1:58" ht="15">
      <c r="A192" s="806" t="s">
        <v>7873</v>
      </c>
      <c r="B192" s="855" t="s">
        <v>1399</v>
      </c>
      <c r="C192" s="855" t="s">
        <v>505</v>
      </c>
      <c r="D192" s="806" t="s">
        <v>7871</v>
      </c>
      <c r="E192" s="855" t="s">
        <v>506</v>
      </c>
      <c r="F192" s="855" t="s">
        <v>507</v>
      </c>
      <c r="G192" s="855" t="s">
        <v>9297</v>
      </c>
      <c r="H192" s="855" t="s">
        <v>9298</v>
      </c>
      <c r="I192" s="855" t="s">
        <v>9299</v>
      </c>
      <c r="J192" s="855" t="s">
        <v>9300</v>
      </c>
      <c r="K192" s="855" t="s">
        <v>1402</v>
      </c>
      <c r="L192" s="855" t="s">
        <v>9301</v>
      </c>
      <c r="M192" s="855" t="s">
        <v>353</v>
      </c>
      <c r="O192" s="787">
        <v>4</v>
      </c>
      <c r="P192" s="773" t="s">
        <v>8424</v>
      </c>
      <c r="Q192" s="773">
        <v>1</v>
      </c>
      <c r="R192" s="796" t="e">
        <f t="shared" ca="1" si="281"/>
        <v>#N/A</v>
      </c>
      <c r="S192" s="773" t="e">
        <f t="shared" ca="1" si="280"/>
        <v>#N/A</v>
      </c>
      <c r="V192" s="773">
        <f t="shared" ca="1" si="237"/>
        <v>0</v>
      </c>
      <c r="W192" s="773">
        <f t="shared" ca="1" si="262"/>
        <v>6</v>
      </c>
      <c r="X192" s="773">
        <f t="shared" ca="1" si="238"/>
        <v>0</v>
      </c>
      <c r="Y192" s="773">
        <f t="shared" ca="1" si="239"/>
        <v>0</v>
      </c>
      <c r="Z192" s="773">
        <f t="shared" ca="1" si="263"/>
        <v>4</v>
      </c>
      <c r="AA192" s="773">
        <f t="shared" ca="1" si="240"/>
        <v>0</v>
      </c>
      <c r="AB192" s="773">
        <f t="shared" ca="1" si="241"/>
        <v>0</v>
      </c>
      <c r="AC192" s="773">
        <f t="shared" ca="1" si="264"/>
        <v>2</v>
      </c>
      <c r="AD192" s="773">
        <f t="shared" ca="1" si="242"/>
        <v>0</v>
      </c>
      <c r="AE192" s="773">
        <f t="shared" ca="1" si="243"/>
        <v>0</v>
      </c>
      <c r="AF192" s="773">
        <f t="shared" ca="1" si="265"/>
        <v>3</v>
      </c>
      <c r="AG192" s="773">
        <f t="shared" ca="1" si="244"/>
        <v>0</v>
      </c>
      <c r="AH192" s="773">
        <f t="shared" ca="1" si="245"/>
        <v>0</v>
      </c>
      <c r="AI192" s="773">
        <f t="shared" ca="1" si="266"/>
        <v>2</v>
      </c>
      <c r="AJ192" s="773">
        <f t="shared" ca="1" si="246"/>
        <v>0</v>
      </c>
      <c r="AK192" s="773">
        <f t="shared" ca="1" si="247"/>
        <v>1</v>
      </c>
      <c r="AL192" s="773">
        <f t="shared" ca="1" si="267"/>
        <v>3</v>
      </c>
      <c r="AM192" s="773">
        <f t="shared" ca="1" si="248"/>
        <v>3</v>
      </c>
      <c r="AN192" s="773">
        <f t="shared" ca="1" si="249"/>
        <v>0</v>
      </c>
      <c r="AO192" s="773">
        <f t="shared" ca="1" si="268"/>
        <v>1</v>
      </c>
      <c r="AP192" s="773">
        <f t="shared" ca="1" si="250"/>
        <v>0</v>
      </c>
      <c r="AQ192" s="773">
        <f t="shared" ca="1" si="251"/>
        <v>0</v>
      </c>
      <c r="AR192" s="773">
        <f t="shared" ca="1" si="269"/>
        <v>4</v>
      </c>
      <c r="AS192" s="773">
        <f t="shared" ca="1" si="252"/>
        <v>0</v>
      </c>
      <c r="AT192" s="773">
        <f t="shared" ca="1" si="253"/>
        <v>0</v>
      </c>
      <c r="AU192" s="773">
        <f t="shared" ca="1" si="270"/>
        <v>4</v>
      </c>
      <c r="AV192" s="773">
        <f t="shared" ca="1" si="254"/>
        <v>0</v>
      </c>
      <c r="AW192" s="773">
        <f t="shared" ca="1" si="255"/>
        <v>0</v>
      </c>
      <c r="AX192" s="773">
        <f t="shared" ca="1" si="271"/>
        <v>3</v>
      </c>
      <c r="AY192" s="773">
        <f t="shared" ca="1" si="256"/>
        <v>0</v>
      </c>
      <c r="AZ192" s="773">
        <f t="shared" ca="1" si="257"/>
        <v>0</v>
      </c>
      <c r="BA192" s="773">
        <f t="shared" ca="1" si="272"/>
        <v>3</v>
      </c>
      <c r="BB192" s="773">
        <f t="shared" ca="1" si="258"/>
        <v>0</v>
      </c>
      <c r="BC192" s="773">
        <f t="shared" ca="1" si="259"/>
        <v>0</v>
      </c>
      <c r="BD192" s="773">
        <f t="shared" ca="1" si="273"/>
        <v>4</v>
      </c>
      <c r="BE192" s="773">
        <f t="shared" ca="1" si="260"/>
        <v>0</v>
      </c>
      <c r="BF192" s="912" t="str">
        <f t="shared" si="261"/>
        <v>Thiên Sứ</v>
      </c>
    </row>
    <row r="193" spans="1:71" ht="15">
      <c r="A193" s="806" t="s">
        <v>7872</v>
      </c>
      <c r="B193" s="855" t="s">
        <v>505</v>
      </c>
      <c r="C193" s="806" t="s">
        <v>7871</v>
      </c>
      <c r="D193" s="855" t="s">
        <v>506</v>
      </c>
      <c r="E193" s="855" t="s">
        <v>507</v>
      </c>
      <c r="F193" s="855" t="s">
        <v>9297</v>
      </c>
      <c r="G193" s="855" t="s">
        <v>9298</v>
      </c>
      <c r="H193" s="855" t="s">
        <v>9299</v>
      </c>
      <c r="I193" s="855" t="s">
        <v>9300</v>
      </c>
      <c r="J193" s="855" t="s">
        <v>1402</v>
      </c>
      <c r="K193" s="855" t="s">
        <v>9301</v>
      </c>
      <c r="L193" s="855" t="s">
        <v>353</v>
      </c>
      <c r="M193" s="855" t="s">
        <v>1399</v>
      </c>
      <c r="O193" s="787">
        <v>5</v>
      </c>
      <c r="P193" s="773" t="s">
        <v>6570</v>
      </c>
      <c r="Q193" s="773">
        <v>4</v>
      </c>
      <c r="R193" s="796" t="e">
        <f t="shared" ca="1" si="281"/>
        <v>#N/A</v>
      </c>
      <c r="S193" s="773" t="e">
        <f t="shared" ref="S193:S200" ca="1" si="282">VLOOKUP(F3,$P$145:$R$187,3,0)</f>
        <v>#N/A</v>
      </c>
      <c r="V193" s="773">
        <f t="shared" si="237"/>
        <v>0</v>
      </c>
      <c r="W193" s="773">
        <f t="shared" ca="1" si="262"/>
        <v>6</v>
      </c>
      <c r="X193" s="773">
        <f t="shared" si="238"/>
        <v>0</v>
      </c>
      <c r="Y193" s="773">
        <f t="shared" si="239"/>
        <v>0</v>
      </c>
      <c r="Z193" s="773">
        <f t="shared" ca="1" si="263"/>
        <v>4</v>
      </c>
      <c r="AA193" s="773">
        <f t="shared" si="240"/>
        <v>0</v>
      </c>
      <c r="AB193" s="773">
        <f t="shared" si="241"/>
        <v>0</v>
      </c>
      <c r="AC193" s="773">
        <f t="shared" ca="1" si="264"/>
        <v>2</v>
      </c>
      <c r="AD193" s="773">
        <f t="shared" si="242"/>
        <v>0</v>
      </c>
      <c r="AE193" s="773">
        <f t="shared" si="243"/>
        <v>0</v>
      </c>
      <c r="AF193" s="773">
        <f t="shared" ca="1" si="265"/>
        <v>3</v>
      </c>
      <c r="AG193" s="773">
        <f t="shared" si="244"/>
        <v>0</v>
      </c>
      <c r="AH193" s="773">
        <f t="shared" si="245"/>
        <v>1</v>
      </c>
      <c r="AI193" s="773">
        <f t="shared" ca="1" si="266"/>
        <v>3</v>
      </c>
      <c r="AJ193" s="773">
        <f t="shared" ca="1" si="246"/>
        <v>3</v>
      </c>
      <c r="AK193" s="773">
        <f t="shared" si="247"/>
        <v>0</v>
      </c>
      <c r="AL193" s="773">
        <f t="shared" ca="1" si="267"/>
        <v>3</v>
      </c>
      <c r="AM193" s="773">
        <f t="shared" si="248"/>
        <v>0</v>
      </c>
      <c r="AN193" s="773">
        <f t="shared" si="249"/>
        <v>0</v>
      </c>
      <c r="AO193" s="773">
        <f t="shared" ca="1" si="268"/>
        <v>1</v>
      </c>
      <c r="AP193" s="773">
        <f t="shared" si="250"/>
        <v>0</v>
      </c>
      <c r="AQ193" s="773">
        <f t="shared" si="251"/>
        <v>0</v>
      </c>
      <c r="AR193" s="773">
        <f t="shared" ca="1" si="269"/>
        <v>4</v>
      </c>
      <c r="AS193" s="773">
        <f t="shared" si="252"/>
        <v>0</v>
      </c>
      <c r="AT193" s="773">
        <f t="shared" si="253"/>
        <v>0</v>
      </c>
      <c r="AU193" s="773">
        <f t="shared" ca="1" si="270"/>
        <v>4</v>
      </c>
      <c r="AV193" s="773">
        <f t="shared" si="254"/>
        <v>0</v>
      </c>
      <c r="AW193" s="773">
        <f t="shared" si="255"/>
        <v>0</v>
      </c>
      <c r="AX193" s="773">
        <f t="shared" ca="1" si="271"/>
        <v>3</v>
      </c>
      <c r="AY193" s="773">
        <f t="shared" si="256"/>
        <v>0</v>
      </c>
      <c r="AZ193" s="773">
        <f t="shared" si="257"/>
        <v>0</v>
      </c>
      <c r="BA193" s="773">
        <f t="shared" ca="1" si="272"/>
        <v>3</v>
      </c>
      <c r="BB193" s="773">
        <f t="shared" si="258"/>
        <v>0</v>
      </c>
      <c r="BC193" s="773">
        <f t="shared" si="259"/>
        <v>0</v>
      </c>
      <c r="BD193" s="773">
        <f t="shared" ca="1" si="273"/>
        <v>4</v>
      </c>
      <c r="BE193" s="773">
        <f t="shared" si="260"/>
        <v>0</v>
      </c>
      <c r="BF193" s="912" t="str">
        <f t="shared" si="261"/>
        <v>Thiên La</v>
      </c>
    </row>
    <row r="194" spans="1:71" ht="15">
      <c r="A194" s="806" t="s">
        <v>7871</v>
      </c>
      <c r="B194" s="806" t="s">
        <v>7871</v>
      </c>
      <c r="C194" s="855" t="s">
        <v>506</v>
      </c>
      <c r="D194" s="855" t="s">
        <v>507</v>
      </c>
      <c r="E194" s="855" t="s">
        <v>9297</v>
      </c>
      <c r="F194" s="855" t="s">
        <v>9298</v>
      </c>
      <c r="G194" s="855" t="s">
        <v>9299</v>
      </c>
      <c r="H194" s="855" t="s">
        <v>9300</v>
      </c>
      <c r="I194" s="855" t="s">
        <v>1402</v>
      </c>
      <c r="J194" s="855" t="s">
        <v>9301</v>
      </c>
      <c r="K194" s="855" t="s">
        <v>353</v>
      </c>
      <c r="L194" s="855" t="s">
        <v>1399</v>
      </c>
      <c r="M194" s="855" t="s">
        <v>505</v>
      </c>
      <c r="O194" s="787">
        <v>6</v>
      </c>
      <c r="P194" s="773" t="s">
        <v>8290</v>
      </c>
      <c r="Q194" s="773">
        <v>5</v>
      </c>
      <c r="R194" s="796" t="e">
        <f t="shared" ca="1" si="281"/>
        <v>#N/A</v>
      </c>
      <c r="S194" s="773">
        <f t="shared" ca="1" si="282"/>
        <v>1</v>
      </c>
      <c r="V194" s="773">
        <f t="shared" si="237"/>
        <v>0</v>
      </c>
      <c r="W194" s="773">
        <f t="shared" ca="1" si="262"/>
        <v>6</v>
      </c>
      <c r="X194" s="773">
        <f t="shared" si="238"/>
        <v>0</v>
      </c>
      <c r="Y194" s="773">
        <f t="shared" si="239"/>
        <v>0</v>
      </c>
      <c r="Z194" s="773">
        <f t="shared" ca="1" si="263"/>
        <v>4</v>
      </c>
      <c r="AA194" s="773">
        <f t="shared" si="240"/>
        <v>0</v>
      </c>
      <c r="AB194" s="773">
        <f t="shared" si="241"/>
        <v>0</v>
      </c>
      <c r="AC194" s="773">
        <f t="shared" ca="1" si="264"/>
        <v>2</v>
      </c>
      <c r="AD194" s="773">
        <f t="shared" si="242"/>
        <v>0</v>
      </c>
      <c r="AE194" s="773">
        <f t="shared" si="243"/>
        <v>0</v>
      </c>
      <c r="AF194" s="773">
        <f t="shared" ca="1" si="265"/>
        <v>3</v>
      </c>
      <c r="AG194" s="773">
        <f t="shared" si="244"/>
        <v>0</v>
      </c>
      <c r="AH194" s="773">
        <f t="shared" si="245"/>
        <v>0</v>
      </c>
      <c r="AI194" s="773">
        <f t="shared" ca="1" si="266"/>
        <v>3</v>
      </c>
      <c r="AJ194" s="773">
        <f t="shared" si="246"/>
        <v>0</v>
      </c>
      <c r="AK194" s="773">
        <f t="shared" si="247"/>
        <v>0</v>
      </c>
      <c r="AL194" s="773">
        <f t="shared" ca="1" si="267"/>
        <v>3</v>
      </c>
      <c r="AM194" s="773">
        <f t="shared" si="248"/>
        <v>0</v>
      </c>
      <c r="AN194" s="773">
        <f t="shared" si="249"/>
        <v>0</v>
      </c>
      <c r="AO194" s="773">
        <f t="shared" ca="1" si="268"/>
        <v>1</v>
      </c>
      <c r="AP194" s="773">
        <f t="shared" si="250"/>
        <v>0</v>
      </c>
      <c r="AQ194" s="773">
        <f t="shared" si="251"/>
        <v>0</v>
      </c>
      <c r="AR194" s="773">
        <f t="shared" ca="1" si="269"/>
        <v>4</v>
      </c>
      <c r="AS194" s="773">
        <f t="shared" si="252"/>
        <v>0</v>
      </c>
      <c r="AT194" s="773">
        <f t="shared" si="253"/>
        <v>0</v>
      </c>
      <c r="AU194" s="773">
        <f t="shared" ca="1" si="270"/>
        <v>4</v>
      </c>
      <c r="AV194" s="773">
        <f t="shared" si="254"/>
        <v>0</v>
      </c>
      <c r="AW194" s="773">
        <f t="shared" si="255"/>
        <v>0</v>
      </c>
      <c r="AX194" s="773">
        <f t="shared" ca="1" si="271"/>
        <v>3</v>
      </c>
      <c r="AY194" s="773">
        <f t="shared" si="256"/>
        <v>0</v>
      </c>
      <c r="AZ194" s="773">
        <f t="shared" si="257"/>
        <v>1</v>
      </c>
      <c r="BA194" s="773">
        <f t="shared" ca="1" si="272"/>
        <v>4</v>
      </c>
      <c r="BB194" s="773">
        <f t="shared" ca="1" si="258"/>
        <v>4</v>
      </c>
      <c r="BC194" s="773">
        <f t="shared" si="259"/>
        <v>0</v>
      </c>
      <c r="BD194" s="773">
        <f t="shared" ca="1" si="273"/>
        <v>4</v>
      </c>
      <c r="BE194" s="773">
        <f t="shared" si="260"/>
        <v>0</v>
      </c>
      <c r="BF194" s="912" t="str">
        <f t="shared" si="261"/>
        <v>Địa Võng</v>
      </c>
    </row>
    <row r="195" spans="1:71" ht="15">
      <c r="A195" s="806" t="s">
        <v>7883</v>
      </c>
      <c r="B195" s="855" t="s">
        <v>506</v>
      </c>
      <c r="C195" s="855" t="s">
        <v>507</v>
      </c>
      <c r="D195" s="855" t="s">
        <v>9297</v>
      </c>
      <c r="E195" s="855" t="s">
        <v>9298</v>
      </c>
      <c r="F195" s="855" t="s">
        <v>9299</v>
      </c>
      <c r="G195" s="855" t="s">
        <v>9300</v>
      </c>
      <c r="H195" s="855" t="s">
        <v>1402</v>
      </c>
      <c r="I195" s="855" t="s">
        <v>9301</v>
      </c>
      <c r="J195" s="855" t="s">
        <v>353</v>
      </c>
      <c r="K195" s="855" t="s">
        <v>1399</v>
      </c>
      <c r="L195" s="855" t="s">
        <v>505</v>
      </c>
      <c r="M195" s="806" t="s">
        <v>7871</v>
      </c>
      <c r="O195" s="787">
        <v>7</v>
      </c>
      <c r="P195" s="773" t="s">
        <v>8429</v>
      </c>
      <c r="Q195" s="773">
        <v>3</v>
      </c>
      <c r="R195" s="796" t="e">
        <f t="shared" ca="1" si="281"/>
        <v>#N/A</v>
      </c>
      <c r="S195" s="773" t="e">
        <f t="shared" ca="1" si="282"/>
        <v>#N/A</v>
      </c>
      <c r="V195" s="773">
        <f t="shared" ca="1" si="237"/>
        <v>0</v>
      </c>
      <c r="W195" s="773">
        <f t="shared" ca="1" si="262"/>
        <v>6</v>
      </c>
      <c r="X195" s="773">
        <f t="shared" ca="1" si="238"/>
        <v>0</v>
      </c>
      <c r="Y195" s="773">
        <f t="shared" ca="1" si="239"/>
        <v>0</v>
      </c>
      <c r="Z195" s="773">
        <f t="shared" ca="1" si="263"/>
        <v>4</v>
      </c>
      <c r="AA195" s="773">
        <f t="shared" ca="1" si="240"/>
        <v>0</v>
      </c>
      <c r="AB195" s="773">
        <f t="shared" ca="1" si="241"/>
        <v>0</v>
      </c>
      <c r="AC195" s="773">
        <f t="shared" ca="1" si="264"/>
        <v>2</v>
      </c>
      <c r="AD195" s="773">
        <f t="shared" ca="1" si="242"/>
        <v>0</v>
      </c>
      <c r="AE195" s="773">
        <f t="shared" ca="1" si="243"/>
        <v>0</v>
      </c>
      <c r="AF195" s="773">
        <f t="shared" ca="1" si="265"/>
        <v>3</v>
      </c>
      <c r="AG195" s="773">
        <f t="shared" ca="1" si="244"/>
        <v>0</v>
      </c>
      <c r="AH195" s="773">
        <f t="shared" ca="1" si="245"/>
        <v>0</v>
      </c>
      <c r="AI195" s="773">
        <f t="shared" ca="1" si="266"/>
        <v>3</v>
      </c>
      <c r="AJ195" s="773">
        <f t="shared" ca="1" si="246"/>
        <v>0</v>
      </c>
      <c r="AK195" s="773">
        <f t="shared" ca="1" si="247"/>
        <v>0</v>
      </c>
      <c r="AL195" s="773">
        <f t="shared" ca="1" si="267"/>
        <v>3</v>
      </c>
      <c r="AM195" s="773">
        <f t="shared" ca="1" si="248"/>
        <v>0</v>
      </c>
      <c r="AN195" s="773">
        <f t="shared" ca="1" si="249"/>
        <v>0</v>
      </c>
      <c r="AO195" s="773">
        <f t="shared" ca="1" si="268"/>
        <v>1</v>
      </c>
      <c r="AP195" s="773">
        <f t="shared" ca="1" si="250"/>
        <v>0</v>
      </c>
      <c r="AQ195" s="773">
        <f t="shared" ca="1" si="251"/>
        <v>0</v>
      </c>
      <c r="AR195" s="773">
        <f t="shared" ca="1" si="269"/>
        <v>4</v>
      </c>
      <c r="AS195" s="773">
        <f t="shared" ca="1" si="252"/>
        <v>0</v>
      </c>
      <c r="AT195" s="773">
        <f t="shared" ca="1" si="253"/>
        <v>0</v>
      </c>
      <c r="AU195" s="773">
        <f t="shared" ca="1" si="270"/>
        <v>4</v>
      </c>
      <c r="AV195" s="773">
        <f t="shared" ca="1" si="254"/>
        <v>0</v>
      </c>
      <c r="AW195" s="773">
        <f t="shared" ca="1" si="255"/>
        <v>0</v>
      </c>
      <c r="AX195" s="773">
        <f t="shared" ca="1" si="271"/>
        <v>3</v>
      </c>
      <c r="AY195" s="773">
        <f t="shared" ca="1" si="256"/>
        <v>0</v>
      </c>
      <c r="AZ195" s="773">
        <f t="shared" ca="1" si="257"/>
        <v>1</v>
      </c>
      <c r="BA195" s="773">
        <f t="shared" ca="1" si="272"/>
        <v>5</v>
      </c>
      <c r="BB195" s="773">
        <f t="shared" ca="1" si="258"/>
        <v>5</v>
      </c>
      <c r="BC195" s="773">
        <f t="shared" ca="1" si="259"/>
        <v>0</v>
      </c>
      <c r="BD195" s="773">
        <f t="shared" ca="1" si="273"/>
        <v>4</v>
      </c>
      <c r="BE195" s="773">
        <f t="shared" ca="1" si="260"/>
        <v>0</v>
      </c>
      <c r="BF195" s="912" t="str">
        <f t="shared" si="261"/>
        <v>Đẩu Quân</v>
      </c>
    </row>
    <row r="196" spans="1:71" ht="15">
      <c r="A196" s="806" t="s">
        <v>7882</v>
      </c>
      <c r="B196" s="855" t="s">
        <v>507</v>
      </c>
      <c r="C196" s="855" t="s">
        <v>9297</v>
      </c>
      <c r="D196" s="855" t="s">
        <v>9298</v>
      </c>
      <c r="E196" s="855" t="s">
        <v>9299</v>
      </c>
      <c r="F196" s="855" t="s">
        <v>9300</v>
      </c>
      <c r="G196" s="855" t="s">
        <v>1402</v>
      </c>
      <c r="H196" s="855" t="s">
        <v>9301</v>
      </c>
      <c r="I196" s="855" t="s">
        <v>353</v>
      </c>
      <c r="J196" s="855" t="s">
        <v>1399</v>
      </c>
      <c r="K196" s="855" t="s">
        <v>505</v>
      </c>
      <c r="L196" s="806" t="s">
        <v>7871</v>
      </c>
      <c r="M196" s="855" t="s">
        <v>506</v>
      </c>
      <c r="O196" s="787">
        <v>8</v>
      </c>
      <c r="P196" s="773" t="s">
        <v>8431</v>
      </c>
      <c r="Q196" s="773">
        <v>2</v>
      </c>
      <c r="R196" s="796" t="e">
        <f t="shared" ca="1" si="281"/>
        <v>#N/A</v>
      </c>
      <c r="S196" s="773" t="e">
        <f t="shared" ca="1" si="282"/>
        <v>#N/A</v>
      </c>
    </row>
    <row r="197" spans="1:71" ht="30">
      <c r="A197" s="806" t="s">
        <v>7887</v>
      </c>
      <c r="B197" s="855" t="s">
        <v>9297</v>
      </c>
      <c r="C197" s="855" t="s">
        <v>9298</v>
      </c>
      <c r="D197" s="855" t="s">
        <v>9299</v>
      </c>
      <c r="E197" s="855" t="s">
        <v>9300</v>
      </c>
      <c r="F197" s="855" t="s">
        <v>1402</v>
      </c>
      <c r="G197" s="855" t="s">
        <v>9301</v>
      </c>
      <c r="H197" s="855" t="s">
        <v>353</v>
      </c>
      <c r="I197" s="855" t="s">
        <v>1399</v>
      </c>
      <c r="J197" s="855" t="s">
        <v>505</v>
      </c>
      <c r="K197" s="806" t="s">
        <v>7871</v>
      </c>
      <c r="L197" s="855" t="s">
        <v>506</v>
      </c>
      <c r="M197" s="855" t="s">
        <v>507</v>
      </c>
      <c r="O197" s="787">
        <v>9</v>
      </c>
      <c r="P197" s="773" t="s">
        <v>8292</v>
      </c>
      <c r="Q197" s="773">
        <v>3</v>
      </c>
      <c r="R197" s="796" t="e">
        <f ca="1">VLOOKUP(H34,$P$189:$Q$241,2,0)</f>
        <v>#N/A</v>
      </c>
      <c r="S197" s="773" t="e">
        <f t="shared" ca="1" si="282"/>
        <v>#N/A</v>
      </c>
    </row>
    <row r="198" spans="1:71" ht="15">
      <c r="A198" s="806" t="s">
        <v>7886</v>
      </c>
      <c r="B198" s="855" t="s">
        <v>9298</v>
      </c>
      <c r="C198" s="855" t="s">
        <v>9299</v>
      </c>
      <c r="D198" s="855" t="s">
        <v>9300</v>
      </c>
      <c r="E198" s="855" t="s">
        <v>1402</v>
      </c>
      <c r="F198" s="855" t="s">
        <v>9301</v>
      </c>
      <c r="G198" s="855" t="s">
        <v>353</v>
      </c>
      <c r="H198" s="855" t="s">
        <v>1399</v>
      </c>
      <c r="I198" s="855" t="s">
        <v>505</v>
      </c>
      <c r="J198" s="806" t="s">
        <v>7871</v>
      </c>
      <c r="K198" s="855" t="s">
        <v>506</v>
      </c>
      <c r="L198" s="855" t="s">
        <v>507</v>
      </c>
      <c r="M198" s="855" t="s">
        <v>9297</v>
      </c>
      <c r="O198" s="787">
        <v>10</v>
      </c>
      <c r="P198" s="773" t="s">
        <v>8300</v>
      </c>
      <c r="Q198" s="773">
        <v>5</v>
      </c>
      <c r="R198" s="796" t="e">
        <f ca="1">VLOOKUP(H35,$P$189:$Q$241,2,0)</f>
        <v>#N/A</v>
      </c>
      <c r="S198" s="773" t="e">
        <f t="shared" ca="1" si="282"/>
        <v>#N/A</v>
      </c>
      <c r="V198" s="773" t="str">
        <f t="shared" ref="V198:V206" ca="1" si="283">VLOOKUP(T63,$X$153:$BF$195,35,0)</f>
        <v>Kình Dương</v>
      </c>
      <c r="W198" s="773" t="b">
        <f t="shared" ref="W198:W206" ca="1" si="284">ISTEXT(V198)</f>
        <v>1</v>
      </c>
      <c r="X198" s="773">
        <f t="shared" ref="X198:X206" ca="1" si="285">IF(LEFT(W198,1)="T",1,0)</f>
        <v>1</v>
      </c>
      <c r="Y198" s="773" t="str">
        <f t="shared" ref="Y198:Y206" ca="1" si="286">IF(X198=1,V198," ")</f>
        <v>Kình Dương</v>
      </c>
      <c r="AA198" s="773" t="str">
        <f t="shared" ref="AA198:AA206" ca="1" si="287">VLOOKUP(T63,$AA$153:$BF$195,32,0)</f>
        <v>Hóa Kỵ</v>
      </c>
      <c r="AB198" s="773" t="b">
        <f t="shared" ref="AB198:AB206" ca="1" si="288">ISTEXT(AA198)</f>
        <v>1</v>
      </c>
      <c r="AC198" s="773">
        <f t="shared" ref="AC198:AC206" ca="1" si="289">IF(LEFT(AB198,1)="T",1,0)</f>
        <v>1</v>
      </c>
      <c r="AD198" s="773" t="str">
        <f t="shared" ref="AD198:AD206" ca="1" si="290">IF(AC198=1,AA198," ")</f>
        <v>Hóa Kỵ</v>
      </c>
      <c r="AF198" s="773" t="str">
        <f t="shared" ref="AF198:AF206" ca="1" si="291">VLOOKUP(T63,$AD$153:$BF$195,29,0)</f>
        <v>Bạch Hổ</v>
      </c>
      <c r="AG198" s="773" t="b">
        <f t="shared" ref="AG198:AG206" ca="1" si="292">ISTEXT(AF198)</f>
        <v>1</v>
      </c>
      <c r="AH198" s="773">
        <f t="shared" ref="AH198:AH206" ca="1" si="293">IF(LEFT(AG198,1)="T",1,0)</f>
        <v>1</v>
      </c>
      <c r="AI198" s="773" t="str">
        <f t="shared" ref="AI198:AI206" ca="1" si="294">IF(AH198=1,AF198," ")</f>
        <v>Bạch Hổ</v>
      </c>
      <c r="AJ198" s="773" t="str">
        <f t="shared" ref="AJ198:AJ206" ca="1" si="295">VLOOKUP(T63,$AG$153:$BF$195,26,0)</f>
        <v>Địa Kiếp</v>
      </c>
      <c r="AK198" s="773" t="b">
        <f t="shared" ref="AK198:AK206" ca="1" si="296">ISTEXT(AJ198)</f>
        <v>1</v>
      </c>
      <c r="AL198" s="773">
        <f t="shared" ref="AL198:AL206" ca="1" si="297">IF(LEFT(AK198,1)="T",1,0)</f>
        <v>1</v>
      </c>
      <c r="AM198" s="773" t="str">
        <f t="shared" ref="AM198:AM206" ca="1" si="298">IF(AL198=1,AJ198," ")</f>
        <v>Địa Kiếp</v>
      </c>
      <c r="AN198" s="773" t="str">
        <f t="shared" ref="AN198:AN206" ca="1" si="299">VLOOKUP(T63,$AJ$153:$BF$195,23,0)</f>
        <v>Quả Tú</v>
      </c>
      <c r="AO198" s="773" t="b">
        <f t="shared" ref="AO198:AO206" ca="1" si="300">ISTEXT(AN198)</f>
        <v>1</v>
      </c>
      <c r="AP198" s="773">
        <f t="shared" ref="AP198:AP206" ca="1" si="301">IF(LEFT(AO198,1)="T",1,0)</f>
        <v>1</v>
      </c>
      <c r="AQ198" s="773" t="str">
        <f t="shared" ref="AQ198:AQ206" ca="1" si="302">IF(AP198=1,AN198," ")</f>
        <v>Quả Tú</v>
      </c>
      <c r="AR198" s="773" t="str">
        <f t="shared" ref="AR198:AR206" ca="1" si="303">VLOOKUP(T63,$AM$153:$BF$195,20,0)</f>
        <v>Phá Toái</v>
      </c>
      <c r="AS198" s="773" t="b">
        <f t="shared" ref="AS198:AS206" ca="1" si="304">ISTEXT(AR198)</f>
        <v>1</v>
      </c>
      <c r="AT198" s="773">
        <f t="shared" ref="AT198:AT206" ca="1" si="305">IF(LEFT(AS198,1)="T",1,0)</f>
        <v>1</v>
      </c>
      <c r="AU198" s="773" t="str">
        <f t="shared" ref="AU198:AU206" ca="1" si="306">IF(AT198=1,AR198," ")</f>
        <v>Phá Toái</v>
      </c>
      <c r="AV198" s="773" t="str">
        <f t="shared" ref="AV198:AV206" ca="1" si="307">VLOOKUP(T63,$AP$153:$BF$195,17,0)</f>
        <v>Thái Tuế</v>
      </c>
      <c r="AW198" s="773" t="b">
        <f t="shared" ref="AW198:AW206" ca="1" si="308">ISTEXT(AV198)</f>
        <v>1</v>
      </c>
      <c r="AX198" s="773">
        <f t="shared" ref="AX198:AX206" ca="1" si="309">IF(LEFT(AW198,1)="T",1,0)</f>
        <v>1</v>
      </c>
      <c r="AY198" s="773" t="str">
        <f t="shared" ref="AY198:AY206" ca="1" si="310">IF(AX198=1,AV198," ")</f>
        <v>Thái Tuế</v>
      </c>
      <c r="AZ198" s="773" t="str">
        <f t="shared" ref="AZ198:AZ206" ca="1" si="311">VLOOKUP(T63,$AS$153:$BF$195,14,0)</f>
        <v>Địa Không</v>
      </c>
      <c r="BA198" s="773" t="b">
        <f t="shared" ref="BA198:BA206" ca="1" si="312">ISTEXT(AZ198)</f>
        <v>1</v>
      </c>
      <c r="BB198" s="773">
        <f t="shared" ref="BB198:BB206" ca="1" si="313">IF(LEFT(BA198,1)="T",1,0)</f>
        <v>1</v>
      </c>
      <c r="BC198" s="773" t="str">
        <f t="shared" ref="BC198:BC206" ca="1" si="314">IF(BB198=1,AZ198," ")</f>
        <v>Địa Không</v>
      </c>
      <c r="BD198" s="773" t="str">
        <f t="shared" ref="BD198:BD206" ca="1" si="315">VLOOKUP(T63,$AV$153:$BF$195,11,0)</f>
        <v>Tang Môn</v>
      </c>
      <c r="BE198" s="773" t="b">
        <f t="shared" ref="BE198:BE206" ca="1" si="316">ISTEXT(BD198)</f>
        <v>1</v>
      </c>
      <c r="BF198" s="773">
        <f t="shared" ref="BF198:BF206" ca="1" si="317">IF(LEFT(BE198,1)="T",1,0)</f>
        <v>1</v>
      </c>
      <c r="BG198" s="773" t="str">
        <f t="shared" ref="BG198:BG206" ca="1" si="318">IF(BF198=1,BD198," ")</f>
        <v>Tang Môn</v>
      </c>
      <c r="BH198" s="773" t="str">
        <f t="shared" ref="BH198:BH206" ca="1" si="319">VLOOKUP(T63,$AY$153:$BF$195,8,0)</f>
        <v>Hỏa Tinh</v>
      </c>
      <c r="BI198" s="773" t="b">
        <f t="shared" ref="BI198:BI206" ca="1" si="320">ISTEXT(BH198)</f>
        <v>1</v>
      </c>
      <c r="BJ198" s="773">
        <f t="shared" ref="BJ198:BJ206" ca="1" si="321">IF(LEFT(BI198,1)="T",1,0)</f>
        <v>1</v>
      </c>
      <c r="BK198" s="773" t="str">
        <f t="shared" ref="BK198:BK206" ca="1" si="322">IF(BJ198=1,BH198," ")</f>
        <v>Hỏa Tinh</v>
      </c>
      <c r="BL198" s="773" t="str">
        <f t="shared" ref="BL198:BL206" ca="1" si="323">VLOOKUP(T63,$BB$153:$BF$195,5,0)</f>
        <v>Đà La</v>
      </c>
      <c r="BM198" s="773" t="b">
        <f t="shared" ref="BM198:BM206" ca="1" si="324">ISTEXT(BL198)</f>
        <v>1</v>
      </c>
      <c r="BN198" s="773">
        <f t="shared" ref="BN198:BN206" ca="1" si="325">IF(LEFT(BM198,1)="T",1,0)</f>
        <v>1</v>
      </c>
      <c r="BO198" s="773" t="str">
        <f t="shared" ref="BO198:BO206" ca="1" si="326">IF(BN198=1,BL198," ")</f>
        <v>Đà La</v>
      </c>
      <c r="BP198" s="773" t="str">
        <f t="shared" ref="BP198:BP206" ca="1" si="327">VLOOKUP(T63,$BE$153:$BF$195,2,0)</f>
        <v>Kiếp Sát</v>
      </c>
      <c r="BQ198" s="773" t="b">
        <f t="shared" ref="BQ198:BQ206" ca="1" si="328">ISTEXT(BP198)</f>
        <v>1</v>
      </c>
      <c r="BR198" s="773">
        <f t="shared" ref="BR198:BR206" ca="1" si="329">IF(LEFT(BQ198,1)="T",1,0)</f>
        <v>1</v>
      </c>
      <c r="BS198" s="773" t="str">
        <f t="shared" ref="BS198:BS206" ca="1" si="330">IF(BR198=1,BP198," ")</f>
        <v>Kiếp Sát</v>
      </c>
    </row>
    <row r="199" spans="1:71" ht="15">
      <c r="A199" s="806" t="s">
        <v>7880</v>
      </c>
      <c r="B199" s="855" t="s">
        <v>9299</v>
      </c>
      <c r="C199" s="855" t="s">
        <v>9300</v>
      </c>
      <c r="D199" s="855" t="s">
        <v>1402</v>
      </c>
      <c r="E199" s="855" t="s">
        <v>9301</v>
      </c>
      <c r="F199" s="855" t="s">
        <v>353</v>
      </c>
      <c r="G199" s="855" t="s">
        <v>1399</v>
      </c>
      <c r="H199" s="855" t="s">
        <v>505</v>
      </c>
      <c r="I199" s="806" t="s">
        <v>7871</v>
      </c>
      <c r="J199" s="855" t="s">
        <v>506</v>
      </c>
      <c r="K199" s="855" t="s">
        <v>507</v>
      </c>
      <c r="L199" s="855" t="s">
        <v>9297</v>
      </c>
      <c r="M199" s="855" t="s">
        <v>9298</v>
      </c>
      <c r="O199" s="787">
        <v>11</v>
      </c>
      <c r="P199" s="773" t="s">
        <v>8434</v>
      </c>
      <c r="Q199" s="773">
        <v>2</v>
      </c>
      <c r="R199" s="796" t="e">
        <f ca="1">VLOOKUP(H36,$P$189:$Q$241,2,0)</f>
        <v>#N/A</v>
      </c>
      <c r="S199" s="773" t="e">
        <f t="shared" ca="1" si="282"/>
        <v>#N/A</v>
      </c>
      <c r="V199" s="773" t="str">
        <f t="shared" ca="1" si="283"/>
        <v>Thiên Hư</v>
      </c>
      <c r="W199" s="773" t="b">
        <f t="shared" ca="1" si="284"/>
        <v>1</v>
      </c>
      <c r="X199" s="773">
        <f t="shared" ca="1" si="285"/>
        <v>1</v>
      </c>
      <c r="Y199" s="773" t="str">
        <f t="shared" ca="1" si="286"/>
        <v>Thiên Hư</v>
      </c>
      <c r="AA199" s="773" t="str">
        <f t="shared" ca="1" si="287"/>
        <v>Thiên Riêu</v>
      </c>
      <c r="AB199" s="773" t="b">
        <f t="shared" ca="1" si="288"/>
        <v>1</v>
      </c>
      <c r="AC199" s="773">
        <f t="shared" ca="1" si="289"/>
        <v>1</v>
      </c>
      <c r="AD199" s="773" t="str">
        <f t="shared" ca="1" si="290"/>
        <v>Thiên Riêu</v>
      </c>
      <c r="AF199" s="773" t="str">
        <f t="shared" ca="1" si="291"/>
        <v>Đại Hao</v>
      </c>
      <c r="AG199" s="773" t="b">
        <f t="shared" ca="1" si="292"/>
        <v>1</v>
      </c>
      <c r="AH199" s="773">
        <f t="shared" ca="1" si="293"/>
        <v>1</v>
      </c>
      <c r="AI199" s="773" t="str">
        <f t="shared" ca="1" si="294"/>
        <v>Đại Hao</v>
      </c>
      <c r="AJ199" s="773" t="str">
        <f t="shared" ca="1" si="295"/>
        <v>Bệnh Phù</v>
      </c>
      <c r="AK199" s="773" t="b">
        <f t="shared" ca="1" si="296"/>
        <v>1</v>
      </c>
      <c r="AL199" s="773">
        <f t="shared" ca="1" si="297"/>
        <v>1</v>
      </c>
      <c r="AM199" s="773" t="str">
        <f t="shared" ca="1" si="298"/>
        <v>Bệnh Phù</v>
      </c>
      <c r="AN199" s="773" t="str">
        <f t="shared" ca="1" si="299"/>
        <v>Điếu Khách</v>
      </c>
      <c r="AO199" s="773" t="b">
        <f t="shared" ca="1" si="300"/>
        <v>1</v>
      </c>
      <c r="AP199" s="773">
        <f t="shared" ca="1" si="301"/>
        <v>1</v>
      </c>
      <c r="AQ199" s="773" t="str">
        <f t="shared" ca="1" si="302"/>
        <v>Điếu Khách</v>
      </c>
      <c r="AR199" s="773" t="str">
        <f t="shared" ca="1" si="303"/>
        <v>Trực Phù</v>
      </c>
      <c r="AS199" s="773" t="b">
        <f t="shared" ca="1" si="304"/>
        <v>1</v>
      </c>
      <c r="AT199" s="773">
        <f t="shared" ca="1" si="305"/>
        <v>1</v>
      </c>
      <c r="AU199" s="773" t="str">
        <f t="shared" ca="1" si="306"/>
        <v>Trực Phù</v>
      </c>
      <c r="AV199" s="773" t="e">
        <f t="shared" ca="1" si="307"/>
        <v>#N/A</v>
      </c>
      <c r="AW199" s="773" t="b">
        <f t="shared" ca="1" si="308"/>
        <v>0</v>
      </c>
      <c r="AX199" s="773">
        <f t="shared" ca="1" si="309"/>
        <v>0</v>
      </c>
      <c r="AY199" s="773" t="str">
        <f t="shared" ca="1" si="310"/>
        <v xml:space="preserve"> </v>
      </c>
      <c r="AZ199" s="773" t="str">
        <f t="shared" ca="1" si="311"/>
        <v>Linh Tinh</v>
      </c>
      <c r="BA199" s="773" t="b">
        <f t="shared" ca="1" si="312"/>
        <v>1</v>
      </c>
      <c r="BB199" s="773">
        <f t="shared" ca="1" si="313"/>
        <v>1</v>
      </c>
      <c r="BC199" s="773" t="str">
        <f t="shared" ca="1" si="314"/>
        <v>Linh Tinh</v>
      </c>
      <c r="BD199" s="773" t="str">
        <f t="shared" ca="1" si="315"/>
        <v>Cô Thần</v>
      </c>
      <c r="BE199" s="773" t="b">
        <f t="shared" ca="1" si="316"/>
        <v>1</v>
      </c>
      <c r="BF199" s="773">
        <f t="shared" ca="1" si="317"/>
        <v>1</v>
      </c>
      <c r="BG199" s="773" t="str">
        <f t="shared" ca="1" si="318"/>
        <v>Cô Thần</v>
      </c>
      <c r="BH199" s="773" t="str">
        <f t="shared" ca="1" si="319"/>
        <v>Thiên Hình</v>
      </c>
      <c r="BI199" s="773" t="b">
        <f t="shared" ca="1" si="320"/>
        <v>1</v>
      </c>
      <c r="BJ199" s="773">
        <f t="shared" ca="1" si="321"/>
        <v>1</v>
      </c>
      <c r="BK199" s="773" t="str">
        <f t="shared" ca="1" si="322"/>
        <v>Thiên Hình</v>
      </c>
      <c r="BL199" s="773" t="str">
        <f t="shared" ca="1" si="323"/>
        <v>Tử</v>
      </c>
      <c r="BM199" s="773" t="b">
        <f t="shared" ca="1" si="324"/>
        <v>1</v>
      </c>
      <c r="BN199" s="773">
        <f t="shared" ca="1" si="325"/>
        <v>1</v>
      </c>
      <c r="BO199" s="773" t="str">
        <f t="shared" ca="1" si="326"/>
        <v>Tử</v>
      </c>
      <c r="BP199" s="773" t="str">
        <f t="shared" ca="1" si="327"/>
        <v>Lưu Hà</v>
      </c>
      <c r="BQ199" s="773" t="b">
        <f t="shared" ca="1" si="328"/>
        <v>1</v>
      </c>
      <c r="BR199" s="773">
        <f t="shared" ca="1" si="329"/>
        <v>1</v>
      </c>
      <c r="BS199" s="773" t="str">
        <f t="shared" ca="1" si="330"/>
        <v>Lưu Hà</v>
      </c>
    </row>
    <row r="200" spans="1:71" ht="30">
      <c r="A200" s="806" t="s">
        <v>7877</v>
      </c>
      <c r="B200" s="855" t="s">
        <v>9300</v>
      </c>
      <c r="C200" s="855" t="s">
        <v>1402</v>
      </c>
      <c r="D200" s="855" t="s">
        <v>9301</v>
      </c>
      <c r="E200" s="855" t="s">
        <v>353</v>
      </c>
      <c r="F200" s="855" t="s">
        <v>1399</v>
      </c>
      <c r="G200" s="855" t="s">
        <v>505</v>
      </c>
      <c r="H200" s="806" t="s">
        <v>7871</v>
      </c>
      <c r="I200" s="855" t="s">
        <v>506</v>
      </c>
      <c r="J200" s="855" t="s">
        <v>507</v>
      </c>
      <c r="K200" s="855" t="s">
        <v>9297</v>
      </c>
      <c r="L200" s="855" t="s">
        <v>9298</v>
      </c>
      <c r="M200" s="855" t="s">
        <v>9299</v>
      </c>
      <c r="O200" s="787">
        <v>12</v>
      </c>
      <c r="P200" s="773" t="s">
        <v>8435</v>
      </c>
      <c r="Q200" s="773">
        <v>2</v>
      </c>
      <c r="R200" s="796" t="e">
        <f t="shared" ref="R200:R207" ca="1" si="331">VLOOKUP(D33,$P$189:$Q$241,2,0)</f>
        <v>#N/A</v>
      </c>
      <c r="S200" s="773" t="e">
        <f t="shared" ca="1" si="282"/>
        <v>#N/A</v>
      </c>
      <c r="V200" s="773" t="str">
        <f t="shared" ca="1" si="283"/>
        <v>Thiên Khốc</v>
      </c>
      <c r="W200" s="773" t="b">
        <f t="shared" ca="1" si="284"/>
        <v>1</v>
      </c>
      <c r="X200" s="773">
        <f t="shared" ca="1" si="285"/>
        <v>1</v>
      </c>
      <c r="Y200" s="773" t="str">
        <f t="shared" ca="1" si="286"/>
        <v>Thiên Khốc</v>
      </c>
      <c r="AA200" s="773" t="str">
        <f t="shared" ca="1" si="287"/>
        <v>Thiên Y</v>
      </c>
      <c r="AB200" s="773" t="b">
        <f t="shared" ca="1" si="288"/>
        <v>1</v>
      </c>
      <c r="AC200" s="773">
        <f t="shared" ca="1" si="289"/>
        <v>1</v>
      </c>
      <c r="AD200" s="773" t="str">
        <f t="shared" ca="1" si="290"/>
        <v>Thiên Y</v>
      </c>
      <c r="AF200" s="773" t="e">
        <f t="shared" ca="1" si="291"/>
        <v>#N/A</v>
      </c>
      <c r="AG200" s="773" t="b">
        <f t="shared" ca="1" si="292"/>
        <v>0</v>
      </c>
      <c r="AH200" s="773">
        <f t="shared" ca="1" si="293"/>
        <v>0</v>
      </c>
      <c r="AI200" s="773" t="str">
        <f t="shared" ca="1" si="294"/>
        <v xml:space="preserve"> </v>
      </c>
      <c r="AJ200" s="773" t="str">
        <f t="shared" ca="1" si="295"/>
        <v>Thiên Thương</v>
      </c>
      <c r="AK200" s="773" t="b">
        <f t="shared" ca="1" si="296"/>
        <v>1</v>
      </c>
      <c r="AL200" s="773">
        <f t="shared" ca="1" si="297"/>
        <v>1</v>
      </c>
      <c r="AM200" s="773" t="str">
        <f t="shared" ca="1" si="298"/>
        <v>Thiên Thương</v>
      </c>
      <c r="AN200" s="773" t="str">
        <f t="shared" ca="1" si="299"/>
        <v>Thiên La</v>
      </c>
      <c r="AO200" s="773" t="b">
        <f t="shared" ca="1" si="300"/>
        <v>1</v>
      </c>
      <c r="AP200" s="773">
        <f t="shared" ca="1" si="301"/>
        <v>1</v>
      </c>
      <c r="AQ200" s="773" t="str">
        <f t="shared" ca="1" si="302"/>
        <v>Thiên La</v>
      </c>
      <c r="AR200" s="773" t="str">
        <f t="shared" ca="1" si="303"/>
        <v>Thiên Sứ</v>
      </c>
      <c r="AS200" s="773" t="b">
        <f t="shared" ca="1" si="304"/>
        <v>1</v>
      </c>
      <c r="AT200" s="773">
        <f t="shared" ca="1" si="305"/>
        <v>1</v>
      </c>
      <c r="AU200" s="773" t="str">
        <f t="shared" ca="1" si="306"/>
        <v>Thiên Sứ</v>
      </c>
      <c r="AV200" s="773" t="e">
        <f t="shared" ca="1" si="307"/>
        <v>#N/A</v>
      </c>
      <c r="AW200" s="773" t="b">
        <f t="shared" ca="1" si="308"/>
        <v>0</v>
      </c>
      <c r="AX200" s="773">
        <f t="shared" ca="1" si="309"/>
        <v>0</v>
      </c>
      <c r="AY200" s="773" t="str">
        <f t="shared" ca="1" si="310"/>
        <v xml:space="preserve"> </v>
      </c>
      <c r="AZ200" s="773" t="str">
        <f t="shared" ca="1" si="311"/>
        <v>Thiên Không</v>
      </c>
      <c r="BA200" s="773" t="b">
        <f t="shared" ca="1" si="312"/>
        <v>1</v>
      </c>
      <c r="BB200" s="773">
        <f t="shared" ca="1" si="313"/>
        <v>1</v>
      </c>
      <c r="BC200" s="773" t="str">
        <f t="shared" ca="1" si="314"/>
        <v>Thiên Không</v>
      </c>
      <c r="BD200" s="773" t="str">
        <f t="shared" ca="1" si="315"/>
        <v>Tiểu Hao</v>
      </c>
      <c r="BE200" s="773" t="b">
        <f t="shared" ca="1" si="316"/>
        <v>1</v>
      </c>
      <c r="BF200" s="773">
        <f t="shared" ca="1" si="317"/>
        <v>1</v>
      </c>
      <c r="BG200" s="773" t="str">
        <f t="shared" ca="1" si="318"/>
        <v>Tiểu Hao</v>
      </c>
      <c r="BH200" s="773" t="str">
        <f t="shared" ca="1" si="319"/>
        <v>Mộ</v>
      </c>
      <c r="BI200" s="773" t="b">
        <f t="shared" ca="1" si="320"/>
        <v>1</v>
      </c>
      <c r="BJ200" s="773">
        <f t="shared" ca="1" si="321"/>
        <v>1</v>
      </c>
      <c r="BK200" s="773" t="str">
        <f t="shared" ca="1" si="322"/>
        <v>Mộ</v>
      </c>
      <c r="BL200" s="773" t="str">
        <f t="shared" ca="1" si="323"/>
        <v>Quan Phù</v>
      </c>
      <c r="BM200" s="773" t="b">
        <f t="shared" ca="1" si="324"/>
        <v>1</v>
      </c>
      <c r="BN200" s="773">
        <f t="shared" ca="1" si="325"/>
        <v>1</v>
      </c>
      <c r="BO200" s="773" t="str">
        <f t="shared" ca="1" si="326"/>
        <v>Quan Phù</v>
      </c>
      <c r="BP200" s="773" t="str">
        <f t="shared" ca="1" si="327"/>
        <v>Bệnh</v>
      </c>
      <c r="BQ200" s="773" t="b">
        <f t="shared" ca="1" si="328"/>
        <v>1</v>
      </c>
      <c r="BR200" s="773">
        <f t="shared" ca="1" si="329"/>
        <v>1</v>
      </c>
      <c r="BS200" s="773" t="str">
        <f t="shared" ca="1" si="330"/>
        <v>Bệnh</v>
      </c>
    </row>
    <row r="201" spans="1:71" ht="15">
      <c r="A201" s="855"/>
      <c r="B201" s="855"/>
      <c r="C201" s="855"/>
      <c r="D201" s="855"/>
      <c r="E201" s="855"/>
      <c r="F201" s="855"/>
      <c r="G201" s="855"/>
      <c r="H201" s="855"/>
      <c r="I201" s="855"/>
      <c r="J201" s="855"/>
      <c r="K201" s="855"/>
      <c r="L201" s="855"/>
      <c r="M201" s="855"/>
      <c r="O201" s="787">
        <v>13</v>
      </c>
      <c r="P201" s="773" t="s">
        <v>8436</v>
      </c>
      <c r="Q201" s="773">
        <v>5</v>
      </c>
      <c r="R201" s="796">
        <f t="shared" ca="1" si="331"/>
        <v>5</v>
      </c>
      <c r="S201" s="773" t="e">
        <f t="shared" ref="S201:S208" ca="1" si="332">VLOOKUP(I3,$P$145:$R$187,3,0)</f>
        <v>#N/A</v>
      </c>
      <c r="V201" s="773" t="str">
        <f t="shared" ca="1" si="283"/>
        <v>Suy</v>
      </c>
      <c r="W201" s="773" t="b">
        <f t="shared" ca="1" si="284"/>
        <v>1</v>
      </c>
      <c r="X201" s="773">
        <f t="shared" ca="1" si="285"/>
        <v>1</v>
      </c>
      <c r="Y201" s="773" t="str">
        <f t="shared" ca="1" si="286"/>
        <v>Suy</v>
      </c>
      <c r="AA201" s="773" t="str">
        <f t="shared" ca="1" si="287"/>
        <v>Phục Binh</v>
      </c>
      <c r="AB201" s="773" t="b">
        <f t="shared" ca="1" si="288"/>
        <v>1</v>
      </c>
      <c r="AC201" s="773">
        <f t="shared" ca="1" si="289"/>
        <v>1</v>
      </c>
      <c r="AD201" s="773" t="str">
        <f t="shared" ca="1" si="290"/>
        <v>Phục Binh</v>
      </c>
      <c r="AF201" s="773" t="e">
        <f t="shared" ca="1" si="291"/>
        <v>#N/A</v>
      </c>
      <c r="AG201" s="773" t="b">
        <f t="shared" ca="1" si="292"/>
        <v>0</v>
      </c>
      <c r="AH201" s="773">
        <f t="shared" ca="1" si="293"/>
        <v>0</v>
      </c>
      <c r="AI201" s="773" t="str">
        <f t="shared" ca="1" si="294"/>
        <v xml:space="preserve"> </v>
      </c>
      <c r="AJ201" s="773" t="e">
        <f t="shared" ca="1" si="295"/>
        <v>#N/A</v>
      </c>
      <c r="AK201" s="773" t="b">
        <f t="shared" ca="1" si="296"/>
        <v>0</v>
      </c>
      <c r="AL201" s="773">
        <f t="shared" ca="1" si="297"/>
        <v>0</v>
      </c>
      <c r="AM201" s="773" t="str">
        <f t="shared" ca="1" si="298"/>
        <v xml:space="preserve"> </v>
      </c>
      <c r="AN201" s="773" t="e">
        <f t="shared" ca="1" si="299"/>
        <v>#N/A</v>
      </c>
      <c r="AO201" s="773" t="b">
        <f t="shared" ca="1" si="300"/>
        <v>0</v>
      </c>
      <c r="AP201" s="773">
        <f t="shared" ca="1" si="301"/>
        <v>0</v>
      </c>
      <c r="AQ201" s="773" t="str">
        <f t="shared" ca="1" si="302"/>
        <v xml:space="preserve"> </v>
      </c>
      <c r="AR201" s="773" t="e">
        <f t="shared" ca="1" si="303"/>
        <v>#N/A</v>
      </c>
      <c r="AS201" s="773" t="b">
        <f t="shared" ca="1" si="304"/>
        <v>0</v>
      </c>
      <c r="AT201" s="773">
        <f t="shared" ca="1" si="305"/>
        <v>0</v>
      </c>
      <c r="AU201" s="773" t="str">
        <f t="shared" ca="1" si="306"/>
        <v xml:space="preserve"> </v>
      </c>
      <c r="AV201" s="773" t="e">
        <f t="shared" ca="1" si="307"/>
        <v>#N/A</v>
      </c>
      <c r="AW201" s="773" t="b">
        <f t="shared" ca="1" si="308"/>
        <v>0</v>
      </c>
      <c r="AX201" s="773">
        <f t="shared" ca="1" si="309"/>
        <v>0</v>
      </c>
      <c r="AY201" s="773" t="str">
        <f t="shared" ca="1" si="310"/>
        <v xml:space="preserve"> </v>
      </c>
      <c r="AZ201" s="773" t="str">
        <f t="shared" ca="1" si="311"/>
        <v>Thai</v>
      </c>
      <c r="BA201" s="773" t="b">
        <f t="shared" ca="1" si="312"/>
        <v>1</v>
      </c>
      <c r="BB201" s="773">
        <f t="shared" ca="1" si="313"/>
        <v>1</v>
      </c>
      <c r="BC201" s="773" t="str">
        <f t="shared" ca="1" si="314"/>
        <v>Thai</v>
      </c>
      <c r="BD201" s="773" t="str">
        <f t="shared" ca="1" si="315"/>
        <v>Tuyệt</v>
      </c>
      <c r="BE201" s="773" t="b">
        <f t="shared" ca="1" si="316"/>
        <v>1</v>
      </c>
      <c r="BF201" s="773">
        <f t="shared" ca="1" si="317"/>
        <v>1</v>
      </c>
      <c r="BG201" s="773" t="str">
        <f t="shared" ca="1" si="318"/>
        <v>Tuyệt</v>
      </c>
      <c r="BH201" s="773" t="e">
        <f t="shared" ca="1" si="319"/>
        <v>#N/A</v>
      </c>
      <c r="BI201" s="773" t="b">
        <f t="shared" ca="1" si="320"/>
        <v>0</v>
      </c>
      <c r="BJ201" s="773">
        <f t="shared" ca="1" si="321"/>
        <v>0</v>
      </c>
      <c r="BK201" s="773" t="str">
        <f t="shared" ca="1" si="322"/>
        <v xml:space="preserve"> </v>
      </c>
      <c r="BL201" s="773" t="str">
        <f t="shared" ca="1" si="323"/>
        <v>Địa Võng</v>
      </c>
      <c r="BM201" s="773" t="b">
        <f t="shared" ca="1" si="324"/>
        <v>1</v>
      </c>
      <c r="BN201" s="773">
        <f t="shared" ca="1" si="325"/>
        <v>1</v>
      </c>
      <c r="BO201" s="773" t="str">
        <f t="shared" ca="1" si="326"/>
        <v>Địa Võng</v>
      </c>
      <c r="BP201" s="773" t="str">
        <f t="shared" ca="1" si="327"/>
        <v>Tử Phù</v>
      </c>
      <c r="BQ201" s="773" t="b">
        <f t="shared" ca="1" si="328"/>
        <v>1</v>
      </c>
      <c r="BR201" s="773">
        <f t="shared" ca="1" si="329"/>
        <v>1</v>
      </c>
      <c r="BS201" s="773" t="str">
        <f t="shared" ca="1" si="330"/>
        <v>Tử Phù</v>
      </c>
    </row>
    <row r="202" spans="1:71" ht="25.5">
      <c r="A202" s="941"/>
      <c r="B202" s="912" t="str">
        <f t="shared" ref="B202:M202" ca="1" si="333">VLOOKUP($G$17,$A$187:$M$200,B123,0)</f>
        <v>Ngọ</v>
      </c>
      <c r="C202" s="912" t="str">
        <f t="shared" ca="1" si="333"/>
        <v>Mùi</v>
      </c>
      <c r="D202" s="912" t="str">
        <f t="shared" ca="1" si="333"/>
        <v>Thân</v>
      </c>
      <c r="E202" s="912" t="str">
        <f t="shared" ca="1" si="333"/>
        <v>Dậu</v>
      </c>
      <c r="F202" s="912" t="str">
        <f t="shared" ca="1" si="333"/>
        <v>Tuất</v>
      </c>
      <c r="G202" s="912" t="str">
        <f t="shared" ca="1" si="333"/>
        <v>Hợi</v>
      </c>
      <c r="H202" s="912" t="str">
        <f t="shared" ca="1" si="333"/>
        <v>Tý</v>
      </c>
      <c r="I202" s="912" t="str">
        <f t="shared" ca="1" si="333"/>
        <v>Sửu</v>
      </c>
      <c r="J202" s="912" t="str">
        <f t="shared" ca="1" si="333"/>
        <v>Dần</v>
      </c>
      <c r="K202" s="912" t="str">
        <f t="shared" ca="1" si="333"/>
        <v>Mão</v>
      </c>
      <c r="L202" s="912" t="str">
        <f t="shared" ca="1" si="333"/>
        <v>Thìn</v>
      </c>
      <c r="M202" s="912" t="str">
        <f t="shared" ca="1" si="333"/>
        <v>tỵ</v>
      </c>
      <c r="O202" s="787">
        <v>14</v>
      </c>
      <c r="P202" s="856" t="s">
        <v>8437</v>
      </c>
      <c r="Q202" s="773">
        <v>2</v>
      </c>
      <c r="R202" s="796">
        <f t="shared" ca="1" si="331"/>
        <v>4</v>
      </c>
      <c r="S202" s="773">
        <f t="shared" ca="1" si="332"/>
        <v>1</v>
      </c>
      <c r="V202" s="773" t="str">
        <f t="shared" ca="1" si="283"/>
        <v>Tuế Phá</v>
      </c>
      <c r="W202" s="773" t="b">
        <f t="shared" ca="1" si="284"/>
        <v>1</v>
      </c>
      <c r="X202" s="773">
        <f t="shared" ca="1" si="285"/>
        <v>1</v>
      </c>
      <c r="Y202" s="773" t="str">
        <f t="shared" ca="1" si="286"/>
        <v>Tuế Phá</v>
      </c>
      <c r="AA202" s="773" t="e">
        <f t="shared" ca="1" si="287"/>
        <v>#N/A</v>
      </c>
      <c r="AB202" s="773" t="b">
        <f t="shared" ca="1" si="288"/>
        <v>0</v>
      </c>
      <c r="AC202" s="773">
        <f t="shared" ca="1" si="289"/>
        <v>0</v>
      </c>
      <c r="AD202" s="773" t="str">
        <f t="shared" ca="1" si="290"/>
        <v xml:space="preserve"> </v>
      </c>
      <c r="AF202" s="773" t="e">
        <f t="shared" ca="1" si="291"/>
        <v>#N/A</v>
      </c>
      <c r="AG202" s="773" t="b">
        <f t="shared" ca="1" si="292"/>
        <v>0</v>
      </c>
      <c r="AH202" s="773">
        <f t="shared" ca="1" si="293"/>
        <v>0</v>
      </c>
      <c r="AI202" s="773" t="str">
        <f t="shared" ca="1" si="294"/>
        <v xml:space="preserve"> </v>
      </c>
      <c r="AJ202" s="773" t="e">
        <f t="shared" ca="1" si="295"/>
        <v>#N/A</v>
      </c>
      <c r="AK202" s="773" t="b">
        <f t="shared" ca="1" si="296"/>
        <v>0</v>
      </c>
      <c r="AL202" s="773">
        <f t="shared" ca="1" si="297"/>
        <v>0</v>
      </c>
      <c r="AM202" s="773" t="str">
        <f t="shared" ca="1" si="298"/>
        <v xml:space="preserve"> </v>
      </c>
      <c r="AN202" s="773" t="e">
        <f t="shared" ca="1" si="299"/>
        <v>#N/A</v>
      </c>
      <c r="AO202" s="773" t="b">
        <f t="shared" ca="1" si="300"/>
        <v>0</v>
      </c>
      <c r="AP202" s="773">
        <f t="shared" ca="1" si="301"/>
        <v>0</v>
      </c>
      <c r="AQ202" s="773" t="str">
        <f t="shared" ca="1" si="302"/>
        <v xml:space="preserve"> </v>
      </c>
      <c r="AR202" s="773" t="e">
        <f t="shared" ca="1" si="303"/>
        <v>#N/A</v>
      </c>
      <c r="AS202" s="773" t="b">
        <f t="shared" ca="1" si="304"/>
        <v>0</v>
      </c>
      <c r="AT202" s="773">
        <f t="shared" ca="1" si="305"/>
        <v>0</v>
      </c>
      <c r="AU202" s="773" t="str">
        <f t="shared" ca="1" si="306"/>
        <v xml:space="preserve"> </v>
      </c>
      <c r="AV202" s="773" t="e">
        <f t="shared" ca="1" si="307"/>
        <v>#N/A</v>
      </c>
      <c r="AW202" s="773" t="b">
        <f t="shared" ca="1" si="308"/>
        <v>0</v>
      </c>
      <c r="AX202" s="773">
        <f t="shared" ca="1" si="309"/>
        <v>0</v>
      </c>
      <c r="AY202" s="773" t="str">
        <f t="shared" ca="1" si="310"/>
        <v xml:space="preserve"> </v>
      </c>
      <c r="AZ202" s="773" t="e">
        <f t="shared" ca="1" si="311"/>
        <v>#N/A</v>
      </c>
      <c r="BA202" s="773" t="b">
        <f t="shared" ca="1" si="312"/>
        <v>0</v>
      </c>
      <c r="BB202" s="773">
        <f t="shared" ca="1" si="313"/>
        <v>0</v>
      </c>
      <c r="BC202" s="773" t="str">
        <f t="shared" ca="1" si="314"/>
        <v xml:space="preserve"> </v>
      </c>
      <c r="BD202" s="773" t="e">
        <f t="shared" ca="1" si="315"/>
        <v>#N/A</v>
      </c>
      <c r="BE202" s="773" t="b">
        <f t="shared" ca="1" si="316"/>
        <v>0</v>
      </c>
      <c r="BF202" s="773">
        <f t="shared" ca="1" si="317"/>
        <v>0</v>
      </c>
      <c r="BG202" s="773" t="str">
        <f t="shared" ca="1" si="318"/>
        <v xml:space="preserve"> </v>
      </c>
      <c r="BH202" s="773" t="e">
        <f t="shared" ca="1" si="319"/>
        <v>#N/A</v>
      </c>
      <c r="BI202" s="773" t="b">
        <f t="shared" ca="1" si="320"/>
        <v>0</v>
      </c>
      <c r="BJ202" s="773">
        <f t="shared" ca="1" si="321"/>
        <v>0</v>
      </c>
      <c r="BK202" s="773" t="str">
        <f t="shared" ca="1" si="322"/>
        <v xml:space="preserve"> </v>
      </c>
      <c r="BL202" s="773" t="str">
        <f t="shared" ca="1" si="323"/>
        <v>Đẩu Quân</v>
      </c>
      <c r="BM202" s="773" t="b">
        <f t="shared" ca="1" si="324"/>
        <v>1</v>
      </c>
      <c r="BN202" s="773">
        <f t="shared" ca="1" si="325"/>
        <v>1</v>
      </c>
      <c r="BO202" s="773" t="str">
        <f t="shared" ca="1" si="326"/>
        <v>Đẩu Quân</v>
      </c>
      <c r="BP202" s="773" t="e">
        <f t="shared" ca="1" si="327"/>
        <v>#N/A</v>
      </c>
      <c r="BQ202" s="773" t="b">
        <f t="shared" ca="1" si="328"/>
        <v>0</v>
      </c>
      <c r="BR202" s="773">
        <f t="shared" ca="1" si="329"/>
        <v>0</v>
      </c>
      <c r="BS202" s="773" t="str">
        <f t="shared" ca="1" si="330"/>
        <v xml:space="preserve"> </v>
      </c>
    </row>
    <row r="203" spans="1:71">
      <c r="A203" s="806"/>
      <c r="O203" s="787">
        <v>15</v>
      </c>
      <c r="P203" s="856" t="s">
        <v>6597</v>
      </c>
      <c r="Q203" s="773">
        <v>2</v>
      </c>
      <c r="R203" s="796" t="e">
        <f t="shared" ca="1" si="331"/>
        <v>#N/A</v>
      </c>
      <c r="S203" s="773">
        <f t="shared" ca="1" si="332"/>
        <v>1</v>
      </c>
      <c r="V203" s="773" t="str">
        <f t="shared" ca="1" si="283"/>
        <v>Quan Phủ</v>
      </c>
      <c r="W203" s="773" t="b">
        <f t="shared" ca="1" si="284"/>
        <v>1</v>
      </c>
      <c r="X203" s="773">
        <f t="shared" ca="1" si="285"/>
        <v>1</v>
      </c>
      <c r="Y203" s="773" t="str">
        <f t="shared" ca="1" si="286"/>
        <v>Quan Phủ</v>
      </c>
      <c r="AA203" s="773" t="e">
        <f t="shared" ca="1" si="287"/>
        <v>#N/A</v>
      </c>
      <c r="AB203" s="773" t="b">
        <f t="shared" ca="1" si="288"/>
        <v>0</v>
      </c>
      <c r="AC203" s="773">
        <f t="shared" ca="1" si="289"/>
        <v>0</v>
      </c>
      <c r="AD203" s="773" t="str">
        <f t="shared" ca="1" si="290"/>
        <v xml:space="preserve"> </v>
      </c>
      <c r="AF203" s="773" t="e">
        <f t="shared" ca="1" si="291"/>
        <v>#N/A</v>
      </c>
      <c r="AG203" s="773" t="b">
        <f t="shared" ca="1" si="292"/>
        <v>0</v>
      </c>
      <c r="AH203" s="773">
        <f t="shared" ca="1" si="293"/>
        <v>0</v>
      </c>
      <c r="AI203" s="773" t="str">
        <f t="shared" ca="1" si="294"/>
        <v xml:space="preserve"> </v>
      </c>
      <c r="AJ203" s="773" t="e">
        <f t="shared" ca="1" si="295"/>
        <v>#N/A</v>
      </c>
      <c r="AK203" s="773" t="b">
        <f t="shared" ca="1" si="296"/>
        <v>0</v>
      </c>
      <c r="AL203" s="773">
        <f t="shared" ca="1" si="297"/>
        <v>0</v>
      </c>
      <c r="AM203" s="773" t="str">
        <f t="shared" ca="1" si="298"/>
        <v xml:space="preserve"> </v>
      </c>
      <c r="AN203" s="773" t="e">
        <f t="shared" ca="1" si="299"/>
        <v>#N/A</v>
      </c>
      <c r="AO203" s="773" t="b">
        <f t="shared" ca="1" si="300"/>
        <v>0</v>
      </c>
      <c r="AP203" s="773">
        <f t="shared" ca="1" si="301"/>
        <v>0</v>
      </c>
      <c r="AQ203" s="773" t="str">
        <f t="shared" ca="1" si="302"/>
        <v xml:space="preserve"> </v>
      </c>
      <c r="AR203" s="773" t="e">
        <f t="shared" ca="1" si="303"/>
        <v>#N/A</v>
      </c>
      <c r="AS203" s="773" t="b">
        <f t="shared" ca="1" si="304"/>
        <v>0</v>
      </c>
      <c r="AT203" s="773">
        <f t="shared" ca="1" si="305"/>
        <v>0</v>
      </c>
      <c r="AU203" s="773" t="str">
        <f t="shared" ca="1" si="306"/>
        <v xml:space="preserve"> </v>
      </c>
      <c r="AV203" s="773" t="e">
        <f t="shared" ca="1" si="307"/>
        <v>#N/A</v>
      </c>
      <c r="AW203" s="773" t="b">
        <f t="shared" ca="1" si="308"/>
        <v>0</v>
      </c>
      <c r="AX203" s="773">
        <f t="shared" ca="1" si="309"/>
        <v>0</v>
      </c>
      <c r="AY203" s="773" t="str">
        <f t="shared" ca="1" si="310"/>
        <v xml:space="preserve"> </v>
      </c>
      <c r="AZ203" s="773" t="e">
        <f t="shared" ca="1" si="311"/>
        <v>#N/A</v>
      </c>
      <c r="BA203" s="773" t="b">
        <f t="shared" ca="1" si="312"/>
        <v>0</v>
      </c>
      <c r="BB203" s="773">
        <f t="shared" ca="1" si="313"/>
        <v>0</v>
      </c>
      <c r="BC203" s="773" t="str">
        <f t="shared" ca="1" si="314"/>
        <v xml:space="preserve"> </v>
      </c>
      <c r="BD203" s="773" t="e">
        <f t="shared" ca="1" si="315"/>
        <v>#N/A</v>
      </c>
      <c r="BE203" s="773" t="b">
        <f t="shared" ca="1" si="316"/>
        <v>0</v>
      </c>
      <c r="BF203" s="773">
        <f t="shared" ca="1" si="317"/>
        <v>0</v>
      </c>
      <c r="BG203" s="773" t="str">
        <f t="shared" ca="1" si="318"/>
        <v xml:space="preserve"> </v>
      </c>
      <c r="BH203" s="773" t="e">
        <f t="shared" ca="1" si="319"/>
        <v>#N/A</v>
      </c>
      <c r="BI203" s="773" t="b">
        <f t="shared" ca="1" si="320"/>
        <v>0</v>
      </c>
      <c r="BJ203" s="773">
        <f t="shared" ca="1" si="321"/>
        <v>0</v>
      </c>
      <c r="BK203" s="773" t="str">
        <f t="shared" ca="1" si="322"/>
        <v xml:space="preserve"> </v>
      </c>
      <c r="BL203" s="773" t="e">
        <f t="shared" ca="1" si="323"/>
        <v>#N/A</v>
      </c>
      <c r="BM203" s="773" t="b">
        <f t="shared" ca="1" si="324"/>
        <v>0</v>
      </c>
      <c r="BN203" s="773">
        <f t="shared" ca="1" si="325"/>
        <v>0</v>
      </c>
      <c r="BO203" s="773" t="str">
        <f t="shared" ca="1" si="326"/>
        <v xml:space="preserve"> </v>
      </c>
      <c r="BP203" s="773" t="e">
        <f t="shared" ca="1" si="327"/>
        <v>#N/A</v>
      </c>
      <c r="BQ203" s="773" t="b">
        <f t="shared" ca="1" si="328"/>
        <v>0</v>
      </c>
      <c r="BR203" s="773">
        <f t="shared" ca="1" si="329"/>
        <v>0</v>
      </c>
      <c r="BS203" s="773" t="str">
        <f t="shared" ca="1" si="330"/>
        <v xml:space="preserve"> </v>
      </c>
    </row>
    <row r="204" spans="1:71">
      <c r="A204" s="934" t="s">
        <v>8618</v>
      </c>
      <c r="O204" s="787">
        <v>16</v>
      </c>
      <c r="P204" s="856" t="s">
        <v>8438</v>
      </c>
      <c r="Q204" s="773">
        <v>5</v>
      </c>
      <c r="R204" s="796" t="e">
        <f t="shared" ca="1" si="331"/>
        <v>#N/A</v>
      </c>
      <c r="S204" s="773">
        <f t="shared" ca="1" si="332"/>
        <v>1</v>
      </c>
      <c r="V204" s="773" t="e">
        <f t="shared" ca="1" si="283"/>
        <v>#N/A</v>
      </c>
      <c r="W204" s="773" t="b">
        <f t="shared" ca="1" si="284"/>
        <v>0</v>
      </c>
      <c r="X204" s="773">
        <f t="shared" ca="1" si="285"/>
        <v>0</v>
      </c>
      <c r="Y204" s="773" t="str">
        <f t="shared" ca="1" si="286"/>
        <v xml:space="preserve"> </v>
      </c>
      <c r="AA204" s="773" t="e">
        <f t="shared" ca="1" si="287"/>
        <v>#N/A</v>
      </c>
      <c r="AB204" s="773" t="b">
        <f t="shared" ca="1" si="288"/>
        <v>0</v>
      </c>
      <c r="AC204" s="773">
        <f t="shared" ca="1" si="289"/>
        <v>0</v>
      </c>
      <c r="AD204" s="773" t="str">
        <f t="shared" ca="1" si="290"/>
        <v xml:space="preserve"> </v>
      </c>
      <c r="AF204" s="773" t="e">
        <f t="shared" ca="1" si="291"/>
        <v>#N/A</v>
      </c>
      <c r="AG204" s="773" t="b">
        <f t="shared" ca="1" si="292"/>
        <v>0</v>
      </c>
      <c r="AH204" s="773">
        <f t="shared" ca="1" si="293"/>
        <v>0</v>
      </c>
      <c r="AI204" s="773" t="str">
        <f t="shared" ca="1" si="294"/>
        <v xml:space="preserve"> </v>
      </c>
      <c r="AJ204" s="773" t="e">
        <f t="shared" ca="1" si="295"/>
        <v>#N/A</v>
      </c>
      <c r="AK204" s="773" t="b">
        <f t="shared" ca="1" si="296"/>
        <v>0</v>
      </c>
      <c r="AL204" s="773">
        <f t="shared" ca="1" si="297"/>
        <v>0</v>
      </c>
      <c r="AM204" s="773" t="str">
        <f t="shared" ca="1" si="298"/>
        <v xml:space="preserve"> </v>
      </c>
      <c r="AN204" s="773" t="e">
        <f t="shared" ca="1" si="299"/>
        <v>#N/A</v>
      </c>
      <c r="AO204" s="773" t="b">
        <f t="shared" ca="1" si="300"/>
        <v>0</v>
      </c>
      <c r="AP204" s="773">
        <f t="shared" ca="1" si="301"/>
        <v>0</v>
      </c>
      <c r="AQ204" s="773" t="str">
        <f t="shared" ca="1" si="302"/>
        <v xml:space="preserve"> </v>
      </c>
      <c r="AR204" s="773" t="e">
        <f t="shared" ca="1" si="303"/>
        <v>#N/A</v>
      </c>
      <c r="AS204" s="773" t="b">
        <f t="shared" ca="1" si="304"/>
        <v>0</v>
      </c>
      <c r="AT204" s="773">
        <f t="shared" ca="1" si="305"/>
        <v>0</v>
      </c>
      <c r="AU204" s="773" t="str">
        <f t="shared" ca="1" si="306"/>
        <v xml:space="preserve"> </v>
      </c>
      <c r="AV204" s="773" t="e">
        <f t="shared" ca="1" si="307"/>
        <v>#N/A</v>
      </c>
      <c r="AW204" s="773" t="b">
        <f t="shared" ca="1" si="308"/>
        <v>0</v>
      </c>
      <c r="AX204" s="773">
        <f t="shared" ca="1" si="309"/>
        <v>0</v>
      </c>
      <c r="AY204" s="773" t="str">
        <f t="shared" ca="1" si="310"/>
        <v xml:space="preserve"> </v>
      </c>
      <c r="AZ204" s="773" t="e">
        <f t="shared" ca="1" si="311"/>
        <v>#N/A</v>
      </c>
      <c r="BA204" s="773" t="b">
        <f t="shared" ca="1" si="312"/>
        <v>0</v>
      </c>
      <c r="BB204" s="773">
        <f t="shared" ca="1" si="313"/>
        <v>0</v>
      </c>
      <c r="BC204" s="773" t="str">
        <f t="shared" ca="1" si="314"/>
        <v xml:space="preserve"> </v>
      </c>
      <c r="BD204" s="773" t="e">
        <f t="shared" ca="1" si="315"/>
        <v>#N/A</v>
      </c>
      <c r="BE204" s="773" t="b">
        <f t="shared" ca="1" si="316"/>
        <v>0</v>
      </c>
      <c r="BF204" s="773">
        <f t="shared" ca="1" si="317"/>
        <v>0</v>
      </c>
      <c r="BG204" s="773" t="str">
        <f t="shared" ca="1" si="318"/>
        <v xml:space="preserve"> </v>
      </c>
      <c r="BH204" s="773" t="e">
        <f t="shared" ca="1" si="319"/>
        <v>#N/A</v>
      </c>
      <c r="BI204" s="773" t="b">
        <f t="shared" ca="1" si="320"/>
        <v>0</v>
      </c>
      <c r="BJ204" s="773">
        <f t="shared" ca="1" si="321"/>
        <v>0</v>
      </c>
      <c r="BK204" s="773" t="str">
        <f t="shared" ca="1" si="322"/>
        <v xml:space="preserve"> </v>
      </c>
      <c r="BL204" s="773" t="e">
        <f t="shared" ca="1" si="323"/>
        <v>#N/A</v>
      </c>
      <c r="BM204" s="773" t="b">
        <f t="shared" ca="1" si="324"/>
        <v>0</v>
      </c>
      <c r="BN204" s="773">
        <f t="shared" ca="1" si="325"/>
        <v>0</v>
      </c>
      <c r="BO204" s="773" t="str">
        <f t="shared" ca="1" si="326"/>
        <v xml:space="preserve"> </v>
      </c>
      <c r="BP204" s="773" t="e">
        <f t="shared" ca="1" si="327"/>
        <v>#N/A</v>
      </c>
      <c r="BQ204" s="773" t="b">
        <f t="shared" ca="1" si="328"/>
        <v>0</v>
      </c>
      <c r="BR204" s="773">
        <f t="shared" ca="1" si="329"/>
        <v>0</v>
      </c>
      <c r="BS204" s="773" t="str">
        <f t="shared" ca="1" si="330"/>
        <v xml:space="preserve"> </v>
      </c>
    </row>
    <row r="205" spans="1:71">
      <c r="A205" s="1035" t="s">
        <v>8619</v>
      </c>
      <c r="B205" s="1035"/>
      <c r="C205" s="1035"/>
      <c r="D205" s="1035"/>
      <c r="O205" s="787">
        <v>17</v>
      </c>
      <c r="P205" s="856" t="s">
        <v>8439</v>
      </c>
      <c r="Q205" s="773">
        <v>5</v>
      </c>
      <c r="R205" s="796" t="e">
        <f t="shared" ca="1" si="331"/>
        <v>#N/A</v>
      </c>
      <c r="S205" s="773">
        <f t="shared" ca="1" si="332"/>
        <v>3</v>
      </c>
      <c r="V205" s="773" t="e">
        <f t="shared" ca="1" si="283"/>
        <v>#N/A</v>
      </c>
      <c r="W205" s="773" t="b">
        <f t="shared" ca="1" si="284"/>
        <v>0</v>
      </c>
      <c r="X205" s="773">
        <f t="shared" ca="1" si="285"/>
        <v>0</v>
      </c>
      <c r="Y205" s="773" t="str">
        <f t="shared" ca="1" si="286"/>
        <v xml:space="preserve"> </v>
      </c>
      <c r="AA205" s="773" t="e">
        <f t="shared" ca="1" si="287"/>
        <v>#N/A</v>
      </c>
      <c r="AB205" s="773" t="b">
        <f t="shared" ca="1" si="288"/>
        <v>0</v>
      </c>
      <c r="AC205" s="773">
        <f t="shared" ca="1" si="289"/>
        <v>0</v>
      </c>
      <c r="AD205" s="773" t="str">
        <f t="shared" ca="1" si="290"/>
        <v xml:space="preserve"> </v>
      </c>
      <c r="AF205" s="773" t="e">
        <f t="shared" ca="1" si="291"/>
        <v>#N/A</v>
      </c>
      <c r="AG205" s="773" t="b">
        <f t="shared" ca="1" si="292"/>
        <v>0</v>
      </c>
      <c r="AH205" s="773">
        <f t="shared" ca="1" si="293"/>
        <v>0</v>
      </c>
      <c r="AI205" s="773" t="str">
        <f t="shared" ca="1" si="294"/>
        <v xml:space="preserve"> </v>
      </c>
      <c r="AJ205" s="773" t="e">
        <f t="shared" ca="1" si="295"/>
        <v>#N/A</v>
      </c>
      <c r="AK205" s="773" t="b">
        <f t="shared" ca="1" si="296"/>
        <v>0</v>
      </c>
      <c r="AL205" s="773">
        <f t="shared" ca="1" si="297"/>
        <v>0</v>
      </c>
      <c r="AM205" s="773" t="str">
        <f t="shared" ca="1" si="298"/>
        <v xml:space="preserve"> </v>
      </c>
      <c r="AN205" s="773" t="e">
        <f t="shared" ca="1" si="299"/>
        <v>#N/A</v>
      </c>
      <c r="AO205" s="773" t="b">
        <f t="shared" ca="1" si="300"/>
        <v>0</v>
      </c>
      <c r="AP205" s="773">
        <f t="shared" ca="1" si="301"/>
        <v>0</v>
      </c>
      <c r="AQ205" s="773" t="str">
        <f t="shared" ca="1" si="302"/>
        <v xml:space="preserve"> </v>
      </c>
      <c r="AR205" s="773" t="e">
        <f t="shared" ca="1" si="303"/>
        <v>#N/A</v>
      </c>
      <c r="AS205" s="773" t="b">
        <f t="shared" ca="1" si="304"/>
        <v>0</v>
      </c>
      <c r="AT205" s="773">
        <f t="shared" ca="1" si="305"/>
        <v>0</v>
      </c>
      <c r="AU205" s="773" t="str">
        <f t="shared" ca="1" si="306"/>
        <v xml:space="preserve"> </v>
      </c>
      <c r="AV205" s="773" t="e">
        <f t="shared" ca="1" si="307"/>
        <v>#N/A</v>
      </c>
      <c r="AW205" s="773" t="b">
        <f t="shared" ca="1" si="308"/>
        <v>0</v>
      </c>
      <c r="AX205" s="773">
        <f t="shared" ca="1" si="309"/>
        <v>0</v>
      </c>
      <c r="AY205" s="773" t="str">
        <f t="shared" ca="1" si="310"/>
        <v xml:space="preserve"> </v>
      </c>
      <c r="AZ205" s="773" t="e">
        <f t="shared" ca="1" si="311"/>
        <v>#N/A</v>
      </c>
      <c r="BA205" s="773" t="b">
        <f t="shared" ca="1" si="312"/>
        <v>0</v>
      </c>
      <c r="BB205" s="773">
        <f t="shared" ca="1" si="313"/>
        <v>0</v>
      </c>
      <c r="BC205" s="773" t="str">
        <f t="shared" ca="1" si="314"/>
        <v xml:space="preserve"> </v>
      </c>
      <c r="BD205" s="773" t="e">
        <f t="shared" ca="1" si="315"/>
        <v>#N/A</v>
      </c>
      <c r="BE205" s="773" t="b">
        <f t="shared" ca="1" si="316"/>
        <v>0</v>
      </c>
      <c r="BF205" s="773">
        <f t="shared" ca="1" si="317"/>
        <v>0</v>
      </c>
      <c r="BG205" s="773" t="str">
        <f t="shared" ca="1" si="318"/>
        <v xml:space="preserve"> </v>
      </c>
      <c r="BH205" s="773" t="e">
        <f t="shared" ca="1" si="319"/>
        <v>#N/A</v>
      </c>
      <c r="BI205" s="773" t="b">
        <f t="shared" ca="1" si="320"/>
        <v>0</v>
      </c>
      <c r="BJ205" s="773">
        <f t="shared" ca="1" si="321"/>
        <v>0</v>
      </c>
      <c r="BK205" s="773" t="str">
        <f t="shared" ca="1" si="322"/>
        <v xml:space="preserve"> </v>
      </c>
      <c r="BL205" s="773" t="e">
        <f t="shared" ca="1" si="323"/>
        <v>#N/A</v>
      </c>
      <c r="BM205" s="773" t="b">
        <f t="shared" ca="1" si="324"/>
        <v>0</v>
      </c>
      <c r="BN205" s="773">
        <f t="shared" ca="1" si="325"/>
        <v>0</v>
      </c>
      <c r="BO205" s="773" t="str">
        <f t="shared" ca="1" si="326"/>
        <v xml:space="preserve"> </v>
      </c>
      <c r="BP205" s="773" t="e">
        <f t="shared" ca="1" si="327"/>
        <v>#N/A</v>
      </c>
      <c r="BQ205" s="773" t="b">
        <f t="shared" ca="1" si="328"/>
        <v>0</v>
      </c>
      <c r="BR205" s="773">
        <f t="shared" ca="1" si="329"/>
        <v>0</v>
      </c>
      <c r="BS205" s="773" t="str">
        <f t="shared" ca="1" si="330"/>
        <v xml:space="preserve"> </v>
      </c>
    </row>
    <row r="206" spans="1:71" ht="15">
      <c r="A206" s="855" t="s">
        <v>459</v>
      </c>
      <c r="B206" s="1028" t="s">
        <v>8620</v>
      </c>
      <c r="C206" s="1028"/>
      <c r="D206" s="1028" t="s">
        <v>8621</v>
      </c>
      <c r="E206" s="1028"/>
      <c r="F206" s="1028" t="s">
        <v>8622</v>
      </c>
      <c r="G206" s="1028"/>
      <c r="H206" s="1028" t="s">
        <v>8623</v>
      </c>
      <c r="I206" s="1028"/>
      <c r="K206" s="773" t="s">
        <v>7874</v>
      </c>
      <c r="L206" s="773">
        <v>8</v>
      </c>
      <c r="M206" s="773">
        <v>9</v>
      </c>
      <c r="O206" s="787">
        <v>18</v>
      </c>
      <c r="P206" s="856" t="s">
        <v>8441</v>
      </c>
      <c r="Q206" s="773">
        <v>2</v>
      </c>
      <c r="R206" s="796" t="e">
        <f t="shared" ca="1" si="331"/>
        <v>#N/A</v>
      </c>
      <c r="S206" s="773" t="e">
        <f t="shared" ca="1" si="332"/>
        <v>#N/A</v>
      </c>
      <c r="V206" s="773" t="e">
        <f t="shared" ca="1" si="283"/>
        <v>#N/A</v>
      </c>
      <c r="W206" s="773" t="b">
        <f t="shared" ca="1" si="284"/>
        <v>0</v>
      </c>
      <c r="X206" s="773">
        <f t="shared" ca="1" si="285"/>
        <v>0</v>
      </c>
      <c r="Y206" s="773" t="str">
        <f t="shared" ca="1" si="286"/>
        <v xml:space="preserve"> </v>
      </c>
      <c r="AA206" s="773" t="e">
        <f t="shared" ca="1" si="287"/>
        <v>#N/A</v>
      </c>
      <c r="AB206" s="773" t="b">
        <f t="shared" ca="1" si="288"/>
        <v>0</v>
      </c>
      <c r="AC206" s="773">
        <f t="shared" ca="1" si="289"/>
        <v>0</v>
      </c>
      <c r="AD206" s="773" t="str">
        <f t="shared" ca="1" si="290"/>
        <v xml:space="preserve"> </v>
      </c>
      <c r="AF206" s="773" t="e">
        <f t="shared" ca="1" si="291"/>
        <v>#N/A</v>
      </c>
      <c r="AG206" s="773" t="b">
        <f t="shared" ca="1" si="292"/>
        <v>0</v>
      </c>
      <c r="AH206" s="773">
        <f t="shared" ca="1" si="293"/>
        <v>0</v>
      </c>
      <c r="AI206" s="773" t="str">
        <f t="shared" ca="1" si="294"/>
        <v xml:space="preserve"> </v>
      </c>
      <c r="AJ206" s="773" t="e">
        <f t="shared" ca="1" si="295"/>
        <v>#N/A</v>
      </c>
      <c r="AK206" s="773" t="b">
        <f t="shared" ca="1" si="296"/>
        <v>0</v>
      </c>
      <c r="AL206" s="773">
        <f t="shared" ca="1" si="297"/>
        <v>0</v>
      </c>
      <c r="AM206" s="773" t="str">
        <f t="shared" ca="1" si="298"/>
        <v xml:space="preserve"> </v>
      </c>
      <c r="AN206" s="773" t="e">
        <f t="shared" ca="1" si="299"/>
        <v>#N/A</v>
      </c>
      <c r="AO206" s="773" t="b">
        <f t="shared" ca="1" si="300"/>
        <v>0</v>
      </c>
      <c r="AP206" s="773">
        <f t="shared" ca="1" si="301"/>
        <v>0</v>
      </c>
      <c r="AQ206" s="773" t="str">
        <f t="shared" ca="1" si="302"/>
        <v xml:space="preserve"> </v>
      </c>
      <c r="AR206" s="773" t="e">
        <f t="shared" ca="1" si="303"/>
        <v>#N/A</v>
      </c>
      <c r="AS206" s="773" t="b">
        <f t="shared" ca="1" si="304"/>
        <v>0</v>
      </c>
      <c r="AT206" s="773">
        <f t="shared" ca="1" si="305"/>
        <v>0</v>
      </c>
      <c r="AU206" s="773" t="str">
        <f t="shared" ca="1" si="306"/>
        <v xml:space="preserve"> </v>
      </c>
      <c r="AV206" s="773" t="e">
        <f t="shared" ca="1" si="307"/>
        <v>#N/A</v>
      </c>
      <c r="AW206" s="773" t="b">
        <f t="shared" ca="1" si="308"/>
        <v>0</v>
      </c>
      <c r="AX206" s="773">
        <f t="shared" ca="1" si="309"/>
        <v>0</v>
      </c>
      <c r="AY206" s="773" t="str">
        <f t="shared" ca="1" si="310"/>
        <v xml:space="preserve"> </v>
      </c>
      <c r="AZ206" s="773" t="e">
        <f t="shared" ca="1" si="311"/>
        <v>#N/A</v>
      </c>
      <c r="BA206" s="773" t="b">
        <f t="shared" ca="1" si="312"/>
        <v>0</v>
      </c>
      <c r="BB206" s="773">
        <f t="shared" ca="1" si="313"/>
        <v>0</v>
      </c>
      <c r="BC206" s="773" t="str">
        <f t="shared" ca="1" si="314"/>
        <v xml:space="preserve"> </v>
      </c>
      <c r="BD206" s="773" t="e">
        <f t="shared" ca="1" si="315"/>
        <v>#N/A</v>
      </c>
      <c r="BE206" s="773" t="b">
        <f t="shared" ca="1" si="316"/>
        <v>0</v>
      </c>
      <c r="BF206" s="773">
        <f t="shared" ca="1" si="317"/>
        <v>0</v>
      </c>
      <c r="BG206" s="773" t="str">
        <f t="shared" ca="1" si="318"/>
        <v xml:space="preserve"> </v>
      </c>
      <c r="BH206" s="773" t="e">
        <f t="shared" ca="1" si="319"/>
        <v>#N/A</v>
      </c>
      <c r="BI206" s="773" t="b">
        <f t="shared" ca="1" si="320"/>
        <v>0</v>
      </c>
      <c r="BJ206" s="773">
        <f t="shared" ca="1" si="321"/>
        <v>0</v>
      </c>
      <c r="BK206" s="773" t="str">
        <f t="shared" ca="1" si="322"/>
        <v xml:space="preserve"> </v>
      </c>
      <c r="BL206" s="773" t="e">
        <f t="shared" ca="1" si="323"/>
        <v>#N/A</v>
      </c>
      <c r="BM206" s="773" t="b">
        <f t="shared" ca="1" si="324"/>
        <v>0</v>
      </c>
      <c r="BN206" s="773">
        <f t="shared" ca="1" si="325"/>
        <v>0</v>
      </c>
      <c r="BO206" s="773" t="str">
        <f t="shared" ca="1" si="326"/>
        <v xml:space="preserve"> </v>
      </c>
      <c r="BP206" s="773" t="e">
        <f t="shared" ca="1" si="327"/>
        <v>#N/A</v>
      </c>
      <c r="BQ206" s="773" t="b">
        <f t="shared" ca="1" si="328"/>
        <v>0</v>
      </c>
      <c r="BR206" s="773">
        <f t="shared" ca="1" si="329"/>
        <v>0</v>
      </c>
      <c r="BS206" s="773" t="str">
        <f t="shared" ca="1" si="330"/>
        <v xml:space="preserve"> </v>
      </c>
    </row>
    <row r="207" spans="1:71" ht="15">
      <c r="A207" s="855" t="s">
        <v>8624</v>
      </c>
      <c r="B207" s="1028"/>
      <c r="C207" s="1028"/>
      <c r="D207" s="1028"/>
      <c r="E207" s="1028"/>
      <c r="F207" s="1028"/>
      <c r="G207" s="1028"/>
      <c r="H207" s="1028"/>
      <c r="I207" s="1028"/>
      <c r="K207" s="773" t="s">
        <v>7883</v>
      </c>
      <c r="L207" s="773">
        <v>8</v>
      </c>
      <c r="M207" s="773">
        <v>9</v>
      </c>
      <c r="O207" s="787">
        <v>19</v>
      </c>
      <c r="P207" s="856" t="s">
        <v>8448</v>
      </c>
      <c r="Q207" s="773">
        <v>4</v>
      </c>
      <c r="R207" s="796" t="e">
        <f t="shared" ca="1" si="331"/>
        <v>#N/A</v>
      </c>
      <c r="S207" s="773" t="e">
        <f t="shared" ca="1" si="332"/>
        <v>#N/A</v>
      </c>
    </row>
    <row r="208" spans="1:71" ht="25.5">
      <c r="A208" s="855"/>
      <c r="B208" s="855" t="s">
        <v>6622</v>
      </c>
      <c r="C208" s="855" t="s">
        <v>8625</v>
      </c>
      <c r="D208" s="855" t="s">
        <v>6622</v>
      </c>
      <c r="E208" s="855" t="s">
        <v>8625</v>
      </c>
      <c r="F208" s="855" t="s">
        <v>6622</v>
      </c>
      <c r="G208" s="855" t="s">
        <v>8625</v>
      </c>
      <c r="H208" s="855" t="s">
        <v>6622</v>
      </c>
      <c r="I208" s="855" t="s">
        <v>8625</v>
      </c>
      <c r="K208" s="773" t="s">
        <v>7880</v>
      </c>
      <c r="L208" s="773">
        <v>8</v>
      </c>
      <c r="M208" s="773">
        <v>9</v>
      </c>
      <c r="O208" s="787">
        <v>20</v>
      </c>
      <c r="P208" s="856" t="s">
        <v>8450</v>
      </c>
      <c r="Q208" s="773">
        <v>3</v>
      </c>
      <c r="R208" s="796" t="e">
        <f ca="1">VLOOKUP(E34,$P$189:$Q$241,2,0)</f>
        <v>#N/A</v>
      </c>
      <c r="S208" s="773" t="e">
        <f t="shared" ca="1" si="332"/>
        <v>#N/A</v>
      </c>
    </row>
    <row r="209" spans="1:19" ht="15">
      <c r="A209" s="855" t="s">
        <v>8626</v>
      </c>
      <c r="B209" s="855"/>
      <c r="C209" s="855"/>
      <c r="D209" s="855"/>
      <c r="E209" s="855"/>
      <c r="F209" s="855"/>
      <c r="G209" s="855"/>
      <c r="H209" s="855"/>
      <c r="I209" s="855"/>
      <c r="K209" s="773" t="s">
        <v>7887</v>
      </c>
      <c r="L209" s="773">
        <v>6</v>
      </c>
      <c r="M209" s="773">
        <v>7</v>
      </c>
      <c r="O209" s="787">
        <v>21</v>
      </c>
      <c r="P209" s="856" t="s">
        <v>6546</v>
      </c>
      <c r="Q209" s="773">
        <v>3</v>
      </c>
      <c r="R209" s="796" t="e">
        <f ca="1">VLOOKUP(E35,$P$189:$Q$241,2,0)</f>
        <v>#N/A</v>
      </c>
      <c r="S209" s="773" t="e">
        <f t="shared" ref="S209:S216" ca="1" si="334">VLOOKUP(L3,$P$145:$R$187,3,0)</f>
        <v>#N/A</v>
      </c>
    </row>
    <row r="210" spans="1:19" ht="25.5">
      <c r="A210" s="806" t="s">
        <v>6548</v>
      </c>
      <c r="B210" s="855" t="s">
        <v>1399</v>
      </c>
      <c r="C210" s="855" t="s">
        <v>9299</v>
      </c>
      <c r="D210" s="855" t="s">
        <v>9298</v>
      </c>
      <c r="E210" s="855" t="s">
        <v>9299</v>
      </c>
      <c r="F210" s="855" t="s">
        <v>353</v>
      </c>
      <c r="G210" s="855" t="s">
        <v>9299</v>
      </c>
      <c r="H210" s="855" t="s">
        <v>9301</v>
      </c>
      <c r="I210" s="855" t="s">
        <v>1399</v>
      </c>
      <c r="K210" s="773" t="s">
        <v>6548</v>
      </c>
      <c r="L210" s="773">
        <v>6</v>
      </c>
      <c r="M210" s="773">
        <v>7</v>
      </c>
      <c r="O210" s="787">
        <v>22</v>
      </c>
      <c r="P210" s="856" t="s">
        <v>8451</v>
      </c>
      <c r="Q210" s="773">
        <v>2</v>
      </c>
      <c r="R210" s="796" t="e">
        <f ca="1">VLOOKUP(E36,$P$189:$Q$241,2,0)</f>
        <v>#N/A</v>
      </c>
      <c r="S210" s="773">
        <f t="shared" ca="1" si="334"/>
        <v>2</v>
      </c>
    </row>
    <row r="211" spans="1:19" ht="15">
      <c r="A211" s="806" t="s">
        <v>7875</v>
      </c>
      <c r="B211" s="855" t="s">
        <v>505</v>
      </c>
      <c r="C211" s="855" t="s">
        <v>9298</v>
      </c>
      <c r="D211" s="855" t="s">
        <v>9299</v>
      </c>
      <c r="E211" s="855" t="s">
        <v>9298</v>
      </c>
      <c r="F211" s="855" t="s">
        <v>1399</v>
      </c>
      <c r="G211" s="855" t="s">
        <v>9298</v>
      </c>
      <c r="H211" s="855" t="s">
        <v>353</v>
      </c>
      <c r="I211" s="855" t="s">
        <v>353</v>
      </c>
      <c r="K211" s="773" t="s">
        <v>7872</v>
      </c>
      <c r="L211" s="773">
        <v>6</v>
      </c>
      <c r="M211" s="773">
        <v>7</v>
      </c>
      <c r="O211" s="787">
        <v>23</v>
      </c>
      <c r="P211" s="856" t="s">
        <v>6559</v>
      </c>
      <c r="Q211" s="773">
        <v>1</v>
      </c>
      <c r="R211" s="796" t="e">
        <f t="shared" ref="R211:R219" ca="1" si="335">VLOOKUP(A32,$P$189:$Q$241,2,0)</f>
        <v>#N/A</v>
      </c>
      <c r="S211" s="773">
        <f t="shared" ca="1" si="334"/>
        <v>3</v>
      </c>
    </row>
    <row r="212" spans="1:19" ht="25.5">
      <c r="A212" s="806" t="s">
        <v>7874</v>
      </c>
      <c r="B212" s="806" t="s">
        <v>7871</v>
      </c>
      <c r="C212" s="855" t="s">
        <v>9297</v>
      </c>
      <c r="D212" s="855" t="s">
        <v>9300</v>
      </c>
      <c r="E212" s="855" t="s">
        <v>9297</v>
      </c>
      <c r="F212" s="855" t="s">
        <v>505</v>
      </c>
      <c r="G212" s="855" t="s">
        <v>9297</v>
      </c>
      <c r="H212" s="855" t="s">
        <v>1399</v>
      </c>
      <c r="I212" s="855" t="s">
        <v>9301</v>
      </c>
      <c r="K212" s="773" t="s">
        <v>7877</v>
      </c>
      <c r="L212" s="773">
        <v>4</v>
      </c>
      <c r="M212" s="773">
        <v>5</v>
      </c>
      <c r="O212" s="787">
        <v>24</v>
      </c>
      <c r="P212" s="856" t="s">
        <v>6560</v>
      </c>
      <c r="Q212" s="773">
        <v>1</v>
      </c>
      <c r="R212" s="796" t="e">
        <f t="shared" ca="1" si="335"/>
        <v>#N/A</v>
      </c>
      <c r="S212" s="773">
        <f t="shared" ca="1" si="334"/>
        <v>1</v>
      </c>
    </row>
    <row r="213" spans="1:19" ht="15">
      <c r="A213" s="806" t="s">
        <v>7873</v>
      </c>
      <c r="B213" s="855" t="s">
        <v>506</v>
      </c>
      <c r="C213" s="855" t="s">
        <v>507</v>
      </c>
      <c r="D213" s="855" t="s">
        <v>1402</v>
      </c>
      <c r="E213" s="855" t="s">
        <v>507</v>
      </c>
      <c r="F213" s="806" t="s">
        <v>7871</v>
      </c>
      <c r="G213" s="855" t="s">
        <v>507</v>
      </c>
      <c r="H213" s="855" t="s">
        <v>505</v>
      </c>
      <c r="I213" s="855" t="s">
        <v>1402</v>
      </c>
      <c r="K213" s="773" t="s">
        <v>7873</v>
      </c>
      <c r="L213" s="773">
        <v>4</v>
      </c>
      <c r="M213" s="773">
        <v>5</v>
      </c>
      <c r="O213" s="787">
        <v>25</v>
      </c>
      <c r="P213" s="856" t="s">
        <v>8452</v>
      </c>
      <c r="Q213" s="773">
        <v>3</v>
      </c>
      <c r="R213" s="796">
        <f t="shared" ca="1" si="335"/>
        <v>4</v>
      </c>
      <c r="S213" s="773">
        <f t="shared" ca="1" si="334"/>
        <v>3</v>
      </c>
    </row>
    <row r="214" spans="1:19" ht="15">
      <c r="A214" s="806" t="s">
        <v>7872</v>
      </c>
      <c r="B214" s="855" t="s">
        <v>507</v>
      </c>
      <c r="C214" s="855" t="s">
        <v>506</v>
      </c>
      <c r="D214" s="855" t="s">
        <v>9301</v>
      </c>
      <c r="E214" s="855" t="s">
        <v>506</v>
      </c>
      <c r="F214" s="855" t="s">
        <v>506</v>
      </c>
      <c r="G214" s="855" t="s">
        <v>506</v>
      </c>
      <c r="H214" s="806" t="s">
        <v>7871</v>
      </c>
      <c r="I214" s="855" t="s">
        <v>9300</v>
      </c>
      <c r="K214" s="773" t="s">
        <v>7882</v>
      </c>
      <c r="L214" s="773">
        <v>4</v>
      </c>
      <c r="M214" s="773">
        <v>5</v>
      </c>
      <c r="O214" s="787">
        <v>26</v>
      </c>
      <c r="P214" s="856" t="s">
        <v>8453</v>
      </c>
      <c r="Q214" s="773">
        <v>5</v>
      </c>
      <c r="R214" s="796" t="e">
        <f t="shared" ca="1" si="335"/>
        <v>#N/A</v>
      </c>
      <c r="S214" s="773" t="e">
        <f t="shared" ca="1" si="334"/>
        <v>#N/A</v>
      </c>
    </row>
    <row r="215" spans="1:19" ht="30">
      <c r="A215" s="806" t="s">
        <v>7871</v>
      </c>
      <c r="B215" s="855" t="s">
        <v>9297</v>
      </c>
      <c r="C215" s="806" t="s">
        <v>7871</v>
      </c>
      <c r="D215" s="855" t="s">
        <v>353</v>
      </c>
      <c r="E215" s="806" t="s">
        <v>7871</v>
      </c>
      <c r="F215" s="855" t="s">
        <v>507</v>
      </c>
      <c r="G215" s="806" t="s">
        <v>7871</v>
      </c>
      <c r="H215" s="855" t="s">
        <v>506</v>
      </c>
      <c r="I215" s="855" t="s">
        <v>9299</v>
      </c>
      <c r="K215" s="773" t="s">
        <v>7871</v>
      </c>
      <c r="L215" s="773">
        <v>2</v>
      </c>
      <c r="M215" s="773">
        <v>3</v>
      </c>
      <c r="O215" s="787">
        <v>27</v>
      </c>
      <c r="P215" s="856" t="s">
        <v>8454</v>
      </c>
      <c r="Q215" s="773">
        <v>1</v>
      </c>
      <c r="R215" s="796" t="e">
        <f t="shared" ca="1" si="335"/>
        <v>#N/A</v>
      </c>
      <c r="S215" s="773" t="e">
        <f t="shared" ca="1" si="334"/>
        <v>#N/A</v>
      </c>
    </row>
    <row r="216" spans="1:19" ht="15">
      <c r="A216" s="806" t="s">
        <v>7883</v>
      </c>
      <c r="B216" s="855" t="s">
        <v>9298</v>
      </c>
      <c r="C216" s="855" t="s">
        <v>505</v>
      </c>
      <c r="D216" s="855" t="s">
        <v>1399</v>
      </c>
      <c r="E216" s="855" t="s">
        <v>505</v>
      </c>
      <c r="F216" s="855" t="s">
        <v>9297</v>
      </c>
      <c r="G216" s="855" t="s">
        <v>505</v>
      </c>
      <c r="H216" s="855" t="s">
        <v>507</v>
      </c>
      <c r="I216" s="855" t="s">
        <v>9298</v>
      </c>
      <c r="K216" s="773" t="s">
        <v>7886</v>
      </c>
      <c r="L216" s="773">
        <v>2</v>
      </c>
      <c r="M216" s="773">
        <v>3</v>
      </c>
      <c r="O216" s="787">
        <v>28</v>
      </c>
      <c r="P216" s="856" t="s">
        <v>8456</v>
      </c>
      <c r="Q216" s="773">
        <v>3</v>
      </c>
      <c r="R216" s="796" t="e">
        <f t="shared" ca="1" si="335"/>
        <v>#N/A</v>
      </c>
      <c r="S216" s="773" t="e">
        <f t="shared" ca="1" si="334"/>
        <v>#N/A</v>
      </c>
    </row>
    <row r="217" spans="1:19" ht="15">
      <c r="A217" s="806" t="s">
        <v>7882</v>
      </c>
      <c r="B217" s="855" t="s">
        <v>9299</v>
      </c>
      <c r="C217" s="855" t="s">
        <v>1399</v>
      </c>
      <c r="D217" s="855" t="s">
        <v>505</v>
      </c>
      <c r="E217" s="855" t="s">
        <v>1399</v>
      </c>
      <c r="F217" s="855" t="s">
        <v>9298</v>
      </c>
      <c r="G217" s="855" t="s">
        <v>1399</v>
      </c>
      <c r="H217" s="855" t="s">
        <v>9297</v>
      </c>
      <c r="I217" s="855" t="s">
        <v>9297</v>
      </c>
      <c r="K217" s="773" t="s">
        <v>7875</v>
      </c>
      <c r="L217" s="773">
        <v>2</v>
      </c>
      <c r="M217" s="773">
        <v>3</v>
      </c>
      <c r="O217" s="787">
        <v>29</v>
      </c>
      <c r="P217" s="856" t="s">
        <v>8458</v>
      </c>
      <c r="Q217" s="773">
        <v>2</v>
      </c>
      <c r="R217" s="796" t="e">
        <f t="shared" ca="1" si="335"/>
        <v>#N/A</v>
      </c>
      <c r="S217" s="773">
        <f t="shared" ref="S217:S223" ca="1" si="336">VLOOKUP(L14,$P$145:$R$187,3,0)</f>
        <v>1</v>
      </c>
    </row>
    <row r="218" spans="1:19" ht="25.5">
      <c r="A218" s="806" t="s">
        <v>7887</v>
      </c>
      <c r="B218" s="855" t="s">
        <v>9300</v>
      </c>
      <c r="C218" s="855" t="s">
        <v>353</v>
      </c>
      <c r="D218" s="806" t="s">
        <v>7871</v>
      </c>
      <c r="E218" s="855" t="s">
        <v>353</v>
      </c>
      <c r="F218" s="855" t="s">
        <v>9299</v>
      </c>
      <c r="G218" s="855" t="s">
        <v>353</v>
      </c>
      <c r="H218" s="855" t="s">
        <v>9298</v>
      </c>
      <c r="I218" s="855" t="s">
        <v>507</v>
      </c>
      <c r="O218" s="787">
        <v>30</v>
      </c>
      <c r="P218" s="856" t="s">
        <v>8459</v>
      </c>
      <c r="Q218" s="773">
        <v>1</v>
      </c>
      <c r="R218" s="796" t="e">
        <f t="shared" ca="1" si="335"/>
        <v>#N/A</v>
      </c>
      <c r="S218" s="773">
        <f t="shared" ca="1" si="336"/>
        <v>1</v>
      </c>
    </row>
    <row r="219" spans="1:19" ht="25.5">
      <c r="A219" s="806" t="s">
        <v>7886</v>
      </c>
      <c r="B219" s="855" t="s">
        <v>1402</v>
      </c>
      <c r="C219" s="855" t="s">
        <v>9301</v>
      </c>
      <c r="D219" s="855" t="s">
        <v>506</v>
      </c>
      <c r="E219" s="855" t="s">
        <v>9301</v>
      </c>
      <c r="F219" s="855" t="s">
        <v>9300</v>
      </c>
      <c r="G219" s="855" t="s">
        <v>9301</v>
      </c>
      <c r="H219" s="855" t="s">
        <v>9299</v>
      </c>
      <c r="I219" s="855" t="s">
        <v>506</v>
      </c>
      <c r="J219" s="856" t="s">
        <v>8627</v>
      </c>
      <c r="K219" s="912">
        <f ca="1">VLOOKUP(G17,$K$206:$L$217,2,0)</f>
        <v>8</v>
      </c>
      <c r="L219" s="773" t="str">
        <f ca="1">VLOOKUP($G$18,$A$210:$I$221,K219,0)</f>
        <v>tỵ</v>
      </c>
      <c r="M219" s="912" t="str">
        <f ca="1">IF($N$63=1,L219,L221)</f>
        <v>Dậu</v>
      </c>
      <c r="O219" s="787">
        <v>31</v>
      </c>
      <c r="P219" s="856" t="s">
        <v>8460</v>
      </c>
      <c r="Q219" s="773">
        <v>3</v>
      </c>
      <c r="R219" s="796" t="e">
        <f t="shared" ca="1" si="335"/>
        <v>#N/A</v>
      </c>
      <c r="S219" s="773">
        <f t="shared" ca="1" si="336"/>
        <v>3</v>
      </c>
    </row>
    <row r="220" spans="1:19" ht="15">
      <c r="A220" s="806" t="s">
        <v>7880</v>
      </c>
      <c r="B220" s="855" t="s">
        <v>9301</v>
      </c>
      <c r="C220" s="855" t="s">
        <v>1402</v>
      </c>
      <c r="D220" s="855" t="s">
        <v>507</v>
      </c>
      <c r="E220" s="855" t="s">
        <v>1402</v>
      </c>
      <c r="F220" s="855" t="s">
        <v>1402</v>
      </c>
      <c r="G220" s="855" t="s">
        <v>1402</v>
      </c>
      <c r="H220" s="855" t="s">
        <v>9300</v>
      </c>
      <c r="I220" s="806" t="s">
        <v>7871</v>
      </c>
      <c r="J220" s="856" t="s">
        <v>8628</v>
      </c>
      <c r="K220" s="912">
        <f ca="1">VLOOKUP(G17,$K$206:$M$217,3,0)</f>
        <v>9</v>
      </c>
      <c r="L220" s="773" t="str">
        <f ca="1">VLOOKUP($G$18,$A$210:$I$221,K220,0)</f>
        <v>Hợi</v>
      </c>
      <c r="M220" s="912" t="str">
        <f ca="1">IF($N$63=1,L220,L222)</f>
        <v>Mùi</v>
      </c>
      <c r="O220" s="787">
        <v>32</v>
      </c>
      <c r="P220" s="856" t="s">
        <v>8462</v>
      </c>
      <c r="Q220" s="773">
        <v>3</v>
      </c>
      <c r="R220" s="796" t="e">
        <f ca="1">VLOOKUP(B35,$P$189:$Q$241,2,0)</f>
        <v>#N/A</v>
      </c>
      <c r="S220" s="773" t="e">
        <f t="shared" ca="1" si="336"/>
        <v>#N/A</v>
      </c>
    </row>
    <row r="221" spans="1:19" ht="15">
      <c r="A221" s="806" t="s">
        <v>7877</v>
      </c>
      <c r="B221" s="855" t="s">
        <v>353</v>
      </c>
      <c r="C221" s="855" t="s">
        <v>9300</v>
      </c>
      <c r="D221" s="855" t="s">
        <v>9297</v>
      </c>
      <c r="E221" s="855" t="s">
        <v>9300</v>
      </c>
      <c r="F221" s="855" t="s">
        <v>9301</v>
      </c>
      <c r="G221" s="855" t="s">
        <v>9300</v>
      </c>
      <c r="H221" s="855" t="s">
        <v>1402</v>
      </c>
      <c r="I221" s="855" t="s">
        <v>505</v>
      </c>
      <c r="L221" s="773" t="str">
        <f ca="1">VLOOKUP($G$18,$A$226:$I$239,K219,0)</f>
        <v>Dậu</v>
      </c>
      <c r="O221" s="787">
        <v>33</v>
      </c>
      <c r="P221" s="856" t="s">
        <v>8463</v>
      </c>
      <c r="Q221" s="773">
        <v>5</v>
      </c>
      <c r="R221" s="796" t="e">
        <f ca="1">VLOOKUP(B36,$P$189:$Q$241,2,0)</f>
        <v>#N/A</v>
      </c>
      <c r="S221" s="773" t="e">
        <f t="shared" ca="1" si="336"/>
        <v>#N/A</v>
      </c>
    </row>
    <row r="222" spans="1:19">
      <c r="A222" s="818"/>
      <c r="L222" s="773" t="str">
        <f ca="1">VLOOKUP($G$18,$A$226:$I$239,K220,0)</f>
        <v>Mùi</v>
      </c>
      <c r="O222" s="787">
        <v>34</v>
      </c>
      <c r="P222" s="856" t="s">
        <v>6555</v>
      </c>
      <c r="Q222" s="773">
        <v>1</v>
      </c>
      <c r="R222" s="796">
        <f t="shared" ref="R222:R229" ca="1" si="337">VLOOKUP(A23,$P$189:$Q$241,2,0)</f>
        <v>1</v>
      </c>
      <c r="S222" s="773" t="e">
        <f t="shared" ca="1" si="336"/>
        <v>#N/A</v>
      </c>
    </row>
    <row r="223" spans="1:19" ht="15.75">
      <c r="A223" s="936" t="s">
        <v>7912</v>
      </c>
      <c r="O223" s="787">
        <v>35</v>
      </c>
      <c r="P223" s="856" t="s">
        <v>6589</v>
      </c>
      <c r="Q223" s="773">
        <v>1</v>
      </c>
      <c r="R223" s="796">
        <f t="shared" ca="1" si="337"/>
        <v>2</v>
      </c>
      <c r="S223" s="773" t="e">
        <f t="shared" ca="1" si="336"/>
        <v>#N/A</v>
      </c>
    </row>
    <row r="224" spans="1:19" ht="15">
      <c r="A224" s="855" t="s">
        <v>459</v>
      </c>
      <c r="B224" s="1028" t="s">
        <v>8620</v>
      </c>
      <c r="C224" s="1028"/>
      <c r="D224" s="1028" t="s">
        <v>8621</v>
      </c>
      <c r="E224" s="1028"/>
      <c r="F224" s="1028" t="s">
        <v>8622</v>
      </c>
      <c r="G224" s="1028"/>
      <c r="H224" s="1028" t="s">
        <v>8623</v>
      </c>
      <c r="I224" s="1028"/>
      <c r="O224" s="787">
        <v>36</v>
      </c>
      <c r="P224" s="856" t="s">
        <v>6595</v>
      </c>
      <c r="Q224" s="773">
        <v>4</v>
      </c>
      <c r="R224" s="796">
        <f t="shared" ca="1" si="337"/>
        <v>1</v>
      </c>
      <c r="S224" s="773" t="e">
        <f ca="1">VLOOKUP(K20,$P$145:$R$187,3,0)</f>
        <v>#N/A</v>
      </c>
    </row>
    <row r="225" spans="1:19" ht="15">
      <c r="A225" s="855" t="s">
        <v>8624</v>
      </c>
      <c r="B225" s="1028"/>
      <c r="C225" s="1028"/>
      <c r="D225" s="1028"/>
      <c r="E225" s="1028"/>
      <c r="F225" s="1028"/>
      <c r="G225" s="1028"/>
      <c r="H225" s="1028"/>
      <c r="I225" s="1028"/>
      <c r="J225" s="773" t="str">
        <f ca="1">MID(H31,1,7)</f>
        <v>Thái Âm</v>
      </c>
      <c r="K225" s="796">
        <f t="shared" ref="K225:K248" ca="1" si="338">VLOOKUP(J225,$M$225:$N$238,2,0)</f>
        <v>5</v>
      </c>
      <c r="L225" s="773" t="s">
        <v>8629</v>
      </c>
      <c r="M225" s="773" t="str">
        <f t="shared" ref="M225:M238" si="339">MID(L225,1,7)</f>
        <v>Tử Vi (</v>
      </c>
      <c r="N225" s="773">
        <v>3</v>
      </c>
      <c r="O225" s="787">
        <v>37</v>
      </c>
      <c r="P225" s="856" t="s">
        <v>8473</v>
      </c>
      <c r="Q225" s="773">
        <v>5</v>
      </c>
      <c r="R225" s="796">
        <f t="shared" ca="1" si="337"/>
        <v>3</v>
      </c>
      <c r="S225" s="773">
        <f t="shared" ref="S225:S232" ca="1" si="340">VLOOKUP(L23,$P$145:$R$187,3,0)</f>
        <v>4</v>
      </c>
    </row>
    <row r="226" spans="1:19" ht="15">
      <c r="A226" s="855"/>
      <c r="B226" s="855" t="s">
        <v>6622</v>
      </c>
      <c r="C226" s="855" t="s">
        <v>8625</v>
      </c>
      <c r="D226" s="855" t="s">
        <v>6622</v>
      </c>
      <c r="E226" s="855" t="s">
        <v>8625</v>
      </c>
      <c r="F226" s="855" t="s">
        <v>6622</v>
      </c>
      <c r="G226" s="855" t="s">
        <v>8625</v>
      </c>
      <c r="H226" s="855" t="s">
        <v>6622</v>
      </c>
      <c r="I226" s="855" t="s">
        <v>8625</v>
      </c>
      <c r="J226" s="773" t="str">
        <f ca="1">MID(H32,1,7)</f>
        <v>Thiên Đ</v>
      </c>
      <c r="K226" s="796">
        <f t="shared" ca="1" si="338"/>
        <v>5</v>
      </c>
      <c r="L226" s="773" t="s">
        <v>8630</v>
      </c>
      <c r="M226" s="773" t="str">
        <f t="shared" si="339"/>
        <v>Thiên P</v>
      </c>
      <c r="N226" s="773">
        <v>3</v>
      </c>
      <c r="O226" s="787">
        <v>38</v>
      </c>
      <c r="P226" s="856" t="s">
        <v>8477</v>
      </c>
      <c r="Q226" s="773">
        <v>5</v>
      </c>
      <c r="R226" s="796">
        <f t="shared" ca="1" si="337"/>
        <v>5</v>
      </c>
      <c r="S226" s="773">
        <f t="shared" ca="1" si="340"/>
        <v>5</v>
      </c>
    </row>
    <row r="227" spans="1:19" ht="15">
      <c r="A227" s="855" t="s">
        <v>8626</v>
      </c>
      <c r="B227" s="855"/>
      <c r="C227" s="855"/>
      <c r="D227" s="855"/>
      <c r="E227" s="855"/>
      <c r="F227" s="855"/>
      <c r="G227" s="855"/>
      <c r="H227" s="855"/>
      <c r="I227" s="855"/>
      <c r="J227" s="773" t="str">
        <f ca="1">MID(E31,1,7)</f>
        <v>Vũ Khúc</v>
      </c>
      <c r="K227" s="796">
        <f t="shared" ca="1" si="338"/>
        <v>4</v>
      </c>
      <c r="L227" s="773" t="s">
        <v>8631</v>
      </c>
      <c r="M227" s="773" t="str">
        <f t="shared" si="339"/>
        <v>Vũ Khúc</v>
      </c>
      <c r="N227" s="773">
        <v>4</v>
      </c>
      <c r="O227" s="787">
        <v>39</v>
      </c>
      <c r="P227" s="856" t="s">
        <v>8479</v>
      </c>
      <c r="Q227" s="773">
        <v>4</v>
      </c>
      <c r="R227" s="796">
        <f t="shared" ca="1" si="337"/>
        <v>4</v>
      </c>
      <c r="S227" s="773">
        <f t="shared" ca="1" si="340"/>
        <v>1</v>
      </c>
    </row>
    <row r="228" spans="1:19" ht="15">
      <c r="A228" s="806" t="s">
        <v>6548</v>
      </c>
      <c r="B228" s="855" t="s">
        <v>1399</v>
      </c>
      <c r="C228" s="855" t="s">
        <v>9299</v>
      </c>
      <c r="D228" s="855" t="s">
        <v>9298</v>
      </c>
      <c r="E228" s="855" t="s">
        <v>9299</v>
      </c>
      <c r="F228" s="855" t="s">
        <v>353</v>
      </c>
      <c r="G228" s="855" t="s">
        <v>9299</v>
      </c>
      <c r="H228" s="855" t="s">
        <v>9301</v>
      </c>
      <c r="I228" s="855" t="s">
        <v>1399</v>
      </c>
      <c r="J228" s="773" t="str">
        <f ca="1">MID(E32,1,7)</f>
        <v>Tham La</v>
      </c>
      <c r="K228" s="796">
        <f t="shared" ca="1" si="338"/>
        <v>5</v>
      </c>
      <c r="L228" s="773" t="s">
        <v>8632</v>
      </c>
      <c r="M228" s="773" t="str">
        <f t="shared" si="339"/>
        <v>Thiên T</v>
      </c>
      <c r="N228" s="773">
        <v>5</v>
      </c>
      <c r="O228" s="787">
        <v>40</v>
      </c>
      <c r="P228" s="856" t="s">
        <v>8480</v>
      </c>
      <c r="Q228" s="773">
        <v>4</v>
      </c>
      <c r="R228" s="796" t="e">
        <f t="shared" ca="1" si="337"/>
        <v>#N/A</v>
      </c>
      <c r="S228" s="773">
        <f t="shared" ca="1" si="340"/>
        <v>3</v>
      </c>
    </row>
    <row r="229" spans="1:19" ht="15">
      <c r="A229" s="806" t="s">
        <v>7875</v>
      </c>
      <c r="B229" s="855" t="s">
        <v>353</v>
      </c>
      <c r="C229" s="855" t="s">
        <v>9300</v>
      </c>
      <c r="D229" s="855" t="s">
        <v>9297</v>
      </c>
      <c r="E229" s="855" t="s">
        <v>9300</v>
      </c>
      <c r="F229" s="855" t="s">
        <v>9301</v>
      </c>
      <c r="G229" s="855" t="s">
        <v>9300</v>
      </c>
      <c r="H229" s="855" t="s">
        <v>1402</v>
      </c>
      <c r="I229" s="855" t="s">
        <v>505</v>
      </c>
      <c r="J229" s="773" t="str">
        <f ca="1">MID(B32,1,7)</f>
        <v>Thái Dư</v>
      </c>
      <c r="K229" s="796">
        <f t="shared" ca="1" si="338"/>
        <v>1</v>
      </c>
      <c r="L229" s="773" t="s">
        <v>8633</v>
      </c>
      <c r="M229" s="773" t="str">
        <f t="shared" si="339"/>
        <v>Thất Sá</v>
      </c>
      <c r="N229" s="773">
        <v>4</v>
      </c>
      <c r="O229" s="787">
        <v>41</v>
      </c>
      <c r="P229" s="856" t="s">
        <v>8481</v>
      </c>
      <c r="Q229" s="773">
        <v>4</v>
      </c>
      <c r="R229" s="796" t="e">
        <f t="shared" ca="1" si="337"/>
        <v>#N/A</v>
      </c>
      <c r="S229" s="773">
        <f t="shared" ca="1" si="340"/>
        <v>1</v>
      </c>
    </row>
    <row r="230" spans="1:19" ht="15">
      <c r="A230" s="806" t="s">
        <v>7874</v>
      </c>
      <c r="B230" s="855" t="s">
        <v>9301</v>
      </c>
      <c r="C230" s="855" t="s">
        <v>1402</v>
      </c>
      <c r="D230" s="855" t="s">
        <v>507</v>
      </c>
      <c r="E230" s="855" t="s">
        <v>1402</v>
      </c>
      <c r="F230" s="855" t="s">
        <v>1402</v>
      </c>
      <c r="G230" s="855" t="s">
        <v>1402</v>
      </c>
      <c r="H230" s="855" t="s">
        <v>9300</v>
      </c>
      <c r="I230" s="806" t="s">
        <v>7871</v>
      </c>
      <c r="J230" s="773" t="str">
        <f ca="1">MID(B33,1,7)</f>
        <v>Cự Môn(</v>
      </c>
      <c r="K230" s="796">
        <f t="shared" ca="1" si="338"/>
        <v>5</v>
      </c>
      <c r="L230" s="773" t="s">
        <v>8634</v>
      </c>
      <c r="M230" s="773" t="str">
        <f t="shared" si="339"/>
        <v>Phá Quâ</v>
      </c>
      <c r="N230" s="773">
        <v>5</v>
      </c>
      <c r="O230" s="787">
        <v>42</v>
      </c>
      <c r="P230" s="856" t="s">
        <v>8483</v>
      </c>
      <c r="Q230" s="773">
        <v>5</v>
      </c>
      <c r="R230" s="796" t="e">
        <f ca="1">VLOOKUP(B24,$P$189:$Q$241,2,0)</f>
        <v>#N/A</v>
      </c>
      <c r="S230" s="773" t="e">
        <f t="shared" ca="1" si="340"/>
        <v>#N/A</v>
      </c>
    </row>
    <row r="231" spans="1:19" ht="15">
      <c r="A231" s="806" t="s">
        <v>7873</v>
      </c>
      <c r="B231" s="855" t="s">
        <v>1402</v>
      </c>
      <c r="C231" s="855" t="s">
        <v>9301</v>
      </c>
      <c r="D231" s="855" t="s">
        <v>506</v>
      </c>
      <c r="E231" s="855" t="s">
        <v>9301</v>
      </c>
      <c r="F231" s="855" t="s">
        <v>9300</v>
      </c>
      <c r="G231" s="855" t="s">
        <v>9301</v>
      </c>
      <c r="H231" s="855" t="s">
        <v>9299</v>
      </c>
      <c r="I231" s="855" t="s">
        <v>506</v>
      </c>
      <c r="J231" s="773" t="str">
        <f ca="1">MID(B21,1,7)</f>
        <v>Thiên T</v>
      </c>
      <c r="K231" s="796">
        <f t="shared" ca="1" si="338"/>
        <v>5</v>
      </c>
      <c r="L231" s="773" t="s">
        <v>8635</v>
      </c>
      <c r="M231" s="773" t="str">
        <f t="shared" si="339"/>
        <v>Liêm Tr</v>
      </c>
      <c r="N231" s="773">
        <v>1</v>
      </c>
      <c r="O231" s="787">
        <v>43</v>
      </c>
      <c r="P231" s="773" t="s">
        <v>8485</v>
      </c>
      <c r="Q231" s="773">
        <v>1</v>
      </c>
      <c r="R231" s="796" t="e">
        <f ca="1">VLOOKUP(B25,$P$189:$Q$241,2,0)</f>
        <v>#N/A</v>
      </c>
      <c r="S231" s="773" t="e">
        <f t="shared" ca="1" si="340"/>
        <v>#N/A</v>
      </c>
    </row>
    <row r="232" spans="1:19" ht="15">
      <c r="A232" s="806" t="s">
        <v>7872</v>
      </c>
      <c r="B232" s="855" t="s">
        <v>9300</v>
      </c>
      <c r="C232" s="855" t="s">
        <v>353</v>
      </c>
      <c r="D232" s="806" t="s">
        <v>7871</v>
      </c>
      <c r="E232" s="855" t="s">
        <v>353</v>
      </c>
      <c r="F232" s="855" t="s">
        <v>9299</v>
      </c>
      <c r="G232" s="855" t="s">
        <v>353</v>
      </c>
      <c r="H232" s="855" t="s">
        <v>9298</v>
      </c>
      <c r="I232" s="855" t="s">
        <v>507</v>
      </c>
      <c r="J232" s="773" t="str">
        <f ca="1">MID(B22,1,7)</f>
        <v xml:space="preserve"> </v>
      </c>
      <c r="K232" s="796" t="e">
        <f t="shared" ca="1" si="338"/>
        <v>#N/A</v>
      </c>
      <c r="L232" s="773" t="s">
        <v>8636</v>
      </c>
      <c r="M232" s="773" t="str">
        <f t="shared" si="339"/>
        <v>Tham La</v>
      </c>
      <c r="N232" s="773">
        <v>5</v>
      </c>
      <c r="O232" s="787">
        <v>44</v>
      </c>
      <c r="P232" s="773" t="s">
        <v>8486</v>
      </c>
      <c r="Q232" s="773">
        <v>5</v>
      </c>
      <c r="R232" s="796" t="e">
        <f ca="1">VLOOKUP(B26,$P$189:$Q$241,2,0)</f>
        <v>#N/A</v>
      </c>
      <c r="S232" s="773" t="e">
        <f t="shared" ca="1" si="340"/>
        <v>#N/A</v>
      </c>
    </row>
    <row r="233" spans="1:19" ht="15">
      <c r="A233" s="806" t="s">
        <v>7871</v>
      </c>
      <c r="B233" s="855" t="s">
        <v>9299</v>
      </c>
      <c r="C233" s="855" t="s">
        <v>1399</v>
      </c>
      <c r="D233" s="855" t="s">
        <v>505</v>
      </c>
      <c r="E233" s="855" t="s">
        <v>1399</v>
      </c>
      <c r="F233" s="855" t="s">
        <v>9298</v>
      </c>
      <c r="G233" s="855" t="s">
        <v>1399</v>
      </c>
      <c r="H233" s="855" t="s">
        <v>9297</v>
      </c>
      <c r="I233" s="855" t="s">
        <v>9297</v>
      </c>
      <c r="J233" s="773" t="str">
        <f ca="1">MID(B1,1,7)</f>
        <v>Tử Vi (</v>
      </c>
      <c r="K233" s="796">
        <f t="shared" ca="1" si="338"/>
        <v>3</v>
      </c>
      <c r="L233" s="773" t="s">
        <v>8637</v>
      </c>
      <c r="M233" s="773" t="str">
        <f t="shared" si="339"/>
        <v>Thái Âm</v>
      </c>
      <c r="N233" s="773">
        <v>5</v>
      </c>
      <c r="O233" s="787">
        <v>45</v>
      </c>
      <c r="P233" s="773" t="s">
        <v>8487</v>
      </c>
      <c r="Q233" s="773">
        <v>2</v>
      </c>
      <c r="R233" s="796">
        <f t="shared" ref="R233:R241" ca="1" si="341">VLOOKUP(A12,$P$189:$Q$241,2,0)</f>
        <v>1</v>
      </c>
      <c r="S233" s="773">
        <f t="shared" ref="S233:S239" ca="1" si="342">VLOOKUP(L34,$P$145:$R$187,3,0)</f>
        <v>1</v>
      </c>
    </row>
    <row r="234" spans="1:19" ht="15">
      <c r="A234" s="806" t="s">
        <v>7883</v>
      </c>
      <c r="B234" s="855" t="s">
        <v>9298</v>
      </c>
      <c r="C234" s="855" t="s">
        <v>505</v>
      </c>
      <c r="D234" s="855" t="s">
        <v>1399</v>
      </c>
      <c r="E234" s="855" t="s">
        <v>505</v>
      </c>
      <c r="F234" s="855" t="s">
        <v>9297</v>
      </c>
      <c r="G234" s="855" t="s">
        <v>505</v>
      </c>
      <c r="H234" s="855" t="s">
        <v>507</v>
      </c>
      <c r="I234" s="855" t="s">
        <v>9298</v>
      </c>
      <c r="J234" s="773" t="str">
        <f ca="1">MID(B2,1,7)</f>
        <v>Thất Sá</v>
      </c>
      <c r="K234" s="796">
        <f t="shared" ca="1" si="338"/>
        <v>4</v>
      </c>
      <c r="L234" s="773" t="s">
        <v>8638</v>
      </c>
      <c r="M234" s="773" t="str">
        <f t="shared" si="339"/>
        <v>Thiên C</v>
      </c>
      <c r="N234" s="773">
        <v>2</v>
      </c>
      <c r="O234" s="787">
        <v>46</v>
      </c>
      <c r="P234" s="773" t="s">
        <v>8488</v>
      </c>
      <c r="Q234" s="773">
        <v>4</v>
      </c>
      <c r="R234" s="796">
        <f t="shared" ca="1" si="341"/>
        <v>5</v>
      </c>
      <c r="S234" s="773">
        <f t="shared" ca="1" si="342"/>
        <v>5</v>
      </c>
    </row>
    <row r="235" spans="1:19" ht="30">
      <c r="A235" s="806" t="s">
        <v>7882</v>
      </c>
      <c r="B235" s="855" t="s">
        <v>9297</v>
      </c>
      <c r="C235" s="806" t="s">
        <v>7871</v>
      </c>
      <c r="D235" s="855" t="s">
        <v>353</v>
      </c>
      <c r="E235" s="806" t="s">
        <v>7871</v>
      </c>
      <c r="F235" s="855" t="s">
        <v>507</v>
      </c>
      <c r="G235" s="806" t="s">
        <v>7871</v>
      </c>
      <c r="H235" s="855" t="s">
        <v>506</v>
      </c>
      <c r="I235" s="855" t="s">
        <v>9299</v>
      </c>
      <c r="J235" s="773" t="str">
        <f ca="1">MID(E1,1,7)</f>
        <v xml:space="preserve"> </v>
      </c>
      <c r="K235" s="796" t="e">
        <f t="shared" ca="1" si="338"/>
        <v>#N/A</v>
      </c>
      <c r="L235" s="773" t="s">
        <v>8639</v>
      </c>
      <c r="M235" s="773" t="str">
        <f t="shared" si="339"/>
        <v>Thiên Đ</v>
      </c>
      <c r="N235" s="773">
        <v>5</v>
      </c>
      <c r="O235" s="787">
        <v>47</v>
      </c>
      <c r="P235" s="856" t="s">
        <v>8490</v>
      </c>
      <c r="Q235" s="773">
        <v>1</v>
      </c>
      <c r="R235" s="796">
        <f t="shared" ca="1" si="341"/>
        <v>3</v>
      </c>
      <c r="S235" s="773">
        <f t="shared" ca="1" si="342"/>
        <v>1</v>
      </c>
    </row>
    <row r="236" spans="1:19" ht="15">
      <c r="A236" s="806" t="s">
        <v>7887</v>
      </c>
      <c r="B236" s="855" t="s">
        <v>507</v>
      </c>
      <c r="C236" s="855" t="s">
        <v>506</v>
      </c>
      <c r="D236" s="855" t="s">
        <v>9301</v>
      </c>
      <c r="E236" s="855" t="s">
        <v>506</v>
      </c>
      <c r="F236" s="855" t="s">
        <v>506</v>
      </c>
      <c r="G236" s="855" t="s">
        <v>506</v>
      </c>
      <c r="H236" s="806" t="s">
        <v>7871</v>
      </c>
      <c r="I236" s="855" t="s">
        <v>9300</v>
      </c>
      <c r="J236" s="773" t="str">
        <f ca="1">MID(E2,1,7)</f>
        <v xml:space="preserve"> </v>
      </c>
      <c r="K236" s="796" t="e">
        <f t="shared" ca="1" si="338"/>
        <v>#N/A</v>
      </c>
      <c r="L236" s="773" t="s">
        <v>8640</v>
      </c>
      <c r="M236" s="773" t="str">
        <f t="shared" si="339"/>
        <v>Thiên L</v>
      </c>
      <c r="N236" s="773">
        <v>2</v>
      </c>
      <c r="O236" s="787">
        <v>48</v>
      </c>
      <c r="P236" s="856" t="s">
        <v>8493</v>
      </c>
      <c r="Q236" s="773">
        <v>1</v>
      </c>
      <c r="R236" s="796">
        <f t="shared" ca="1" si="341"/>
        <v>2</v>
      </c>
      <c r="S236" s="773">
        <f t="shared" ca="1" si="342"/>
        <v>1</v>
      </c>
    </row>
    <row r="237" spans="1:19" ht="15">
      <c r="A237" s="806" t="s">
        <v>7886</v>
      </c>
      <c r="B237" s="855" t="s">
        <v>506</v>
      </c>
      <c r="C237" s="855" t="s">
        <v>507</v>
      </c>
      <c r="D237" s="855" t="s">
        <v>1402</v>
      </c>
      <c r="E237" s="855" t="s">
        <v>507</v>
      </c>
      <c r="F237" s="806" t="s">
        <v>7871</v>
      </c>
      <c r="G237" s="855" t="s">
        <v>507</v>
      </c>
      <c r="H237" s="855" t="s">
        <v>505</v>
      </c>
      <c r="I237" s="855" t="s">
        <v>1402</v>
      </c>
      <c r="J237" s="773" t="str">
        <f ca="1">MID(H1,1,7)</f>
        <v xml:space="preserve"> </v>
      </c>
      <c r="K237" s="796" t="e">
        <f t="shared" ca="1" si="338"/>
        <v>#N/A</v>
      </c>
      <c r="L237" s="773" t="s">
        <v>8641</v>
      </c>
      <c r="M237" s="773" t="str">
        <f t="shared" si="339"/>
        <v>Thái Dư</v>
      </c>
      <c r="N237" s="773">
        <v>1</v>
      </c>
      <c r="O237" s="787">
        <v>49</v>
      </c>
      <c r="P237" s="773" t="s">
        <v>8501</v>
      </c>
      <c r="Q237" s="773">
        <v>1</v>
      </c>
      <c r="R237" s="796">
        <f t="shared" ca="1" si="341"/>
        <v>3</v>
      </c>
      <c r="S237" s="773" t="e">
        <f t="shared" ca="1" si="342"/>
        <v>#N/A</v>
      </c>
    </row>
    <row r="238" spans="1:19" ht="15">
      <c r="A238" s="806" t="s">
        <v>7880</v>
      </c>
      <c r="B238" s="806" t="s">
        <v>7871</v>
      </c>
      <c r="C238" s="855" t="s">
        <v>9297</v>
      </c>
      <c r="D238" s="855" t="s">
        <v>9300</v>
      </c>
      <c r="E238" s="855" t="s">
        <v>9297</v>
      </c>
      <c r="F238" s="855" t="s">
        <v>505</v>
      </c>
      <c r="G238" s="855" t="s">
        <v>9297</v>
      </c>
      <c r="H238" s="855" t="s">
        <v>1399</v>
      </c>
      <c r="I238" s="855" t="s">
        <v>9301</v>
      </c>
      <c r="J238" s="773" t="str">
        <f ca="1">MID(H2,1,7)</f>
        <v xml:space="preserve"> </v>
      </c>
      <c r="K238" s="796" t="e">
        <f t="shared" ca="1" si="338"/>
        <v>#N/A</v>
      </c>
      <c r="L238" s="773" t="s">
        <v>8642</v>
      </c>
      <c r="M238" s="773" t="str">
        <f t="shared" si="339"/>
        <v>Cự Môn(</v>
      </c>
      <c r="N238" s="773">
        <v>5</v>
      </c>
      <c r="O238" s="787">
        <v>50</v>
      </c>
      <c r="P238" s="773" t="s">
        <v>8514</v>
      </c>
      <c r="Q238" s="773">
        <v>5</v>
      </c>
      <c r="R238" s="796">
        <f t="shared" ca="1" si="341"/>
        <v>2</v>
      </c>
      <c r="S238" s="773" t="e">
        <f t="shared" ca="1" si="342"/>
        <v>#N/A</v>
      </c>
    </row>
    <row r="239" spans="1:19" ht="15">
      <c r="A239" s="806" t="s">
        <v>7877</v>
      </c>
      <c r="B239" s="855" t="s">
        <v>505</v>
      </c>
      <c r="C239" s="855" t="s">
        <v>9298</v>
      </c>
      <c r="D239" s="855" t="s">
        <v>9299</v>
      </c>
      <c r="E239" s="855" t="s">
        <v>9298</v>
      </c>
      <c r="F239" s="855" t="s">
        <v>1399</v>
      </c>
      <c r="G239" s="855" t="s">
        <v>9298</v>
      </c>
      <c r="H239" s="855" t="s">
        <v>353</v>
      </c>
      <c r="I239" s="855" t="s">
        <v>353</v>
      </c>
      <c r="J239" s="773" t="str">
        <f ca="1">MID(K1,1,7)</f>
        <v xml:space="preserve"> </v>
      </c>
      <c r="K239" s="796" t="e">
        <f t="shared" ca="1" si="338"/>
        <v>#N/A</v>
      </c>
      <c r="O239" s="787">
        <v>51</v>
      </c>
      <c r="P239" s="773" t="s">
        <v>8517</v>
      </c>
      <c r="Q239" s="773">
        <v>3</v>
      </c>
      <c r="R239" s="796">
        <f t="shared" ca="1" si="341"/>
        <v>2</v>
      </c>
      <c r="S239" s="773" t="e">
        <f t="shared" ca="1" si="342"/>
        <v>#N/A</v>
      </c>
    </row>
    <row r="240" spans="1:19">
      <c r="J240" s="773" t="str">
        <f ca="1">MID(K2,1,7)</f>
        <v xml:space="preserve"> </v>
      </c>
      <c r="K240" s="796" t="e">
        <f t="shared" ca="1" si="338"/>
        <v>#N/A</v>
      </c>
      <c r="O240" s="787">
        <v>52</v>
      </c>
      <c r="P240" s="773" t="s">
        <v>8519</v>
      </c>
      <c r="Q240" s="773">
        <v>2</v>
      </c>
      <c r="R240" s="796">
        <f t="shared" ca="1" si="341"/>
        <v>2</v>
      </c>
      <c r="S240" s="773" t="e">
        <f ca="1">VLOOKUP(K40,$P$145:$R$187,3,0)</f>
        <v>#N/A</v>
      </c>
    </row>
    <row r="241" spans="1:18">
      <c r="J241" s="773" t="str">
        <f ca="1">MID(K12,1,7)</f>
        <v>Phá Quâ</v>
      </c>
      <c r="K241" s="796">
        <f t="shared" ca="1" si="338"/>
        <v>5</v>
      </c>
      <c r="O241" s="915">
        <v>53</v>
      </c>
      <c r="P241" s="912" t="s">
        <v>8521</v>
      </c>
      <c r="Q241" s="773">
        <v>3</v>
      </c>
      <c r="R241" s="796">
        <f t="shared" ca="1" si="341"/>
        <v>2</v>
      </c>
    </row>
    <row r="242" spans="1:18">
      <c r="J242" s="773" t="str">
        <f ca="1">MID(K13,1,7)</f>
        <v>Liêm Tr</v>
      </c>
      <c r="K242" s="796">
        <f t="shared" ca="1" si="338"/>
        <v>1</v>
      </c>
      <c r="R242" s="796">
        <f ca="1">VLOOKUP(B15,$P$189:$Q$241,2,0)</f>
        <v>3</v>
      </c>
    </row>
    <row r="243" spans="1:18">
      <c r="A243" s="292" t="s">
        <v>8547</v>
      </c>
      <c r="B243" s="956">
        <v>1</v>
      </c>
      <c r="C243" s="773" t="e">
        <f>VLOOKUP(H37,$A$243:$B$251,2,0)</f>
        <v>#N/A</v>
      </c>
      <c r="J243" s="773" t="str">
        <f ca="1">MID(K21,1,7)</f>
        <v xml:space="preserve"> </v>
      </c>
      <c r="K243" s="796" t="e">
        <f t="shared" ca="1" si="338"/>
        <v>#N/A</v>
      </c>
      <c r="R243" s="796" t="e">
        <f ca="1">VLOOKUP(B16,$P$189:$Q$241,2,0)</f>
        <v>#N/A</v>
      </c>
    </row>
    <row r="244" spans="1:18">
      <c r="A244" s="292" t="s">
        <v>8548</v>
      </c>
      <c r="B244" s="956">
        <v>3</v>
      </c>
      <c r="C244" s="773" t="e">
        <f>VLOOKUP(H38,$A$243:$B$251,2,0)</f>
        <v>#N/A</v>
      </c>
      <c r="J244" s="773" t="str">
        <f ca="1">MID(K22,1,7)</f>
        <v xml:space="preserve"> </v>
      </c>
      <c r="K244" s="796" t="e">
        <f t="shared" ca="1" si="338"/>
        <v>#N/A</v>
      </c>
      <c r="R244" s="796" t="e">
        <f t="shared" ref="R244:R251" ca="1" si="343">VLOOKUP(A3,$P$189:$Q$241,2,0)</f>
        <v>#N/A</v>
      </c>
    </row>
    <row r="245" spans="1:18">
      <c r="A245" s="292" t="s">
        <v>8549</v>
      </c>
      <c r="B245" s="956">
        <v>4</v>
      </c>
      <c r="C245" s="773" t="e">
        <f>VLOOKUP(H39,$A$243:$B$251,2,0)</f>
        <v>#N/A</v>
      </c>
      <c r="J245" s="773" t="str">
        <f ca="1">MID(K32,1,7)</f>
        <v>Thiên P</v>
      </c>
      <c r="K245" s="796">
        <f t="shared" ca="1" si="338"/>
        <v>3</v>
      </c>
      <c r="R245" s="796">
        <f t="shared" ca="1" si="343"/>
        <v>1</v>
      </c>
    </row>
    <row r="246" spans="1:18">
      <c r="A246" s="292" t="s">
        <v>8550</v>
      </c>
      <c r="B246" s="956">
        <v>4</v>
      </c>
      <c r="C246" s="773" t="e">
        <f>VLOOKUP(E37,$A$243:$B$251,2,0)</f>
        <v>#N/A</v>
      </c>
      <c r="J246" s="773" t="str">
        <f ca="1">MID(K33,1,7)</f>
        <v xml:space="preserve"> </v>
      </c>
      <c r="K246" s="796" t="e">
        <f t="shared" ca="1" si="338"/>
        <v>#N/A</v>
      </c>
      <c r="R246" s="796">
        <f t="shared" ca="1" si="343"/>
        <v>2</v>
      </c>
    </row>
    <row r="247" spans="1:18" ht="15">
      <c r="A247" s="292" t="s">
        <v>8551</v>
      </c>
      <c r="B247" s="955">
        <v>5</v>
      </c>
      <c r="C247" s="855" t="e">
        <f>VLOOKUP(E38,$A$243:$B$251,2,0)</f>
        <v>#N/A</v>
      </c>
      <c r="D247" s="1028"/>
      <c r="E247" s="1028"/>
      <c r="F247" s="1028"/>
      <c r="G247" s="1028"/>
      <c r="H247" s="1028"/>
      <c r="I247" s="1028"/>
      <c r="J247" s="773" t="str">
        <f ca="1">MID(B12,1,7)</f>
        <v>Thiên C</v>
      </c>
      <c r="K247" s="796">
        <f t="shared" ca="1" si="338"/>
        <v>2</v>
      </c>
      <c r="L247" s="1028"/>
      <c r="M247" s="1028"/>
      <c r="R247" s="796">
        <f t="shared" ca="1" si="343"/>
        <v>2</v>
      </c>
    </row>
    <row r="248" spans="1:18" ht="15">
      <c r="A248" s="292" t="s">
        <v>8552</v>
      </c>
      <c r="B248" s="955">
        <v>5</v>
      </c>
      <c r="C248" s="855" t="e">
        <f>VLOOKUP(E39,$A$243:$B$251,2,0)</f>
        <v>#N/A</v>
      </c>
      <c r="D248" s="855"/>
      <c r="E248" s="855"/>
      <c r="F248" s="855"/>
      <c r="G248" s="855"/>
      <c r="H248" s="855"/>
      <c r="I248" s="855"/>
      <c r="J248" s="773" t="str">
        <f ca="1">MID(B13,1,7)</f>
        <v>Thiên L</v>
      </c>
      <c r="K248" s="796">
        <f t="shared" ca="1" si="338"/>
        <v>2</v>
      </c>
      <c r="L248" s="855"/>
      <c r="M248" s="855"/>
      <c r="R248" s="796">
        <f t="shared" ca="1" si="343"/>
        <v>5</v>
      </c>
    </row>
    <row r="249" spans="1:18" ht="15">
      <c r="A249" s="292" t="s">
        <v>8553</v>
      </c>
      <c r="B249" s="955">
        <v>1</v>
      </c>
      <c r="C249" s="855" t="e">
        <f>VLOOKUP(B37,$A$243:$B$251,2,0)</f>
        <v>#N/A</v>
      </c>
      <c r="D249" s="855"/>
      <c r="E249" s="855"/>
      <c r="F249" s="855"/>
      <c r="G249" s="855"/>
      <c r="H249" s="855"/>
      <c r="I249" s="855"/>
      <c r="J249" s="855"/>
      <c r="K249" s="855"/>
      <c r="L249" s="855"/>
      <c r="M249" s="855"/>
      <c r="R249" s="796">
        <f t="shared" ca="1" si="343"/>
        <v>1</v>
      </c>
    </row>
    <row r="250" spans="1:18" ht="15">
      <c r="A250" s="292" t="s">
        <v>8554</v>
      </c>
      <c r="B250" s="955">
        <v>2</v>
      </c>
      <c r="C250" s="855" t="e">
        <f>VLOOKUP(B38,$A$243:$B$251,2,0)</f>
        <v>#N/A</v>
      </c>
      <c r="D250" s="855"/>
      <c r="E250" s="855"/>
      <c r="F250" s="855"/>
      <c r="G250" s="855"/>
      <c r="H250" s="855"/>
      <c r="I250" s="855"/>
      <c r="J250" s="855"/>
      <c r="K250" s="855"/>
      <c r="L250" s="855"/>
      <c r="M250" s="855"/>
      <c r="R250" s="796" t="e">
        <f t="shared" ca="1" si="343"/>
        <v>#N/A</v>
      </c>
    </row>
    <row r="251" spans="1:18" ht="15">
      <c r="A251" s="292" t="s">
        <v>8555</v>
      </c>
      <c r="B251" s="955">
        <v>4</v>
      </c>
      <c r="C251" s="855" t="e">
        <f>VLOOKUP(B39,$A$243:$B$251,2,0)</f>
        <v>#N/A</v>
      </c>
      <c r="D251" s="855"/>
      <c r="E251" s="855"/>
      <c r="F251" s="855"/>
      <c r="G251" s="855"/>
      <c r="H251" s="855"/>
      <c r="I251" s="855"/>
      <c r="J251" s="855"/>
      <c r="K251" s="855"/>
      <c r="L251" s="855"/>
      <c r="M251" s="855"/>
      <c r="R251" s="796" t="e">
        <f t="shared" ca="1" si="343"/>
        <v>#N/A</v>
      </c>
    </row>
    <row r="252" spans="1:18" ht="15">
      <c r="A252" s="855"/>
      <c r="B252" s="855"/>
      <c r="C252" s="855">
        <f>VLOOKUP(B27,$A$243:$B$251,2,0)</f>
        <v>1</v>
      </c>
      <c r="D252" s="855"/>
      <c r="E252" s="855"/>
      <c r="F252" s="855"/>
      <c r="G252" s="855"/>
      <c r="H252" s="855"/>
      <c r="I252" s="855"/>
      <c r="J252" s="855"/>
      <c r="K252" s="855"/>
      <c r="L252" s="855"/>
      <c r="M252" s="855"/>
      <c r="R252" s="796" t="e">
        <f ca="1">VLOOKUP(B4,$P$189:$Q$241,2,0)</f>
        <v>#N/A</v>
      </c>
    </row>
    <row r="253" spans="1:18" ht="15">
      <c r="A253" s="855"/>
      <c r="B253" s="855"/>
      <c r="C253" s="855">
        <f>VLOOKUP(B28,$A$243:$B$251,2,0)</f>
        <v>5</v>
      </c>
      <c r="D253" s="855"/>
      <c r="E253" s="855"/>
      <c r="F253" s="855"/>
      <c r="G253" s="855"/>
      <c r="H253" s="855"/>
      <c r="I253" s="855"/>
      <c r="J253" s="855"/>
      <c r="K253" s="855"/>
      <c r="L253" s="855"/>
      <c r="M253" s="855"/>
      <c r="R253" s="796" t="e">
        <f ca="1">VLOOKUP(B5,$P$189:$Q$241,2,0)</f>
        <v>#N/A</v>
      </c>
    </row>
    <row r="254" spans="1:18" ht="15">
      <c r="A254" s="855"/>
      <c r="B254" s="855"/>
      <c r="C254" s="855" t="e">
        <f>VLOOKUP(B29,$A$243:$B$251,2,0)</f>
        <v>#N/A</v>
      </c>
      <c r="D254" s="855"/>
      <c r="E254" s="855"/>
      <c r="F254" s="855"/>
      <c r="G254" s="855"/>
      <c r="H254" s="855"/>
      <c r="I254" s="855"/>
      <c r="J254" s="855"/>
      <c r="K254" s="855"/>
      <c r="L254" s="855"/>
      <c r="M254" s="855"/>
      <c r="R254" s="796" t="e">
        <f ca="1">VLOOKUP(B6,$P$189:$Q$241,2,0)</f>
        <v>#N/A</v>
      </c>
    </row>
    <row r="255" spans="1:18" ht="15">
      <c r="A255" s="855"/>
      <c r="B255" s="855"/>
      <c r="C255" s="855" t="e">
        <f>VLOOKUP(B17,$A$243:$B$251,2,0)</f>
        <v>#N/A</v>
      </c>
      <c r="D255" s="855"/>
      <c r="E255" s="855"/>
      <c r="F255" s="855"/>
      <c r="G255" s="855"/>
      <c r="H255" s="855"/>
      <c r="I255" s="855"/>
      <c r="J255" s="855"/>
      <c r="K255" s="855"/>
      <c r="L255" s="855"/>
      <c r="M255" s="855"/>
      <c r="R255" s="796" t="e">
        <f t="shared" ref="R255:R262" ca="1" si="344">VLOOKUP(D3,$P$189:$Q$241,2,0)</f>
        <v>#N/A</v>
      </c>
    </row>
    <row r="256" spans="1:18" ht="15">
      <c r="A256" s="855"/>
      <c r="B256" s="855"/>
      <c r="C256" s="855" t="e">
        <f>VLOOKUP(B18,$A$243:$B$251,2,0)</f>
        <v>#N/A</v>
      </c>
      <c r="D256" s="855"/>
      <c r="E256" s="855"/>
      <c r="F256" s="855"/>
      <c r="G256" s="855"/>
      <c r="H256" s="855"/>
      <c r="I256" s="855"/>
      <c r="J256" s="855"/>
      <c r="K256" s="855"/>
      <c r="L256" s="855"/>
      <c r="M256" s="855"/>
      <c r="R256" s="796">
        <f t="shared" ca="1" si="344"/>
        <v>4</v>
      </c>
    </row>
    <row r="257" spans="1:18" ht="15">
      <c r="A257" s="855"/>
      <c r="B257" s="855"/>
      <c r="C257" s="855" t="e">
        <f>VLOOKUP(B19,$A$243:$B$251,2,0)</f>
        <v>#N/A</v>
      </c>
      <c r="D257" s="855"/>
      <c r="E257" s="855"/>
      <c r="F257" s="855"/>
      <c r="G257" s="855"/>
      <c r="H257" s="855"/>
      <c r="I257" s="855"/>
      <c r="J257" s="855"/>
      <c r="K257" s="855"/>
      <c r="L257" s="855"/>
      <c r="M257" s="855"/>
      <c r="R257" s="796">
        <f t="shared" ca="1" si="344"/>
        <v>3</v>
      </c>
    </row>
    <row r="258" spans="1:18" ht="15">
      <c r="A258" s="855"/>
      <c r="B258" s="855"/>
      <c r="C258" s="855">
        <f>VLOOKUP(B7,$A$243:$B$251,2,0)</f>
        <v>1</v>
      </c>
      <c r="D258" s="855"/>
      <c r="E258" s="855"/>
      <c r="F258" s="855"/>
      <c r="G258" s="855"/>
      <c r="H258" s="855"/>
      <c r="I258" s="855"/>
      <c r="J258" s="855"/>
      <c r="K258" s="855"/>
      <c r="L258" s="855"/>
      <c r="M258" s="855"/>
      <c r="R258" s="796">
        <f t="shared" ca="1" si="344"/>
        <v>3</v>
      </c>
    </row>
    <row r="259" spans="1:18" ht="15">
      <c r="A259" s="855"/>
      <c r="B259" s="855"/>
      <c r="C259" s="855">
        <f>VLOOKUP(B8,$A$243:$B$251,2,0)</f>
        <v>2</v>
      </c>
      <c r="D259" s="855"/>
      <c r="E259" s="855"/>
      <c r="F259" s="855"/>
      <c r="G259" s="855"/>
      <c r="H259" s="855"/>
      <c r="I259" s="855"/>
      <c r="J259" s="855"/>
      <c r="K259" s="855"/>
      <c r="L259" s="855"/>
      <c r="M259" s="855"/>
      <c r="R259" s="796">
        <f t="shared" ca="1" si="344"/>
        <v>4</v>
      </c>
    </row>
    <row r="260" spans="1:18" ht="15">
      <c r="A260" s="855"/>
      <c r="B260" s="855"/>
      <c r="C260" s="855" t="e">
        <f>VLOOKUP(B9,$A$243:$B$251,2,0)</f>
        <v>#N/A</v>
      </c>
      <c r="D260" s="855"/>
      <c r="E260" s="855"/>
      <c r="F260" s="855"/>
      <c r="G260" s="855"/>
      <c r="H260" s="855"/>
      <c r="I260" s="855"/>
      <c r="J260" s="855"/>
      <c r="K260" s="855"/>
      <c r="L260" s="855"/>
      <c r="M260" s="855"/>
      <c r="R260" s="796">
        <f t="shared" ca="1" si="344"/>
        <v>2</v>
      </c>
    </row>
    <row r="261" spans="1:18" ht="15">
      <c r="A261" s="855"/>
      <c r="B261" s="855"/>
      <c r="C261" s="855" t="e">
        <f>VLOOKUP(E8,$A$243:$B$251,2,0)</f>
        <v>#N/A</v>
      </c>
      <c r="D261" s="855"/>
      <c r="E261" s="855"/>
      <c r="F261" s="855"/>
      <c r="G261" s="855"/>
      <c r="H261" s="855"/>
      <c r="I261" s="855"/>
      <c r="J261" s="855"/>
      <c r="K261" s="855"/>
      <c r="L261" s="855"/>
      <c r="M261" s="855"/>
      <c r="R261" s="796" t="e">
        <f t="shared" ca="1" si="344"/>
        <v>#N/A</v>
      </c>
    </row>
    <row r="262" spans="1:18">
      <c r="A262" s="943"/>
      <c r="C262" s="773" t="e">
        <f>VLOOKUP(E9,$A$243:$B$251,2,0)</f>
        <v>#N/A</v>
      </c>
      <c r="R262" s="796" t="e">
        <f t="shared" ca="1" si="344"/>
        <v>#N/A</v>
      </c>
    </row>
    <row r="263" spans="1:18">
      <c r="A263" s="806"/>
      <c r="C263" s="773" t="e">
        <f>VLOOKUP(E10,$A$243:$B$251,2,0)</f>
        <v>#N/A</v>
      </c>
      <c r="R263" s="796" t="e">
        <f ca="1">VLOOKUP(E4,$P$189:$Q$241,2,0)</f>
        <v>#N/A</v>
      </c>
    </row>
    <row r="264" spans="1:18" ht="19.5">
      <c r="A264" s="944"/>
      <c r="C264" s="773" t="e">
        <f>VLOOKUP(H8,$A$243:$B$251,2,0)</f>
        <v>#N/A</v>
      </c>
      <c r="R264" s="796" t="e">
        <f ca="1">VLOOKUP(E5,$P$189:$Q$241,2,0)</f>
        <v>#N/A</v>
      </c>
    </row>
    <row r="265" spans="1:18">
      <c r="A265" s="806"/>
      <c r="C265" s="773" t="e">
        <f>VLOOKUP(H9,$A$243:$B$251,2,0)</f>
        <v>#N/A</v>
      </c>
      <c r="R265" s="796" t="e">
        <f ca="1">VLOOKUP(E6,$P$189:$Q$241,2,0)</f>
        <v>#N/A</v>
      </c>
    </row>
    <row r="266" spans="1:18" ht="14.25">
      <c r="A266" s="805"/>
      <c r="C266" s="773" t="e">
        <f>VLOOKUP(H10,$A$243:$B$251,2,0)</f>
        <v>#N/A</v>
      </c>
      <c r="R266" s="796" t="e">
        <f t="shared" ref="R266:R273" ca="1" si="345">VLOOKUP(G3,$P$189:$Q$241,2,0)</f>
        <v>#N/A</v>
      </c>
    </row>
    <row r="267" spans="1:18" ht="18">
      <c r="A267" s="855"/>
      <c r="B267" s="951"/>
      <c r="C267" s="855">
        <f>VLOOKUP(K7,$A$243:$B$251,2,0)</f>
        <v>4</v>
      </c>
      <c r="D267" s="1027"/>
      <c r="E267" s="1027"/>
      <c r="F267" s="1027"/>
      <c r="G267" s="1027"/>
      <c r="H267" s="1027"/>
      <c r="I267" s="1027"/>
      <c r="J267" s="1027"/>
      <c r="K267" s="1027"/>
      <c r="L267" s="1027"/>
      <c r="M267" s="1027"/>
      <c r="R267" s="796">
        <f t="shared" ca="1" si="345"/>
        <v>3</v>
      </c>
    </row>
    <row r="268" spans="1:18" ht="15">
      <c r="A268" s="855"/>
      <c r="B268" s="855"/>
      <c r="C268" s="855" t="e">
        <f>VLOOKUP(K8,$A$243:$B$251,2,0)</f>
        <v>#N/A</v>
      </c>
      <c r="D268" s="855"/>
      <c r="E268" s="855"/>
      <c r="F268" s="855"/>
      <c r="G268" s="855"/>
      <c r="H268" s="855"/>
      <c r="I268" s="855"/>
      <c r="J268" s="855"/>
      <c r="K268" s="855"/>
      <c r="L268" s="855"/>
      <c r="M268" s="855"/>
      <c r="R268" s="796">
        <f t="shared" ca="1" si="345"/>
        <v>3</v>
      </c>
    </row>
    <row r="269" spans="1:18" ht="18">
      <c r="A269" s="945"/>
      <c r="B269" s="855"/>
      <c r="C269" s="855" t="e">
        <f>VLOOKUP(K9,$A$243:$B$251,2,0)</f>
        <v>#N/A</v>
      </c>
      <c r="D269" s="855"/>
      <c r="E269" s="855"/>
      <c r="F269" s="855"/>
      <c r="G269" s="855"/>
      <c r="H269" s="855"/>
      <c r="I269" s="855"/>
      <c r="J269" s="855"/>
      <c r="K269" s="855"/>
      <c r="L269" s="855"/>
      <c r="M269" s="855"/>
      <c r="R269" s="796">
        <f t="shared" ca="1" si="345"/>
        <v>2</v>
      </c>
    </row>
    <row r="270" spans="1:18" ht="15">
      <c r="A270" s="855"/>
      <c r="B270" s="855"/>
      <c r="C270" s="855">
        <f>VLOOKUP(K17,$A$243:$B$251,2,0)</f>
        <v>3</v>
      </c>
      <c r="D270" s="855"/>
      <c r="E270" s="855"/>
      <c r="F270" s="855"/>
      <c r="G270" s="855"/>
      <c r="H270" s="855"/>
      <c r="I270" s="855"/>
      <c r="J270" s="855"/>
      <c r="K270" s="855"/>
      <c r="L270" s="855"/>
      <c r="M270" s="855"/>
      <c r="R270" s="796">
        <f t="shared" ca="1" si="345"/>
        <v>1</v>
      </c>
    </row>
    <row r="271" spans="1:18" ht="15">
      <c r="A271" s="855"/>
      <c r="B271" s="855"/>
      <c r="C271" s="855">
        <f>VLOOKUP(K18,$A$243:$B$251,2,0)</f>
        <v>5</v>
      </c>
      <c r="D271" s="855"/>
      <c r="E271" s="855"/>
      <c r="F271" s="855"/>
      <c r="G271" s="855"/>
      <c r="H271" s="855"/>
      <c r="I271" s="855"/>
      <c r="J271" s="855"/>
      <c r="K271" s="855"/>
      <c r="L271" s="855"/>
      <c r="M271" s="855"/>
      <c r="R271" s="796" t="e">
        <f t="shared" ca="1" si="345"/>
        <v>#N/A</v>
      </c>
    </row>
    <row r="272" spans="1:18" ht="15">
      <c r="A272" s="855"/>
      <c r="B272" s="855"/>
      <c r="C272" s="855" t="e">
        <f>VLOOKUP(K19,$A$243:$B$251,2,0)</f>
        <v>#N/A</v>
      </c>
      <c r="D272" s="855"/>
      <c r="E272" s="855"/>
      <c r="F272" s="855"/>
      <c r="G272" s="855"/>
      <c r="H272" s="855"/>
      <c r="I272" s="855"/>
      <c r="J272" s="855"/>
      <c r="K272" s="855"/>
      <c r="L272" s="855"/>
      <c r="M272" s="855"/>
      <c r="R272" s="796" t="e">
        <f t="shared" ca="1" si="345"/>
        <v>#N/A</v>
      </c>
    </row>
    <row r="273" spans="1:18" ht="15">
      <c r="A273" s="855"/>
      <c r="B273" s="855"/>
      <c r="C273" s="855">
        <f>VLOOKUP(K27,$A$243:$B$251,2,0)</f>
        <v>4</v>
      </c>
      <c r="D273" s="855"/>
      <c r="E273" s="855"/>
      <c r="F273" s="855"/>
      <c r="G273" s="855"/>
      <c r="H273" s="855"/>
      <c r="I273" s="855"/>
      <c r="J273" s="855"/>
      <c r="K273" s="855"/>
      <c r="L273" s="855"/>
      <c r="M273" s="855"/>
      <c r="R273" s="796" t="e">
        <f t="shared" ca="1" si="345"/>
        <v>#N/A</v>
      </c>
    </row>
    <row r="274" spans="1:18" ht="15">
      <c r="A274" s="855"/>
      <c r="B274" s="855"/>
      <c r="C274" s="855" t="e">
        <f>VLOOKUP(K28,$A$243:$B$251,2,0)</f>
        <v>#N/A</v>
      </c>
      <c r="D274" s="855"/>
      <c r="E274" s="855"/>
      <c r="F274" s="855"/>
      <c r="G274" s="855"/>
      <c r="H274" s="855"/>
      <c r="I274" s="855"/>
      <c r="J274" s="855"/>
      <c r="K274" s="855"/>
      <c r="L274" s="855"/>
      <c r="M274" s="855"/>
      <c r="R274" s="796" t="e">
        <f ca="1">VLOOKUP(H4,$P$189:$Q$241,2,0)</f>
        <v>#N/A</v>
      </c>
    </row>
    <row r="275" spans="1:18" ht="15">
      <c r="A275" s="855"/>
      <c r="B275" s="855"/>
      <c r="C275" s="855" t="e">
        <f>VLOOKUP(K29,$A$243:$B$251,2,0)</f>
        <v>#N/A</v>
      </c>
      <c r="D275" s="855"/>
      <c r="E275" s="855"/>
      <c r="F275" s="855"/>
      <c r="G275" s="855"/>
      <c r="H275" s="855"/>
      <c r="I275" s="855"/>
      <c r="J275" s="855"/>
      <c r="K275" s="855"/>
      <c r="L275" s="855"/>
      <c r="M275" s="855"/>
      <c r="R275" s="796" t="e">
        <f ca="1">VLOOKUP(H5,$P$189:$Q$241,2,0)</f>
        <v>#N/A</v>
      </c>
    </row>
    <row r="276" spans="1:18" ht="15">
      <c r="A276" s="855"/>
      <c r="B276" s="855"/>
      <c r="C276" s="855">
        <f>VLOOKUP(K37,$A$243:$B$251,2,0)</f>
        <v>4</v>
      </c>
      <c r="D276" s="855"/>
      <c r="E276" s="855"/>
      <c r="F276" s="855"/>
      <c r="G276" s="855"/>
      <c r="H276" s="855"/>
      <c r="I276" s="855"/>
      <c r="J276" s="855"/>
      <c r="K276" s="855"/>
      <c r="L276" s="855"/>
      <c r="M276" s="855"/>
      <c r="R276" s="796" t="e">
        <f ca="1">VLOOKUP(H6,$P$189:$Q$241,2,0)</f>
        <v>#N/A</v>
      </c>
    </row>
    <row r="277" spans="1:18" ht="15">
      <c r="A277" s="855"/>
      <c r="B277" s="855"/>
      <c r="C277" s="855" t="e">
        <f>VLOOKUP(K38,$A$243:$B$251,2,0)</f>
        <v>#N/A</v>
      </c>
      <c r="D277" s="855"/>
      <c r="E277" s="855"/>
      <c r="F277" s="855"/>
      <c r="G277" s="855"/>
      <c r="H277" s="855"/>
      <c r="I277" s="855"/>
      <c r="J277" s="855"/>
      <c r="K277" s="855"/>
      <c r="L277" s="855"/>
      <c r="M277" s="855"/>
      <c r="R277" s="796" t="e">
        <f t="shared" ref="R277:R284" ca="1" si="346">VLOOKUP(J3,$P$189:$Q$241,2,0)</f>
        <v>#N/A</v>
      </c>
    </row>
    <row r="278" spans="1:18" ht="15">
      <c r="A278" s="855"/>
      <c r="B278" s="855"/>
      <c r="C278" s="855" t="e">
        <f>VLOOKUP(K39,$A$243:$B$251,2,0)</f>
        <v>#N/A</v>
      </c>
      <c r="D278" s="855"/>
      <c r="E278" s="855"/>
      <c r="F278" s="855"/>
      <c r="G278" s="855"/>
      <c r="H278" s="855"/>
      <c r="I278" s="855"/>
      <c r="J278" s="855"/>
      <c r="K278" s="855"/>
      <c r="L278" s="855"/>
      <c r="M278" s="855"/>
      <c r="R278" s="796">
        <f t="shared" ca="1" si="346"/>
        <v>5</v>
      </c>
    </row>
    <row r="279" spans="1:18" ht="15">
      <c r="A279" s="855"/>
      <c r="B279" s="855"/>
      <c r="C279" s="855"/>
      <c r="D279" s="855"/>
      <c r="E279" s="855"/>
      <c r="F279" s="855"/>
      <c r="G279" s="855"/>
      <c r="H279" s="855"/>
      <c r="I279" s="855"/>
      <c r="J279" s="855"/>
      <c r="K279" s="855"/>
      <c r="L279" s="855"/>
      <c r="M279" s="855"/>
      <c r="R279" s="796">
        <f t="shared" ca="1" si="346"/>
        <v>1</v>
      </c>
    </row>
    <row r="280" spans="1:18" ht="15">
      <c r="A280" s="855"/>
      <c r="B280" s="855"/>
      <c r="C280" s="855"/>
      <c r="D280" s="855"/>
      <c r="E280" s="855"/>
      <c r="F280" s="855"/>
      <c r="G280" s="855"/>
      <c r="H280" s="855"/>
      <c r="I280" s="855"/>
      <c r="J280" s="855"/>
      <c r="K280" s="855"/>
      <c r="L280" s="855"/>
      <c r="M280" s="855"/>
      <c r="R280" s="796">
        <f t="shared" ca="1" si="346"/>
        <v>1</v>
      </c>
    </row>
    <row r="281" spans="1:18" ht="15">
      <c r="A281" s="855"/>
      <c r="B281" s="855"/>
      <c r="C281" s="855"/>
      <c r="D281" s="855"/>
      <c r="E281" s="855"/>
      <c r="F281" s="855"/>
      <c r="G281" s="855"/>
      <c r="H281" s="855"/>
      <c r="I281" s="855"/>
      <c r="J281" s="855"/>
      <c r="K281" s="855"/>
      <c r="L281" s="855"/>
      <c r="M281" s="855"/>
      <c r="R281" s="796" t="e">
        <f t="shared" ca="1" si="346"/>
        <v>#N/A</v>
      </c>
    </row>
    <row r="282" spans="1:18">
      <c r="A282" s="943"/>
      <c r="R282" s="796" t="e">
        <f t="shared" ca="1" si="346"/>
        <v>#N/A</v>
      </c>
    </row>
    <row r="283" spans="1:18">
      <c r="A283" s="806"/>
      <c r="R283" s="796" t="e">
        <f t="shared" ca="1" si="346"/>
        <v>#N/A</v>
      </c>
    </row>
    <row r="284" spans="1:18" ht="19.5">
      <c r="A284" s="944"/>
      <c r="R284" s="796" t="e">
        <f t="shared" ca="1" si="346"/>
        <v>#N/A</v>
      </c>
    </row>
    <row r="285" spans="1:18">
      <c r="A285" s="946"/>
      <c r="R285" s="796" t="e">
        <f ca="1">VLOOKUP(H4,$P$189:$Q$241,2,0)</f>
        <v>#N/A</v>
      </c>
    </row>
    <row r="286" spans="1:18" ht="16.5">
      <c r="A286" s="947"/>
      <c r="R286" s="796" t="e">
        <f ca="1">VLOOKUP(H5,$P$189:$Q$241,2,0)</f>
        <v>#N/A</v>
      </c>
    </row>
    <row r="287" spans="1:18">
      <c r="A287" s="806"/>
      <c r="R287" s="796" t="e">
        <f ca="1">VLOOKUP(H6,$P$189:$Q$241,2,0)</f>
        <v>#N/A</v>
      </c>
    </row>
    <row r="288" spans="1:18" ht="15">
      <c r="A288" s="948"/>
      <c r="R288" s="796" t="e">
        <f t="shared" ref="R288:R296" ca="1" si="347">VLOOKUP(J12,$P$189:$Q$241,2,0)</f>
        <v>#N/A</v>
      </c>
    </row>
    <row r="289" spans="1:18" ht="18">
      <c r="A289" s="945"/>
      <c r="B289" s="1026"/>
      <c r="C289" s="1026"/>
      <c r="D289" s="1026"/>
      <c r="E289" s="1026"/>
      <c r="F289" s="1026"/>
      <c r="G289" s="1026"/>
      <c r="H289" s="1026"/>
      <c r="I289" s="1026"/>
      <c r="J289" s="1026"/>
      <c r="K289" s="1026"/>
      <c r="L289" s="1026"/>
      <c r="M289" s="1026"/>
      <c r="R289" s="796" t="e">
        <f t="shared" ca="1" si="347"/>
        <v>#N/A</v>
      </c>
    </row>
    <row r="290" spans="1:18" ht="15">
      <c r="A290" s="855"/>
      <c r="B290" s="855"/>
      <c r="C290" s="855"/>
      <c r="D290" s="855"/>
      <c r="E290" s="855"/>
      <c r="F290" s="855"/>
      <c r="G290" s="855"/>
      <c r="H290" s="855"/>
      <c r="I290" s="855"/>
      <c r="J290" s="855"/>
      <c r="K290" s="855"/>
      <c r="L290" s="855"/>
      <c r="M290" s="855"/>
      <c r="R290" s="796">
        <f t="shared" ca="1" si="347"/>
        <v>5</v>
      </c>
    </row>
    <row r="291" spans="1:18" ht="15">
      <c r="A291" s="855"/>
      <c r="B291" s="855"/>
      <c r="C291" s="855"/>
      <c r="D291" s="855"/>
      <c r="E291" s="855"/>
      <c r="F291" s="855"/>
      <c r="G291" s="855"/>
      <c r="H291" s="855"/>
      <c r="I291" s="855"/>
      <c r="J291" s="855"/>
      <c r="K291" s="855"/>
      <c r="L291" s="855"/>
      <c r="M291" s="855"/>
      <c r="R291" s="796">
        <f t="shared" ca="1" si="347"/>
        <v>5</v>
      </c>
    </row>
    <row r="292" spans="1:18" ht="15">
      <c r="A292" s="855"/>
      <c r="B292" s="855"/>
      <c r="C292" s="855"/>
      <c r="D292" s="855"/>
      <c r="E292" s="855"/>
      <c r="F292" s="855"/>
      <c r="G292" s="855"/>
      <c r="H292" s="855"/>
      <c r="I292" s="855"/>
      <c r="J292" s="855"/>
      <c r="K292" s="855"/>
      <c r="L292" s="855"/>
      <c r="M292" s="855"/>
      <c r="R292" s="796">
        <f t="shared" ca="1" si="347"/>
        <v>3</v>
      </c>
    </row>
    <row r="293" spans="1:18" ht="15">
      <c r="A293" s="855"/>
      <c r="B293" s="855"/>
      <c r="C293" s="855"/>
      <c r="D293" s="855"/>
      <c r="E293" s="855"/>
      <c r="F293" s="855"/>
      <c r="G293" s="855"/>
      <c r="H293" s="855"/>
      <c r="I293" s="855"/>
      <c r="J293" s="855"/>
      <c r="K293" s="855"/>
      <c r="L293" s="855"/>
      <c r="M293" s="855"/>
      <c r="R293" s="796">
        <f t="shared" ca="1" si="347"/>
        <v>1</v>
      </c>
    </row>
    <row r="294" spans="1:18" ht="15">
      <c r="A294" s="855"/>
      <c r="B294" s="855"/>
      <c r="C294" s="855"/>
      <c r="D294" s="855"/>
      <c r="E294" s="855"/>
      <c r="F294" s="855"/>
      <c r="G294" s="855"/>
      <c r="H294" s="855"/>
      <c r="I294" s="855"/>
      <c r="J294" s="855"/>
      <c r="K294" s="855"/>
      <c r="L294" s="855"/>
      <c r="M294" s="855"/>
      <c r="R294" s="796">
        <f t="shared" ca="1" si="347"/>
        <v>5</v>
      </c>
    </row>
    <row r="295" spans="1:18" ht="15">
      <c r="A295" s="855"/>
      <c r="B295" s="855"/>
      <c r="C295" s="855"/>
      <c r="D295" s="855"/>
      <c r="E295" s="855"/>
      <c r="F295" s="855"/>
      <c r="G295" s="855"/>
      <c r="H295" s="855"/>
      <c r="I295" s="855"/>
      <c r="J295" s="855"/>
      <c r="K295" s="855"/>
      <c r="L295" s="855"/>
      <c r="M295" s="855"/>
      <c r="R295" s="796">
        <f t="shared" ca="1" si="347"/>
        <v>5</v>
      </c>
    </row>
    <row r="296" spans="1:18" ht="15">
      <c r="A296" s="855"/>
      <c r="B296" s="855"/>
      <c r="C296" s="855"/>
      <c r="D296" s="855"/>
      <c r="E296" s="855"/>
      <c r="F296" s="855"/>
      <c r="G296" s="855"/>
      <c r="H296" s="855"/>
      <c r="I296" s="855"/>
      <c r="J296" s="855"/>
      <c r="K296" s="855"/>
      <c r="L296" s="855"/>
      <c r="M296" s="855"/>
      <c r="R296" s="796" t="e">
        <f t="shared" ca="1" si="347"/>
        <v>#N/A</v>
      </c>
    </row>
    <row r="297" spans="1:18" ht="15">
      <c r="A297" s="855"/>
      <c r="B297" s="855"/>
      <c r="C297" s="855"/>
      <c r="D297" s="855"/>
      <c r="E297" s="855"/>
      <c r="F297" s="855"/>
      <c r="G297" s="855"/>
      <c r="H297" s="855"/>
      <c r="I297" s="855"/>
      <c r="J297" s="855"/>
      <c r="K297" s="855"/>
      <c r="L297" s="855"/>
      <c r="M297" s="855"/>
      <c r="R297" s="796" t="e">
        <f ca="1">VLOOKUP(K15,$P$189:$Q$241,2,0)</f>
        <v>#N/A</v>
      </c>
    </row>
    <row r="298" spans="1:18" ht="15">
      <c r="A298" s="855"/>
      <c r="B298" s="855"/>
      <c r="C298" s="855"/>
      <c r="D298" s="855"/>
      <c r="E298" s="855"/>
      <c r="F298" s="855"/>
      <c r="G298" s="855"/>
      <c r="H298" s="855"/>
      <c r="I298" s="855"/>
      <c r="J298" s="855"/>
      <c r="K298" s="855"/>
      <c r="L298" s="855"/>
      <c r="M298" s="855"/>
      <c r="R298" s="796" t="e">
        <f ca="1">VLOOKUP(K16,$P$189:$Q$241,2,0)</f>
        <v>#N/A</v>
      </c>
    </row>
    <row r="299" spans="1:18" ht="15">
      <c r="A299" s="855"/>
      <c r="B299" s="855"/>
      <c r="C299" s="855"/>
      <c r="D299" s="855"/>
      <c r="E299" s="855"/>
      <c r="F299" s="855"/>
      <c r="G299" s="855"/>
      <c r="H299" s="855"/>
      <c r="I299" s="855"/>
      <c r="J299" s="855"/>
      <c r="K299" s="855"/>
      <c r="L299" s="855"/>
      <c r="M299" s="855"/>
      <c r="R299" s="796">
        <f t="shared" ref="R299:R306" ca="1" si="348">VLOOKUP(J23,$P$189:$Q$241,2,0)</f>
        <v>2</v>
      </c>
    </row>
    <row r="300" spans="1:18" ht="15">
      <c r="A300" s="855"/>
      <c r="B300" s="855"/>
      <c r="C300" s="855"/>
      <c r="D300" s="855"/>
      <c r="E300" s="855"/>
      <c r="F300" s="855"/>
      <c r="G300" s="855"/>
      <c r="H300" s="855"/>
      <c r="I300" s="855"/>
      <c r="J300" s="855"/>
      <c r="K300" s="855"/>
      <c r="L300" s="855"/>
      <c r="M300" s="855"/>
      <c r="R300" s="796">
        <f t="shared" ca="1" si="348"/>
        <v>5</v>
      </c>
    </row>
    <row r="301" spans="1:18" ht="15">
      <c r="A301" s="855"/>
      <c r="B301" s="855"/>
      <c r="C301" s="855"/>
      <c r="D301" s="855"/>
      <c r="E301" s="855"/>
      <c r="F301" s="855"/>
      <c r="G301" s="855"/>
      <c r="H301" s="855"/>
      <c r="I301" s="855"/>
      <c r="J301" s="855"/>
      <c r="K301" s="855"/>
      <c r="L301" s="855"/>
      <c r="M301" s="855"/>
      <c r="R301" s="796">
        <f t="shared" ca="1" si="348"/>
        <v>5</v>
      </c>
    </row>
    <row r="302" spans="1:18" ht="15">
      <c r="A302" s="855"/>
      <c r="B302" s="855"/>
      <c r="C302" s="855"/>
      <c r="D302" s="855"/>
      <c r="E302" s="855"/>
      <c r="F302" s="855"/>
      <c r="G302" s="855"/>
      <c r="H302" s="855"/>
      <c r="I302" s="855"/>
      <c r="J302" s="855"/>
      <c r="K302" s="855"/>
      <c r="L302" s="855"/>
      <c r="M302" s="855"/>
      <c r="R302" s="796">
        <f t="shared" ca="1" si="348"/>
        <v>4</v>
      </c>
    </row>
    <row r="303" spans="1:18" ht="15">
      <c r="A303" s="855"/>
      <c r="B303" s="855"/>
      <c r="C303" s="855"/>
      <c r="D303" s="855"/>
      <c r="E303" s="855"/>
      <c r="F303" s="855"/>
      <c r="G303" s="855"/>
      <c r="H303" s="855"/>
      <c r="I303" s="855"/>
      <c r="J303" s="855"/>
      <c r="K303" s="855"/>
      <c r="L303" s="855"/>
      <c r="M303" s="855"/>
      <c r="R303" s="796">
        <f t="shared" ca="1" si="348"/>
        <v>1</v>
      </c>
    </row>
    <row r="304" spans="1:18">
      <c r="A304" s="943"/>
      <c r="R304" s="796">
        <f t="shared" ca="1" si="348"/>
        <v>4</v>
      </c>
    </row>
    <row r="305" spans="1:18">
      <c r="A305" s="806"/>
      <c r="R305" s="796">
        <f t="shared" ca="1" si="348"/>
        <v>1</v>
      </c>
    </row>
    <row r="306" spans="1:18" ht="19.5">
      <c r="A306" s="944"/>
      <c r="R306" s="796" t="e">
        <f t="shared" ca="1" si="348"/>
        <v>#N/A</v>
      </c>
    </row>
    <row r="307" spans="1:18">
      <c r="A307" s="949"/>
      <c r="R307" s="796" t="e">
        <f ca="1">VLOOKUP(K24,$P$189:$Q$241,2,0)</f>
        <v>#N/A</v>
      </c>
    </row>
    <row r="308" spans="1:18">
      <c r="A308" s="806"/>
      <c r="R308" s="796" t="e">
        <f ca="1">VLOOKUP(K25,$P$189:$Q$241,2,0)</f>
        <v>#N/A</v>
      </c>
    </row>
    <row r="309" spans="1:18">
      <c r="A309" s="806"/>
      <c r="R309" s="796" t="e">
        <f ca="1">VLOOKUP(K26,$P$189:$Q$241,2,0)</f>
        <v>#N/A</v>
      </c>
    </row>
    <row r="310" spans="1:18" ht="18">
      <c r="A310" s="945"/>
      <c r="B310" s="1027"/>
      <c r="C310" s="1027"/>
      <c r="D310" s="1027"/>
      <c r="E310" s="1027"/>
      <c r="F310" s="1027"/>
      <c r="G310" s="1027"/>
      <c r="H310" s="1027"/>
      <c r="I310" s="1027"/>
      <c r="J310" s="1027"/>
      <c r="K310" s="1027"/>
      <c r="L310" s="1027"/>
      <c r="M310" s="1027"/>
      <c r="R310" s="796" t="e">
        <f t="shared" ref="R310:R318" ca="1" si="349">VLOOKUP(J32,$P$189:$Q$241,2,0)</f>
        <v>#N/A</v>
      </c>
    </row>
    <row r="311" spans="1:18" ht="15">
      <c r="A311" s="855"/>
      <c r="B311" s="855"/>
      <c r="C311" s="855"/>
      <c r="D311" s="855"/>
      <c r="E311" s="855"/>
      <c r="F311" s="855"/>
      <c r="G311" s="855"/>
      <c r="H311" s="855"/>
      <c r="I311" s="855"/>
      <c r="J311" s="855"/>
      <c r="K311" s="855"/>
      <c r="L311" s="855"/>
      <c r="M311" s="855"/>
      <c r="R311" s="796" t="e">
        <f t="shared" ca="1" si="349"/>
        <v>#N/A</v>
      </c>
    </row>
    <row r="312" spans="1:18" ht="15">
      <c r="A312" s="855"/>
      <c r="B312" s="855"/>
      <c r="C312" s="855"/>
      <c r="D312" s="855"/>
      <c r="E312" s="855"/>
      <c r="F312" s="855"/>
      <c r="G312" s="855"/>
      <c r="H312" s="855"/>
      <c r="I312" s="855"/>
      <c r="J312" s="855"/>
      <c r="K312" s="855"/>
      <c r="L312" s="855"/>
      <c r="M312" s="855"/>
      <c r="R312" s="796">
        <f t="shared" ca="1" si="349"/>
        <v>3</v>
      </c>
    </row>
    <row r="313" spans="1:18" ht="15">
      <c r="A313" s="855"/>
      <c r="B313" s="855"/>
      <c r="C313" s="855"/>
      <c r="D313" s="855"/>
      <c r="E313" s="855"/>
      <c r="F313" s="855"/>
      <c r="G313" s="855"/>
      <c r="H313" s="855"/>
      <c r="I313" s="855"/>
      <c r="J313" s="855"/>
      <c r="K313" s="855"/>
      <c r="L313" s="855"/>
      <c r="M313" s="855"/>
      <c r="R313" s="796">
        <f t="shared" ca="1" si="349"/>
        <v>1</v>
      </c>
    </row>
    <row r="314" spans="1:18" ht="15">
      <c r="A314" s="855"/>
      <c r="B314" s="855"/>
      <c r="C314" s="855"/>
      <c r="D314" s="855"/>
      <c r="E314" s="855"/>
      <c r="F314" s="855"/>
      <c r="G314" s="855"/>
      <c r="H314" s="855"/>
      <c r="I314" s="855"/>
      <c r="J314" s="855"/>
      <c r="K314" s="855"/>
      <c r="L314" s="855"/>
      <c r="M314" s="855"/>
      <c r="R314" s="796">
        <f t="shared" ca="1" si="349"/>
        <v>5</v>
      </c>
    </row>
    <row r="315" spans="1:18" ht="15">
      <c r="A315" s="855"/>
      <c r="B315" s="855"/>
      <c r="C315" s="855"/>
      <c r="D315" s="855"/>
      <c r="E315" s="855"/>
      <c r="F315" s="855"/>
      <c r="G315" s="855"/>
      <c r="H315" s="855"/>
      <c r="I315" s="855"/>
      <c r="J315" s="855"/>
      <c r="K315" s="855"/>
      <c r="L315" s="855"/>
      <c r="M315" s="855"/>
      <c r="R315" s="796" t="e">
        <f t="shared" ca="1" si="349"/>
        <v>#N/A</v>
      </c>
    </row>
    <row r="316" spans="1:18" ht="15">
      <c r="A316" s="855"/>
      <c r="B316" s="855"/>
      <c r="C316" s="855"/>
      <c r="D316" s="855"/>
      <c r="E316" s="855"/>
      <c r="F316" s="855"/>
      <c r="G316" s="855"/>
      <c r="H316" s="855"/>
      <c r="I316" s="855"/>
      <c r="J316" s="855"/>
      <c r="K316" s="855"/>
      <c r="L316" s="855"/>
      <c r="M316" s="855"/>
      <c r="R316" s="796" t="e">
        <f t="shared" ca="1" si="349"/>
        <v>#N/A</v>
      </c>
    </row>
    <row r="317" spans="1:18" ht="15">
      <c r="A317" s="855"/>
      <c r="B317" s="855"/>
      <c r="C317" s="855"/>
      <c r="D317" s="855"/>
      <c r="E317" s="855"/>
      <c r="F317" s="855"/>
      <c r="G317" s="855"/>
      <c r="H317" s="855"/>
      <c r="I317" s="855"/>
      <c r="J317" s="855"/>
      <c r="K317" s="855"/>
      <c r="L317" s="855"/>
      <c r="M317" s="855"/>
      <c r="R317" s="796" t="e">
        <f t="shared" ca="1" si="349"/>
        <v>#N/A</v>
      </c>
    </row>
    <row r="318" spans="1:18" ht="15">
      <c r="A318" s="855"/>
      <c r="B318" s="855"/>
      <c r="C318" s="855"/>
      <c r="D318" s="855"/>
      <c r="E318" s="855"/>
      <c r="F318" s="855"/>
      <c r="G318" s="855"/>
      <c r="H318" s="855"/>
      <c r="I318" s="855"/>
      <c r="J318" s="855"/>
      <c r="K318" s="855"/>
      <c r="L318" s="855"/>
      <c r="M318" s="855"/>
      <c r="R318" s="796" t="e">
        <f t="shared" ca="1" si="349"/>
        <v>#N/A</v>
      </c>
    </row>
    <row r="319" spans="1:18" ht="15">
      <c r="A319" s="855"/>
      <c r="B319" s="855"/>
      <c r="C319" s="855"/>
      <c r="D319" s="855"/>
      <c r="E319" s="855"/>
      <c r="F319" s="855"/>
      <c r="G319" s="855"/>
      <c r="H319" s="855"/>
      <c r="I319" s="855"/>
      <c r="J319" s="855"/>
      <c r="K319" s="855"/>
      <c r="L319" s="855"/>
      <c r="M319" s="855"/>
      <c r="R319" s="796" t="e">
        <f ca="1">VLOOKUP(K35,$P$189:$Q$241,2,0)</f>
        <v>#N/A</v>
      </c>
    </row>
    <row r="320" spans="1:18" ht="15">
      <c r="A320" s="855"/>
      <c r="B320" s="855"/>
      <c r="C320" s="855"/>
      <c r="D320" s="855"/>
      <c r="E320" s="855"/>
      <c r="F320" s="855"/>
      <c r="G320" s="855"/>
      <c r="H320" s="855"/>
      <c r="I320" s="855"/>
      <c r="J320" s="855"/>
      <c r="K320" s="855"/>
      <c r="L320" s="855"/>
      <c r="M320" s="855"/>
      <c r="R320" s="796" t="e">
        <f ca="1">VLOOKUP(K36,$P$189:$Q$241,2,0)</f>
        <v>#N/A</v>
      </c>
    </row>
    <row r="321" spans="1:13" ht="15">
      <c r="A321" s="855"/>
      <c r="B321" s="855"/>
      <c r="C321" s="855"/>
      <c r="D321" s="855"/>
      <c r="E321" s="855"/>
      <c r="F321" s="855"/>
      <c r="G321" s="855"/>
      <c r="H321" s="855"/>
      <c r="I321" s="855"/>
      <c r="J321" s="855"/>
      <c r="K321" s="855"/>
      <c r="L321" s="855"/>
      <c r="M321" s="855"/>
    </row>
    <row r="322" spans="1:13" ht="15">
      <c r="A322" s="855"/>
      <c r="B322" s="855"/>
      <c r="C322" s="855"/>
      <c r="D322" s="855"/>
      <c r="E322" s="855"/>
      <c r="F322" s="855"/>
      <c r="G322" s="855"/>
      <c r="H322" s="855"/>
      <c r="I322" s="855"/>
      <c r="J322" s="855"/>
      <c r="K322" s="855"/>
      <c r="L322" s="855"/>
      <c r="M322" s="855"/>
    </row>
    <row r="323" spans="1:13" ht="15">
      <c r="A323" s="855"/>
      <c r="B323" s="855"/>
      <c r="C323" s="855"/>
      <c r="D323" s="855"/>
      <c r="E323" s="855"/>
      <c r="F323" s="855"/>
      <c r="G323" s="855"/>
      <c r="H323" s="855"/>
      <c r="I323" s="855"/>
      <c r="J323" s="855"/>
      <c r="K323" s="855"/>
      <c r="L323" s="855"/>
      <c r="M323" s="855"/>
    </row>
    <row r="324" spans="1:13" ht="15">
      <c r="A324" s="855"/>
      <c r="B324" s="855"/>
      <c r="C324" s="855"/>
      <c r="D324" s="855"/>
      <c r="E324" s="855"/>
      <c r="F324" s="855"/>
      <c r="G324" s="855"/>
      <c r="H324" s="855"/>
      <c r="I324" s="855"/>
      <c r="J324" s="855"/>
      <c r="K324" s="855"/>
      <c r="L324" s="855"/>
      <c r="M324" s="855"/>
    </row>
    <row r="325" spans="1:13">
      <c r="A325" s="950"/>
    </row>
    <row r="326" spans="1:13">
      <c r="A326" s="806"/>
    </row>
    <row r="366" ht="30" customHeight="1"/>
  </sheetData>
  <mergeCells count="51">
    <mergeCell ref="B10:B11"/>
    <mergeCell ref="K10:K11"/>
    <mergeCell ref="F11:G11"/>
    <mergeCell ref="B30:B31"/>
    <mergeCell ref="F30:G30"/>
    <mergeCell ref="K30:K31"/>
    <mergeCell ref="X31:X32"/>
    <mergeCell ref="L66:L67"/>
    <mergeCell ref="K145:K146"/>
    <mergeCell ref="L145:L146"/>
    <mergeCell ref="M145:M146"/>
    <mergeCell ref="J164:J165"/>
    <mergeCell ref="I145:I146"/>
    <mergeCell ref="J145:J146"/>
    <mergeCell ref="A166:M166"/>
    <mergeCell ref="A145:A146"/>
    <mergeCell ref="F145:F146"/>
    <mergeCell ref="G145:G146"/>
    <mergeCell ref="H145:H146"/>
    <mergeCell ref="B224:C225"/>
    <mergeCell ref="D224:E225"/>
    <mergeCell ref="F224:G225"/>
    <mergeCell ref="H224:I225"/>
    <mergeCell ref="G164:G165"/>
    <mergeCell ref="I164:I165"/>
    <mergeCell ref="A205:D205"/>
    <mergeCell ref="B206:C207"/>
    <mergeCell ref="D206:E207"/>
    <mergeCell ref="F206:G207"/>
    <mergeCell ref="H206:I207"/>
    <mergeCell ref="L247:M247"/>
    <mergeCell ref="D267:E267"/>
    <mergeCell ref="F267:G267"/>
    <mergeCell ref="H267:I267"/>
    <mergeCell ref="J267:K267"/>
    <mergeCell ref="L267:M267"/>
    <mergeCell ref="D247:E247"/>
    <mergeCell ref="F247:G247"/>
    <mergeCell ref="H247:I247"/>
    <mergeCell ref="J289:K289"/>
    <mergeCell ref="L289:M289"/>
    <mergeCell ref="B310:C310"/>
    <mergeCell ref="D310:E310"/>
    <mergeCell ref="F310:G310"/>
    <mergeCell ref="H310:I310"/>
    <mergeCell ref="J310:K310"/>
    <mergeCell ref="L310:M310"/>
    <mergeCell ref="B289:C289"/>
    <mergeCell ref="D289:E289"/>
    <mergeCell ref="F289:G289"/>
    <mergeCell ref="H289:I289"/>
  </mergeCells>
  <phoneticPr fontId="3" type="noConversion"/>
  <conditionalFormatting sqref="A3:A10">
    <cfRule type="expression" dxfId="176" priority="68" stopIfTrue="1">
      <formula>IF(R244=3,1,0)</formula>
    </cfRule>
    <cfRule type="expression" dxfId="175" priority="69" stopIfTrue="1">
      <formula>IF(R244=2,1,0)</formula>
    </cfRule>
    <cfRule type="expression" dxfId="174" priority="70" stopIfTrue="1">
      <formula>IF(R244=1,1,0)</formula>
    </cfRule>
  </conditionalFormatting>
  <conditionalFormatting sqref="A12:A20">
    <cfRule type="expression" dxfId="173" priority="62" stopIfTrue="1">
      <formula>IF(R233=3,1,0)</formula>
    </cfRule>
    <cfRule type="expression" dxfId="172" priority="63" stopIfTrue="1">
      <formula>IF(R233=2,1,0)</formula>
    </cfRule>
    <cfRule type="expression" dxfId="171" priority="64" stopIfTrue="1">
      <formula>IF(R233=1,1,0)</formula>
    </cfRule>
  </conditionalFormatting>
  <conditionalFormatting sqref="A23:A30">
    <cfRule type="expression" dxfId="170" priority="56" stopIfTrue="1">
      <formula>IF(R222=3,1,0)</formula>
    </cfRule>
    <cfRule type="expression" dxfId="169" priority="57" stopIfTrue="1">
      <formula>IF(R222=2,1,0)</formula>
    </cfRule>
    <cfRule type="expression" dxfId="168" priority="58" stopIfTrue="1">
      <formula>IF(R222=1,1,0)</formula>
    </cfRule>
  </conditionalFormatting>
  <conditionalFormatting sqref="A32:A40">
    <cfRule type="expression" dxfId="167" priority="143" stopIfTrue="1">
      <formula>IF(R211=3,1,0)</formula>
    </cfRule>
    <cfRule type="expression" dxfId="166" priority="144" stopIfTrue="1">
      <formula>IF(R211=2,1,0)</formula>
    </cfRule>
    <cfRule type="expression" dxfId="165" priority="145" stopIfTrue="1">
      <formula>IF(R211=1,1,0)</formula>
    </cfRule>
  </conditionalFormatting>
  <conditionalFormatting sqref="B1:B2">
    <cfRule type="expression" dxfId="164" priority="119" stopIfTrue="1">
      <formula>IF(K233=3,1,0)</formula>
    </cfRule>
    <cfRule type="expression" dxfId="163" priority="120" stopIfTrue="1">
      <formula>IF(K233=2,1,0)</formula>
    </cfRule>
    <cfRule type="expression" dxfId="162" priority="121" stopIfTrue="1">
      <formula>IF(K233=1,1,0)</formula>
    </cfRule>
  </conditionalFormatting>
  <conditionalFormatting sqref="B4:B6">
    <cfRule type="expression" dxfId="161" priority="71" stopIfTrue="1">
      <formula>IF(R252=3,1,0)</formula>
    </cfRule>
    <cfRule type="expression" dxfId="160" priority="72" stopIfTrue="1">
      <formula>IF(R252=2,1,0)</formula>
    </cfRule>
    <cfRule type="expression" dxfId="159" priority="73" stopIfTrue="1">
      <formula>IF(R252=1,1,0)</formula>
    </cfRule>
  </conditionalFormatting>
  <conditionalFormatting sqref="B7:B9">
    <cfRule type="expression" dxfId="158" priority="303" stopIfTrue="1">
      <formula>IF(C258=1,1,0)</formula>
    </cfRule>
    <cfRule type="expression" dxfId="157" priority="304" stopIfTrue="1">
      <formula>IF(C258=2,1,0)</formula>
    </cfRule>
    <cfRule type="expression" dxfId="156" priority="305" stopIfTrue="1">
      <formula>IF(C258=3,1,0)</formula>
    </cfRule>
  </conditionalFormatting>
  <conditionalFormatting sqref="B12:B13">
    <cfRule type="expression" dxfId="155" priority="140" stopIfTrue="1">
      <formula>IF(K247=3,1,0)</formula>
    </cfRule>
    <cfRule type="expression" dxfId="154" priority="141" stopIfTrue="1">
      <formula>IF(K247=2,1,0)</formula>
    </cfRule>
    <cfRule type="expression" dxfId="153" priority="142" stopIfTrue="1">
      <formula>IF(K247=1,1,0)</formula>
    </cfRule>
  </conditionalFormatting>
  <conditionalFormatting sqref="B15:B16">
    <cfRule type="expression" dxfId="152" priority="65" stopIfTrue="1">
      <formula>IF(R242=3,1,0)</formula>
    </cfRule>
    <cfRule type="expression" dxfId="151" priority="66" stopIfTrue="1">
      <formula>IF(R242=2,1,0)</formula>
    </cfRule>
    <cfRule type="expression" dxfId="150" priority="67" stopIfTrue="1">
      <formula>IF(R242=1,1,0)</formula>
    </cfRule>
  </conditionalFormatting>
  <conditionalFormatting sqref="B17:B19">
    <cfRule type="expression" dxfId="149" priority="300" stopIfTrue="1">
      <formula>IF(C255=1,1,0)</formula>
    </cfRule>
    <cfRule type="expression" dxfId="148" priority="301" stopIfTrue="1">
      <formula>IF(C255=2,1,0)</formula>
    </cfRule>
    <cfRule type="expression" dxfId="147" priority="302" stopIfTrue="1">
      <formula>IF(C255=3,1,0)</formula>
    </cfRule>
  </conditionalFormatting>
  <conditionalFormatting sqref="B21:B22">
    <cfRule type="expression" dxfId="146" priority="116" stopIfTrue="1">
      <formula>IF(K231=3,1,0)</formula>
    </cfRule>
    <cfRule type="expression" dxfId="145" priority="117" stopIfTrue="1">
      <formula>IF(K231=2,1,0)</formula>
    </cfRule>
    <cfRule type="expression" dxfId="144" priority="118" stopIfTrue="1">
      <formula>IF(K231=1,1,0)</formula>
    </cfRule>
  </conditionalFormatting>
  <conditionalFormatting sqref="B24:B26">
    <cfRule type="expression" dxfId="143" priority="59" stopIfTrue="1">
      <formula>IF(R230=2,1,0)</formula>
    </cfRule>
    <cfRule type="expression" dxfId="142" priority="60" stopIfTrue="1">
      <formula>IF(R230=3,2,0)</formula>
    </cfRule>
    <cfRule type="expression" dxfId="141" priority="61" stopIfTrue="1">
      <formula>IF(R230=1,1,0)</formula>
    </cfRule>
  </conditionalFormatting>
  <conditionalFormatting sqref="B27:B29">
    <cfRule type="expression" dxfId="140" priority="297" stopIfTrue="1">
      <formula>IF(C252=1,1,0)</formula>
    </cfRule>
    <cfRule type="expression" dxfId="139" priority="298" stopIfTrue="1">
      <formula>IF(C252=2,1,0)</formula>
    </cfRule>
    <cfRule type="expression" dxfId="138" priority="299" stopIfTrue="1">
      <formula>IF(C252=3,1,0)</formula>
    </cfRule>
  </conditionalFormatting>
  <conditionalFormatting sqref="B32:B33">
    <cfRule type="expression" dxfId="137" priority="113" stopIfTrue="1">
      <formula>IF(K229=3,1,0)</formula>
    </cfRule>
    <cfRule type="expression" dxfId="136" priority="114" stopIfTrue="1">
      <formula>IF(K229=2,1,0)</formula>
    </cfRule>
    <cfRule type="expression" dxfId="135" priority="115" stopIfTrue="1">
      <formula>IF(K229=1,1,0)</formula>
    </cfRule>
  </conditionalFormatting>
  <conditionalFormatting sqref="B35:B36">
    <cfRule type="expression" dxfId="134" priority="53" stopIfTrue="1">
      <formula>IF(R220=3,1,0)</formula>
    </cfRule>
    <cfRule type="expression" dxfId="133" priority="54" stopIfTrue="1">
      <formula>IF(R220=2,1,0)</formula>
    </cfRule>
    <cfRule type="expression" dxfId="132" priority="55" stopIfTrue="1">
      <formula>IF(R220=1,1,0)</formula>
    </cfRule>
  </conditionalFormatting>
  <conditionalFormatting sqref="B37:B39">
    <cfRule type="expression" dxfId="131" priority="294" stopIfTrue="1">
      <formula>IF(C249=1,1,0)</formula>
    </cfRule>
    <cfRule type="expression" dxfId="130" priority="295" stopIfTrue="1">
      <formula>IF(C249=2,1,0)</formula>
    </cfRule>
    <cfRule type="expression" dxfId="129" priority="296" stopIfTrue="1">
      <formula>IF(C249=3,1,0)</formula>
    </cfRule>
  </conditionalFormatting>
  <conditionalFormatting sqref="C3:C10">
    <cfRule type="expression" dxfId="128" priority="13" stopIfTrue="1">
      <formula>IF(S185=2,1,0)</formula>
    </cfRule>
    <cfRule type="expression" dxfId="127" priority="14" stopIfTrue="1">
      <formula>IF(S185=1,1,0)</formula>
    </cfRule>
    <cfRule type="expression" dxfId="126" priority="25" stopIfTrue="1">
      <formula>IF(S185=3,1,0)</formula>
    </cfRule>
  </conditionalFormatting>
  <conditionalFormatting sqref="C14:C20">
    <cfRule type="expression" dxfId="125" priority="324" stopIfTrue="1">
      <formula>IF(S177=2,1,0)</formula>
    </cfRule>
    <cfRule type="expression" dxfId="124" priority="325" stopIfTrue="1">
      <formula>IF(S177=1,1,0)</formula>
    </cfRule>
    <cfRule type="expression" dxfId="123" priority="326" stopIfTrue="1">
      <formula>IF(S177=3,1,0)</formula>
    </cfRule>
  </conditionalFormatting>
  <conditionalFormatting sqref="C23:C30">
    <cfRule type="expression" dxfId="122" priority="9" stopIfTrue="1">
      <formula>IF(S169=2,1,0)</formula>
    </cfRule>
    <cfRule type="expression" dxfId="121" priority="10" stopIfTrue="1">
      <formula>IF(S169=1,1,0)</formula>
    </cfRule>
    <cfRule type="expression" dxfId="120" priority="23" stopIfTrue="1">
      <formula>IF(S169=3,1,0)</formula>
    </cfRule>
  </conditionalFormatting>
  <conditionalFormatting sqref="C34:C40">
    <cfRule type="expression" dxfId="119" priority="8" stopIfTrue="1">
      <formula>IF(S161=1,1,0)</formula>
    </cfRule>
    <cfRule type="expression" dxfId="118" priority="21" stopIfTrue="1">
      <formula>IF(S161=3,1,0)</formula>
    </cfRule>
    <cfRule type="expression" dxfId="117" priority="22" stopIfTrue="1">
      <formula>IF(S161=2,1,0)</formula>
    </cfRule>
  </conditionalFormatting>
  <conditionalFormatting sqref="D3:D10">
    <cfRule type="expression" dxfId="116" priority="74" stopIfTrue="1">
      <formula>IF(R255=3,1,0)</formula>
    </cfRule>
    <cfRule type="expression" dxfId="115" priority="75" stopIfTrue="1">
      <formula>IF(R255=2,1,0)</formula>
    </cfRule>
    <cfRule type="expression" dxfId="114" priority="76" stopIfTrue="1">
      <formula>IF(R255=1,1,0)</formula>
    </cfRule>
  </conditionalFormatting>
  <conditionalFormatting sqref="D33:D40">
    <cfRule type="expression" dxfId="113" priority="47" stopIfTrue="1">
      <formula>IF(R200=3,1,0)</formula>
    </cfRule>
    <cfRule type="expression" dxfId="112" priority="48" stopIfTrue="1">
      <formula>IF(R200=2,1,0)</formula>
    </cfRule>
    <cfRule type="expression" dxfId="111" priority="49" stopIfTrue="1">
      <formula>IF(R200=1,1,0)</formula>
    </cfRule>
  </conditionalFormatting>
  <conditionalFormatting sqref="E1:E2">
    <cfRule type="expression" dxfId="110" priority="122" stopIfTrue="1">
      <formula>IF(K235=3,1,0)</formula>
    </cfRule>
    <cfRule type="expression" dxfId="109" priority="123" stopIfTrue="1">
      <formula>IF(K235=2,1,0)</formula>
    </cfRule>
    <cfRule type="expression" dxfId="108" priority="124" stopIfTrue="1">
      <formula>IF(K235=1,1,0)</formula>
    </cfRule>
  </conditionalFormatting>
  <conditionalFormatting sqref="E4:E6">
    <cfRule type="expression" dxfId="107" priority="77" stopIfTrue="1">
      <formula>IF(R263=3,1,0)</formula>
    </cfRule>
    <cfRule type="expression" dxfId="106" priority="78" stopIfTrue="1">
      <formula>IF(R263=2,1,0)</formula>
    </cfRule>
    <cfRule type="expression" dxfId="105" priority="79" stopIfTrue="1">
      <formula>IF(R263=1,1,0)</formula>
    </cfRule>
  </conditionalFormatting>
  <conditionalFormatting sqref="E8:E10">
    <cfRule type="expression" dxfId="104" priority="306" stopIfTrue="1">
      <formula>IF(C261=1,1,0)</formula>
    </cfRule>
    <cfRule type="expression" dxfId="103" priority="307" stopIfTrue="1">
      <formula>IF(C261=2,1,0)</formula>
    </cfRule>
    <cfRule type="expression" dxfId="102" priority="308" stopIfTrue="1">
      <formula>IF(C261=3,1,0)</formula>
    </cfRule>
  </conditionalFormatting>
  <conditionalFormatting sqref="E31:E32">
    <cfRule type="expression" dxfId="101" priority="110" stopIfTrue="1">
      <formula>IF(K227=3,1,0)</formula>
    </cfRule>
    <cfRule type="expression" dxfId="100" priority="111" stopIfTrue="1">
      <formula>IF(K227=2,1,0)</formula>
    </cfRule>
    <cfRule type="expression" dxfId="99" priority="112" stopIfTrue="1">
      <formula>IF(K227=1,1,0)</formula>
    </cfRule>
  </conditionalFormatting>
  <conditionalFormatting sqref="E34:E36">
    <cfRule type="expression" dxfId="98" priority="50" stopIfTrue="1">
      <formula>IF(R208=3,1,0)</formula>
    </cfRule>
    <cfRule type="expression" dxfId="97" priority="51" stopIfTrue="1">
      <formula>IF(R208=2,1,0)</formula>
    </cfRule>
    <cfRule type="expression" dxfId="96" priority="52" stopIfTrue="1">
      <formula>IF(R208=1,1,0)</formula>
    </cfRule>
  </conditionalFormatting>
  <conditionalFormatting sqref="E37:E39">
    <cfRule type="expression" dxfId="95" priority="291" stopIfTrue="1">
      <formula>IF(C246=3,1,0)</formula>
    </cfRule>
    <cfRule type="expression" dxfId="94" priority="292" stopIfTrue="1">
      <formula>IF(C246=2,1,0)</formula>
    </cfRule>
    <cfRule type="expression" dxfId="93" priority="293" stopIfTrue="1">
      <formula>IF(C246=1,1,0)</formula>
    </cfRule>
  </conditionalFormatting>
  <conditionalFormatting sqref="F3:F10">
    <cfRule type="expression" dxfId="92" priority="26" stopIfTrue="1">
      <formula>IF(S193=3,1,0)</formula>
    </cfRule>
    <cfRule type="expression" dxfId="91" priority="27" stopIfTrue="1">
      <formula>IF(S193=2,1,0)</formula>
    </cfRule>
    <cfRule type="expression" dxfId="90" priority="28" stopIfTrue="1">
      <formula>IF(S193=1,1,0)</formula>
    </cfRule>
  </conditionalFormatting>
  <conditionalFormatting sqref="F33:F40">
    <cfRule type="expression" dxfId="89" priority="18" stopIfTrue="1">
      <formula>IF(S153=1,1,0)</formula>
    </cfRule>
    <cfRule type="expression" dxfId="88" priority="19" stopIfTrue="1">
      <formula>IF(S153=2,1,0)</formula>
    </cfRule>
    <cfRule type="expression" dxfId="87" priority="20" stopIfTrue="1">
      <formula>IF(S153=3,1,0)</formula>
    </cfRule>
  </conditionalFormatting>
  <conditionalFormatting sqref="G3:G10">
    <cfRule type="expression" dxfId="86" priority="80" stopIfTrue="1">
      <formula>IF(R266=3,1,0)</formula>
    </cfRule>
    <cfRule type="expression" dxfId="85" priority="81" stopIfTrue="1">
      <formula>IF(R266=2,1,0)</formula>
    </cfRule>
    <cfRule type="expression" dxfId="84" priority="82" stopIfTrue="1">
      <formula>IF(R266=1,1,0)</formula>
    </cfRule>
  </conditionalFormatting>
  <conditionalFormatting sqref="G33:G40">
    <cfRule type="expression" dxfId="83" priority="146" stopIfTrue="1">
      <formula>IF(R189=3,1,0)</formula>
    </cfRule>
    <cfRule type="expression" dxfId="82" priority="147" stopIfTrue="1">
      <formula>IF(R189=2,1,0)</formula>
    </cfRule>
    <cfRule type="expression" dxfId="81" priority="148" stopIfTrue="1">
      <formula>IF(R189=1,1,0)</formula>
    </cfRule>
  </conditionalFormatting>
  <conditionalFormatting sqref="H1:H2">
    <cfRule type="expression" dxfId="80" priority="125" stopIfTrue="1">
      <formula>IF(K237=3,1,0)</formula>
    </cfRule>
    <cfRule type="expression" dxfId="79" priority="126" stopIfTrue="1">
      <formula>IF(K237=2,1,0)</formula>
    </cfRule>
    <cfRule type="expression" dxfId="78" priority="127" stopIfTrue="1">
      <formula>IF(K237=1,1,0)</formula>
    </cfRule>
  </conditionalFormatting>
  <conditionalFormatting sqref="H4:H6">
    <cfRule type="expression" dxfId="77" priority="83" stopIfTrue="1">
      <formula>IF(R274=3,1,0)</formula>
    </cfRule>
    <cfRule type="expression" dxfId="76" priority="84" stopIfTrue="1">
      <formula>IF(R274=2,1,0)</formula>
    </cfRule>
    <cfRule type="expression" dxfId="75" priority="85" stopIfTrue="1">
      <formula>IF(R274=1,1,0)</formula>
    </cfRule>
  </conditionalFormatting>
  <conditionalFormatting sqref="H8:H10">
    <cfRule type="expression" dxfId="74" priority="309" stopIfTrue="1">
      <formula>IF(C264=1,1,0)</formula>
    </cfRule>
    <cfRule type="expression" dxfId="73" priority="310" stopIfTrue="1">
      <formula>IF(C264=2,1,0)</formula>
    </cfRule>
    <cfRule type="expression" dxfId="72" priority="311" stopIfTrue="1">
      <formula>IF(C264=3,1,0)</formula>
    </cfRule>
  </conditionalFormatting>
  <conditionalFormatting sqref="H31:H32">
    <cfRule type="expression" dxfId="71" priority="107" stopIfTrue="1">
      <formula>IF(K225=3,1,0)</formula>
    </cfRule>
    <cfRule type="expression" dxfId="70" priority="108" stopIfTrue="1">
      <formula>IF(K225=2,1,0)</formula>
    </cfRule>
    <cfRule type="expression" dxfId="69" priority="109" stopIfTrue="1">
      <formula>IF(K225=1,1,0)</formula>
    </cfRule>
  </conditionalFormatting>
  <conditionalFormatting sqref="H34:H36">
    <cfRule type="expression" dxfId="68" priority="44" stopIfTrue="1">
      <formula>IF(R197=3,1,0)</formula>
    </cfRule>
    <cfRule type="expression" dxfId="67" priority="45" stopIfTrue="1">
      <formula>IF(R197=2,1,0)</formula>
    </cfRule>
    <cfRule type="expression" dxfId="66" priority="46" stopIfTrue="1">
      <formula>IF(R197=1,1,0)</formula>
    </cfRule>
  </conditionalFormatting>
  <conditionalFormatting sqref="H37:H39">
    <cfRule type="expression" dxfId="65" priority="288" stopIfTrue="1">
      <formula>IF(C243=3,1,0)</formula>
    </cfRule>
    <cfRule type="expression" dxfId="64" priority="289" stopIfTrue="1">
      <formula>IF(C243=2,1,0)</formula>
    </cfRule>
    <cfRule type="expression" dxfId="63" priority="290" stopIfTrue="1">
      <formula>IF(C243=1,1,0)</formula>
    </cfRule>
  </conditionalFormatting>
  <conditionalFormatting sqref="I3:I10">
    <cfRule type="expression" dxfId="62" priority="29" stopIfTrue="1">
      <formula>IF(S201=3,1,0)</formula>
    </cfRule>
    <cfRule type="expression" dxfId="61" priority="30" stopIfTrue="1">
      <formula>IF(S201=2,1,0)</formula>
    </cfRule>
    <cfRule type="expression" dxfId="60" priority="31" stopIfTrue="1">
      <formula>IF(S201=1,1,0)</formula>
    </cfRule>
  </conditionalFormatting>
  <conditionalFormatting sqref="I33:I40">
    <cfRule type="expression" dxfId="59" priority="15" stopIfTrue="1">
      <formula>IF(S145=3,1,0)</formula>
    </cfRule>
    <cfRule type="expression" dxfId="58" priority="16" stopIfTrue="1">
      <formula>IF(S145=2,1,0)</formula>
    </cfRule>
    <cfRule type="expression" dxfId="57" priority="17" stopIfTrue="1">
      <formula>IF(S145=1,1,0)</formula>
    </cfRule>
  </conditionalFormatting>
  <conditionalFormatting sqref="J3:J10">
    <cfRule type="expression" dxfId="56" priority="86" stopIfTrue="1">
      <formula>IF(R277=3,1,0)</formula>
    </cfRule>
    <cfRule type="expression" dxfId="55" priority="87" stopIfTrue="1">
      <formula>IF(R277=2,1,0)</formula>
    </cfRule>
    <cfRule type="expression" dxfId="54" priority="88" stopIfTrue="1">
      <formula>IF(R277=1,1,0)</formula>
    </cfRule>
  </conditionalFormatting>
  <conditionalFormatting sqref="J12:J20 J23:J30">
    <cfRule type="expression" dxfId="53" priority="92" stopIfTrue="1">
      <formula>IF(R288=3,1,0)</formula>
    </cfRule>
    <cfRule type="expression" dxfId="52" priority="93" stopIfTrue="1">
      <formula>IF(R288=2,1,0)</formula>
    </cfRule>
    <cfRule type="expression" dxfId="51" priority="94" stopIfTrue="1">
      <formula>IF(R288=1,1,0)</formula>
    </cfRule>
  </conditionalFormatting>
  <conditionalFormatting sqref="J32:J40">
    <cfRule type="expression" dxfId="50" priority="101" stopIfTrue="1">
      <formula>IF(R310=3,1,0)</formula>
    </cfRule>
    <cfRule type="expression" dxfId="49" priority="102" stopIfTrue="1">
      <formula>IF(R310=2,1,0)</formula>
    </cfRule>
    <cfRule type="expression" dxfId="48" priority="103" stopIfTrue="1">
      <formula>IF(R310=1,1,0)</formula>
    </cfRule>
  </conditionalFormatting>
  <conditionalFormatting sqref="K1:K2">
    <cfRule type="expression" dxfId="47" priority="128" stopIfTrue="1">
      <formula>IF(K239=3,1,0)</formula>
    </cfRule>
    <cfRule type="expression" dxfId="46" priority="129" stopIfTrue="1">
      <formula>IF(K239=2,1,0)</formula>
    </cfRule>
    <cfRule type="expression" dxfId="45" priority="130" stopIfTrue="1">
      <formula>IF(K239=1,1,0)</formula>
    </cfRule>
  </conditionalFormatting>
  <conditionalFormatting sqref="K4:K6">
    <cfRule type="expression" dxfId="44" priority="89" stopIfTrue="1">
      <formula>IF(R285=3,1,0)</formula>
    </cfRule>
    <cfRule type="expression" dxfId="43" priority="90" stopIfTrue="1">
      <formula>IF(R285=2,1,0)</formula>
    </cfRule>
    <cfRule type="expression" dxfId="42" priority="91" stopIfTrue="1">
      <formula>IF(R285=1,1,0)</formula>
    </cfRule>
  </conditionalFormatting>
  <conditionalFormatting sqref="K7:K9">
    <cfRule type="expression" dxfId="41" priority="312" stopIfTrue="1">
      <formula>IF(C267=1,1,0)</formula>
    </cfRule>
    <cfRule type="expression" dxfId="40" priority="313" stopIfTrue="1">
      <formula>IF(C267=2,1,0)</formula>
    </cfRule>
    <cfRule type="expression" dxfId="39" priority="314" stopIfTrue="1">
      <formula>IF(C267=3,1,0)</formula>
    </cfRule>
  </conditionalFormatting>
  <conditionalFormatting sqref="K12:K13">
    <cfRule type="expression" dxfId="38" priority="131" stopIfTrue="1">
      <formula>IF(K241=3,1,0)</formula>
    </cfRule>
    <cfRule type="expression" dxfId="37" priority="132" stopIfTrue="1">
      <formula>IF(K241=2,1,0)</formula>
    </cfRule>
    <cfRule type="expression" dxfId="36" priority="133" stopIfTrue="1">
      <formula>IF(K241=1,1,0)</formula>
    </cfRule>
  </conditionalFormatting>
  <conditionalFormatting sqref="K15:K16">
    <cfRule type="expression" dxfId="35" priority="95" stopIfTrue="1">
      <formula>IF(R297=3,1,0)</formula>
    </cfRule>
    <cfRule type="expression" dxfId="34" priority="96" stopIfTrue="1">
      <formula>IF(R297=2,1,0)</formula>
    </cfRule>
    <cfRule type="expression" dxfId="33" priority="97" stopIfTrue="1">
      <formula>IF(R297=1,1,0)</formula>
    </cfRule>
  </conditionalFormatting>
  <conditionalFormatting sqref="K17:K19">
    <cfRule type="expression" dxfId="32" priority="315" stopIfTrue="1">
      <formula>IF(C270=1,1,0)</formula>
    </cfRule>
    <cfRule type="expression" dxfId="31" priority="316" stopIfTrue="1">
      <formula>IF(C270=2,1,0)</formula>
    </cfRule>
    <cfRule type="expression" dxfId="30" priority="317" stopIfTrue="1">
      <formula>IF(C270=3,1,0)</formula>
    </cfRule>
  </conditionalFormatting>
  <conditionalFormatting sqref="K21:K22">
    <cfRule type="expression" dxfId="29" priority="134" stopIfTrue="1">
      <formula>IF(K243=3,1,0)</formula>
    </cfRule>
    <cfRule type="expression" dxfId="28" priority="135" stopIfTrue="1">
      <formula>IF(K243=2,1,0)</formula>
    </cfRule>
    <cfRule type="expression" dxfId="27" priority="136" stopIfTrue="1">
      <formula>IF(K243=1,1,0)</formula>
    </cfRule>
  </conditionalFormatting>
  <conditionalFormatting sqref="K24:K26">
    <cfRule type="expression" dxfId="26" priority="98" stopIfTrue="1">
      <formula>IF(R307=3,1,0)</formula>
    </cfRule>
    <cfRule type="expression" dxfId="25" priority="99" stopIfTrue="1">
      <formula>IF(R307=2,1,0)</formula>
    </cfRule>
    <cfRule type="expression" dxfId="24" priority="100" stopIfTrue="1">
      <formula>IF(R307=1,1,0)</formula>
    </cfRule>
  </conditionalFormatting>
  <conditionalFormatting sqref="K27:K29">
    <cfRule type="expression" dxfId="23" priority="318" stopIfTrue="1">
      <formula>IF(C273=1,1,0)</formula>
    </cfRule>
    <cfRule type="expression" dxfId="22" priority="319" stopIfTrue="1">
      <formula>IF(C273=2,1,0)</formula>
    </cfRule>
    <cfRule type="expression" dxfId="21" priority="320" stopIfTrue="1">
      <formula>IF(C273=3,1,0)</formula>
    </cfRule>
  </conditionalFormatting>
  <conditionalFormatting sqref="K32:K33">
    <cfRule type="expression" dxfId="20" priority="137" stopIfTrue="1">
      <formula>IF(K245=3,1,0)</formula>
    </cfRule>
    <cfRule type="expression" dxfId="19" priority="138" stopIfTrue="1">
      <formula>IF(K245=2,1,0)</formula>
    </cfRule>
    <cfRule type="expression" dxfId="18" priority="139" stopIfTrue="1">
      <formula>IF(K245=1,1,0)</formula>
    </cfRule>
  </conditionalFormatting>
  <conditionalFormatting sqref="K35:K36">
    <cfRule type="expression" dxfId="17" priority="104" stopIfTrue="1">
      <formula>IF(R319=3,1,0)</formula>
    </cfRule>
    <cfRule type="expression" dxfId="16" priority="105" stopIfTrue="1">
      <formula>IF(R319=2,1,0)</formula>
    </cfRule>
    <cfRule type="expression" dxfId="15" priority="106" stopIfTrue="1">
      <formula>IF(R319=1,1,0)</formula>
    </cfRule>
  </conditionalFormatting>
  <conditionalFormatting sqref="K37:K39">
    <cfRule type="expression" dxfId="14" priority="321" stopIfTrue="1">
      <formula>IF(C276=1,1,0)</formula>
    </cfRule>
    <cfRule type="expression" dxfId="13" priority="322" stopIfTrue="1">
      <formula>IF(C276=2,1,0)</formula>
    </cfRule>
    <cfRule type="expression" dxfId="12" priority="323" stopIfTrue="1">
      <formula>IF(C276=3,1,0)</formula>
    </cfRule>
  </conditionalFormatting>
  <conditionalFormatting sqref="L3:L10">
    <cfRule type="expression" dxfId="11" priority="32" stopIfTrue="1">
      <formula>IF(S209=3,1,0)</formula>
    </cfRule>
    <cfRule type="expression" dxfId="10" priority="33" stopIfTrue="1">
      <formula>IF(S209=2,1,0)</formula>
    </cfRule>
    <cfRule type="expression" dxfId="9" priority="34" stopIfTrue="1">
      <formula>IF(S209=1,1,0)</formula>
    </cfRule>
  </conditionalFormatting>
  <conditionalFormatting sqref="L14:L20">
    <cfRule type="expression" dxfId="8" priority="35" stopIfTrue="1">
      <formula>IF(S217=3,1,0)</formula>
    </cfRule>
    <cfRule type="expression" dxfId="7" priority="36" stopIfTrue="1">
      <formula>IF(S217=2,1,0)</formula>
    </cfRule>
    <cfRule type="expression" dxfId="6" priority="37" stopIfTrue="1">
      <formula>IF(S217=1,1,0)</formula>
    </cfRule>
  </conditionalFormatting>
  <conditionalFormatting sqref="L23:L30">
    <cfRule type="expression" dxfId="5" priority="38" stopIfTrue="1">
      <formula>IF(S225=3,1,0)</formula>
    </cfRule>
    <cfRule type="expression" dxfId="4" priority="39" stopIfTrue="1">
      <formula>IF(S225=2,1,0)</formula>
    </cfRule>
    <cfRule type="expression" dxfId="3" priority="40" stopIfTrue="1">
      <formula>IF(S225=1,1,0)</formula>
    </cfRule>
  </conditionalFormatting>
  <conditionalFormatting sqref="L34:L40">
    <cfRule type="expression" dxfId="2" priority="41" stopIfTrue="1">
      <formula>IF(S233=3,1,0)</formula>
    </cfRule>
    <cfRule type="expression" dxfId="1" priority="42" stopIfTrue="1">
      <formula>IF(S233=2,1,0)</formula>
    </cfRule>
    <cfRule type="expression" dxfId="0" priority="43" stopIfTrue="1">
      <formula>IF(S233=1,1,0)</formula>
    </cfRule>
  </conditionalFormatting>
  <dataValidations count="2">
    <dataValidation type="list" allowBlank="1" showInputMessage="1" showErrorMessage="1" sqref="G24" xr:uid="{26C54925-B4E4-4EEA-96B8-E823E2E2BCB2}">
      <formula1>$Q$2:$Q$3</formula1>
    </dataValidation>
    <dataValidation type="list" allowBlank="1" showInputMessage="1" showErrorMessage="1" sqref="G23" xr:uid="{66A2C79F-3898-40C6-924C-27167A7D07B1}">
      <formula1>$BX$62:$BX$137</formula1>
    </dataValidation>
  </dataValidations>
  <pageMargins left="0.75" right="0.75" top="1" bottom="1" header="0.5" footer="0.5"/>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13</vt:i4>
      </vt:variant>
      <vt:variant>
        <vt:lpstr>Phạm vi Có tên</vt:lpstr>
      </vt:variant>
      <vt:variant>
        <vt:i4>3</vt:i4>
      </vt:variant>
    </vt:vector>
  </HeadingPairs>
  <TitlesOfParts>
    <vt:vector size="16" baseType="lpstr">
      <vt:lpstr>Giới thiệu</vt:lpstr>
      <vt:lpstr>Nhập liệu</vt:lpstr>
      <vt:lpstr>Thể cách</vt:lpstr>
      <vt:lpstr>Đại Vận</vt:lpstr>
      <vt:lpstr>Vận Năm</vt:lpstr>
      <vt:lpstr>384Hào</vt:lpstr>
      <vt:lpstr>64Quẻ</vt:lpstr>
      <vt:lpstr>TiếtKhí</vt:lpstr>
      <vt:lpstr>Setup</vt:lpstr>
      <vt:lpstr>tubinh</vt:lpstr>
      <vt:lpstr>qdich</vt:lpstr>
      <vt:lpstr>tuvi</vt:lpstr>
      <vt:lpstr>tv2</vt:lpstr>
      <vt:lpstr>'64Quẻ'!Càn</vt:lpstr>
      <vt:lpstr>'64Quẻ'!Đ.Nhân</vt:lpstr>
      <vt:lpstr>'64Quẻ'!Lý</vt:lpstr>
    </vt:vector>
  </TitlesOfParts>
  <Company>&lt;arabianhorse&gt;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noname</dc:creator>
  <cp:lastModifiedBy>Anh Trúc</cp:lastModifiedBy>
  <cp:lastPrinted>2008-09-24T00:39:56Z</cp:lastPrinted>
  <dcterms:created xsi:type="dcterms:W3CDTF">2008-08-02T22:07:40Z</dcterms:created>
  <dcterms:modified xsi:type="dcterms:W3CDTF">2026-04-16T15:04:08Z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2026-04-16T14:58:48Z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f4f402f5-c702-4b1e-a24c-6ba63fd70c91</vt:lpwstr>
  </property>
  <property fmtid="{D5CDD505-2E9C-101B-9397-08002B2CF9AE}" pid="7" name="MSIP_Label_defa4170-0d19-0005-0004-bc88714345d2_ActionId">
    <vt:lpwstr>0e9b57d1-220a-44cf-924d-83dcb568097a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